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uconestogacon-my.sharepoint.com/personal/bigoboye0304_conestogac_on_ca/Documents/Fall 2022/Data Analytics/Projects/"/>
    </mc:Choice>
  </mc:AlternateContent>
  <xr:revisionPtr revIDLastSave="1557" documentId="13_ncr:1_{FD381843-78F3-4CC5-8CDF-3621E524236B}" xr6:coauthVersionLast="47" xr6:coauthVersionMax="47" xr10:uidLastSave="{CB9FE578-122A-41F8-8945-AAEE1C3DA47F}"/>
  <bookViews>
    <workbookView xWindow="-120" yWindow="-120" windowWidth="20730" windowHeight="11160" xr2:uid="{149572CE-A675-46DD-82EE-76ADE176E312}"/>
  </bookViews>
  <sheets>
    <sheet name="MainNavigation" sheetId="41" r:id="rId1"/>
    <sheet name="Documentation" sheetId="2" r:id="rId2"/>
    <sheet name="MaterialMaster" sheetId="1" r:id="rId3"/>
    <sheet name="BOM" sheetId="4" r:id="rId4"/>
    <sheet name="DistributionChannels" sheetId="5" r:id="rId5"/>
    <sheet name="SalesAreas" sheetId="7" r:id="rId6"/>
    <sheet name="Suppliers" sheetId="8" r:id="rId7"/>
    <sheet name="StorageLocations" sheetId="9" r:id="rId8"/>
    <sheet name="Equipment" sheetId="10" r:id="rId9"/>
    <sheet name="SalesOD" sheetId="34" r:id="rId10"/>
    <sheet name="SalesForecast-CurrentMonth" sheetId="11" r:id="rId11"/>
    <sheet name="SalesForecast-Archive" sheetId="12" r:id="rId12"/>
    <sheet name="InventoryOD" sheetId="36" r:id="rId13"/>
    <sheet name="Inventory" sheetId="19" r:id="rId14"/>
    <sheet name="ProductionOD" sheetId="38" r:id="rId15"/>
    <sheet name="ProductionPlan" sheetId="20" r:id="rId16"/>
    <sheet name="ProductionPlan-Archive" sheetId="25" r:id="rId17"/>
    <sheet name="Analysis" sheetId="43" r:id="rId18"/>
  </sheets>
  <externalReferences>
    <externalReference r:id="rId19"/>
  </externalReferences>
  <definedNames>
    <definedName name="_xlnm._FilterDatabase" localSheetId="2" hidden="1">MaterialMaster!$A$4:$Q$27</definedName>
    <definedName name="Alpha">Documentation!$B$39</definedName>
    <definedName name="Capacity">Documentation!$B$41</definedName>
    <definedName name="ComponentItems">MaterialMaster!$A$17:$A$27</definedName>
    <definedName name="ControlLimit">Documentation!$B$38</definedName>
    <definedName name="ExternalData_1" localSheetId="12" hidden="1">InventoryOD!$A$1:$R$2663</definedName>
    <definedName name="ExternalData_1" localSheetId="14" hidden="1">ProductionOD!$A$1:$P$1441</definedName>
    <definedName name="ExternalData_1" localSheetId="9" hidden="1">SalesOD!$A$1:$AH$838</definedName>
    <definedName name="ItemNumber">MaterialMaster!$A$5:$A$27</definedName>
    <definedName name="LotSize">Documentation!#REF!</definedName>
    <definedName name="MaterialMaster" localSheetId="13">[1]MaterialMaster!$A$3:$Q$19</definedName>
    <definedName name="MaterialMaster" localSheetId="15">[1]MaterialMaster!$A$3:$Q$19</definedName>
    <definedName name="MaterialMaster">MaterialMaster!$A$5:$Q$27</definedName>
    <definedName name="MaterialType" localSheetId="13">[1]Documentation!$A$16:$A$18</definedName>
    <definedName name="MaterialType" localSheetId="15">[1]Documentation!$A$16:$A$18</definedName>
    <definedName name="MaterialType">Documentation!$A$28:$A$30</definedName>
    <definedName name="MaxHrs">Documentation!$B$43</definedName>
    <definedName name="MaxLS">Documentation!$B$35</definedName>
    <definedName name="MaxLT" localSheetId="13">[1]Documentation!$E$11</definedName>
    <definedName name="MaxLT" localSheetId="15">[1]Documentation!$E$11</definedName>
    <definedName name="MaxLT">Documentation!$B$32</definedName>
    <definedName name="MinLS">Documentation!$B$36</definedName>
    <definedName name="MinLT" localSheetId="13">[1]Documentation!$E$12</definedName>
    <definedName name="MinLT" localSheetId="15">[1]Documentation!$E$12</definedName>
    <definedName name="MinLT">Documentation!$B$33</definedName>
    <definedName name="ParentItems">MaterialMaster!$A$5:$A$16</definedName>
    <definedName name="PlanningType" localSheetId="13">[1]Documentation!$D$19:$D$20</definedName>
    <definedName name="PlanningType" localSheetId="15">[1]Documentation!$D$19:$D$20</definedName>
    <definedName name="PlanningType">Documentation!$D$32:$D$33</definedName>
    <definedName name="Recipe" localSheetId="13">[1]Documentation!$A$25:$A$31</definedName>
    <definedName name="Recipe" localSheetId="15">[1]Documentation!$A$25:$A$31</definedName>
    <definedName name="Recipe">Documentation!$I$28:$I$36</definedName>
    <definedName name="SetupTime">Documentation!$B$42</definedName>
    <definedName name="Size" localSheetId="13">[1]Documentation!$A$21:$A$22</definedName>
    <definedName name="Size" localSheetId="15">[1]Documentation!$A$21:$A$22</definedName>
    <definedName name="Size">Documentation!$G$28:$G$30</definedName>
    <definedName name="Supplier">Suppliers!$B$3:$B$4</definedName>
    <definedName name="SupplierCode">Documentation!$D$28:$D$29</definedName>
    <definedName name="UOM" localSheetId="13">[1]Documentation!$D$23:$D$28</definedName>
    <definedName name="UOM" localSheetId="15">[1]Documentation!$D$23:$D$28</definedName>
    <definedName name="UOM">Documentation!$D$36:$D$41</definedName>
    <definedName name="WarehouseCode">Documentation!$D$43:$D$44</definedName>
  </definedNames>
  <calcPr calcId="191029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25" l="1"/>
  <c r="F16" i="25"/>
  <c r="E16" i="25"/>
  <c r="D16" i="25"/>
  <c r="H16" i="12"/>
  <c r="I16" i="12"/>
  <c r="G16" i="12"/>
  <c r="E16" i="12"/>
  <c r="K16" i="25"/>
  <c r="J16" i="25"/>
  <c r="I16" i="25"/>
  <c r="H16" i="25"/>
  <c r="M16" i="12"/>
  <c r="N16" i="12"/>
  <c r="L16" i="12"/>
  <c r="J16" i="12"/>
  <c r="O16" i="25"/>
  <c r="N16" i="25"/>
  <c r="M16" i="25"/>
  <c r="L16" i="25"/>
  <c r="R16" i="12"/>
  <c r="S16" i="12"/>
  <c r="Q16" i="12"/>
  <c r="O16" i="12"/>
  <c r="B3" i="2"/>
  <c r="H8" i="11"/>
  <c r="S16" i="25"/>
  <c r="R16" i="25"/>
  <c r="Q16" i="25"/>
  <c r="P16" i="25"/>
  <c r="W16" i="25"/>
  <c r="V16" i="25"/>
  <c r="U16" i="25"/>
  <c r="T16" i="25"/>
  <c r="AA16" i="25"/>
  <c r="Z16" i="25"/>
  <c r="Y16" i="25"/>
  <c r="X16" i="25"/>
  <c r="F10" i="19"/>
  <c r="F11" i="19"/>
  <c r="F12" i="19"/>
  <c r="F13" i="19"/>
  <c r="F14" i="19"/>
  <c r="F15" i="19"/>
  <c r="F16" i="19"/>
  <c r="F17" i="19"/>
  <c r="F18" i="19"/>
  <c r="F19" i="19"/>
  <c r="F9" i="19"/>
  <c r="D8" i="19"/>
  <c r="F8" i="19"/>
  <c r="W16" i="12"/>
  <c r="X16" i="12"/>
  <c r="V16" i="12"/>
  <c r="T16" i="12"/>
  <c r="AB16" i="12"/>
  <c r="AC16" i="12"/>
  <c r="AA16" i="12"/>
  <c r="Y16" i="12"/>
  <c r="AG16" i="12"/>
  <c r="AH16" i="12"/>
  <c r="AF16" i="12"/>
  <c r="AD16" i="12"/>
  <c r="G23" i="11"/>
  <c r="F8" i="5"/>
  <c r="H9" i="20"/>
  <c r="H10" i="20"/>
  <c r="H11" i="20"/>
  <c r="H12" i="20"/>
  <c r="H13" i="20"/>
  <c r="H14" i="20"/>
  <c r="H15" i="20"/>
  <c r="H16" i="20"/>
  <c r="H17" i="20"/>
  <c r="H18" i="20"/>
  <c r="H19" i="20"/>
  <c r="H8" i="20"/>
  <c r="D9" i="19"/>
  <c r="D10" i="19"/>
  <c r="D11" i="19"/>
  <c r="D12" i="19"/>
  <c r="D13" i="19"/>
  <c r="D14" i="19"/>
  <c r="D15" i="19"/>
  <c r="D16" i="19"/>
  <c r="D17" i="19"/>
  <c r="D18" i="19"/>
  <c r="D19" i="19"/>
  <c r="H9" i="11"/>
  <c r="H10" i="11"/>
  <c r="H11" i="11"/>
  <c r="H12" i="11"/>
  <c r="H13" i="11"/>
  <c r="H14" i="11"/>
  <c r="H15" i="11"/>
  <c r="H16" i="11"/>
  <c r="H17" i="11"/>
  <c r="H18" i="11"/>
  <c r="H19" i="11"/>
  <c r="N11" i="19" l="1"/>
  <c r="N15" i="19" s="1"/>
  <c r="E5" i="7"/>
  <c r="E6" i="7"/>
  <c r="E4" i="7"/>
  <c r="C7" i="7"/>
  <c r="D7" i="7"/>
  <c r="B7" i="7"/>
  <c r="F5" i="5"/>
  <c r="F6" i="5"/>
  <c r="F7" i="5"/>
  <c r="E21" i="11" l="1"/>
  <c r="A14" i="25" l="1"/>
  <c r="A13" i="25"/>
  <c r="A12" i="25"/>
  <c r="A11" i="25"/>
  <c r="A10" i="25"/>
  <c r="A9" i="25"/>
  <c r="A8" i="25"/>
  <c r="A7" i="25"/>
  <c r="A6" i="25"/>
  <c r="A5" i="25"/>
  <c r="A4" i="25"/>
  <c r="A3" i="25"/>
  <c r="B3" i="25" l="1"/>
  <c r="B4" i="25"/>
  <c r="B5" i="25"/>
  <c r="B6" i="25"/>
  <c r="B7" i="25"/>
  <c r="B8" i="25"/>
  <c r="B9" i="25"/>
  <c r="B10" i="25"/>
  <c r="B11" i="25"/>
  <c r="B12" i="25"/>
  <c r="B13" i="25"/>
  <c r="B14" i="25"/>
  <c r="C3" i="25"/>
  <c r="C4" i="25"/>
  <c r="C5" i="25"/>
  <c r="C6" i="25"/>
  <c r="C7" i="25"/>
  <c r="C8" i="25"/>
  <c r="C9" i="25"/>
  <c r="C10" i="25"/>
  <c r="C11" i="25"/>
  <c r="C12" i="25"/>
  <c r="C13" i="25"/>
  <c r="C14" i="25"/>
  <c r="I9" i="20"/>
  <c r="I11" i="20"/>
  <c r="I13" i="20"/>
  <c r="J13" i="20" s="1"/>
  <c r="I15" i="20"/>
  <c r="I17" i="20"/>
  <c r="I19" i="20"/>
  <c r="J9" i="19"/>
  <c r="J10" i="19"/>
  <c r="J11" i="19"/>
  <c r="J12" i="19"/>
  <c r="J13" i="19"/>
  <c r="J14" i="19"/>
  <c r="J15" i="19"/>
  <c r="J16" i="19"/>
  <c r="J17" i="19"/>
  <c r="J18" i="19"/>
  <c r="J19" i="19"/>
  <c r="J8" i="19"/>
  <c r="G8" i="11"/>
  <c r="I8" i="20" l="1"/>
  <c r="J8" i="20" s="1"/>
  <c r="I16" i="20"/>
  <c r="J16" i="20" s="1"/>
  <c r="I12" i="20"/>
  <c r="J12" i="20" s="1"/>
  <c r="J19" i="20"/>
  <c r="J15" i="20"/>
  <c r="J11" i="20"/>
  <c r="I18" i="20"/>
  <c r="J18" i="20" s="1"/>
  <c r="I14" i="20"/>
  <c r="J14" i="20" s="1"/>
  <c r="I10" i="20"/>
  <c r="J10" i="20" s="1"/>
  <c r="J17" i="20"/>
  <c r="J9" i="20"/>
  <c r="D19" i="20"/>
  <c r="D16" i="20"/>
  <c r="D12" i="20"/>
  <c r="D15" i="20"/>
  <c r="D11" i="20"/>
  <c r="D10" i="20"/>
  <c r="D18" i="20"/>
  <c r="D14" i="20"/>
  <c r="D17" i="20"/>
  <c r="D13" i="20"/>
  <c r="D9" i="20"/>
  <c r="C9" i="20"/>
  <c r="C10" i="20"/>
  <c r="C11" i="20"/>
  <c r="C12" i="20"/>
  <c r="C13" i="20"/>
  <c r="C14" i="20"/>
  <c r="C15" i="20"/>
  <c r="C16" i="20"/>
  <c r="C17" i="20"/>
  <c r="C18" i="20"/>
  <c r="C19" i="20"/>
  <c r="C8" i="20"/>
  <c r="B9" i="20"/>
  <c r="B10" i="20"/>
  <c r="B11" i="20"/>
  <c r="B12" i="20"/>
  <c r="B13" i="20"/>
  <c r="B14" i="20"/>
  <c r="B15" i="20"/>
  <c r="B16" i="20"/>
  <c r="B17" i="20"/>
  <c r="B18" i="20"/>
  <c r="B19" i="20"/>
  <c r="B8" i="20"/>
  <c r="B9" i="19"/>
  <c r="B10" i="19"/>
  <c r="B11" i="19"/>
  <c r="B12" i="19"/>
  <c r="B13" i="19"/>
  <c r="B14" i="19"/>
  <c r="B15" i="19"/>
  <c r="B16" i="19"/>
  <c r="B17" i="19"/>
  <c r="B18" i="19"/>
  <c r="B19" i="19"/>
  <c r="B8" i="19"/>
  <c r="B6" i="9"/>
  <c r="B7" i="9"/>
  <c r="B5" i="9"/>
  <c r="B4" i="8"/>
  <c r="B3" i="8"/>
  <c r="I17" i="11" l="1"/>
  <c r="I13" i="11"/>
  <c r="I18" i="11"/>
  <c r="J18" i="11" s="1"/>
  <c r="I14" i="11"/>
  <c r="I15" i="11"/>
  <c r="I10" i="11"/>
  <c r="I19" i="11"/>
  <c r="J19" i="11" s="1"/>
  <c r="I12" i="11"/>
  <c r="I16" i="11"/>
  <c r="I8" i="11"/>
  <c r="J8" i="11" s="1"/>
  <c r="I11" i="11"/>
  <c r="I9" i="11"/>
  <c r="D8" i="11"/>
  <c r="D9" i="11"/>
  <c r="C9" i="11"/>
  <c r="C10" i="11"/>
  <c r="C11" i="11"/>
  <c r="C12" i="11"/>
  <c r="C13" i="11"/>
  <c r="C14" i="11"/>
  <c r="C15" i="11"/>
  <c r="C16" i="11"/>
  <c r="C17" i="11"/>
  <c r="C18" i="11"/>
  <c r="C19" i="11"/>
  <c r="C8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7" i="10"/>
  <c r="B8" i="10" s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5" i="4"/>
  <c r="Q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5" i="1"/>
  <c r="B5" i="10" l="1"/>
  <c r="H21" i="11"/>
  <c r="E23" i="11"/>
  <c r="M13" i="11"/>
  <c r="M18" i="11"/>
  <c r="M19" i="11"/>
  <c r="K9" i="11"/>
  <c r="K10" i="11"/>
  <c r="K11" i="11"/>
  <c r="K12" i="11"/>
  <c r="K13" i="11"/>
  <c r="K14" i="11"/>
  <c r="K15" i="11"/>
  <c r="K16" i="11"/>
  <c r="K17" i="11"/>
  <c r="K18" i="11"/>
  <c r="K19" i="11"/>
  <c r="K8" i="11"/>
  <c r="L8" i="11" s="1"/>
  <c r="J9" i="11"/>
  <c r="J10" i="11"/>
  <c r="J11" i="11"/>
  <c r="L11" i="11" s="1"/>
  <c r="J12" i="11"/>
  <c r="L12" i="11" s="1"/>
  <c r="J13" i="11"/>
  <c r="J14" i="11"/>
  <c r="L14" i="11" s="1"/>
  <c r="J17" i="11" l="1"/>
  <c r="L17" i="11" s="1"/>
  <c r="J16" i="11"/>
  <c r="L16" i="11" s="1"/>
  <c r="J15" i="11"/>
  <c r="L15" i="11" s="1"/>
  <c r="L19" i="11"/>
  <c r="L18" i="11"/>
  <c r="L13" i="11"/>
  <c r="L9" i="11"/>
  <c r="L10" i="11"/>
  <c r="Q7" i="11" l="1"/>
  <c r="A14" i="12"/>
  <c r="D14" i="12" s="1"/>
  <c r="A12" i="12"/>
  <c r="B12" i="12" s="1"/>
  <c r="A13" i="12"/>
  <c r="C13" i="12" s="1"/>
  <c r="A4" i="12"/>
  <c r="B4" i="12" s="1"/>
  <c r="A5" i="12"/>
  <c r="C5" i="12" s="1"/>
  <c r="A6" i="12"/>
  <c r="C6" i="12" s="1"/>
  <c r="A7" i="12"/>
  <c r="C7" i="12" s="1"/>
  <c r="A8" i="12"/>
  <c r="B8" i="12" s="1"/>
  <c r="A9" i="12"/>
  <c r="C9" i="12" s="1"/>
  <c r="A10" i="12"/>
  <c r="C10" i="12" s="1"/>
  <c r="A11" i="12"/>
  <c r="C11" i="12" s="1"/>
  <c r="A3" i="12"/>
  <c r="B3" i="12" s="1"/>
  <c r="G13" i="11"/>
  <c r="G18" i="11"/>
  <c r="G19" i="11"/>
  <c r="B14" i="12" l="1"/>
  <c r="B10" i="12"/>
  <c r="B6" i="12"/>
  <c r="C3" i="12"/>
  <c r="D12" i="12"/>
  <c r="D10" i="12"/>
  <c r="D8" i="12"/>
  <c r="D6" i="12"/>
  <c r="D4" i="12"/>
  <c r="B13" i="12"/>
  <c r="B9" i="12"/>
  <c r="B5" i="12"/>
  <c r="C14" i="12"/>
  <c r="C12" i="12"/>
  <c r="C8" i="12"/>
  <c r="C4" i="12"/>
  <c r="D13" i="12"/>
  <c r="D11" i="12"/>
  <c r="D9" i="12"/>
  <c r="D7" i="12"/>
  <c r="D5" i="12"/>
  <c r="B11" i="12"/>
  <c r="B7" i="12"/>
  <c r="D3" i="12"/>
  <c r="N19" i="11"/>
  <c r="O19" i="11" s="1"/>
  <c r="N18" i="11"/>
  <c r="O18" i="11" s="1"/>
  <c r="M8" i="11"/>
  <c r="N13" i="11"/>
  <c r="O13" i="11" s="1"/>
  <c r="N8" i="11" l="1"/>
  <c r="O8" i="11" s="1"/>
  <c r="M11" i="4" l="1"/>
  <c r="M6" i="4"/>
  <c r="M7" i="4"/>
  <c r="M8" i="4"/>
  <c r="M9" i="4"/>
  <c r="M10" i="4"/>
  <c r="M12" i="4"/>
  <c r="M13" i="4"/>
  <c r="M14" i="4"/>
  <c r="M15" i="4"/>
  <c r="M16" i="4"/>
  <c r="M5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L10" i="4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8" i="4"/>
  <c r="G9" i="4"/>
  <c r="G10" i="4"/>
  <c r="G11" i="4"/>
  <c r="G7" i="4"/>
  <c r="L5" i="4" s="1"/>
  <c r="G6" i="4"/>
  <c r="G5" i="4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5" i="1"/>
  <c r="N5" i="1" s="1"/>
  <c r="B13" i="10"/>
  <c r="B19" i="10" s="1"/>
  <c r="N5" i="4" l="1"/>
  <c r="N10" i="4"/>
  <c r="L16" i="4"/>
  <c r="N16" i="4" s="1"/>
  <c r="K16" i="4"/>
  <c r="L15" i="4"/>
  <c r="N15" i="4" s="1"/>
  <c r="K15" i="4"/>
  <c r="L11" i="4"/>
  <c r="N11" i="4" s="1"/>
  <c r="K11" i="4"/>
  <c r="L6" i="4"/>
  <c r="N6" i="4" s="1"/>
  <c r="K6" i="4"/>
  <c r="K5" i="4"/>
  <c r="L14" i="4"/>
  <c r="N14" i="4" s="1"/>
  <c r="K14" i="4"/>
  <c r="K10" i="4"/>
  <c r="L9" i="4"/>
  <c r="L18" i="4" s="1"/>
  <c r="K9" i="4"/>
  <c r="L13" i="4"/>
  <c r="N13" i="4" s="1"/>
  <c r="K13" i="4"/>
  <c r="L8" i="4"/>
  <c r="N8" i="4" s="1"/>
  <c r="K8" i="4"/>
  <c r="L12" i="4"/>
  <c r="N12" i="4" s="1"/>
  <c r="K12" i="4"/>
  <c r="L7" i="4"/>
  <c r="N7" i="4" s="1"/>
  <c r="K7" i="4"/>
  <c r="Q18" i="1"/>
  <c r="Q19" i="1"/>
  <c r="Q20" i="1"/>
  <c r="Q21" i="1"/>
  <c r="Q22" i="1"/>
  <c r="Q23" i="1"/>
  <c r="Q24" i="1"/>
  <c r="Q25" i="1"/>
  <c r="Q26" i="1"/>
  <c r="Q27" i="1"/>
  <c r="Q6" i="1"/>
  <c r="Q7" i="1"/>
  <c r="Q8" i="1"/>
  <c r="Q9" i="1"/>
  <c r="Q10" i="1"/>
  <c r="Q11" i="1"/>
  <c r="Q12" i="1"/>
  <c r="Q13" i="1"/>
  <c r="Q14" i="1"/>
  <c r="Q15" i="1"/>
  <c r="Q16" i="1"/>
  <c r="Q17" i="1"/>
  <c r="B7" i="11"/>
  <c r="A7" i="11"/>
  <c r="F10" i="20" l="1"/>
  <c r="G10" i="20" s="1"/>
  <c r="E10" i="19" s="1"/>
  <c r="G10" i="19" s="1"/>
  <c r="F8" i="20"/>
  <c r="F9" i="20"/>
  <c r="G9" i="20" s="1"/>
  <c r="E9" i="19" s="1"/>
  <c r="G9" i="19" s="1"/>
  <c r="F11" i="20"/>
  <c r="G11" i="20" s="1"/>
  <c r="E11" i="19" s="1"/>
  <c r="G11" i="19" s="1"/>
  <c r="F12" i="20"/>
  <c r="G12" i="20" s="1"/>
  <c r="E12" i="19" s="1"/>
  <c r="G12" i="19" s="1"/>
  <c r="F16" i="20"/>
  <c r="G16" i="20" s="1"/>
  <c r="E16" i="19" s="1"/>
  <c r="G16" i="19" s="1"/>
  <c r="F13" i="20"/>
  <c r="G13" i="20" s="1"/>
  <c r="E13" i="19" s="1"/>
  <c r="G13" i="19" s="1"/>
  <c r="F17" i="20"/>
  <c r="G17" i="20" s="1"/>
  <c r="E17" i="19" s="1"/>
  <c r="G17" i="19" s="1"/>
  <c r="F14" i="20"/>
  <c r="G14" i="20" s="1"/>
  <c r="E14" i="19" s="1"/>
  <c r="G14" i="19" s="1"/>
  <c r="F18" i="20"/>
  <c r="G18" i="20" s="1"/>
  <c r="E18" i="19" s="1"/>
  <c r="G18" i="19" s="1"/>
  <c r="F15" i="20"/>
  <c r="G15" i="20" s="1"/>
  <c r="E15" i="19" s="1"/>
  <c r="G15" i="19" s="1"/>
  <c r="F19" i="20"/>
  <c r="G19" i="20" s="1"/>
  <c r="E19" i="19" s="1"/>
  <c r="G19" i="19" s="1"/>
  <c r="N9" i="4"/>
  <c r="D17" i="11"/>
  <c r="D16" i="11"/>
  <c r="D12" i="11"/>
  <c r="D19" i="11"/>
  <c r="D15" i="11"/>
  <c r="D11" i="11"/>
  <c r="D13" i="11"/>
  <c r="D18" i="11"/>
  <c r="D14" i="11"/>
  <c r="D10" i="11"/>
  <c r="I12" i="19" l="1"/>
  <c r="K12" i="19" s="1"/>
  <c r="H15" i="19"/>
  <c r="H13" i="19"/>
  <c r="H11" i="19"/>
  <c r="I19" i="19"/>
  <c r="K19" i="19" s="1"/>
  <c r="H18" i="19"/>
  <c r="H10" i="19"/>
  <c r="H17" i="19"/>
  <c r="H14" i="19"/>
  <c r="H16" i="19"/>
  <c r="I9" i="19"/>
  <c r="K9" i="19" s="1"/>
  <c r="T20" i="11"/>
  <c r="R19" i="11"/>
  <c r="T19" i="11"/>
  <c r="S22" i="11"/>
  <c r="T17" i="11"/>
  <c r="R18" i="11"/>
  <c r="T18" i="11"/>
  <c r="R22" i="11"/>
  <c r="T22" i="11"/>
  <c r="R21" i="11"/>
  <c r="T21" i="11"/>
  <c r="R20" i="11"/>
  <c r="U22" i="11"/>
  <c r="T13" i="11"/>
  <c r="R13" i="11"/>
  <c r="T12" i="11"/>
  <c r="R12" i="11"/>
  <c r="R17" i="11"/>
  <c r="M14" i="11"/>
  <c r="G14" i="11"/>
  <c r="M12" i="11"/>
  <c r="U21" i="11" s="1"/>
  <c r="G12" i="11"/>
  <c r="M16" i="11"/>
  <c r="G16" i="11"/>
  <c r="M11" i="11"/>
  <c r="G11" i="11"/>
  <c r="M15" i="11"/>
  <c r="G15" i="11"/>
  <c r="M9" i="11"/>
  <c r="G9" i="11"/>
  <c r="M17" i="11"/>
  <c r="G17" i="11"/>
  <c r="M10" i="11"/>
  <c r="G10" i="11"/>
  <c r="H12" i="19" l="1"/>
  <c r="I17" i="19"/>
  <c r="K17" i="19" s="1"/>
  <c r="I16" i="19"/>
  <c r="K16" i="19" s="1"/>
  <c r="I15" i="19"/>
  <c r="K15" i="19" s="1"/>
  <c r="I14" i="19"/>
  <c r="K14" i="19" s="1"/>
  <c r="I10" i="19"/>
  <c r="K10" i="19" s="1"/>
  <c r="I13" i="19"/>
  <c r="K13" i="19" s="1"/>
  <c r="H19" i="19"/>
  <c r="H9" i="19"/>
  <c r="I18" i="19"/>
  <c r="K18" i="19" s="1"/>
  <c r="I11" i="19"/>
  <c r="K11" i="19" s="1"/>
  <c r="S17" i="11"/>
  <c r="S19" i="11"/>
  <c r="S21" i="11"/>
  <c r="S12" i="11"/>
  <c r="S18" i="11"/>
  <c r="S20" i="11"/>
  <c r="U13" i="11"/>
  <c r="U17" i="11"/>
  <c r="U19" i="11"/>
  <c r="M21" i="11"/>
  <c r="U18" i="11"/>
  <c r="U20" i="11"/>
  <c r="S13" i="11"/>
  <c r="N17" i="11"/>
  <c r="O17" i="11" s="1"/>
  <c r="N15" i="11"/>
  <c r="O15" i="11" s="1"/>
  <c r="N16" i="11"/>
  <c r="O16" i="11" s="1"/>
  <c r="N14" i="11"/>
  <c r="O14" i="11" s="1"/>
  <c r="N10" i="11"/>
  <c r="O10" i="11" s="1"/>
  <c r="N11" i="11"/>
  <c r="O11" i="11" s="1"/>
  <c r="N12" i="11"/>
  <c r="O12" i="11" s="1"/>
  <c r="U12" i="11"/>
  <c r="N9" i="11"/>
  <c r="O9" i="11" s="1"/>
  <c r="G21" i="11"/>
  <c r="D8" i="20" l="1"/>
  <c r="G8" i="20" s="1"/>
  <c r="E8" i="19" l="1"/>
  <c r="G8" i="19" l="1"/>
  <c r="H8" i="19" s="1"/>
  <c r="I8" i="19" l="1"/>
  <c r="K8" i="19" s="1"/>
  <c r="M7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8D1DF9-D94B-405C-B2D8-F076A3406217}" keepAlive="1" name="Query - Independent_Requirements" description="Connection to the 'Independent_Requirements' query in the workbook." type="5" refreshedVersion="7" background="1" saveData="1">
    <dbPr connection="Provider=Microsoft.Mashup.OleDb.1;Data Source=$Workbook$;Location=Independent_Requirements;Extended Properties=&quot;&quot;" command="SELECT * FROM [Independent_Requirements]"/>
  </connection>
  <connection id="2" xr16:uid="{E356BB86-6E6F-4E1F-9E91-45D0ABE1119D}" keepAlive="1" name="Query - Inventory" description="Connection to the 'Inventory' query in the workbook." type="5" refreshedVersion="7" background="1" saveData="1">
    <dbPr connection="Provider=Microsoft.Mashup.OleDb.1;Data Source=$Workbook$;Location=Inventory;Extended Properties=&quot;&quot;" command="SELECT * FROM [Inventory]"/>
  </connection>
  <connection id="3" xr16:uid="{090713D7-6E65-4C85-8503-23EFF94A5AE1}" keepAlive="1" name="Query - Inventory (2)" description="Connection to the 'Inventory (2)' query in the workbook." type="5" refreshedVersion="7" background="1" saveData="1">
    <dbPr connection="Provider=Microsoft.Mashup.OleDb.1;Data Source=$Workbook$;Location=&quot;Inventory (2)&quot;;Extended Properties=&quot;&quot;" command="SELECT * FROM [Inventory (2)]"/>
  </connection>
  <connection id="4" xr16:uid="{2B57D429-AD17-44EE-A02A-BB4D3842736D}" keepAlive="1" name="Query - Production" description="Connection to the 'Production' query in the workbook." type="5" refreshedVersion="7" background="1" saveData="1">
    <dbPr connection="Provider=Microsoft.Mashup.OleDb.1;Data Source=$Workbook$;Location=Production;Extended Properties=&quot;&quot;" command="SELECT * FROM [Production]"/>
  </connection>
  <connection id="5" xr16:uid="{1B3B8A47-7725-4BF9-854E-249580432CE2}" keepAlive="1" name="Query - Production (2)" description="Connection to the 'Production (2)' query in the workbook." type="5" refreshedVersion="7" background="1" saveData="1">
    <dbPr connection="Provider=Microsoft.Mashup.OleDb.1;Data Source=$Workbook$;Location=&quot;Production (2)&quot;;Extended Properties=&quot;&quot;" command="SELECT * FROM [Production (2)]"/>
  </connection>
  <connection id="6" xr16:uid="{31344F4D-B188-4362-A12D-70F0D7A0C465}" keepAlive="1" name="Query - Purchase_Orders" description="Connection to the 'Purchase_Orders' query in the workbook." type="5" refreshedVersion="7" background="1" saveData="1">
    <dbPr connection="Provider=Microsoft.Mashup.OleDb.1;Data Source=$Workbook$;Location=Purchase_Orders;Extended Properties=&quot;&quot;" command="SELECT * FROM [Purchase_Orders]"/>
  </connection>
  <connection id="7" xr16:uid="{BFB85713-7E8D-4388-B805-3588C66F03A2}" keepAlive="1" name="Query - Sales" description="Connection to the 'Sales' query in the workbook." type="5" refreshedVersion="7" background="1" refreshOnLoad="1" saveData="1">
    <dbPr connection="Provider=Microsoft.Mashup.OleDb.1;Data Source=$Workbook$;Location=Sales;Extended Properties=&quot;&quot;" command="SELECT * FROM [Sales]"/>
  </connection>
  <connection id="8" xr16:uid="{850E3247-C168-4586-922F-69D605E46136}" keepAlive="1" name="Query - Sales (2)" description="Connection to the 'Sales (2)' query in the workbook." type="5" refreshedVersion="7" background="1" saveData="1">
    <dbPr connection="Provider=Microsoft.Mashup.OleDb.1;Data Source=$Workbook$;Location=&quot;Sales (2)&quot;;Extended Properties=&quot;&quot;" command="SELECT * FROM [Sales (2)]"/>
  </connection>
</connections>
</file>

<file path=xl/sharedStrings.xml><?xml version="1.0" encoding="utf-8"?>
<sst xmlns="http://schemas.openxmlformats.org/spreadsheetml/2006/main" count="70569" uniqueCount="4072">
  <si>
    <t>Created Date:</t>
  </si>
  <si>
    <t>Created By:</t>
  </si>
  <si>
    <t>Blessing Igoboye</t>
  </si>
  <si>
    <t>Updated Date:</t>
  </si>
  <si>
    <t>Updated By:</t>
  </si>
  <si>
    <t>Purpose:</t>
  </si>
  <si>
    <t>Revision Date</t>
  </si>
  <si>
    <t>Description of Revision</t>
  </si>
  <si>
    <t>MaxLT</t>
  </si>
  <si>
    <t>MinLT</t>
  </si>
  <si>
    <t>Code</t>
  </si>
  <si>
    <t>Material Type</t>
  </si>
  <si>
    <t>FG</t>
  </si>
  <si>
    <t>Finished Goods</t>
  </si>
  <si>
    <t>PK</t>
  </si>
  <si>
    <t>Packaging</t>
  </si>
  <si>
    <t>RM</t>
  </si>
  <si>
    <t>Raw Material</t>
  </si>
  <si>
    <t>Planning Type</t>
  </si>
  <si>
    <t>PP</t>
  </si>
  <si>
    <t>MRP</t>
  </si>
  <si>
    <t>500g</t>
  </si>
  <si>
    <t>UOM</t>
  </si>
  <si>
    <t>Recipe</t>
  </si>
  <si>
    <t>Nuts</t>
  </si>
  <si>
    <t>Raisins</t>
  </si>
  <si>
    <t>Wheat</t>
  </si>
  <si>
    <t>Oat</t>
  </si>
  <si>
    <t>Material Number</t>
  </si>
  <si>
    <t>Material Description</t>
  </si>
  <si>
    <t>Material Type Code</t>
  </si>
  <si>
    <t>Lead Time</t>
  </si>
  <si>
    <t>Minimum Lot Size</t>
  </si>
  <si>
    <t>Maximum Lot Size</t>
  </si>
  <si>
    <t>Multiplier</t>
  </si>
  <si>
    <t>Price</t>
  </si>
  <si>
    <t>Cost</t>
  </si>
  <si>
    <t>Gross Margin</t>
  </si>
  <si>
    <t xml:space="preserve">Gross Margin % </t>
  </si>
  <si>
    <t>Supplier</t>
  </si>
  <si>
    <t>F01</t>
  </si>
  <si>
    <t>500g Nut Muesli</t>
  </si>
  <si>
    <t>F02</t>
  </si>
  <si>
    <t>500g Blueberry Muesli</t>
  </si>
  <si>
    <t>F03</t>
  </si>
  <si>
    <t>500g Strawberry Muesli</t>
  </si>
  <si>
    <t>F04</t>
  </si>
  <si>
    <t>500g Raisin Muesli</t>
  </si>
  <si>
    <t>F05</t>
  </si>
  <si>
    <t>500g Original Muesli</t>
  </si>
  <si>
    <t>F06</t>
  </si>
  <si>
    <t>500g Mixed Fruits Muesli</t>
  </si>
  <si>
    <t>F11</t>
  </si>
  <si>
    <t>1000g Nut Muesli</t>
  </si>
  <si>
    <t>F12</t>
  </si>
  <si>
    <t>1000g Blueberry Muesli</t>
  </si>
  <si>
    <t>F13</t>
  </si>
  <si>
    <t>1000g Strawberry Muesli</t>
  </si>
  <si>
    <t>F14</t>
  </si>
  <si>
    <t>1000g Raisin Muesli</t>
  </si>
  <si>
    <t>F15</t>
  </si>
  <si>
    <t>1000g Original Muesli</t>
  </si>
  <si>
    <t>F16</t>
  </si>
  <si>
    <t>1000g Mixed Fruits Muesli</t>
  </si>
  <si>
    <t>P01</t>
  </si>
  <si>
    <t>Large Box (1kg)</t>
  </si>
  <si>
    <t>Blueberry</t>
  </si>
  <si>
    <t>P02</t>
  </si>
  <si>
    <t>P03</t>
  </si>
  <si>
    <t>Small Box (500g)</t>
  </si>
  <si>
    <t>P04</t>
  </si>
  <si>
    <t>R01</t>
  </si>
  <si>
    <t>kg</t>
  </si>
  <si>
    <t>Not Applicable</t>
  </si>
  <si>
    <t>R02</t>
  </si>
  <si>
    <t>R03</t>
  </si>
  <si>
    <t>R04</t>
  </si>
  <si>
    <t>R05</t>
  </si>
  <si>
    <t>R06</t>
  </si>
  <si>
    <t>R07</t>
  </si>
  <si>
    <t>Parent Material #</t>
  </si>
  <si>
    <t>Parent Description</t>
  </si>
  <si>
    <t>Component Material</t>
  </si>
  <si>
    <t>Componenet Description</t>
  </si>
  <si>
    <t>% of Recipe</t>
  </si>
  <si>
    <t>Usage Per</t>
  </si>
  <si>
    <t>Unit of Measure</t>
  </si>
  <si>
    <t>Material #</t>
  </si>
  <si>
    <t>% Raw Material</t>
  </si>
  <si>
    <t>BOM Weight</t>
  </si>
  <si>
    <t>Error</t>
  </si>
  <si>
    <t>Distribution Channels</t>
  </si>
  <si>
    <t>Description</t>
  </si>
  <si>
    <t>Market Size (Per Team Per Round)</t>
  </si>
  <si>
    <t>Sales Areas</t>
  </si>
  <si>
    <t># of Stores</t>
  </si>
  <si>
    <t>Area</t>
  </si>
  <si>
    <t>DC12</t>
  </si>
  <si>
    <t>Suppliers</t>
  </si>
  <si>
    <t>Supplier Code</t>
  </si>
  <si>
    <t>Supplier Name</t>
  </si>
  <si>
    <t>Location</t>
  </si>
  <si>
    <t>Time to Pay (days)</t>
  </si>
  <si>
    <t>Leadtime</t>
  </si>
  <si>
    <t>Storage Location</t>
  </si>
  <si>
    <t>Location Code</t>
  </si>
  <si>
    <t>Maximum Space</t>
  </si>
  <si>
    <t>Space UOM</t>
  </si>
  <si>
    <t>Cost Per Additional 50,000 Units Per Day</t>
  </si>
  <si>
    <t>Production Capacity</t>
  </si>
  <si>
    <t>Equipment</t>
  </si>
  <si>
    <t>Units</t>
  </si>
  <si>
    <t>Machine and Equipment Asset  Balance</t>
  </si>
  <si>
    <t>Euro</t>
  </si>
  <si>
    <t xml:space="preserve">Equipment Capacity </t>
  </si>
  <si>
    <t>Units Per Euro</t>
  </si>
  <si>
    <t>Daily Capacity</t>
  </si>
  <si>
    <t>Units Per Day</t>
  </si>
  <si>
    <t>Run Standard</t>
  </si>
  <si>
    <t>Units Per Hour</t>
  </si>
  <si>
    <t>Set-Up</t>
  </si>
  <si>
    <t>Hours Per Set-up</t>
  </si>
  <si>
    <t>Hours</t>
  </si>
  <si>
    <t>Forecasted Set-ups Per Month</t>
  </si>
  <si>
    <t>Set-Up Time Per Month</t>
  </si>
  <si>
    <t>Capacity</t>
  </si>
  <si>
    <t>Production Days Per Month</t>
  </si>
  <si>
    <t>Days</t>
  </si>
  <si>
    <t>Hours Per Day</t>
  </si>
  <si>
    <t>Planned Downtime</t>
  </si>
  <si>
    <t>Theorectical Capacity</t>
  </si>
  <si>
    <t>Units Per Month</t>
  </si>
  <si>
    <t>Production Planning</t>
  </si>
  <si>
    <t>Material Requirement Planning</t>
  </si>
  <si>
    <t>Large Bag (1kg)</t>
  </si>
  <si>
    <t>Small Bag (500g)</t>
  </si>
  <si>
    <t>Sales Forecast: Current Month</t>
  </si>
  <si>
    <t>Forecast</t>
  </si>
  <si>
    <t>Actual - Units</t>
  </si>
  <si>
    <t>Actual - Euros</t>
  </si>
  <si>
    <t>FORECAST ACCURACY</t>
  </si>
  <si>
    <t>Current Forecast - Units</t>
  </si>
  <si>
    <t>Forecasted Price</t>
  </si>
  <si>
    <t>Current Forecast - Euros</t>
  </si>
  <si>
    <t>Current Actual - Units</t>
  </si>
  <si>
    <t>Difference - Units</t>
  </si>
  <si>
    <t>Difference - Units %</t>
  </si>
  <si>
    <t>UCL - Units %</t>
  </si>
  <si>
    <t>Decision</t>
  </si>
  <si>
    <t>Current Actual - Euros</t>
  </si>
  <si>
    <t>Difference - Euros</t>
  </si>
  <si>
    <t>Difference %</t>
  </si>
  <si>
    <t xml:space="preserve"> </t>
  </si>
  <si>
    <t>Sales Forecast Archive</t>
  </si>
  <si>
    <t>Sales Forecast: Current Round 1</t>
  </si>
  <si>
    <t>Sales Forecast: Current Round 2</t>
  </si>
  <si>
    <t>Strawberry</t>
  </si>
  <si>
    <t>MinLS</t>
  </si>
  <si>
    <t>MaxLS</t>
  </si>
  <si>
    <t>Data Validation Rules</t>
  </si>
  <si>
    <t>Revision Log</t>
  </si>
  <si>
    <t>ERPSim planning model</t>
  </si>
  <si>
    <t>UCL/LCL</t>
  </si>
  <si>
    <t>Boxes</t>
  </si>
  <si>
    <t>Bags</t>
  </si>
  <si>
    <t>Kg</t>
  </si>
  <si>
    <t>g</t>
  </si>
  <si>
    <t>Per box</t>
  </si>
  <si>
    <t>Per bag</t>
  </si>
  <si>
    <t>Kilogram</t>
  </si>
  <si>
    <t>Gram</t>
  </si>
  <si>
    <t>V01</t>
  </si>
  <si>
    <t>Food Broker Inc</t>
  </si>
  <si>
    <t>Berlin</t>
  </si>
  <si>
    <t>V02</t>
  </si>
  <si>
    <t>Continental Printing Co</t>
  </si>
  <si>
    <t>Fruits &amp; Nuts</t>
  </si>
  <si>
    <t>Location Description</t>
  </si>
  <si>
    <t>Payment Time (days)</t>
  </si>
  <si>
    <t>10 to 20</t>
  </si>
  <si>
    <t>Market Size (Per Round)</t>
  </si>
  <si>
    <t>Market Size (Per Team)</t>
  </si>
  <si>
    <t>Currency</t>
  </si>
  <si>
    <t># of Products Per Order</t>
  </si>
  <si>
    <t>West</t>
  </si>
  <si>
    <t>North</t>
  </si>
  <si>
    <t>South</t>
  </si>
  <si>
    <t>Capacity (units/day)</t>
  </si>
  <si>
    <t>Setup time (hours)</t>
  </si>
  <si>
    <t>Original</t>
  </si>
  <si>
    <t>Ea</t>
  </si>
  <si>
    <t>Each (per unit)</t>
  </si>
  <si>
    <t>Size (g)</t>
  </si>
  <si>
    <t>Weight (g)</t>
  </si>
  <si>
    <t>ID</t>
  </si>
  <si>
    <t>ROW_NUMBER</t>
  </si>
  <si>
    <t>SALES_ORGANIZATION</t>
  </si>
  <si>
    <t>SIM_ROUND</t>
  </si>
  <si>
    <t>SIM_STEP</t>
  </si>
  <si>
    <t>SIM_DATE</t>
  </si>
  <si>
    <t>SIM_CALENDAR_DATE</t>
  </si>
  <si>
    <t>SIM_PERIOD</t>
  </si>
  <si>
    <t>SIM_ELAPSED_STEPS</t>
  </si>
  <si>
    <t>SALES_ORDER_NUMBER</t>
  </si>
  <si>
    <t>LINE_ITEM</t>
  </si>
  <si>
    <t>STORAGE_LOCATION</t>
  </si>
  <si>
    <t>REGION</t>
  </si>
  <si>
    <t>AREA</t>
  </si>
  <si>
    <t>CITY</t>
  </si>
  <si>
    <t>COUNTRY</t>
  </si>
  <si>
    <t>POSTAL_CODE</t>
  </si>
  <si>
    <t>CUSTOMER_NUMBER</t>
  </si>
  <si>
    <t>DISTRIBUTION_CHANNEL</t>
  </si>
  <si>
    <t>MATERIAL_NUMBER</t>
  </si>
  <si>
    <t>MATERIAL_DESCRIPTION</t>
  </si>
  <si>
    <t>MATERIAL_TYPE</t>
  </si>
  <si>
    <t>MATERIAL_CODE</t>
  </si>
  <si>
    <t>MATERIAL_SIZE</t>
  </si>
  <si>
    <t>MATERIAL_LABEL</t>
  </si>
  <si>
    <t>QUANTITY</t>
  </si>
  <si>
    <t>QUANTITY_DELIVERED</t>
  </si>
  <si>
    <t>UNIT</t>
  </si>
  <si>
    <t>NET_PRICE</t>
  </si>
  <si>
    <t>NET_VALUE</t>
  </si>
  <si>
    <t>COST</t>
  </si>
  <si>
    <t>CURRENCY</t>
  </si>
  <si>
    <t>CONTRIBUTION_MARGIN</t>
  </si>
  <si>
    <t>CONTRIBUTION_MARGIN_PCT</t>
  </si>
  <si>
    <t>.1~8</t>
  </si>
  <si>
    <t>01</t>
  </si>
  <si>
    <t>01/01</t>
  </si>
  <si>
    <t>02</t>
  </si>
  <si>
    <t>12</t>
  </si>
  <si>
    <t>1kg Blueberry Muesli</t>
  </si>
  <si>
    <t>Finished Product</t>
  </si>
  <si>
    <t>1kg</t>
  </si>
  <si>
    <t>Blueberry Muesli</t>
  </si>
  <si>
    <t>ST</t>
  </si>
  <si>
    <t>.1~100</t>
  </si>
  <si>
    <t>10</t>
  </si>
  <si>
    <t>.1~122</t>
  </si>
  <si>
    <t>.1~55</t>
  </si>
  <si>
    <t>.1~9</t>
  </si>
  <si>
    <t>.1~61</t>
  </si>
  <si>
    <t>.1~62</t>
  </si>
  <si>
    <t>.1~63</t>
  </si>
  <si>
    <t>.1~39</t>
  </si>
  <si>
    <t>06</t>
  </si>
  <si>
    <t>.1~101</t>
  </si>
  <si>
    <t>.1~10</t>
  </si>
  <si>
    <t>.1~98</t>
  </si>
  <si>
    <t>.1~99</t>
  </si>
  <si>
    <t>.1~102</t>
  </si>
  <si>
    <t>.1~103</t>
  </si>
  <si>
    <t>.1~104</t>
  </si>
  <si>
    <t>.1~23</t>
  </si>
  <si>
    <t>03</t>
  </si>
  <si>
    <t>.1~123</t>
  </si>
  <si>
    <t>.1~124</t>
  </si>
  <si>
    <t>.1~56</t>
  </si>
  <si>
    <t>.1~34</t>
  </si>
  <si>
    <t>04</t>
  </si>
  <si>
    <t>.1~127</t>
  </si>
  <si>
    <t>.1~128</t>
  </si>
  <si>
    <t>.1~112</t>
  </si>
  <si>
    <t>1kg Nut Muesli</t>
  </si>
  <si>
    <t>Nut Muesli</t>
  </si>
  <si>
    <t>.1~43</t>
  </si>
  <si>
    <t>.1~18</t>
  </si>
  <si>
    <t>.1~20</t>
  </si>
  <si>
    <t>.1~120</t>
  </si>
  <si>
    <t>.1~19</t>
  </si>
  <si>
    <t>.1~108</t>
  </si>
  <si>
    <t>.1~109</t>
  </si>
  <si>
    <t>.1~111</t>
  </si>
  <si>
    <t>.1~7</t>
  </si>
  <si>
    <t>.1~33</t>
  </si>
  <si>
    <t>.1~114</t>
  </si>
  <si>
    <t>.1~115</t>
  </si>
  <si>
    <t>.1~116</t>
  </si>
  <si>
    <t>.1~22</t>
  </si>
  <si>
    <t>.1~121</t>
  </si>
  <si>
    <t>.1~31</t>
  </si>
  <si>
    <t>.1~32</t>
  </si>
  <si>
    <t>.1~30</t>
  </si>
  <si>
    <t>.1~110</t>
  </si>
  <si>
    <t>.1~136</t>
  </si>
  <si>
    <t>1kg Raisin Muesli</t>
  </si>
  <si>
    <t>Raisin Muesli</t>
  </si>
  <si>
    <t>.1~46</t>
  </si>
  <si>
    <t>.1~47</t>
  </si>
  <si>
    <t>.1~48</t>
  </si>
  <si>
    <t>.1~132</t>
  </si>
  <si>
    <t>.1~133</t>
  </si>
  <si>
    <t>.1~40</t>
  </si>
  <si>
    <t>.1~11</t>
  </si>
  <si>
    <t>.1~12</t>
  </si>
  <si>
    <t>.1~24</t>
  </si>
  <si>
    <t>.1~36</t>
  </si>
  <si>
    <t>.1~60</t>
  </si>
  <si>
    <t>.1~134</t>
  </si>
  <si>
    <t>.1~135</t>
  </si>
  <si>
    <t>.1~59</t>
  </si>
  <si>
    <t>1kg Strawberry Muesli</t>
  </si>
  <si>
    <t>Strawberry Muesli</t>
  </si>
  <si>
    <t>.1~44</t>
  </si>
  <si>
    <t>.1~45</t>
  </si>
  <si>
    <t>.1~58</t>
  </si>
  <si>
    <t>.1~137</t>
  </si>
  <si>
    <t>.1~57</t>
  </si>
  <si>
    <t>.1~64</t>
  </si>
  <si>
    <t>.1~69</t>
  </si>
  <si>
    <t>.1~70</t>
  </si>
  <si>
    <t>.1~71</t>
  </si>
  <si>
    <t>.1~68</t>
  </si>
  <si>
    <t>.1~35</t>
  </si>
  <si>
    <t>.1~88</t>
  </si>
  <si>
    <t>.1~49</t>
  </si>
  <si>
    <t>.1~130</t>
  </si>
  <si>
    <t>.1~15</t>
  </si>
  <si>
    <t>.1~14</t>
  </si>
  <si>
    <t>.1~84</t>
  </si>
  <si>
    <t>05</t>
  </si>
  <si>
    <t>.1~85</t>
  </si>
  <si>
    <t>.1~3</t>
  </si>
  <si>
    <t>.1~91</t>
  </si>
  <si>
    <t>07</t>
  </si>
  <si>
    <t>.1~82</t>
  </si>
  <si>
    <t>.1~83</t>
  </si>
  <si>
    <t>.1~89</t>
  </si>
  <si>
    <t>.1~67</t>
  </si>
  <si>
    <t>.1~37</t>
  </si>
  <si>
    <t>.1~26</t>
  </si>
  <si>
    <t>.1~25</t>
  </si>
  <si>
    <t>.1~79</t>
  </si>
  <si>
    <t>.1~2</t>
  </si>
  <si>
    <t>.1~78</t>
  </si>
  <si>
    <t>.1~87</t>
  </si>
  <si>
    <t>.1~75</t>
  </si>
  <si>
    <t>.1~129</t>
  </si>
  <si>
    <t>.1~80</t>
  </si>
  <si>
    <t>.1~13</t>
  </si>
  <si>
    <t>.1~72</t>
  </si>
  <si>
    <t>.1~73</t>
  </si>
  <si>
    <t>.1~74</t>
  </si>
  <si>
    <t>.1~81</t>
  </si>
  <si>
    <t>.1~66</t>
  </si>
  <si>
    <t>.1~65</t>
  </si>
  <si>
    <t>.1~1</t>
  </si>
  <si>
    <t>.1~117</t>
  </si>
  <si>
    <t>.1~77</t>
  </si>
  <si>
    <t>.1~76</t>
  </si>
  <si>
    <t>.1~105</t>
  </si>
  <si>
    <t>.1~86</t>
  </si>
  <si>
    <t>.1~52</t>
  </si>
  <si>
    <t>.1~53</t>
  </si>
  <si>
    <t>.1~17</t>
  </si>
  <si>
    <t>.1~119</t>
  </si>
  <si>
    <t>.1~38</t>
  </si>
  <si>
    <t>.1~97</t>
  </si>
  <si>
    <t>.1~29</t>
  </si>
  <si>
    <t>.1~28</t>
  </si>
  <si>
    <t>.1~54</t>
  </si>
  <si>
    <t>.1~125</t>
  </si>
  <si>
    <t>.1~126</t>
  </si>
  <si>
    <t>.1~131</t>
  </si>
  <si>
    <t>.1~6</t>
  </si>
  <si>
    <t>.1~107</t>
  </si>
  <si>
    <t>.1~42</t>
  </si>
  <si>
    <t>.1~41</t>
  </si>
  <si>
    <t>.1~95</t>
  </si>
  <si>
    <t>09</t>
  </si>
  <si>
    <t>.1~118</t>
  </si>
  <si>
    <t>.1~16</t>
  </si>
  <si>
    <t>.1~51</t>
  </si>
  <si>
    <t>.1~50</t>
  </si>
  <si>
    <t>.1~4</t>
  </si>
  <si>
    <t>.1~5</t>
  </si>
  <si>
    <t>.1~92</t>
  </si>
  <si>
    <t>.1~93</t>
  </si>
  <si>
    <t>.1~94</t>
  </si>
  <si>
    <t>08</t>
  </si>
  <si>
    <t>.1~90</t>
  </si>
  <si>
    <t>.1~96</t>
  </si>
  <si>
    <t>.1~27</t>
  </si>
  <si>
    <t>.1~113</t>
  </si>
  <si>
    <t>.1~21</t>
  </si>
  <si>
    <t>.1~106</t>
  </si>
  <si>
    <t>Storage Capacity</t>
  </si>
  <si>
    <t>Market Share</t>
  </si>
  <si>
    <t>FAMILY SUMMARY</t>
  </si>
  <si>
    <t>Actual</t>
  </si>
  <si>
    <t>Euros</t>
  </si>
  <si>
    <t>Mixed</t>
  </si>
  <si>
    <t>Current Round</t>
  </si>
  <si>
    <t>Sales Forecast: Current Round 3</t>
  </si>
  <si>
    <t>Totals</t>
  </si>
  <si>
    <t>Build Database Module</t>
  </si>
  <si>
    <t>Build Forecasting Module</t>
  </si>
  <si>
    <t>Nut</t>
  </si>
  <si>
    <t>Max hours per day</t>
  </si>
  <si>
    <r>
      <t>Alpha (</t>
    </r>
    <r>
      <rPr>
        <sz val="11"/>
        <color theme="1"/>
        <rFont val="Calibri"/>
        <family val="2"/>
      </rPr>
      <t>α)</t>
    </r>
  </si>
  <si>
    <t>Create data validation and conditional formatting</t>
  </si>
  <si>
    <t xml:space="preserve">Create pivot tables and data visualization </t>
  </si>
  <si>
    <t>Warehouse Code</t>
  </si>
  <si>
    <t>Finished Goods Warehouse</t>
  </si>
  <si>
    <t>Raw Material Warehouse</t>
  </si>
  <si>
    <t>Grand Total</t>
  </si>
  <si>
    <t>20</t>
  </si>
  <si>
    <t>Sales Forecast: Current Round 4</t>
  </si>
  <si>
    <t>1kg Mixed Fruit Muesli</t>
  </si>
  <si>
    <t>Mixed Fruit Muesli</t>
  </si>
  <si>
    <t>1kg Original Muesli</t>
  </si>
  <si>
    <t>Original Muesli</t>
  </si>
  <si>
    <t>500g Mixed Fruit Muesli</t>
  </si>
  <si>
    <t>Inventory  Type</t>
  </si>
  <si>
    <t>Beginning Inventory</t>
  </si>
  <si>
    <t>Projected Ending Inventory</t>
  </si>
  <si>
    <t>Month-End Cycle Count</t>
  </si>
  <si>
    <t>Quantity</t>
  </si>
  <si>
    <t>$ Value</t>
  </si>
  <si>
    <t>Allowable Cycle Count Variance</t>
  </si>
  <si>
    <t>Cycle Count Accuracy</t>
  </si>
  <si>
    <t>Variance</t>
  </si>
  <si>
    <t>FINISHED GOODS - Inventory</t>
  </si>
  <si>
    <t>Production Plan</t>
  </si>
  <si>
    <t>Sales Forecast</t>
  </si>
  <si>
    <t>Actual Production</t>
  </si>
  <si>
    <t xml:space="preserve">ACTUAL </t>
  </si>
  <si>
    <t>PRODUCTION AND INVENTORY PLAN</t>
  </si>
  <si>
    <t>PLANT</t>
  </si>
  <si>
    <t>INVENTORY_OPENING_BALANCE</t>
  </si>
  <si>
    <t>88</t>
  </si>
  <si>
    <t>Blueberries</t>
  </si>
  <si>
    <t>Raw materials</t>
  </si>
  <si>
    <t/>
  </si>
  <si>
    <t>KG</t>
  </si>
  <si>
    <t>Large Bag</t>
  </si>
  <si>
    <t>Strawberries</t>
  </si>
  <si>
    <t>Small Box</t>
  </si>
  <si>
    <t>Small Bag</t>
  </si>
  <si>
    <t>Oats</t>
  </si>
  <si>
    <t>Large Box</t>
  </si>
  <si>
    <t>COMPANY_CODE</t>
  </si>
  <si>
    <t>YIELD</t>
  </si>
  <si>
    <t>Entry Data Field - Related to ODATA</t>
  </si>
  <si>
    <t>Entry Data Field</t>
  </si>
  <si>
    <t>From other Model</t>
  </si>
  <si>
    <t>Formula</t>
  </si>
  <si>
    <t>Production Plan Archive</t>
  </si>
  <si>
    <t>Production Plan: Current Round 4</t>
  </si>
  <si>
    <t>MATERIAL MASTER</t>
  </si>
  <si>
    <t>BILL OF MATERIAL</t>
  </si>
  <si>
    <t>Storage Capacity and Cost</t>
  </si>
  <si>
    <t>Total Inventory</t>
  </si>
  <si>
    <t>Daily Cost</t>
  </si>
  <si>
    <t>Additional Cost</t>
  </si>
  <si>
    <t xml:space="preserve">Storage Capacity </t>
  </si>
  <si>
    <t>Cost Per (units)</t>
  </si>
  <si>
    <t>Production Plan: Current Round 1</t>
  </si>
  <si>
    <t>Production Plan: Current Round 2</t>
  </si>
  <si>
    <t>Production Plan: Current Round 3</t>
  </si>
  <si>
    <t>Production Plan: Current Round 5</t>
  </si>
  <si>
    <t>Production Plan: Current Round 6</t>
  </si>
  <si>
    <t>Production Plan: Current Round 7</t>
  </si>
  <si>
    <t>Production Plan: Current Round 8</t>
  </si>
  <si>
    <t>Production Plan: Current Round 9</t>
  </si>
  <si>
    <t>Production Plan: Current Round 10</t>
  </si>
  <si>
    <t>PRODUCTION PLAN: Current Month 10</t>
  </si>
  <si>
    <t>Sales Forecast: Current Round 5</t>
  </si>
  <si>
    <t>Sales Forecast: Current Round 6</t>
  </si>
  <si>
    <t>Sales Forecast: Current Round 7</t>
  </si>
  <si>
    <t>Sales Forecast: Current Round 8</t>
  </si>
  <si>
    <t>Sales Forecast: Current Round 9</t>
  </si>
  <si>
    <t>Sales Forecast: Current Round 10</t>
  </si>
  <si>
    <t>Improve Sales Forecast tab</t>
  </si>
  <si>
    <t>Rework all visualizations</t>
  </si>
  <si>
    <t>Integrate Odata feeds and record macros for production archive</t>
  </si>
  <si>
    <t>Edit sales archive macro</t>
  </si>
  <si>
    <t>Analysis questions</t>
  </si>
  <si>
    <t>Edits charts</t>
  </si>
  <si>
    <t>DC10</t>
  </si>
  <si>
    <t>DC14</t>
  </si>
  <si>
    <t>Hypermarkets</t>
  </si>
  <si>
    <t>Grocery Chains</t>
  </si>
  <si>
    <t>Independent Grocers</t>
  </si>
  <si>
    <t>1 to 20</t>
  </si>
  <si>
    <t>II</t>
  </si>
  <si>
    <t>II-R02</t>
  </si>
  <si>
    <t>II-P02</t>
  </si>
  <si>
    <t>II-P01</t>
  </si>
  <si>
    <t>II-F12</t>
  </si>
  <si>
    <t>II-R01</t>
  </si>
  <si>
    <t>II-R06</t>
  </si>
  <si>
    <t>II-R04</t>
  </si>
  <si>
    <t>II-P04</t>
  </si>
  <si>
    <t>II-P03</t>
  </si>
  <si>
    <t>II-R03</t>
  </si>
  <si>
    <t>II-R05</t>
  </si>
  <si>
    <t>II-F16</t>
  </si>
  <si>
    <t>II-F11</t>
  </si>
  <si>
    <t>II-F15</t>
  </si>
  <si>
    <t>II-F14</t>
  </si>
  <si>
    <t>II-F13</t>
  </si>
  <si>
    <t>II-F02</t>
  </si>
  <si>
    <t>II-F01</t>
  </si>
  <si>
    <t>II-F06</t>
  </si>
  <si>
    <t>II-F05</t>
  </si>
  <si>
    <t>II-F04</t>
  </si>
  <si>
    <t>II-F03</t>
  </si>
  <si>
    <t>1</t>
  </si>
  <si>
    <t>.1~282</t>
  </si>
  <si>
    <t>13</t>
  </si>
  <si>
    <t>01/13</t>
  </si>
  <si>
    <t>.1~238</t>
  </si>
  <si>
    <t>11</t>
  </si>
  <si>
    <t>01/11</t>
  </si>
  <si>
    <t>.1~172</t>
  </si>
  <si>
    <t>01/08</t>
  </si>
  <si>
    <t>.1~256</t>
  </si>
  <si>
    <t>01/12</t>
  </si>
  <si>
    <t>.1~146</t>
  </si>
  <si>
    <t>01/07</t>
  </si>
  <si>
    <t>.1~277</t>
  </si>
  <si>
    <t>01/06</t>
  </si>
  <si>
    <t>01/03</t>
  </si>
  <si>
    <t>.1~426</t>
  </si>
  <si>
    <t>01/20</t>
  </si>
  <si>
    <t>.1~272</t>
  </si>
  <si>
    <t>01/05</t>
  </si>
  <si>
    <t>.1~413</t>
  </si>
  <si>
    <t>19</t>
  </si>
  <si>
    <t>01/19</t>
  </si>
  <si>
    <t>.1~369</t>
  </si>
  <si>
    <t>17</t>
  </si>
  <si>
    <t>01/17</t>
  </si>
  <si>
    <t>.1~303</t>
  </si>
  <si>
    <t>14</t>
  </si>
  <si>
    <t>01/14</t>
  </si>
  <si>
    <t>.1~138</t>
  </si>
  <si>
    <t>.1~446</t>
  </si>
  <si>
    <t>02/01</t>
  </si>
  <si>
    <t>.1~292</t>
  </si>
  <si>
    <t>.1~423</t>
  </si>
  <si>
    <t>.1~269</t>
  </si>
  <si>
    <t>.1~225</t>
  </si>
  <si>
    <t>.1~444</t>
  </si>
  <si>
    <t>.1~400</t>
  </si>
  <si>
    <t>.1~246</t>
  </si>
  <si>
    <t>01/04</t>
  </si>
  <si>
    <t>.1~421</t>
  </si>
  <si>
    <t>.1~377</t>
  </si>
  <si>
    <t>18</t>
  </si>
  <si>
    <t>01/18</t>
  </si>
  <si>
    <t>.1~223</t>
  </si>
  <si>
    <t>.1~295</t>
  </si>
  <si>
    <t>.1~185</t>
  </si>
  <si>
    <t>01/09</t>
  </si>
  <si>
    <t>.1~141</t>
  </si>
  <si>
    <t>.1~449</t>
  </si>
  <si>
    <t>.1~398</t>
  </si>
  <si>
    <t>.1~354</t>
  </si>
  <si>
    <t>.1~441</t>
  </si>
  <si>
    <t>.1~287</t>
  </si>
  <si>
    <t>.1~452</t>
  </si>
  <si>
    <t>.1~188</t>
  </si>
  <si>
    <t>.1~144</t>
  </si>
  <si>
    <t>.1~359</t>
  </si>
  <si>
    <t>01/02</t>
  </si>
  <si>
    <t>.1~187</t>
  </si>
  <si>
    <t>.1~143</t>
  </si>
  <si>
    <t>.1~450</t>
  </si>
  <si>
    <t>.1~296</t>
  </si>
  <si>
    <t>.1~142</t>
  </si>
  <si>
    <t>.1~324</t>
  </si>
  <si>
    <t>15</t>
  </si>
  <si>
    <t>01/15</t>
  </si>
  <si>
    <t>.1~214</t>
  </si>
  <si>
    <t>01/10</t>
  </si>
  <si>
    <t>.1~455</t>
  </si>
  <si>
    <t>.1~301</t>
  </si>
  <si>
    <t>.1~191</t>
  </si>
  <si>
    <t>.1~305</t>
  </si>
  <si>
    <t>.1~261</t>
  </si>
  <si>
    <t>.1~195</t>
  </si>
  <si>
    <t>.1~151</t>
  </si>
  <si>
    <t>.1~439</t>
  </si>
  <si>
    <t>.1~462</t>
  </si>
  <si>
    <t>.1~418</t>
  </si>
  <si>
    <t>.1~330</t>
  </si>
  <si>
    <t>.1~460</t>
  </si>
  <si>
    <t>.1~262</t>
  </si>
  <si>
    <t>.1~196</t>
  </si>
  <si>
    <t>.1~370</t>
  </si>
  <si>
    <t>.1~304</t>
  </si>
  <si>
    <t>.1~260</t>
  </si>
  <si>
    <t>.1~194</t>
  </si>
  <si>
    <t>.1~322</t>
  </si>
  <si>
    <t>.1~168</t>
  </si>
  <si>
    <t>.1~145</t>
  </si>
  <si>
    <t>.1~294</t>
  </si>
  <si>
    <t>.1~250</t>
  </si>
  <si>
    <t>.1~140</t>
  </si>
  <si>
    <t>.1~435</t>
  </si>
  <si>
    <t>.1~325</t>
  </si>
  <si>
    <t>.1~160</t>
  </si>
  <si>
    <t>.1~314</t>
  </si>
  <si>
    <t>.1~291</t>
  </si>
  <si>
    <t>.1~247</t>
  </si>
  <si>
    <t>.1~422</t>
  </si>
  <si>
    <t>.1~268</t>
  </si>
  <si>
    <t>.1~202</t>
  </si>
  <si>
    <t>.1~399</t>
  </si>
  <si>
    <t>.1~355</t>
  </si>
  <si>
    <t>.1~289</t>
  </si>
  <si>
    <t>.1~245</t>
  </si>
  <si>
    <t>.1~317</t>
  </si>
  <si>
    <t>.1~207</t>
  </si>
  <si>
    <t>.1~163</t>
  </si>
  <si>
    <t>.1~339</t>
  </si>
  <si>
    <t>16</t>
  </si>
  <si>
    <t>01/16</t>
  </si>
  <si>
    <t>.1~420</t>
  </si>
  <si>
    <t>.1~332</t>
  </si>
  <si>
    <t>.1~266</t>
  </si>
  <si>
    <t>.1~222</t>
  </si>
  <si>
    <t>.1~156</t>
  </si>
  <si>
    <t>.1~309</t>
  </si>
  <si>
    <t>.1~199</t>
  </si>
  <si>
    <t>.1~155</t>
  </si>
  <si>
    <t>.1~342</t>
  </si>
  <si>
    <t>.1~210</t>
  </si>
  <si>
    <t>.1~166</t>
  </si>
  <si>
    <t>.1~425</t>
  </si>
  <si>
    <t>.1~227</t>
  </si>
  <si>
    <t>.1~385</t>
  </si>
  <si>
    <t>.1~341</t>
  </si>
  <si>
    <t>.1~209</t>
  </si>
  <si>
    <t>.1~340</t>
  </si>
  <si>
    <t>.1~318</t>
  </si>
  <si>
    <t>.1~164</t>
  </si>
  <si>
    <t>.1~368</t>
  </si>
  <si>
    <t>.1~302</t>
  </si>
  <si>
    <t>.1~258</t>
  </si>
  <si>
    <t>.1~433</t>
  </si>
  <si>
    <t>.1~389</t>
  </si>
  <si>
    <t>.1~345</t>
  </si>
  <si>
    <t>.1~393</t>
  </si>
  <si>
    <t>.1~327</t>
  </si>
  <si>
    <t>.1~283</t>
  </si>
  <si>
    <t>.1~217</t>
  </si>
  <si>
    <t>.1~173</t>
  </si>
  <si>
    <t>.1~351</t>
  </si>
  <si>
    <t>.1~219</t>
  </si>
  <si>
    <t>.1~175</t>
  </si>
  <si>
    <t>.1~396</t>
  </si>
  <si>
    <t>.1~374</t>
  </si>
  <si>
    <t>.1~286</t>
  </si>
  <si>
    <t>.1~350</t>
  </si>
  <si>
    <t>.1~392</t>
  </si>
  <si>
    <t>.1~348</t>
  </si>
  <si>
    <t>.1~326</t>
  </si>
  <si>
    <t>.1~216</t>
  </si>
  <si>
    <t>.1~410</t>
  </si>
  <si>
    <t>.1~366</t>
  </si>
  <si>
    <t>.1~300</t>
  </si>
  <si>
    <t>.1~343</t>
  </si>
  <si>
    <t>.1~321</t>
  </si>
  <si>
    <t>.1~167</t>
  </si>
  <si>
    <t>.1~316</t>
  </si>
  <si>
    <t>.1~228</t>
  </si>
  <si>
    <t>.1~162</t>
  </si>
  <si>
    <t>.1~457</t>
  </si>
  <si>
    <t>.1~358</t>
  </si>
  <si>
    <t>.1~182</t>
  </si>
  <si>
    <t>.1~313</t>
  </si>
  <si>
    <t>.1~159</t>
  </si>
  <si>
    <t>.1~290</t>
  </si>
  <si>
    <t>.1~311</t>
  </si>
  <si>
    <t>.1~267</t>
  </si>
  <si>
    <t>.1~361</t>
  </si>
  <si>
    <t>.1~442</t>
  </si>
  <si>
    <t>.1~288</t>
  </si>
  <si>
    <t>.1~244</t>
  </si>
  <si>
    <t>.1~353</t>
  </si>
  <si>
    <t>.1~177</t>
  </si>
  <si>
    <t>.1~364</t>
  </si>
  <si>
    <t>.1~403</t>
  </si>
  <si>
    <t>.1~293</t>
  </si>
  <si>
    <t>.1~249</t>
  </si>
  <si>
    <t>.1~183</t>
  </si>
  <si>
    <t>.1~407</t>
  </si>
  <si>
    <t>.1~363</t>
  </si>
  <si>
    <t>.1~362</t>
  </si>
  <si>
    <t>.1~252</t>
  </si>
  <si>
    <t>.1~186</t>
  </si>
  <si>
    <t>.1~170</t>
  </si>
  <si>
    <t>.1~280</t>
  </si>
  <si>
    <t>.1~411</t>
  </si>
  <si>
    <t>.1~147</t>
  </si>
  <si>
    <t>.1~415</t>
  </si>
  <si>
    <t>.1~371</t>
  </si>
  <si>
    <t>.1~461</t>
  </si>
  <si>
    <t>.1~417</t>
  </si>
  <si>
    <t>.1~329</t>
  </si>
  <si>
    <t>.1~263</t>
  </si>
  <si>
    <t>.1~308</t>
  </si>
  <si>
    <t>.1~198</t>
  </si>
  <si>
    <t>.1~154</t>
  </si>
  <si>
    <t>.1~416</t>
  </si>
  <si>
    <t>.1~372</t>
  </si>
  <si>
    <t>.1~458</t>
  </si>
  <si>
    <t>.1~414</t>
  </si>
  <si>
    <t>.1~432</t>
  </si>
  <si>
    <t>.1~388</t>
  </si>
  <si>
    <t>.1~344</t>
  </si>
  <si>
    <t>.1~234</t>
  </si>
  <si>
    <t>.1~453</t>
  </si>
  <si>
    <t>.1~409</t>
  </si>
  <si>
    <t>.1~365</t>
  </si>
  <si>
    <t>.1~299</t>
  </si>
  <si>
    <t>.1~448</t>
  </si>
  <si>
    <t>.1~184</t>
  </si>
  <si>
    <t>.1~391</t>
  </si>
  <si>
    <t>.1~237</t>
  </si>
  <si>
    <t>.1~215</t>
  </si>
  <si>
    <t>.1~171</t>
  </si>
  <si>
    <t>.1~380</t>
  </si>
  <si>
    <t>.1~336</t>
  </si>
  <si>
    <t>.1~226</t>
  </si>
  <si>
    <t>.1~204</t>
  </si>
  <si>
    <t>.1~445</t>
  </si>
  <si>
    <t>.1~181</t>
  </si>
  <si>
    <t>.1~312</t>
  </si>
  <si>
    <t>.1~158</t>
  </si>
  <si>
    <t>.1~443</t>
  </si>
  <si>
    <t>.1~179</t>
  </si>
  <si>
    <t>.1~229</t>
  </si>
  <si>
    <t>.1~427</t>
  </si>
  <si>
    <t>.1~383</t>
  </si>
  <si>
    <t>.1~310</t>
  </si>
  <si>
    <t>.1~375</t>
  </si>
  <si>
    <t>.1~331</t>
  </si>
  <si>
    <t>.1~221</t>
  </si>
  <si>
    <t>.1~430</t>
  </si>
  <si>
    <t>.1~386</t>
  </si>
  <si>
    <t>.1~232</t>
  </si>
  <si>
    <t>.1~381</t>
  </si>
  <si>
    <t>.1~315</t>
  </si>
  <si>
    <t>.1~271</t>
  </si>
  <si>
    <t>.1~429</t>
  </si>
  <si>
    <t>.1~275</t>
  </si>
  <si>
    <t>.1~231</t>
  </si>
  <si>
    <t>.1~384</t>
  </si>
  <si>
    <t>.1~230</t>
  </si>
  <si>
    <t>.1~208</t>
  </si>
  <si>
    <t>.1~148</t>
  </si>
  <si>
    <t>.1~456</t>
  </si>
  <si>
    <t>.1~192</t>
  </si>
  <si>
    <t>.1~235</t>
  </si>
  <si>
    <t>.1~213</t>
  </si>
  <si>
    <t>.1~437</t>
  </si>
  <si>
    <t>.1~349</t>
  </si>
  <si>
    <t>.1~239</t>
  </si>
  <si>
    <t>.1~395</t>
  </si>
  <si>
    <t>.1~285</t>
  </si>
  <si>
    <t>.1~242</t>
  </si>
  <si>
    <t>.1~284</t>
  </si>
  <si>
    <t>.1~240</t>
  </si>
  <si>
    <t>.1~436</t>
  </si>
  <si>
    <t>.1~454</t>
  </si>
  <si>
    <t>.1~190</t>
  </si>
  <si>
    <t>.1~431</t>
  </si>
  <si>
    <t>.1~387</t>
  </si>
  <si>
    <t>.1~233</t>
  </si>
  <si>
    <t>.1~211</t>
  </si>
  <si>
    <t>.1~382</t>
  </si>
  <si>
    <t>.1~338</t>
  </si>
  <si>
    <t>.1~206</t>
  </si>
  <si>
    <t>.1~259</t>
  </si>
  <si>
    <t>.1~193</t>
  </si>
  <si>
    <t>.1~149</t>
  </si>
  <si>
    <t>.1~402</t>
  </si>
  <si>
    <t>.1~248</t>
  </si>
  <si>
    <t>.1~379</t>
  </si>
  <si>
    <t>.1~335</t>
  </si>
  <si>
    <t>.1~203</t>
  </si>
  <si>
    <t>.1~356</t>
  </si>
  <si>
    <t>.1~180</t>
  </si>
  <si>
    <t>.1~333</t>
  </si>
  <si>
    <t>.1~201</t>
  </si>
  <si>
    <t>.1~157</t>
  </si>
  <si>
    <t>.1~251</t>
  </si>
  <si>
    <t>.1~405</t>
  </si>
  <si>
    <t>.1~178</t>
  </si>
  <si>
    <t>.1~397</t>
  </si>
  <si>
    <t>.1~243</t>
  </si>
  <si>
    <t>.1~408</t>
  </si>
  <si>
    <t>.1~298</t>
  </si>
  <si>
    <t>.1~254</t>
  </si>
  <si>
    <t>.1~447</t>
  </si>
  <si>
    <t>.1~139</t>
  </si>
  <si>
    <t>.1~451</t>
  </si>
  <si>
    <t>.1~297</t>
  </si>
  <si>
    <t>.1~253</t>
  </si>
  <si>
    <t>.1~406</t>
  </si>
  <si>
    <t>.1~434</t>
  </si>
  <si>
    <t>.1~390</t>
  </si>
  <si>
    <t>.1~346</t>
  </si>
  <si>
    <t>.1~236</t>
  </si>
  <si>
    <t>.1~367</t>
  </si>
  <si>
    <t>.1~257</t>
  </si>
  <si>
    <t>.1~459</t>
  </si>
  <si>
    <t>.1~307</t>
  </si>
  <si>
    <t>.1~197</t>
  </si>
  <si>
    <t>.1~153</t>
  </si>
  <si>
    <t>.1~440</t>
  </si>
  <si>
    <t>.1~264</t>
  </si>
  <si>
    <t>.1~306</t>
  </si>
  <si>
    <t>.1~152</t>
  </si>
  <si>
    <t>.1~150</t>
  </si>
  <si>
    <t>.1~278</t>
  </si>
  <si>
    <t>.1~212</t>
  </si>
  <si>
    <t>.1~255</t>
  </si>
  <si>
    <t>.1~189</t>
  </si>
  <si>
    <t>.1~404</t>
  </si>
  <si>
    <t>.1~360</t>
  </si>
  <si>
    <t>.1~347</t>
  </si>
  <si>
    <t>.1~281</t>
  </si>
  <si>
    <t>.1~424</t>
  </si>
  <si>
    <t>.1~270</t>
  </si>
  <si>
    <t>.1~401</t>
  </si>
  <si>
    <t>.1~357</t>
  </si>
  <si>
    <t>.1~378</t>
  </si>
  <si>
    <t>.1~334</t>
  </si>
  <si>
    <t>.1~224</t>
  </si>
  <si>
    <t>.1~273</t>
  </si>
  <si>
    <t>.1~376</t>
  </si>
  <si>
    <t>.1~200</t>
  </si>
  <si>
    <t>.1~419</t>
  </si>
  <si>
    <t>.1~265</t>
  </si>
  <si>
    <t>.1~320</t>
  </si>
  <si>
    <t>.1~276</t>
  </si>
  <si>
    <t>.1~337</t>
  </si>
  <si>
    <t>.1~205</t>
  </si>
  <si>
    <t>.1~161</t>
  </si>
  <si>
    <t>.1~319</t>
  </si>
  <si>
    <t>.1~165</t>
  </si>
  <si>
    <t>.1~428</t>
  </si>
  <si>
    <t>.1~274</t>
  </si>
  <si>
    <t>.1~412</t>
  </si>
  <si>
    <t>.1~323</t>
  </si>
  <si>
    <t>.1~279</t>
  </si>
  <si>
    <t>.1~169</t>
  </si>
  <si>
    <t>.1~373</t>
  </si>
  <si>
    <t>.1~241</t>
  </si>
  <si>
    <t>.1~352</t>
  </si>
  <si>
    <t>.1~220</t>
  </si>
  <si>
    <t>.1~176</t>
  </si>
  <si>
    <t>.1~438</t>
  </si>
  <si>
    <t>.1~394</t>
  </si>
  <si>
    <t>.1~328</t>
  </si>
  <si>
    <t>.1~218</t>
  </si>
  <si>
    <t>.1~174</t>
  </si>
  <si>
    <t>1847</t>
  </si>
  <si>
    <t>Bavaria</t>
  </si>
  <si>
    <t>WÜRZBURG</t>
  </si>
  <si>
    <t>Germany</t>
  </si>
  <si>
    <t>97070</t>
  </si>
  <si>
    <t>80128</t>
  </si>
  <si>
    <t>EUR</t>
  </si>
  <si>
    <t>1849</t>
  </si>
  <si>
    <t>Nrth Rhine Westfalia</t>
  </si>
  <si>
    <t>GELSENKIRCHEN</t>
  </si>
  <si>
    <t>45879</t>
  </si>
  <si>
    <t>80154</t>
  </si>
  <si>
    <t>2</t>
  </si>
  <si>
    <t>1855</t>
  </si>
  <si>
    <t>Hamburg</t>
  </si>
  <si>
    <t>BUXTEHUDE</t>
  </si>
  <si>
    <t>21614</t>
  </si>
  <si>
    <t>80134</t>
  </si>
  <si>
    <t>1852</t>
  </si>
  <si>
    <t>Schleswig-Holstein</t>
  </si>
  <si>
    <t>LÜBECK</t>
  </si>
  <si>
    <t>23556</t>
  </si>
  <si>
    <t>80287</t>
  </si>
  <si>
    <t>1857</t>
  </si>
  <si>
    <t>Rhineland Palatinate</t>
  </si>
  <si>
    <t>MAINZ</t>
  </si>
  <si>
    <t>55116</t>
  </si>
  <si>
    <t>80266</t>
  </si>
  <si>
    <t>1866</t>
  </si>
  <si>
    <t>1869</t>
  </si>
  <si>
    <t>MÜNSTER</t>
  </si>
  <si>
    <t>48159</t>
  </si>
  <si>
    <t>80158</t>
  </si>
  <si>
    <t>1872</t>
  </si>
  <si>
    <t>Brandenburg</t>
  </si>
  <si>
    <t>BRANDENBURG</t>
  </si>
  <si>
    <t>14772</t>
  </si>
  <si>
    <t>80131</t>
  </si>
  <si>
    <t>1875</t>
  </si>
  <si>
    <t>KÖLN</t>
  </si>
  <si>
    <t>50667</t>
  </si>
  <si>
    <t>80246</t>
  </si>
  <si>
    <t>1885</t>
  </si>
  <si>
    <t>KREFELD</t>
  </si>
  <si>
    <t>47798</t>
  </si>
  <si>
    <t>80157</t>
  </si>
  <si>
    <t>1894</t>
  </si>
  <si>
    <t>Hessen</t>
  </si>
  <si>
    <t>MARBURG</t>
  </si>
  <si>
    <t>35037</t>
  </si>
  <si>
    <t>80139</t>
  </si>
  <si>
    <t>1889</t>
  </si>
  <si>
    <t>Saxony-Anhalt</t>
  </si>
  <si>
    <t>GÜNTHERSDORF</t>
  </si>
  <si>
    <t>06254</t>
  </si>
  <si>
    <t>80167</t>
  </si>
  <si>
    <t>1913</t>
  </si>
  <si>
    <t>3</t>
  </si>
  <si>
    <t>BRÜHL</t>
  </si>
  <si>
    <t>50321</t>
  </si>
  <si>
    <t>80149</t>
  </si>
  <si>
    <t>1905</t>
  </si>
  <si>
    <t>Lower Saxony</t>
  </si>
  <si>
    <t>NIENBURG</t>
  </si>
  <si>
    <t>31582</t>
  </si>
  <si>
    <t>80143</t>
  </si>
  <si>
    <t>1908</t>
  </si>
  <si>
    <t>Baden-Wurttemberg</t>
  </si>
  <si>
    <t>FREIBURG</t>
  </si>
  <si>
    <t>79098</t>
  </si>
  <si>
    <t>80113</t>
  </si>
  <si>
    <t>1928</t>
  </si>
  <si>
    <t>Heidelberg</t>
  </si>
  <si>
    <t>69117</t>
  </si>
  <si>
    <t>80100</t>
  </si>
  <si>
    <t>1932</t>
  </si>
  <si>
    <t>COTTBUS</t>
  </si>
  <si>
    <t>03046</t>
  </si>
  <si>
    <t>80132</t>
  </si>
  <si>
    <t>1936</t>
  </si>
  <si>
    <t>GUNDELFINGEN</t>
  </si>
  <si>
    <t>79194</t>
  </si>
  <si>
    <t>80114</t>
  </si>
  <si>
    <t>1940</t>
  </si>
  <si>
    <t>SIEGEN</t>
  </si>
  <si>
    <t>57076</t>
  </si>
  <si>
    <t>80160</t>
  </si>
  <si>
    <t>1958</t>
  </si>
  <si>
    <t>1979</t>
  </si>
  <si>
    <t>OLDENBURG</t>
  </si>
  <si>
    <t>26121</t>
  </si>
  <si>
    <t>80145</t>
  </si>
  <si>
    <t>4</t>
  </si>
  <si>
    <t>1981</t>
  </si>
  <si>
    <t>HERFORD</t>
  </si>
  <si>
    <t>32052</t>
  </si>
  <si>
    <t>80155</t>
  </si>
  <si>
    <t>2000</t>
  </si>
  <si>
    <t>WITTEN</t>
  </si>
  <si>
    <t>58452</t>
  </si>
  <si>
    <t>80111</t>
  </si>
  <si>
    <t>1995</t>
  </si>
  <si>
    <t>BERLIN</t>
  </si>
  <si>
    <t>13349</t>
  </si>
  <si>
    <t>80129</t>
  </si>
  <si>
    <t>1991</t>
  </si>
  <si>
    <t>MAGDEBURG</t>
  </si>
  <si>
    <t>39128</t>
  </si>
  <si>
    <t>80138</t>
  </si>
  <si>
    <t>2019</t>
  </si>
  <si>
    <t>WOLFSBURG</t>
  </si>
  <si>
    <t>38444</t>
  </si>
  <si>
    <t>80147</t>
  </si>
  <si>
    <t>2023</t>
  </si>
  <si>
    <t>TRIER</t>
  </si>
  <si>
    <t>54290</t>
  </si>
  <si>
    <t>80164</t>
  </si>
  <si>
    <t>2039</t>
  </si>
  <si>
    <t>ALBSTADT</t>
  </si>
  <si>
    <t>72458</t>
  </si>
  <si>
    <t>80170</t>
  </si>
  <si>
    <t>2043</t>
  </si>
  <si>
    <t>26129</t>
  </si>
  <si>
    <t>80144</t>
  </si>
  <si>
    <t>2061</t>
  </si>
  <si>
    <t>HAMBURG</t>
  </si>
  <si>
    <t>22765</t>
  </si>
  <si>
    <t>80135</t>
  </si>
  <si>
    <t>2071</t>
  </si>
  <si>
    <t>DUISBURG</t>
  </si>
  <si>
    <t>47059</t>
  </si>
  <si>
    <t>80238</t>
  </si>
  <si>
    <t>2067</t>
  </si>
  <si>
    <t>Saxony</t>
  </si>
  <si>
    <t>CHEMNITZ</t>
  </si>
  <si>
    <t>09130</t>
  </si>
  <si>
    <t>80270</t>
  </si>
  <si>
    <t>2089</t>
  </si>
  <si>
    <t>2094</t>
  </si>
  <si>
    <t>2099</t>
  </si>
  <si>
    <t>LEIPZIG</t>
  </si>
  <si>
    <t>04109</t>
  </si>
  <si>
    <t>80274</t>
  </si>
  <si>
    <t>2103</t>
  </si>
  <si>
    <t>KASSEL</t>
  </si>
  <si>
    <t>34134</t>
  </si>
  <si>
    <t>80212</t>
  </si>
  <si>
    <t>2118</t>
  </si>
  <si>
    <t>MÜNCHEN</t>
  </si>
  <si>
    <t>80804</t>
  </si>
  <si>
    <t>80122</t>
  </si>
  <si>
    <t>2131</t>
  </si>
  <si>
    <t>FRANKFURT/MAIN</t>
  </si>
  <si>
    <t>60313</t>
  </si>
  <si>
    <t>80207</t>
  </si>
  <si>
    <t>2129</t>
  </si>
  <si>
    <t>ST. AUGUSTIN</t>
  </si>
  <si>
    <t>53757</t>
  </si>
  <si>
    <t>80258</t>
  </si>
  <si>
    <t>2126</t>
  </si>
  <si>
    <t>WUPPERTAL</t>
  </si>
  <si>
    <t>42389</t>
  </si>
  <si>
    <t>80261</t>
  </si>
  <si>
    <t>2122</t>
  </si>
  <si>
    <t>26133</t>
  </si>
  <si>
    <t>80226</t>
  </si>
  <si>
    <t>2132</t>
  </si>
  <si>
    <t>80339</t>
  </si>
  <si>
    <t>80194</t>
  </si>
  <si>
    <t>2137</t>
  </si>
  <si>
    <t>KIEL</t>
  </si>
  <si>
    <t>24113</t>
  </si>
  <si>
    <t>80168</t>
  </si>
  <si>
    <t>2143</t>
  </si>
  <si>
    <t>2148</t>
  </si>
  <si>
    <t>BITTERFELD</t>
  </si>
  <si>
    <t>06749</t>
  </si>
  <si>
    <t>80277</t>
  </si>
  <si>
    <t>2168</t>
  </si>
  <si>
    <t>GÖTTINGEN</t>
  </si>
  <si>
    <t>37075</t>
  </si>
  <si>
    <t>80108</t>
  </si>
  <si>
    <t>2164</t>
  </si>
  <si>
    <t>BAD OEYNHAUSEN</t>
  </si>
  <si>
    <t>32547</t>
  </si>
  <si>
    <t>80148</t>
  </si>
  <si>
    <t>2160</t>
  </si>
  <si>
    <t>2182</t>
  </si>
  <si>
    <t>2186</t>
  </si>
  <si>
    <t>UELZEN</t>
  </si>
  <si>
    <t>29525</t>
  </si>
  <si>
    <t>80146</t>
  </si>
  <si>
    <t>2190</t>
  </si>
  <si>
    <t>DORTMUND</t>
  </si>
  <si>
    <t>44137</t>
  </si>
  <si>
    <t>80236</t>
  </si>
  <si>
    <t>2192</t>
  </si>
  <si>
    <t>BALINGEN</t>
  </si>
  <si>
    <t>72336</t>
  </si>
  <si>
    <t>80172</t>
  </si>
  <si>
    <t>02/03</t>
  </si>
  <si>
    <t>02/04</t>
  </si>
  <si>
    <t>Hrs / Days</t>
  </si>
  <si>
    <t>2217</t>
  </si>
  <si>
    <t>2205</t>
  </si>
  <si>
    <t>INGOLSTADT</t>
  </si>
  <si>
    <t>85046</t>
  </si>
  <si>
    <t>80121</t>
  </si>
  <si>
    <t>2209</t>
  </si>
  <si>
    <t>09111</t>
  </si>
  <si>
    <t>80165</t>
  </si>
  <si>
    <t>2214</t>
  </si>
  <si>
    <t>Bremen</t>
  </si>
  <si>
    <t>BREMEN</t>
  </si>
  <si>
    <t>28259</t>
  </si>
  <si>
    <t>80133</t>
  </si>
  <si>
    <t>02/02</t>
  </si>
  <si>
    <t>2225</t>
  </si>
  <si>
    <t>ESSLINGEN</t>
  </si>
  <si>
    <t>73730</t>
  </si>
  <si>
    <t>80112</t>
  </si>
  <si>
    <t>02/05</t>
  </si>
  <si>
    <t>2307</t>
  </si>
  <si>
    <t>2303</t>
  </si>
  <si>
    <t>02/06</t>
  </si>
  <si>
    <t>2331</t>
  </si>
  <si>
    <t>2320</t>
  </si>
  <si>
    <t>2324</t>
  </si>
  <si>
    <t>ESSEN</t>
  </si>
  <si>
    <t>45127</t>
  </si>
  <si>
    <t>80153</t>
  </si>
  <si>
    <t>02/07</t>
  </si>
  <si>
    <t>2352</t>
  </si>
  <si>
    <t>2356</t>
  </si>
  <si>
    <t>2354</t>
  </si>
  <si>
    <t>02/08</t>
  </si>
  <si>
    <t>2364</t>
  </si>
  <si>
    <t>2374</t>
  </si>
  <si>
    <t>CASTROP-RAUXEL</t>
  </si>
  <si>
    <t>44579</t>
  </si>
  <si>
    <t>80234</t>
  </si>
  <si>
    <t>2373</t>
  </si>
  <si>
    <t>LUDWIGSHAFEN</t>
  </si>
  <si>
    <t>67071</t>
  </si>
  <si>
    <t>80264</t>
  </si>
  <si>
    <t>2372</t>
  </si>
  <si>
    <t>GELSENKIRCHEN-BUER</t>
  </si>
  <si>
    <t>45894</t>
  </si>
  <si>
    <t>80243</t>
  </si>
  <si>
    <t>2371</t>
  </si>
  <si>
    <t>Mecklenburg-Vorpomm.</t>
  </si>
  <si>
    <t>GREIFSWALD</t>
  </si>
  <si>
    <t>17491</t>
  </si>
  <si>
    <t>80218</t>
  </si>
  <si>
    <t>2369</t>
  </si>
  <si>
    <t>2367</t>
  </si>
  <si>
    <t>2375</t>
  </si>
  <si>
    <t>WEITERSTADT</t>
  </si>
  <si>
    <t>64331</t>
  </si>
  <si>
    <t>80216</t>
  </si>
  <si>
    <t>02/09</t>
  </si>
  <si>
    <t>2389</t>
  </si>
  <si>
    <t>KOBLENZ</t>
  </si>
  <si>
    <t>56068</t>
  </si>
  <si>
    <t>80262</t>
  </si>
  <si>
    <t>2393</t>
  </si>
  <si>
    <t>REUTLINGEN</t>
  </si>
  <si>
    <t>72764</t>
  </si>
  <si>
    <t>80181</t>
  </si>
  <si>
    <t>2395</t>
  </si>
  <si>
    <t>72770</t>
  </si>
  <si>
    <t>80180</t>
  </si>
  <si>
    <t>2397</t>
  </si>
  <si>
    <t>80335</t>
  </si>
  <si>
    <t>80186</t>
  </si>
  <si>
    <t>02/10</t>
  </si>
  <si>
    <t>2412</t>
  </si>
  <si>
    <t>2414</t>
  </si>
  <si>
    <t>2419</t>
  </si>
  <si>
    <t>WETZLAR</t>
  </si>
  <si>
    <t>35576</t>
  </si>
  <si>
    <t>80217</t>
  </si>
  <si>
    <t>2418</t>
  </si>
  <si>
    <t>2416</t>
  </si>
  <si>
    <t>42275</t>
  </si>
  <si>
    <t>80259</t>
  </si>
  <si>
    <t>02/11</t>
  </si>
  <si>
    <t>2437</t>
  </si>
  <si>
    <t>2431</t>
  </si>
  <si>
    <t>85055</t>
  </si>
  <si>
    <t>80120</t>
  </si>
  <si>
    <t>2440</t>
  </si>
  <si>
    <t>RITTERHUDE</t>
  </si>
  <si>
    <t>27721</t>
  </si>
  <si>
    <t>80227</t>
  </si>
  <si>
    <t>2441</t>
  </si>
  <si>
    <t>80331</t>
  </si>
  <si>
    <t>80187</t>
  </si>
  <si>
    <t>02/12</t>
  </si>
  <si>
    <t>2461</t>
  </si>
  <si>
    <t>DÜREN</t>
  </si>
  <si>
    <t>52349</t>
  </si>
  <si>
    <t>80109</t>
  </si>
  <si>
    <t>2451</t>
  </si>
  <si>
    <t>81245</t>
  </si>
  <si>
    <t>80123</t>
  </si>
  <si>
    <t>2454</t>
  </si>
  <si>
    <t>ZWICKAU</t>
  </si>
  <si>
    <t>08058</t>
  </si>
  <si>
    <t>80166</t>
  </si>
  <si>
    <t>02/13</t>
  </si>
  <si>
    <t>2478</t>
  </si>
  <si>
    <t>VELBERT</t>
  </si>
  <si>
    <t>42551</t>
  </si>
  <si>
    <t>80161</t>
  </si>
  <si>
    <t>2475</t>
  </si>
  <si>
    <t>PADERBORN</t>
  </si>
  <si>
    <t>33100</t>
  </si>
  <si>
    <t>80159</t>
  </si>
  <si>
    <t>2480</t>
  </si>
  <si>
    <t>Thuringia</t>
  </si>
  <si>
    <t>GERA</t>
  </si>
  <si>
    <t>07545</t>
  </si>
  <si>
    <t>80290</t>
  </si>
  <si>
    <t>2477</t>
  </si>
  <si>
    <t>FLENSBURG</t>
  </si>
  <si>
    <t>24941</t>
  </si>
  <si>
    <t>80282</t>
  </si>
  <si>
    <t>02/14</t>
  </si>
  <si>
    <t>2492</t>
  </si>
  <si>
    <t>STUTTGART</t>
  </si>
  <si>
    <t>70173</t>
  </si>
  <si>
    <t>80118</t>
  </si>
  <si>
    <t>2496</t>
  </si>
  <si>
    <t>2503</t>
  </si>
  <si>
    <t>DÜSSELDORF</t>
  </si>
  <si>
    <t>40212</t>
  </si>
  <si>
    <t>80151</t>
  </si>
  <si>
    <t>2504</t>
  </si>
  <si>
    <t>NEUSS</t>
  </si>
  <si>
    <t>41460</t>
  </si>
  <si>
    <t>80253</t>
  </si>
  <si>
    <t>2508</t>
  </si>
  <si>
    <t>JENA</t>
  </si>
  <si>
    <t>07747</t>
  </si>
  <si>
    <t>80291</t>
  </si>
  <si>
    <t>02/15</t>
  </si>
  <si>
    <t>2514</t>
  </si>
  <si>
    <t>HÜCKELHOVEN</t>
  </si>
  <si>
    <t>41836</t>
  </si>
  <si>
    <t>80156</t>
  </si>
  <si>
    <t>02/16</t>
  </si>
  <si>
    <t>2532</t>
  </si>
  <si>
    <t>2540</t>
  </si>
  <si>
    <t>2547</t>
  </si>
  <si>
    <t>BAD KREUZNACH</t>
  </si>
  <si>
    <t>55543</t>
  </si>
  <si>
    <t>80163</t>
  </si>
  <si>
    <t>02/18</t>
  </si>
  <si>
    <t>2594</t>
  </si>
  <si>
    <t>WÜRSELEN</t>
  </si>
  <si>
    <t>52146</t>
  </si>
  <si>
    <t>80162</t>
  </si>
  <si>
    <t>2591</t>
  </si>
  <si>
    <t>2597</t>
  </si>
  <si>
    <t>80188</t>
  </si>
  <si>
    <t>02/19</t>
  </si>
  <si>
    <t>2617</t>
  </si>
  <si>
    <t>2619</t>
  </si>
  <si>
    <t>2615</t>
  </si>
  <si>
    <t>02/20</t>
  </si>
  <si>
    <t>2634</t>
  </si>
  <si>
    <t>KORNTAL</t>
  </si>
  <si>
    <t>70825</t>
  </si>
  <si>
    <t>80116</t>
  </si>
  <si>
    <t>2637</t>
  </si>
  <si>
    <t>2641</t>
  </si>
  <si>
    <t>03/01</t>
  </si>
  <si>
    <t>2659</t>
  </si>
  <si>
    <t>RÖHRSDORF</t>
  </si>
  <si>
    <t>09247</t>
  </si>
  <si>
    <t>80275</t>
  </si>
  <si>
    <t>2668</t>
  </si>
  <si>
    <t>40211</t>
  </si>
  <si>
    <t>80240</t>
  </si>
  <si>
    <t>03/02</t>
  </si>
  <si>
    <t>2681</t>
  </si>
  <si>
    <t>NEU-ULM</t>
  </si>
  <si>
    <t>89231</t>
  </si>
  <si>
    <t>80101</t>
  </si>
  <si>
    <t>2692</t>
  </si>
  <si>
    <t>ROSTOCK</t>
  </si>
  <si>
    <t>18184</t>
  </si>
  <si>
    <t>80141</t>
  </si>
  <si>
    <t>2689</t>
  </si>
  <si>
    <t>2687</t>
  </si>
  <si>
    <t>FULDA</t>
  </si>
  <si>
    <t>36037</t>
  </si>
  <si>
    <t>80137</t>
  </si>
  <si>
    <t>03/03</t>
  </si>
  <si>
    <t>2696</t>
  </si>
  <si>
    <t>39116</t>
  </si>
  <si>
    <t>80107</t>
  </si>
  <si>
    <t>2710</t>
  </si>
  <si>
    <t>2707</t>
  </si>
  <si>
    <t>2715</t>
  </si>
  <si>
    <t>12043</t>
  </si>
  <si>
    <t>80196</t>
  </si>
  <si>
    <t>2716</t>
  </si>
  <si>
    <t>BONN</t>
  </si>
  <si>
    <t>53111</t>
  </si>
  <si>
    <t>80233</t>
  </si>
  <si>
    <t>03/04</t>
  </si>
  <si>
    <t>2725</t>
  </si>
  <si>
    <t>2731</t>
  </si>
  <si>
    <t>2737</t>
  </si>
  <si>
    <t>2739</t>
  </si>
  <si>
    <t>DETTLINGEN/EMS</t>
  </si>
  <si>
    <t>72581</t>
  </si>
  <si>
    <t>80173</t>
  </si>
  <si>
    <t>2741</t>
  </si>
  <si>
    <t>KIRCHENTELLINSFURT</t>
  </si>
  <si>
    <t>72138</t>
  </si>
  <si>
    <t>80176</t>
  </si>
  <si>
    <t>03/05</t>
  </si>
  <si>
    <t>2749</t>
  </si>
  <si>
    <t>NEUMÜNSTER</t>
  </si>
  <si>
    <t>24537</t>
  </si>
  <si>
    <t>80169</t>
  </si>
  <si>
    <t>2759</t>
  </si>
  <si>
    <t>2761</t>
  </si>
  <si>
    <t>2758</t>
  </si>
  <si>
    <t>LEIßLING</t>
  </si>
  <si>
    <t>06667</t>
  </si>
  <si>
    <t>80280</t>
  </si>
  <si>
    <t>03/06</t>
  </si>
  <si>
    <t>2789</t>
  </si>
  <si>
    <t>2775</t>
  </si>
  <si>
    <t>NÜRNBERG</t>
  </si>
  <si>
    <t>90451</t>
  </si>
  <si>
    <t>80125</t>
  </si>
  <si>
    <t>03/07</t>
  </si>
  <si>
    <t>2795</t>
  </si>
  <si>
    <t>2799</t>
  </si>
  <si>
    <t>KARLSRUHE</t>
  </si>
  <si>
    <t>76133</t>
  </si>
  <si>
    <t>80115</t>
  </si>
  <si>
    <t>03/08</t>
  </si>
  <si>
    <t>2820</t>
  </si>
  <si>
    <t>2830</t>
  </si>
  <si>
    <t>2826</t>
  </si>
  <si>
    <t>NÜRNBERG-BUCH</t>
  </si>
  <si>
    <t>90427</t>
  </si>
  <si>
    <t>80126</t>
  </si>
  <si>
    <t>03/09</t>
  </si>
  <si>
    <t>2851</t>
  </si>
  <si>
    <t>2855</t>
  </si>
  <si>
    <t>2844</t>
  </si>
  <si>
    <t>03/10</t>
  </si>
  <si>
    <t>2883</t>
  </si>
  <si>
    <t>2866</t>
  </si>
  <si>
    <t>80939</t>
  </si>
  <si>
    <t>80104</t>
  </si>
  <si>
    <t>2871</t>
  </si>
  <si>
    <t>80124</t>
  </si>
  <si>
    <t>03/11</t>
  </si>
  <si>
    <t>2908</t>
  </si>
  <si>
    <t>40235</t>
  </si>
  <si>
    <t>80110</t>
  </si>
  <si>
    <t>2891</t>
  </si>
  <si>
    <t>60386</t>
  </si>
  <si>
    <t>80136</t>
  </si>
  <si>
    <t>2898</t>
  </si>
  <si>
    <t>03/12</t>
  </si>
  <si>
    <t>2918</t>
  </si>
  <si>
    <t>80993</t>
  </si>
  <si>
    <t>80103</t>
  </si>
  <si>
    <t>2922</t>
  </si>
  <si>
    <t>03/13</t>
  </si>
  <si>
    <t>2940</t>
  </si>
  <si>
    <t>2934</t>
  </si>
  <si>
    <t>REGENSBURG</t>
  </si>
  <si>
    <t>93053</t>
  </si>
  <si>
    <t>80127</t>
  </si>
  <si>
    <t>03/14</t>
  </si>
  <si>
    <t>2955</t>
  </si>
  <si>
    <t>03/16</t>
  </si>
  <si>
    <t>3003</t>
  </si>
  <si>
    <t>3013</t>
  </si>
  <si>
    <t>Saarland</t>
  </si>
  <si>
    <t>DUDWEILER</t>
  </si>
  <si>
    <t>66125</t>
  </si>
  <si>
    <t>80268</t>
  </si>
  <si>
    <t>03/17</t>
  </si>
  <si>
    <t>3035</t>
  </si>
  <si>
    <t>3031</t>
  </si>
  <si>
    <t>3036</t>
  </si>
  <si>
    <t>3037</t>
  </si>
  <si>
    <t>36043</t>
  </si>
  <si>
    <t>80209</t>
  </si>
  <si>
    <t>3038</t>
  </si>
  <si>
    <t>03/18</t>
  </si>
  <si>
    <t>3052</t>
  </si>
  <si>
    <t>3059</t>
  </si>
  <si>
    <t>3062</t>
  </si>
  <si>
    <t>3058</t>
  </si>
  <si>
    <t>WERDAU</t>
  </si>
  <si>
    <t>08412</t>
  </si>
  <si>
    <t>80276</t>
  </si>
  <si>
    <t>03/19</t>
  </si>
  <si>
    <t>3079</t>
  </si>
  <si>
    <t>3083</t>
  </si>
  <si>
    <t>EUSKIRCHEN</t>
  </si>
  <si>
    <t>53879</t>
  </si>
  <si>
    <t>80242</t>
  </si>
  <si>
    <t>3081</t>
  </si>
  <si>
    <t>55252</t>
  </si>
  <si>
    <t>80265</t>
  </si>
  <si>
    <t>3084</t>
  </si>
  <si>
    <t>03/20</t>
  </si>
  <si>
    <t>3101</t>
  </si>
  <si>
    <t>BANNEWITZ</t>
  </si>
  <si>
    <t>01728</t>
  </si>
  <si>
    <t>80269</t>
  </si>
  <si>
    <t>04/01</t>
  </si>
  <si>
    <t>3124</t>
  </si>
  <si>
    <t>40213</t>
  </si>
  <si>
    <t>80152</t>
  </si>
  <si>
    <t>3120</t>
  </si>
  <si>
    <t>3115</t>
  </si>
  <si>
    <t>3121</t>
  </si>
  <si>
    <t>3118</t>
  </si>
  <si>
    <t>3128</t>
  </si>
  <si>
    <t>HORB (AM NECKAR)</t>
  </si>
  <si>
    <t>72160</t>
  </si>
  <si>
    <t>80174</t>
  </si>
  <si>
    <t>04/02</t>
  </si>
  <si>
    <t>3138</t>
  </si>
  <si>
    <t>04/03</t>
  </si>
  <si>
    <t>3155</t>
  </si>
  <si>
    <t>3151</t>
  </si>
  <si>
    <t>3165</t>
  </si>
  <si>
    <t>3159</t>
  </si>
  <si>
    <t>REMSCHEID</t>
  </si>
  <si>
    <t>42853</t>
  </si>
  <si>
    <t>80256</t>
  </si>
  <si>
    <t>04/04</t>
  </si>
  <si>
    <t>3177</t>
  </si>
  <si>
    <t>37073</t>
  </si>
  <si>
    <t>80142</t>
  </si>
  <si>
    <t>3189</t>
  </si>
  <si>
    <t>42103</t>
  </si>
  <si>
    <t>80260</t>
  </si>
  <si>
    <t>04/05</t>
  </si>
  <si>
    <t>3206</t>
  </si>
  <si>
    <t>3209</t>
  </si>
  <si>
    <t>23558</t>
  </si>
  <si>
    <t>80286</t>
  </si>
  <si>
    <t>3213</t>
  </si>
  <si>
    <t>80189</t>
  </si>
  <si>
    <t>3212</t>
  </si>
  <si>
    <t>04/06</t>
  </si>
  <si>
    <t>3222</t>
  </si>
  <si>
    <t>3235</t>
  </si>
  <si>
    <t>3225</t>
  </si>
  <si>
    <t>04209</t>
  </si>
  <si>
    <t>80273</t>
  </si>
  <si>
    <t>3218</t>
  </si>
  <si>
    <t>3232</t>
  </si>
  <si>
    <t>BERGISCH GLADBACH</t>
  </si>
  <si>
    <t>51465</t>
  </si>
  <si>
    <t>80229</t>
  </si>
  <si>
    <t>3233</t>
  </si>
  <si>
    <t>3234</t>
  </si>
  <si>
    <t>34117</t>
  </si>
  <si>
    <t>80211</t>
  </si>
  <si>
    <t>04/07</t>
  </si>
  <si>
    <t>3245</t>
  </si>
  <si>
    <t>3258</t>
  </si>
  <si>
    <t>3257</t>
  </si>
  <si>
    <t>3253</t>
  </si>
  <si>
    <t>3250</t>
  </si>
  <si>
    <t>20095</t>
  </si>
  <si>
    <t>80203</t>
  </si>
  <si>
    <t>3247</t>
  </si>
  <si>
    <t>DESSAU</t>
  </si>
  <si>
    <t>06842</t>
  </si>
  <si>
    <t>80278</t>
  </si>
  <si>
    <t>3259</t>
  </si>
  <si>
    <t>3252</t>
  </si>
  <si>
    <t>3256</t>
  </si>
  <si>
    <t>TÜBINGEN</t>
  </si>
  <si>
    <t>72070</t>
  </si>
  <si>
    <t>80184</t>
  </si>
  <si>
    <t>04/08</t>
  </si>
  <si>
    <t>3273</t>
  </si>
  <si>
    <t>22453</t>
  </si>
  <si>
    <t>80202</t>
  </si>
  <si>
    <t>3265</t>
  </si>
  <si>
    <t>DRESDEN</t>
  </si>
  <si>
    <t>01219</t>
  </si>
  <si>
    <t>80271</t>
  </si>
  <si>
    <t>3276</t>
  </si>
  <si>
    <t>3264</t>
  </si>
  <si>
    <t>SCHLESWIG</t>
  </si>
  <si>
    <t>24837</t>
  </si>
  <si>
    <t>80288</t>
  </si>
  <si>
    <t>3279</t>
  </si>
  <si>
    <t>80634</t>
  </si>
  <si>
    <t>80193</t>
  </si>
  <si>
    <t>3278</t>
  </si>
  <si>
    <t>3277</t>
  </si>
  <si>
    <t>44149</t>
  </si>
  <si>
    <t>80237</t>
  </si>
  <si>
    <t>04/09</t>
  </si>
  <si>
    <t>3289</t>
  </si>
  <si>
    <t>3299</t>
  </si>
  <si>
    <t>13156</t>
  </si>
  <si>
    <t>80293</t>
  </si>
  <si>
    <t>3294</t>
  </si>
  <si>
    <t>HILDESHEIM</t>
  </si>
  <si>
    <t>31137</t>
  </si>
  <si>
    <t>80223</t>
  </si>
  <si>
    <t>3301</t>
  </si>
  <si>
    <t>3303</t>
  </si>
  <si>
    <t>60488</t>
  </si>
  <si>
    <t>80208</t>
  </si>
  <si>
    <t>3300</t>
  </si>
  <si>
    <t>3297</t>
  </si>
  <si>
    <t>04/11</t>
  </si>
  <si>
    <t>3337</t>
  </si>
  <si>
    <t>3344</t>
  </si>
  <si>
    <t>3349</t>
  </si>
  <si>
    <t>BIELEFELD</t>
  </si>
  <si>
    <t>33611</t>
  </si>
  <si>
    <t>80231</t>
  </si>
  <si>
    <t>04/12</t>
  </si>
  <si>
    <t>3366</t>
  </si>
  <si>
    <t>3361</t>
  </si>
  <si>
    <t>3354</t>
  </si>
  <si>
    <t>3356</t>
  </si>
  <si>
    <t>3362</t>
  </si>
  <si>
    <t>3364</t>
  </si>
  <si>
    <t>3368</t>
  </si>
  <si>
    <t>54294</t>
  </si>
  <si>
    <t>80267</t>
  </si>
  <si>
    <t>3369</t>
  </si>
  <si>
    <t>57072</t>
  </si>
  <si>
    <t>80257</t>
  </si>
  <si>
    <t>3371</t>
  </si>
  <si>
    <t>3367</t>
  </si>
  <si>
    <t>OBERHAUSEN</t>
  </si>
  <si>
    <t>46067</t>
  </si>
  <si>
    <t>80254</t>
  </si>
  <si>
    <t>04/13</t>
  </si>
  <si>
    <t>3376</t>
  </si>
  <si>
    <t>3380</t>
  </si>
  <si>
    <t>3390</t>
  </si>
  <si>
    <t>3384</t>
  </si>
  <si>
    <t>3385</t>
  </si>
  <si>
    <t>3386</t>
  </si>
  <si>
    <t>3387</t>
  </si>
  <si>
    <t>3389</t>
  </si>
  <si>
    <t>50997</t>
  </si>
  <si>
    <t>80247</t>
  </si>
  <si>
    <t>3391</t>
  </si>
  <si>
    <t>04/14</t>
  </si>
  <si>
    <t>3404</t>
  </si>
  <si>
    <t>3402</t>
  </si>
  <si>
    <t>WALTERSDORF</t>
  </si>
  <si>
    <t>12529</t>
  </si>
  <si>
    <t>80130</t>
  </si>
  <si>
    <t>3399</t>
  </si>
  <si>
    <t>04/15</t>
  </si>
  <si>
    <t>3421</t>
  </si>
  <si>
    <t>3432</t>
  </si>
  <si>
    <t>44145</t>
  </si>
  <si>
    <t>80235</t>
  </si>
  <si>
    <t>3434</t>
  </si>
  <si>
    <t>76185</t>
  </si>
  <si>
    <t>80175</t>
  </si>
  <si>
    <t>04/16</t>
  </si>
  <si>
    <t>3441</t>
  </si>
  <si>
    <t>39118</t>
  </si>
  <si>
    <t>80106</t>
  </si>
  <si>
    <t>3448</t>
  </si>
  <si>
    <t>3446</t>
  </si>
  <si>
    <t>3449</t>
  </si>
  <si>
    <t>.1~463</t>
  </si>
  <si>
    <t>.1~464</t>
  </si>
  <si>
    <t>.1~465</t>
  </si>
  <si>
    <t>3452</t>
  </si>
  <si>
    <t>51143</t>
  </si>
  <si>
    <t>80248</t>
  </si>
  <si>
    <t>.1~466</t>
  </si>
  <si>
    <t>3454</t>
  </si>
  <si>
    <t>.1~467</t>
  </si>
  <si>
    <t>3457</t>
  </si>
  <si>
    <t>.1~468</t>
  </si>
  <si>
    <t>04/17</t>
  </si>
  <si>
    <t>3470</t>
  </si>
  <si>
    <t>.1~469</t>
  </si>
  <si>
    <t>3464</t>
  </si>
  <si>
    <t>.1~470</t>
  </si>
  <si>
    <t>.1~471</t>
  </si>
  <si>
    <t>.1~472</t>
  </si>
  <si>
    <t>.1~473</t>
  </si>
  <si>
    <t>.1~474</t>
  </si>
  <si>
    <t>.1~475</t>
  </si>
  <si>
    <t>.1~476</t>
  </si>
  <si>
    <t>3472</t>
  </si>
  <si>
    <t>.1~477</t>
  </si>
  <si>
    <t>3476</t>
  </si>
  <si>
    <t>LEVERKUSEN</t>
  </si>
  <si>
    <t>51373</t>
  </si>
  <si>
    <t>80250</t>
  </si>
  <si>
    <t>.1~478</t>
  </si>
  <si>
    <t>3477</t>
  </si>
  <si>
    <t>56070</t>
  </si>
  <si>
    <t>80263</t>
  </si>
  <si>
    <t>.1~479</t>
  </si>
  <si>
    <t>04/18</t>
  </si>
  <si>
    <t>3482</t>
  </si>
  <si>
    <t>.1~480</t>
  </si>
  <si>
    <t>04/19</t>
  </si>
  <si>
    <t>3502</t>
  </si>
  <si>
    <t>.1~481</t>
  </si>
  <si>
    <t>3513</t>
  </si>
  <si>
    <t>22145</t>
  </si>
  <si>
    <t>80205</t>
  </si>
  <si>
    <t>.1~482</t>
  </si>
  <si>
    <t>04/20</t>
  </si>
  <si>
    <t>3547</t>
  </si>
  <si>
    <t>13051</t>
  </si>
  <si>
    <t>80105</t>
  </si>
  <si>
    <t>.1~483</t>
  </si>
  <si>
    <t>.1~484</t>
  </si>
  <si>
    <t>.1~485</t>
  </si>
  <si>
    <t>3534</t>
  </si>
  <si>
    <t>.1~486</t>
  </si>
  <si>
    <t>.1~487</t>
  </si>
  <si>
    <t>3537</t>
  </si>
  <si>
    <t>.1~488</t>
  </si>
  <si>
    <t>3532</t>
  </si>
  <si>
    <t>.1~489</t>
  </si>
  <si>
    <t>.1~490</t>
  </si>
  <si>
    <t>.1~491</t>
  </si>
  <si>
    <t>.1~492</t>
  </si>
  <si>
    <t>.1~493</t>
  </si>
  <si>
    <t>.1~494</t>
  </si>
  <si>
    <t>.1~495</t>
  </si>
  <si>
    <t>.1~496</t>
  </si>
  <si>
    <t>.1~497</t>
  </si>
  <si>
    <t>3535</t>
  </si>
  <si>
    <t>.1~498</t>
  </si>
  <si>
    <t>3538</t>
  </si>
  <si>
    <t>.1~499</t>
  </si>
  <si>
    <t>3544</t>
  </si>
  <si>
    <t>39104</t>
  </si>
  <si>
    <t>80215</t>
  </si>
  <si>
    <t>.1~500</t>
  </si>
  <si>
    <t>3545</t>
  </si>
  <si>
    <t>NÜRTINGEN</t>
  </si>
  <si>
    <t>72622</t>
  </si>
  <si>
    <t>80178</t>
  </si>
  <si>
    <t>.1~501</t>
  </si>
  <si>
    <t>3543</t>
  </si>
  <si>
    <t>34123</t>
  </si>
  <si>
    <t>80213</t>
  </si>
  <si>
    <t>.1~920</t>
  </si>
  <si>
    <t>.1~546</t>
  </si>
  <si>
    <t>.1~1268</t>
  </si>
  <si>
    <t>.1~916</t>
  </si>
  <si>
    <t>.1~1477</t>
  </si>
  <si>
    <t>.1~1301</t>
  </si>
  <si>
    <t>.1~641</t>
  </si>
  <si>
    <t>.1~597</t>
  </si>
  <si>
    <t>.1~864</t>
  </si>
  <si>
    <t>.1~1766</t>
  </si>
  <si>
    <t>05/01</t>
  </si>
  <si>
    <t>.1~1036</t>
  </si>
  <si>
    <t>.1~860</t>
  </si>
  <si>
    <t>.1~750</t>
  </si>
  <si>
    <t>.1~640</t>
  </si>
  <si>
    <t>.1~1109</t>
  </si>
  <si>
    <t>.1~1682</t>
  </si>
  <si>
    <t>.1~1462</t>
  </si>
  <si>
    <t>.1~1308</t>
  </si>
  <si>
    <t>.1~1220</t>
  </si>
  <si>
    <t>.1~1154</t>
  </si>
  <si>
    <t>.1~1132</t>
  </si>
  <si>
    <t>.1~1000</t>
  </si>
  <si>
    <t>.1~1485</t>
  </si>
  <si>
    <t>.1~1243</t>
  </si>
  <si>
    <t>.1~1023</t>
  </si>
  <si>
    <t>.1~693</t>
  </si>
  <si>
    <t>.1~1705</t>
  </si>
  <si>
    <t>.1~1327</t>
  </si>
  <si>
    <t>.1~1745</t>
  </si>
  <si>
    <t>.1~1547</t>
  </si>
  <si>
    <t>.1~694</t>
  </si>
  <si>
    <t>.1~1486</t>
  </si>
  <si>
    <t>.1~1244</t>
  </si>
  <si>
    <t>.1~1200</t>
  </si>
  <si>
    <t>03/15</t>
  </si>
  <si>
    <t>.1~1024</t>
  </si>
  <si>
    <t>.1~980</t>
  </si>
  <si>
    <t>.1~571</t>
  </si>
  <si>
    <t>.1~1495</t>
  </si>
  <si>
    <t>.1~1275</t>
  </si>
  <si>
    <t>.1~1253</t>
  </si>
  <si>
    <t>.1~1231</t>
  </si>
  <si>
    <t>.1~1055</t>
  </si>
  <si>
    <t>.1~967</t>
  </si>
  <si>
    <t>.1~747</t>
  </si>
  <si>
    <t>.1~1515</t>
  </si>
  <si>
    <t>.1~1427</t>
  </si>
  <si>
    <t>.1~1097</t>
  </si>
  <si>
    <t>.1~701</t>
  </si>
  <si>
    <t>.1~679</t>
  </si>
  <si>
    <t>.1~719</t>
  </si>
  <si>
    <t>.1~1424</t>
  </si>
  <si>
    <t>.1~1292</t>
  </si>
  <si>
    <t>.1~1116</t>
  </si>
  <si>
    <t>.1~698</t>
  </si>
  <si>
    <t>.1~1604</t>
  </si>
  <si>
    <t>.1~1384</t>
  </si>
  <si>
    <t>.1~1252</t>
  </si>
  <si>
    <t>.1~1208</t>
  </si>
  <si>
    <t>.1~834</t>
  </si>
  <si>
    <t>.1~1276</t>
  </si>
  <si>
    <t>.1~1254</t>
  </si>
  <si>
    <t>.1~1232</t>
  </si>
  <si>
    <t>.1~1056</t>
  </si>
  <si>
    <t>.1~968</t>
  </si>
  <si>
    <t>.1~902</t>
  </si>
  <si>
    <t>.1~572</t>
  </si>
  <si>
    <t>.1~1496</t>
  </si>
  <si>
    <t>.1~1535</t>
  </si>
  <si>
    <t>04/10</t>
  </si>
  <si>
    <t>.1~1042</t>
  </si>
  <si>
    <t>.1~695</t>
  </si>
  <si>
    <t>.1~541</t>
  </si>
  <si>
    <t>.1~1553</t>
  </si>
  <si>
    <t>.1~1509</t>
  </si>
  <si>
    <t>.1~1333</t>
  </si>
  <si>
    <t>.1~1712</t>
  </si>
  <si>
    <t>.1~1206</t>
  </si>
  <si>
    <t>.1~1576</t>
  </si>
  <si>
    <t>.1~1532</t>
  </si>
  <si>
    <t>.1~1356</t>
  </si>
  <si>
    <t>.1~718</t>
  </si>
  <si>
    <t>.1~1235</t>
  </si>
  <si>
    <t>.1~1191</t>
  </si>
  <si>
    <t>.1~1015</t>
  </si>
  <si>
    <t>.1~971</t>
  </si>
  <si>
    <t>.1~839</t>
  </si>
  <si>
    <t>.1~685</t>
  </si>
  <si>
    <t>.1~1763</t>
  </si>
  <si>
    <t>.1~598</t>
  </si>
  <si>
    <t>.1~863</t>
  </si>
  <si>
    <t>.1~621</t>
  </si>
  <si>
    <t>.1~644</t>
  </si>
  <si>
    <t>.1~1040</t>
  </si>
  <si>
    <t>.1~991</t>
  </si>
  <si>
    <t>.1~1102</t>
  </si>
  <si>
    <t>.1~794</t>
  </si>
  <si>
    <t>02/17</t>
  </si>
  <si>
    <t>.1~1659</t>
  </si>
  <si>
    <t>.1~1439</t>
  </si>
  <si>
    <t>.1~1507</t>
  </si>
  <si>
    <t>.1~1331</t>
  </si>
  <si>
    <t>.1~1727</t>
  </si>
  <si>
    <t>.1~821</t>
  </si>
  <si>
    <t>.1~535</t>
  </si>
  <si>
    <t>.1~584</t>
  </si>
  <si>
    <t>.1~1728</t>
  </si>
  <si>
    <t>.1~1508</t>
  </si>
  <si>
    <t>.1~1757</t>
  </si>
  <si>
    <t>.1~1471</t>
  </si>
  <si>
    <t>.1~1229</t>
  </si>
  <si>
    <t>.1~1185</t>
  </si>
  <si>
    <t>.1~921</t>
  </si>
  <si>
    <t>.1~895</t>
  </si>
  <si>
    <t>.1~830</t>
  </si>
  <si>
    <t>.1~544</t>
  </si>
  <si>
    <t>.1~1188</t>
  </si>
  <si>
    <t>.1~1051</t>
  </si>
  <si>
    <t>.1~1064</t>
  </si>
  <si>
    <t>.1~563</t>
  </si>
  <si>
    <t>.1~1734</t>
  </si>
  <si>
    <t>.1~568</t>
  </si>
  <si>
    <t>.1~938</t>
  </si>
  <si>
    <t>.1~586</t>
  </si>
  <si>
    <t>.1~1499</t>
  </si>
  <si>
    <t>.1~575</t>
  </si>
  <si>
    <t>.1~1587</t>
  </si>
  <si>
    <t>.1~1236</t>
  </si>
  <si>
    <t>.1~686</t>
  </si>
  <si>
    <t>.1~664</t>
  </si>
  <si>
    <t>.1~1039</t>
  </si>
  <si>
    <t>.1~709</t>
  </si>
  <si>
    <t>.1~643</t>
  </si>
  <si>
    <t>.1~1259</t>
  </si>
  <si>
    <t>.1~842</t>
  </si>
  <si>
    <t>.1~600</t>
  </si>
  <si>
    <t>.1~1524</t>
  </si>
  <si>
    <t>.1~1454</t>
  </si>
  <si>
    <t>.1~838</t>
  </si>
  <si>
    <t>.1~816</t>
  </si>
  <si>
    <t>.1~662</t>
  </si>
  <si>
    <t>.1~1088</t>
  </si>
  <si>
    <t>.1~758</t>
  </si>
  <si>
    <t>.1~1305</t>
  </si>
  <si>
    <t>.1~1217</t>
  </si>
  <si>
    <t>.1~1173</t>
  </si>
  <si>
    <t>.1~1415</t>
  </si>
  <si>
    <t>.1~1684</t>
  </si>
  <si>
    <t>.1~1464</t>
  </si>
  <si>
    <t>.1~1605</t>
  </si>
  <si>
    <t>.1~1713</t>
  </si>
  <si>
    <t>.1~1405</t>
  </si>
  <si>
    <t>.1~1445</t>
  </si>
  <si>
    <t>.1~1379</t>
  </si>
  <si>
    <t>.1~1358</t>
  </si>
  <si>
    <t>.1~966</t>
  </si>
  <si>
    <t>.1~812</t>
  </si>
  <si>
    <t>.1~1606</t>
  </si>
  <si>
    <t>.1~1117</t>
  </si>
  <si>
    <t>.1~963</t>
  </si>
  <si>
    <t>.1~888</t>
  </si>
  <si>
    <t>.1~866</t>
  </si>
  <si>
    <t>.1~624</t>
  </si>
  <si>
    <t>.1~959</t>
  </si>
  <si>
    <t>.1~1514</t>
  </si>
  <si>
    <t>.1~1184</t>
  </si>
  <si>
    <t>.1~1774</t>
  </si>
  <si>
    <t>.1~1554</t>
  </si>
  <si>
    <t>.1~1105</t>
  </si>
  <si>
    <t>.1~885</t>
  </si>
  <si>
    <t>.1~1743</t>
  </si>
  <si>
    <t>.1~1567</t>
  </si>
  <si>
    <t>.1~1523</t>
  </si>
  <si>
    <t>.1~1347</t>
  </si>
  <si>
    <t>.1~688</t>
  </si>
  <si>
    <t>.1~666</t>
  </si>
  <si>
    <t>.1~1700</t>
  </si>
  <si>
    <t>.1~1480</t>
  </si>
  <si>
    <t>.1~1238</t>
  </si>
  <si>
    <t>.1~1018</t>
  </si>
  <si>
    <t>.1~507</t>
  </si>
  <si>
    <t>.1~1431</t>
  </si>
  <si>
    <t>.1~1277</t>
  </si>
  <si>
    <t>.1~1079</t>
  </si>
  <si>
    <t>.1~749</t>
  </si>
  <si>
    <t>.1~1564</t>
  </si>
  <si>
    <t>.1~1190</t>
  </si>
  <si>
    <t>.1~970</t>
  </si>
  <si>
    <t>.1~1285</t>
  </si>
  <si>
    <t>.1~1065</t>
  </si>
  <si>
    <t>.1~735</t>
  </si>
  <si>
    <t>.1~1396</t>
  </si>
  <si>
    <t>.1~934</t>
  </si>
  <si>
    <t>.1~670</t>
  </si>
  <si>
    <t>.1~957</t>
  </si>
  <si>
    <t>.1~637</t>
  </si>
  <si>
    <t>.1~1781</t>
  </si>
  <si>
    <t>.1~1753</t>
  </si>
  <si>
    <t>.1~1313</t>
  </si>
  <si>
    <t>.1~983</t>
  </si>
  <si>
    <t>.1~1490</t>
  </si>
  <si>
    <t>.1~918</t>
  </si>
  <si>
    <t>.1~566</t>
  </si>
  <si>
    <t>.1~638</t>
  </si>
  <si>
    <t>.1~1782</t>
  </si>
  <si>
    <t>.1~1760</t>
  </si>
  <si>
    <t>.1~941</t>
  </si>
  <si>
    <t>.1~809</t>
  </si>
  <si>
    <t>.1~1271</t>
  </si>
  <si>
    <t>.1~712</t>
  </si>
  <si>
    <t>.1~646</t>
  </si>
  <si>
    <t>.1~1262</t>
  </si>
  <si>
    <t>.1~651</t>
  </si>
  <si>
    <t>.1~1069</t>
  </si>
  <si>
    <t>.1~1382</t>
  </si>
  <si>
    <t>.1~986</t>
  </si>
  <si>
    <t>.1~832</t>
  </si>
  <si>
    <t>.1~744</t>
  </si>
  <si>
    <t>.1~1697</t>
  </si>
  <si>
    <t>.1~1566</t>
  </si>
  <si>
    <t>.1~1522</t>
  </si>
  <si>
    <t>.1~665</t>
  </si>
  <si>
    <t>.1~1722</t>
  </si>
  <si>
    <t>.1~1546</t>
  </si>
  <si>
    <t>.1~1502</t>
  </si>
  <si>
    <t>.1~1326</t>
  </si>
  <si>
    <t>.1~1321</t>
  </si>
  <si>
    <t>.1~925</t>
  </si>
  <si>
    <t>.1~882</t>
  </si>
  <si>
    <t>.1~574</t>
  </si>
  <si>
    <t>.1~530</t>
  </si>
  <si>
    <t>.1~1593</t>
  </si>
  <si>
    <t>.1~1373</t>
  </si>
  <si>
    <t>.1~911</t>
  </si>
  <si>
    <t>.1~780</t>
  </si>
  <si>
    <t>.1~803</t>
  </si>
  <si>
    <t>.1~759</t>
  </si>
  <si>
    <t>.1~517</t>
  </si>
  <si>
    <t>.1~1437</t>
  </si>
  <si>
    <t>.1~804</t>
  </si>
  <si>
    <t>.1~760</t>
  </si>
  <si>
    <t>.1~518</t>
  </si>
  <si>
    <t>.1~1090</t>
  </si>
  <si>
    <t>.1~725</t>
  </si>
  <si>
    <t>.1~1473</t>
  </si>
  <si>
    <t>.1~855</t>
  </si>
  <si>
    <t>.1~635</t>
  </si>
  <si>
    <t>.1~1071</t>
  </si>
  <si>
    <t>.1~741</t>
  </si>
  <si>
    <t>.1~1688</t>
  </si>
  <si>
    <t>.1~720</t>
  </si>
  <si>
    <t>.1~1494</t>
  </si>
  <si>
    <t>.1~1010</t>
  </si>
  <si>
    <t>.1~1342</t>
  </si>
  <si>
    <t>.1~726</t>
  </si>
  <si>
    <t>.1~1628</t>
  </si>
  <si>
    <t>.1~1474</t>
  </si>
  <si>
    <t>.1~633</t>
  </si>
  <si>
    <t>.1~1746</t>
  </si>
  <si>
    <t>.1~1570</t>
  </si>
  <si>
    <t>.1~1526</t>
  </si>
  <si>
    <t>.1~1350</t>
  </si>
  <si>
    <t>.1~1108</t>
  </si>
  <si>
    <t>.1~607</t>
  </si>
  <si>
    <t>.1~1619</t>
  </si>
  <si>
    <t>.1~1443</t>
  </si>
  <si>
    <t>.1~1399</t>
  </si>
  <si>
    <t>.1~893</t>
  </si>
  <si>
    <t>.1~805</t>
  </si>
  <si>
    <t>.1~1096</t>
  </si>
  <si>
    <t>.1~1730</t>
  </si>
  <si>
    <t>.1~1466</t>
  </si>
  <si>
    <t>.1~1422</t>
  </si>
  <si>
    <t>.1~1312</t>
  </si>
  <si>
    <t>.1~828</t>
  </si>
  <si>
    <t>.1~630</t>
  </si>
  <si>
    <t>.1~1081</t>
  </si>
  <si>
    <t>.1~883</t>
  </si>
  <si>
    <t>.1~751</t>
  </si>
  <si>
    <t>.1~509</t>
  </si>
  <si>
    <t>.1~1719</t>
  </si>
  <si>
    <t>.1~1170</t>
  </si>
  <si>
    <t>.1~906</t>
  </si>
  <si>
    <t>.1~973</t>
  </si>
  <si>
    <t>.1~1545</t>
  </si>
  <si>
    <t>.1~1193</t>
  </si>
  <si>
    <t>.1~534</t>
  </si>
  <si>
    <t>.1~1563</t>
  </si>
  <si>
    <t>.1~1387</t>
  </si>
  <si>
    <t>.1~1255</t>
  </si>
  <si>
    <t>.1~771</t>
  </si>
  <si>
    <t>.1~1696</t>
  </si>
  <si>
    <t>.1~1542</t>
  </si>
  <si>
    <t>.1~992</t>
  </si>
  <si>
    <t>.1~706</t>
  </si>
  <si>
    <t>.1~1131</t>
  </si>
  <si>
    <t>.1~1594</t>
  </si>
  <si>
    <t>.1~1374</t>
  </si>
  <si>
    <t>.1~1397</t>
  </si>
  <si>
    <t>.1~1155</t>
  </si>
  <si>
    <t>.1~935</t>
  </si>
  <si>
    <t>.1~1617</t>
  </si>
  <si>
    <t>.1~936</t>
  </si>
  <si>
    <t>.1~1618</t>
  </si>
  <si>
    <t>.1~1398</t>
  </si>
  <si>
    <t>.1~1156</t>
  </si>
  <si>
    <t>.1~659</t>
  </si>
  <si>
    <t>.1~1033</t>
  </si>
  <si>
    <t>.1~1011</t>
  </si>
  <si>
    <t>.1~1779</t>
  </si>
  <si>
    <t>.1~1647</t>
  </si>
  <si>
    <t>.1~1295</t>
  </si>
  <si>
    <t>.1~1555</t>
  </si>
  <si>
    <t>.1~1137</t>
  </si>
  <si>
    <t>.1~1622</t>
  </si>
  <si>
    <t>.1~1560</t>
  </si>
  <si>
    <t>.1~1516</t>
  </si>
  <si>
    <t>.1~1340</t>
  </si>
  <si>
    <t>.1~1164</t>
  </si>
  <si>
    <t>.1~746</t>
  </si>
  <si>
    <t>.1~1034</t>
  </si>
  <si>
    <t>.1~1012</t>
  </si>
  <si>
    <t>.1~660</t>
  </si>
  <si>
    <t>.1~985</t>
  </si>
  <si>
    <t>.1~919</t>
  </si>
  <si>
    <t>.1~1755</t>
  </si>
  <si>
    <t>.1~1623</t>
  </si>
  <si>
    <t>.1~910</t>
  </si>
  <si>
    <t>.1~1223</t>
  </si>
  <si>
    <t>.1~1179</t>
  </si>
  <si>
    <t>.1~1091</t>
  </si>
  <si>
    <t>.1~1624</t>
  </si>
  <si>
    <t>.1~1008</t>
  </si>
  <si>
    <t>.1~788</t>
  </si>
  <si>
    <t>.1~722</t>
  </si>
  <si>
    <t>.1~1686</t>
  </si>
  <si>
    <t>.1~1202</t>
  </si>
  <si>
    <t>.1~652</t>
  </si>
  <si>
    <t>.1~1147</t>
  </si>
  <si>
    <t>.1~1324</t>
  </si>
  <si>
    <t>.1~796</t>
  </si>
  <si>
    <t>.1~554</t>
  </si>
  <si>
    <t>.1~510</t>
  </si>
  <si>
    <t>.1~1368</t>
  </si>
  <si>
    <t>.1~819</t>
  </si>
  <si>
    <t>.1~577</t>
  </si>
  <si>
    <t>.1~533</t>
  </si>
  <si>
    <t>.1~1414</t>
  </si>
  <si>
    <t>.1~1172</t>
  </si>
  <si>
    <t>.1~952</t>
  </si>
  <si>
    <t>.1~1497</t>
  </si>
  <si>
    <t>.1~1718</t>
  </si>
  <si>
    <t>.1~1388</t>
  </si>
  <si>
    <t>.1~552</t>
  </si>
  <si>
    <t>.1~1571</t>
  </si>
  <si>
    <t>.1~1351</t>
  </si>
  <si>
    <t>.1~1770</t>
  </si>
  <si>
    <t>.1~1066</t>
  </si>
  <si>
    <t>.1~868</t>
  </si>
  <si>
    <t>.1~1283</t>
  </si>
  <si>
    <t>.1~1063</t>
  </si>
  <si>
    <t>.1~733</t>
  </si>
  <si>
    <t>.1~782</t>
  </si>
  <si>
    <t>.1~1715</t>
  </si>
  <si>
    <t>.1~945</t>
  </si>
  <si>
    <t>.1~923</t>
  </si>
  <si>
    <t>.1~769</t>
  </si>
  <si>
    <t>.1~1141</t>
  </si>
  <si>
    <t>.1~1643</t>
  </si>
  <si>
    <t>.1~1467</t>
  </si>
  <si>
    <t>.1~609</t>
  </si>
  <si>
    <t>.1~1380</t>
  </si>
  <si>
    <t>.1~1094</t>
  </si>
  <si>
    <t>.1~1006</t>
  </si>
  <si>
    <t>.1~680</t>
  </si>
  <si>
    <t>.1~924</t>
  </si>
  <si>
    <t>.1~770</t>
  </si>
  <si>
    <t>.1~1007</t>
  </si>
  <si>
    <t>.1~875</t>
  </si>
  <si>
    <t>.1~743</t>
  </si>
  <si>
    <t>.1~611</t>
  </si>
  <si>
    <t>.1~1491</t>
  </si>
  <si>
    <t>.1~1337</t>
  </si>
  <si>
    <t>.1~932</t>
  </si>
  <si>
    <t>.1~1196</t>
  </si>
  <si>
    <t>.1~976</t>
  </si>
  <si>
    <t>.1~981</t>
  </si>
  <si>
    <t>.1~1074</t>
  </si>
  <si>
    <t>.1~1444</t>
  </si>
  <si>
    <t>.1~1389</t>
  </si>
  <si>
    <t>.1~1367</t>
  </si>
  <si>
    <t>.1~1148</t>
  </si>
  <si>
    <t>.1~995</t>
  </si>
  <si>
    <t>.1~1677</t>
  </si>
  <si>
    <t>.1~1633</t>
  </si>
  <si>
    <t>.1~1457</t>
  </si>
  <si>
    <t>.1~1413</t>
  </si>
  <si>
    <t>.1~1303</t>
  </si>
  <si>
    <t>.1~1215</t>
  </si>
  <si>
    <t>.1~1171</t>
  </si>
  <si>
    <t>.1~798</t>
  </si>
  <si>
    <t>.1~556</t>
  </si>
  <si>
    <t>.1~512</t>
  </si>
  <si>
    <t>.1~859</t>
  </si>
  <si>
    <t>.1~1674</t>
  </si>
  <si>
    <t>.1~1586</t>
  </si>
  <si>
    <t>.1~1080</t>
  </si>
  <si>
    <t>.1~904</t>
  </si>
  <si>
    <t>.1~845</t>
  </si>
  <si>
    <t>.1~603</t>
  </si>
  <si>
    <t>.1~1264</t>
  </si>
  <si>
    <t>.1~714</t>
  </si>
  <si>
    <t>.1~648</t>
  </si>
  <si>
    <t>.1~1371</t>
  </si>
  <si>
    <t>.1~1129</t>
  </si>
  <si>
    <t>.1~909</t>
  </si>
  <si>
    <t>.1~1591</t>
  </si>
  <si>
    <t>.1~615</t>
  </si>
  <si>
    <t>.1~1319</t>
  </si>
  <si>
    <t>.1~813</t>
  </si>
  <si>
    <t>.1~1669</t>
  </si>
  <si>
    <t>.1~1075</t>
  </si>
  <si>
    <t>.1~1291</t>
  </si>
  <si>
    <t>.1~1314</t>
  </si>
  <si>
    <t>.1~1248</t>
  </si>
  <si>
    <t>.1~984</t>
  </si>
  <si>
    <t>.1~786</t>
  </si>
  <si>
    <t>.1~1054</t>
  </si>
  <si>
    <t>.1~504</t>
  </si>
  <si>
    <t>.1~1320</t>
  </si>
  <si>
    <t>.1~814</t>
  </si>
  <si>
    <t>.1~616</t>
  </si>
  <si>
    <t>.1~1513</t>
  </si>
  <si>
    <t>.1~822</t>
  </si>
  <si>
    <t>.1~580</t>
  </si>
  <si>
    <t>.1~536</t>
  </si>
  <si>
    <t>.1~739</t>
  </si>
  <si>
    <t>.1~1663</t>
  </si>
  <si>
    <t>.1~1135</t>
  </si>
  <si>
    <t>.1~1272</t>
  </si>
  <si>
    <t>.1~1140</t>
  </si>
  <si>
    <t>.1~942</t>
  </si>
  <si>
    <t>.1~700</t>
  </si>
  <si>
    <t>.1~762</t>
  </si>
  <si>
    <t>.1~520</t>
  </si>
  <si>
    <t>.1~1302</t>
  </si>
  <si>
    <t>.1~1016</t>
  </si>
  <si>
    <t>.1~950</t>
  </si>
  <si>
    <t>.1~1632</t>
  </si>
  <si>
    <t>.1~1610</t>
  </si>
  <si>
    <t>.1~1456</t>
  </si>
  <si>
    <t>.1~1412</t>
  </si>
  <si>
    <t>.1~555</t>
  </si>
  <si>
    <t>.1~1656</t>
  </si>
  <si>
    <t>.1~1612</t>
  </si>
  <si>
    <t>.1~1436</t>
  </si>
  <si>
    <t>.1~1392</t>
  </si>
  <si>
    <t>.1~661</t>
  </si>
  <si>
    <t>.1~1717</t>
  </si>
  <si>
    <t>.1~1475</t>
  </si>
  <si>
    <t>.1~1035</t>
  </si>
  <si>
    <t>.1~705</t>
  </si>
  <si>
    <t>.1~1212</t>
  </si>
  <si>
    <t>.1~1703</t>
  </si>
  <si>
    <t>.1~1483</t>
  </si>
  <si>
    <t>.1~1241</t>
  </si>
  <si>
    <t>.1~1197</t>
  </si>
  <si>
    <t>.1~1087</t>
  </si>
  <si>
    <t>.1~1021</t>
  </si>
  <si>
    <t>.1~977</t>
  </si>
  <si>
    <t>.1~691</t>
  </si>
  <si>
    <t>.1~1748</t>
  </si>
  <si>
    <t>.1~1528</t>
  </si>
  <si>
    <t>.1~604</t>
  </si>
  <si>
    <t>.1~869</t>
  </si>
  <si>
    <t>.1~627</t>
  </si>
  <si>
    <t>.1~1767</t>
  </si>
  <si>
    <t>.1~870</t>
  </si>
  <si>
    <t>.1~628</t>
  </si>
  <si>
    <t>.1~1772</t>
  </si>
  <si>
    <t>.1~703</t>
  </si>
  <si>
    <t>.1~505</t>
  </si>
  <si>
    <t>.1~1143</t>
  </si>
  <si>
    <t>.1~1121</t>
  </si>
  <si>
    <t>.1~1361</t>
  </si>
  <si>
    <t>.1~657</t>
  </si>
  <si>
    <t>.1~1665</t>
  </si>
  <si>
    <t>.1~1533</t>
  </si>
  <si>
    <t>.1~939</t>
  </si>
  <si>
    <t>.1~543</t>
  </si>
  <si>
    <t>.1~1710</t>
  </si>
  <si>
    <t>.1~1160</t>
  </si>
  <si>
    <t>.1~742</t>
  </si>
  <si>
    <t>.1~676</t>
  </si>
  <si>
    <t>.1~614</t>
  </si>
  <si>
    <t>.1~1144</t>
  </si>
  <si>
    <t>.1~704</t>
  </si>
  <si>
    <t>.1~506</t>
  </si>
  <si>
    <t>.1~1672</t>
  </si>
  <si>
    <t>.1~1452</t>
  </si>
  <si>
    <t>.1~1095</t>
  </si>
  <si>
    <t>.1~853</t>
  </si>
  <si>
    <t>.1~721</t>
  </si>
  <si>
    <t>.1~589</t>
  </si>
  <si>
    <t>.1~1680</t>
  </si>
  <si>
    <t>.1~1636</t>
  </si>
  <si>
    <t>.1~1460</t>
  </si>
  <si>
    <t>.1~1416</t>
  </si>
  <si>
    <t>.1~1306</t>
  </si>
  <si>
    <t>.1~1218</t>
  </si>
  <si>
    <t>.1~998</t>
  </si>
  <si>
    <t>.1~1267</t>
  </si>
  <si>
    <t>.1~1245</t>
  </si>
  <si>
    <t>.1~915</t>
  </si>
  <si>
    <t>.1~1338</t>
  </si>
  <si>
    <t>.1~1290</t>
  </si>
  <si>
    <t>.1~1114</t>
  </si>
  <si>
    <t>.1~795</t>
  </si>
  <si>
    <t>.1~619</t>
  </si>
  <si>
    <t>.1~1609</t>
  </si>
  <si>
    <t>.1~1280</t>
  </si>
  <si>
    <t>.1~1060</t>
  </si>
  <si>
    <t>.1~1083</t>
  </si>
  <si>
    <t>.1~1655</t>
  </si>
  <si>
    <t>.1~1435</t>
  </si>
  <si>
    <t>.1~1607</t>
  </si>
  <si>
    <t>.1~881</t>
  </si>
  <si>
    <t>.1~1652</t>
  </si>
  <si>
    <t>.1~1300</t>
  </si>
  <si>
    <t>.1~1725</t>
  </si>
  <si>
    <t>.1~1505</t>
  </si>
  <si>
    <t>.1~581</t>
  </si>
  <si>
    <t>.1~559</t>
  </si>
  <si>
    <t>.1~1704</t>
  </si>
  <si>
    <t>.1~1484</t>
  </si>
  <si>
    <t>.1~1242</t>
  </si>
  <si>
    <t>.1~1022</t>
  </si>
  <si>
    <t>.1~1265</t>
  </si>
  <si>
    <t>.1~1045</t>
  </si>
  <si>
    <t>.1~715</t>
  </si>
  <si>
    <t>.1~649</t>
  </si>
  <si>
    <t>.1~1349</t>
  </si>
  <si>
    <t>.1~1657</t>
  </si>
  <si>
    <t>.1~1569</t>
  </si>
  <si>
    <t>.1~716</t>
  </si>
  <si>
    <t>.1~650</t>
  </si>
  <si>
    <t>.1~1266</t>
  </si>
  <si>
    <t>.1~1046</t>
  </si>
  <si>
    <t>.1~527</t>
  </si>
  <si>
    <t>.1~1583</t>
  </si>
  <si>
    <t>.1~1537</t>
  </si>
  <si>
    <t>.1~723</t>
  </si>
  <si>
    <t>.1~591</t>
  </si>
  <si>
    <t>.1~1027</t>
  </si>
  <si>
    <t>.1~1556</t>
  </si>
  <si>
    <t>.1~1138</t>
  </si>
  <si>
    <t>.1~764</t>
  </si>
  <si>
    <t>.1~1450</t>
  </si>
  <si>
    <t>.1~1406</t>
  </si>
  <si>
    <t>.1~1274</t>
  </si>
  <si>
    <t>.1~1142</t>
  </si>
  <si>
    <t>.1~900</t>
  </si>
  <si>
    <t>.1~1780</t>
  </si>
  <si>
    <t>.1~528</t>
  </si>
  <si>
    <t>.1~1584</t>
  </si>
  <si>
    <t>.1~567</t>
  </si>
  <si>
    <t>.1~1777</t>
  </si>
  <si>
    <t>.1~1249</t>
  </si>
  <si>
    <t>.1~1020</t>
  </si>
  <si>
    <t>.1~717</t>
  </si>
  <si>
    <t>.1~1575</t>
  </si>
  <si>
    <t>.1~1531</t>
  </si>
  <si>
    <t>.1~1355</t>
  </si>
  <si>
    <t>.1~1003</t>
  </si>
  <si>
    <t>.1~1664</t>
  </si>
  <si>
    <t>.1~1598</t>
  </si>
  <si>
    <t>.1~1378</t>
  </si>
  <si>
    <t>.1~1026</t>
  </si>
  <si>
    <t>.1~784</t>
  </si>
  <si>
    <t>.1~740</t>
  </si>
  <si>
    <t>.1~1565</t>
  </si>
  <si>
    <t>.1~1257</t>
  </si>
  <si>
    <t>.1~1037</t>
  </si>
  <si>
    <t>.1~927</t>
  </si>
  <si>
    <t>.1~707</t>
  </si>
  <si>
    <t>.1~994</t>
  </si>
  <si>
    <t>.1~620</t>
  </si>
  <si>
    <t>.1~1764</t>
  </si>
  <si>
    <t>.1~1676</t>
  </si>
  <si>
    <t>.1~732</t>
  </si>
  <si>
    <t>.1~1282</t>
  </si>
  <si>
    <t>.1~1062</t>
  </si>
  <si>
    <t>.1~683</t>
  </si>
  <si>
    <t>.1~1673</t>
  </si>
  <si>
    <t>.1~1124</t>
  </si>
  <si>
    <t>.1~1681</t>
  </si>
  <si>
    <t>.1~1461</t>
  </si>
  <si>
    <t>.1~1726</t>
  </si>
  <si>
    <t>.1~1550</t>
  </si>
  <si>
    <t>.1~1330</t>
  </si>
  <si>
    <t>.1~1573</t>
  </si>
  <si>
    <t>.1~1529</t>
  </si>
  <si>
    <t>.1~1353</t>
  </si>
  <si>
    <t>.1~1111</t>
  </si>
  <si>
    <t>.1~891</t>
  </si>
  <si>
    <t>.1~1749</t>
  </si>
  <si>
    <t>.1~843</t>
  </si>
  <si>
    <t>.1~601</t>
  </si>
  <si>
    <t>.1~892</t>
  </si>
  <si>
    <t>.1~1750</t>
  </si>
  <si>
    <t>.1~1530</t>
  </si>
  <si>
    <t>.1~1112</t>
  </si>
  <si>
    <t>.1~1693</t>
  </si>
  <si>
    <t>.1~1385</t>
  </si>
  <si>
    <t>.1~1493</t>
  </si>
  <si>
    <t>.1~1251</t>
  </si>
  <si>
    <t>.1~943</t>
  </si>
  <si>
    <t>.1~1489</t>
  </si>
  <si>
    <t>.1~917</t>
  </si>
  <si>
    <t>.1~851</t>
  </si>
  <si>
    <t>.1~631</t>
  </si>
  <si>
    <t>.1~1732</t>
  </si>
  <si>
    <t>.1~1644</t>
  </si>
  <si>
    <t>.1~610</t>
  </si>
  <si>
    <t>.1~1076</t>
  </si>
  <si>
    <t>.1~702</t>
  </si>
  <si>
    <t>.1~1386</t>
  </si>
  <si>
    <t>.1~1694</t>
  </si>
  <si>
    <t>.1~1540</t>
  </si>
  <si>
    <t>.1~756</t>
  </si>
  <si>
    <t>.1~1658</t>
  </si>
  <si>
    <t>.1~1086</t>
  </si>
  <si>
    <t>.1~585</t>
  </si>
  <si>
    <t>.1~937</t>
  </si>
  <si>
    <t>.1~1756</t>
  </si>
  <si>
    <t>.1~1580</t>
  </si>
  <si>
    <t>.1~1536</t>
  </si>
  <si>
    <t>.1~1426</t>
  </si>
  <si>
    <t>.1~590</t>
  </si>
  <si>
    <t>.1~1246</t>
  </si>
  <si>
    <t>.1~1158</t>
  </si>
  <si>
    <t>.1~1521</t>
  </si>
  <si>
    <t>.1~1103</t>
  </si>
  <si>
    <t>.1~817</t>
  </si>
  <si>
    <t>.1~773</t>
  </si>
  <si>
    <t>.1~1258</t>
  </si>
  <si>
    <t>.1~862</t>
  </si>
  <si>
    <t>.1~708</t>
  </si>
  <si>
    <t>.1~642</t>
  </si>
  <si>
    <t>.1~1061</t>
  </si>
  <si>
    <t>.1~775</t>
  </si>
  <si>
    <t>.1~731</t>
  </si>
  <si>
    <t>.1~1281</t>
  </si>
  <si>
    <t>.1~622</t>
  </si>
  <si>
    <t>.1~1541</t>
  </si>
  <si>
    <t>.1~1189</t>
  </si>
  <si>
    <t>.1~1762</t>
  </si>
  <si>
    <t>.1~1498</t>
  </si>
  <si>
    <t>.1~1234</t>
  </si>
  <si>
    <t>.1~538</t>
  </si>
  <si>
    <t>.1~671</t>
  </si>
  <si>
    <t>.1~1195</t>
  </si>
  <si>
    <t>.1~1019</t>
  </si>
  <si>
    <t>.1~689</t>
  </si>
  <si>
    <t>.1~1701</t>
  </si>
  <si>
    <t>.1~1481</t>
  </si>
  <si>
    <t>.1~672</t>
  </si>
  <si>
    <t>.1~1706</t>
  </si>
  <si>
    <t>.1~1517</t>
  </si>
  <si>
    <t>.1~989</t>
  </si>
  <si>
    <t>.1~901</t>
  </si>
  <si>
    <t>.1~835</t>
  </si>
  <si>
    <t>.1~791</t>
  </si>
  <si>
    <t>.1~1559</t>
  </si>
  <si>
    <t>.1~569</t>
  </si>
  <si>
    <t>.1~1687</t>
  </si>
  <si>
    <t>.1~1578</t>
  </si>
  <si>
    <t>.1~808</t>
  </si>
  <si>
    <t>.1~990</t>
  </si>
  <si>
    <t>.1~836</t>
  </si>
  <si>
    <t>.1~792</t>
  </si>
  <si>
    <t>.1~594</t>
  </si>
  <si>
    <t>.1~1518</t>
  </si>
  <si>
    <t>.1~1139</t>
  </si>
  <si>
    <t>.1~1667</t>
  </si>
  <si>
    <t>.1~1403</t>
  </si>
  <si>
    <t>.1~1227</t>
  </si>
  <si>
    <t>.1~673</t>
  </si>
  <si>
    <t>.1~1773</t>
  </si>
  <si>
    <t>.1~1047</t>
  </si>
  <si>
    <t>.1~1030</t>
  </si>
  <si>
    <t>.1~854</t>
  </si>
  <si>
    <t>.1~1752</t>
  </si>
  <si>
    <t>.1~1004</t>
  </si>
  <si>
    <t>.1~872</t>
  </si>
  <si>
    <t>.1~1345</t>
  </si>
  <si>
    <t>.1~861</t>
  </si>
  <si>
    <t>.1~1104</t>
  </si>
  <si>
    <t>.1~1127</t>
  </si>
  <si>
    <t>.1~907</t>
  </si>
  <si>
    <t>.1~1589</t>
  </si>
  <si>
    <t>.1~1369</t>
  </si>
  <si>
    <t>.1~710</t>
  </si>
  <si>
    <t>.1~1260</t>
  </si>
  <si>
    <t>.1~617</t>
  </si>
  <si>
    <t>.1~529</t>
  </si>
  <si>
    <t>.1~1761</t>
  </si>
  <si>
    <t>.1~815</t>
  </si>
  <si>
    <t>.1~1769</t>
  </si>
  <si>
    <t>.1~801</t>
  </si>
  <si>
    <t>.1~757</t>
  </si>
  <si>
    <t>.1~515</t>
  </si>
  <si>
    <t>.1~1638</t>
  </si>
  <si>
    <t>.1~1418</t>
  </si>
  <si>
    <t>.1~1176</t>
  </si>
  <si>
    <t>.1~1044</t>
  </si>
  <si>
    <t>.1~956</t>
  </si>
  <si>
    <t>.1~1551</t>
  </si>
  <si>
    <t>.1~1199</t>
  </si>
  <si>
    <t>.1~979</t>
  </si>
  <si>
    <t>.1~579</t>
  </si>
  <si>
    <t>.1~1723</t>
  </si>
  <si>
    <t>.1~1503</t>
  </si>
  <si>
    <t>.1~1552</t>
  </si>
  <si>
    <t>.1~1332</t>
  </si>
  <si>
    <t>.1~1187</t>
  </si>
  <si>
    <t>.1~1031</t>
  </si>
  <si>
    <t>.1~987</t>
  </si>
  <si>
    <t>.1~1621</t>
  </si>
  <si>
    <t>.1~1599</t>
  </si>
  <si>
    <t>.1~1203</t>
  </si>
  <si>
    <t>.1~1666</t>
  </si>
  <si>
    <t>.1~1534</t>
  </si>
  <si>
    <t>.1~1336</t>
  </si>
  <si>
    <t>.1~1182</t>
  </si>
  <si>
    <t>.1~940</t>
  </si>
  <si>
    <t>.1~748</t>
  </si>
  <si>
    <t>.1~1293</t>
  </si>
  <si>
    <t>.1~778</t>
  </si>
  <si>
    <t>.1~734</t>
  </si>
  <si>
    <t>.1~1284</t>
  </si>
  <si>
    <t>.1~1707</t>
  </si>
  <si>
    <t>.1~1558</t>
  </si>
  <si>
    <t>.1~1492</t>
  </si>
  <si>
    <t>.1~1404</t>
  </si>
  <si>
    <t>.1~898</t>
  </si>
  <si>
    <t>.1~1642</t>
  </si>
  <si>
    <t>.1~1543</t>
  </si>
  <si>
    <t>.1~1654</t>
  </si>
  <si>
    <t>.1~1588</t>
  </si>
  <si>
    <t>.1~1765</t>
  </si>
  <si>
    <t>.1~886</t>
  </si>
  <si>
    <t>.1~1744</t>
  </si>
  <si>
    <t>.1~1568</t>
  </si>
  <si>
    <t>.1~1348</t>
  </si>
  <si>
    <t>.1~1106</t>
  </si>
  <si>
    <t>.1~947</t>
  </si>
  <si>
    <t>.1~596</t>
  </si>
  <si>
    <t>.1~1615</t>
  </si>
  <si>
    <t>.1~1395</t>
  </si>
  <si>
    <t>.1~1153</t>
  </si>
  <si>
    <t>.1~933</t>
  </si>
  <si>
    <t>.1~802</t>
  </si>
  <si>
    <t>.1~560</t>
  </si>
  <si>
    <t>.1~516</t>
  </si>
  <si>
    <t>.1~825</t>
  </si>
  <si>
    <t>.1~583</t>
  </si>
  <si>
    <t>.1~539</t>
  </si>
  <si>
    <t>.1~1459</t>
  </si>
  <si>
    <t>.1~826</t>
  </si>
  <si>
    <t>.1~540</t>
  </si>
  <si>
    <t>.1~877</t>
  </si>
  <si>
    <t>.1~1775</t>
  </si>
  <si>
    <t>.1~1269</t>
  </si>
  <si>
    <t>.1~1093</t>
  </si>
  <si>
    <t>.1~1005</t>
  </si>
  <si>
    <t>.1~1028</t>
  </si>
  <si>
    <t>.1~522</t>
  </si>
  <si>
    <t>.1~1120</t>
  </si>
  <si>
    <t>.1~570</t>
  </si>
  <si>
    <t>.1~526</t>
  </si>
  <si>
    <t>.1~1736</t>
  </si>
  <si>
    <t>.1~523</t>
  </si>
  <si>
    <t>.1~1711</t>
  </si>
  <si>
    <t>.1~1592</t>
  </si>
  <si>
    <t>.1~1372</t>
  </si>
  <si>
    <t>.1~1130</t>
  </si>
  <si>
    <t>.1~629</t>
  </si>
  <si>
    <t>.1~1729</t>
  </si>
  <si>
    <t>.1~1465</t>
  </si>
  <si>
    <t>.1~1421</t>
  </si>
  <si>
    <t>.1~1311</t>
  </si>
  <si>
    <t>.1~827</t>
  </si>
  <si>
    <t>.1~1250</t>
  </si>
  <si>
    <t>.1~524</t>
  </si>
  <si>
    <t>.1~1488</t>
  </si>
  <si>
    <t>.1~1048</t>
  </si>
  <si>
    <t>.1~850</t>
  </si>
  <si>
    <t>.1~674</t>
  </si>
  <si>
    <t>.1~949</t>
  </si>
  <si>
    <t>.1~663</t>
  </si>
  <si>
    <t>.1~531</t>
  </si>
  <si>
    <t>.1~1741</t>
  </si>
  <si>
    <t>.1~1192</t>
  </si>
  <si>
    <t>.1~1698</t>
  </si>
  <si>
    <t>.1~595</t>
  </si>
  <si>
    <t>.1~573</t>
  </si>
  <si>
    <t>.1~551</t>
  </si>
  <si>
    <t>.1~1145</t>
  </si>
  <si>
    <t>.1~793</t>
  </si>
  <si>
    <t>.1~1520</t>
  </si>
  <si>
    <t>.1~1014</t>
  </si>
  <si>
    <t>.1~779</t>
  </si>
  <si>
    <t>.1~1660</t>
  </si>
  <si>
    <t>.1~1616</t>
  </si>
  <si>
    <t>.1~1440</t>
  </si>
  <si>
    <t>.1~1463</t>
  </si>
  <si>
    <t>.1~1419</t>
  </si>
  <si>
    <t>.1~1309</t>
  </si>
  <si>
    <t>.1~1221</t>
  </si>
  <si>
    <t>.1~1177</t>
  </si>
  <si>
    <t>.1~1001</t>
  </si>
  <si>
    <t>.1~1683</t>
  </si>
  <si>
    <t>.1~1639</t>
  </si>
  <si>
    <t>.1~1640</t>
  </si>
  <si>
    <t>.1~1420</t>
  </si>
  <si>
    <t>.1~1310</t>
  </si>
  <si>
    <t>.1~1222</t>
  </si>
  <si>
    <t>.1~1178</t>
  </si>
  <si>
    <t>.1~1002</t>
  </si>
  <si>
    <t>.1~958</t>
  </si>
  <si>
    <t>.1~1759</t>
  </si>
  <si>
    <t>.1~1363</t>
  </si>
  <si>
    <t>.1~1009</t>
  </si>
  <si>
    <t>.1~1247</t>
  </si>
  <si>
    <t>.1~873</t>
  </si>
  <si>
    <t>.1~785</t>
  </si>
  <si>
    <t>.1~852</t>
  </si>
  <si>
    <t>.1~632</t>
  </si>
  <si>
    <t>.1~1582</t>
  </si>
  <si>
    <t>.1~1538</t>
  </si>
  <si>
    <t>.1~1362</t>
  </si>
  <si>
    <t>.1~1230</t>
  </si>
  <si>
    <t>.1~1186</t>
  </si>
  <si>
    <t>.1~878</t>
  </si>
  <si>
    <t>.1~768</t>
  </si>
  <si>
    <t>.1~1714</t>
  </si>
  <si>
    <t>.1~1648</t>
  </si>
  <si>
    <t>.1~1364</t>
  </si>
  <si>
    <t>.1~1733</t>
  </si>
  <si>
    <t>.1~1557</t>
  </si>
  <si>
    <t>.1~1768</t>
  </si>
  <si>
    <t>.1~1685</t>
  </si>
  <si>
    <t>.1~1201</t>
  </si>
  <si>
    <t>.1~1690</t>
  </si>
  <si>
    <t>.1~1646</t>
  </si>
  <si>
    <t>.1~1470</t>
  </si>
  <si>
    <t>.1~1294</t>
  </si>
  <si>
    <t>.1~810</t>
  </si>
  <si>
    <t>.1~766</t>
  </si>
  <si>
    <t>.1~1708</t>
  </si>
  <si>
    <t>.1~1510</t>
  </si>
  <si>
    <t>.1~1334</t>
  </si>
  <si>
    <t>.1~696</t>
  </si>
  <si>
    <t>.1~542</t>
  </si>
  <si>
    <t>.1~1323</t>
  </si>
  <si>
    <t>.1~1213</t>
  </si>
  <si>
    <t>.1~1169</t>
  </si>
  <si>
    <t>.1~993</t>
  </si>
  <si>
    <t>.1~818</t>
  </si>
  <si>
    <t>.1~576</t>
  </si>
  <si>
    <t>.1~532</t>
  </si>
  <si>
    <t>.1~841</t>
  </si>
  <si>
    <t>.1~599</t>
  </si>
  <si>
    <t>.1~1194</t>
  </si>
  <si>
    <t>.1~974</t>
  </si>
  <si>
    <t>.1~1585</t>
  </si>
  <si>
    <t>.1~1519</t>
  </si>
  <si>
    <t>.1~1740</t>
  </si>
  <si>
    <t>.1~1410</t>
  </si>
  <si>
    <t>.1~561</t>
  </si>
  <si>
    <t>.1~1085</t>
  </si>
  <si>
    <t>.1~799</t>
  </si>
  <si>
    <t>.1~755</t>
  </si>
  <si>
    <t>.1~513</t>
  </si>
  <si>
    <t>.1~1679</t>
  </si>
  <si>
    <t>.1~562</t>
  </si>
  <si>
    <t>.1~1627</t>
  </si>
  <si>
    <t>.1~1341</t>
  </si>
  <si>
    <t>.1~1735</t>
  </si>
  <si>
    <t>.1~1449</t>
  </si>
  <si>
    <t>.1~1163</t>
  </si>
  <si>
    <t>.1~899</t>
  </si>
  <si>
    <t>.1~1709</t>
  </si>
  <si>
    <t>.1~1401</t>
  </si>
  <si>
    <t>.1~1159</t>
  </si>
  <si>
    <t>.1~675</t>
  </si>
  <si>
    <t>.1~653</t>
  </si>
  <si>
    <t>.1~1029</t>
  </si>
  <si>
    <t>.1~765</t>
  </si>
  <si>
    <t>.1~1689</t>
  </si>
  <si>
    <t>.1~954</t>
  </si>
  <si>
    <t>.1~564</t>
  </si>
  <si>
    <t>.1~553</t>
  </si>
  <si>
    <t>.1~1214</t>
  </si>
  <si>
    <t>.1~1017</t>
  </si>
  <si>
    <t>.1~687</t>
  </si>
  <si>
    <t>.1~1699</t>
  </si>
  <si>
    <t>.1~1479</t>
  </si>
  <si>
    <t>.1~1237</t>
  </si>
  <si>
    <t>.1~820</t>
  </si>
  <si>
    <t>.1~578</t>
  </si>
  <si>
    <t>.1~639</t>
  </si>
  <si>
    <t>.1~1343</t>
  </si>
  <si>
    <t>.1~1608</t>
  </si>
  <si>
    <t>.1~1322</t>
  </si>
  <si>
    <t>.1~926</t>
  </si>
  <si>
    <t>.1~867</t>
  </si>
  <si>
    <t>.1~625</t>
  </si>
  <si>
    <t>.1~1286</t>
  </si>
  <si>
    <t>.1~736</t>
  </si>
  <si>
    <t>.1~1441</t>
  </si>
  <si>
    <t>.1~1089</t>
  </si>
  <si>
    <t>.1~1661</t>
  </si>
  <si>
    <t>.1~1151</t>
  </si>
  <si>
    <t>.1~931</t>
  </si>
  <si>
    <t>.1~1613</t>
  </si>
  <si>
    <t>.1~1393</t>
  </si>
  <si>
    <t>.1~1662</t>
  </si>
  <si>
    <t>.1~1442</t>
  </si>
  <si>
    <t>.1~1429</t>
  </si>
  <si>
    <t>.1~1165</t>
  </si>
  <si>
    <t>.1~1691</t>
  </si>
  <si>
    <t>.1~1581</t>
  </si>
  <si>
    <t>.1~767</t>
  </si>
  <si>
    <t>.1~763</t>
  </si>
  <si>
    <t>.1~1600</t>
  </si>
  <si>
    <t>.1~1204</t>
  </si>
  <si>
    <t>.1~944</t>
  </si>
  <si>
    <t>.1~856</t>
  </si>
  <si>
    <t>.1~790</t>
  </si>
  <si>
    <t>.1~1692</t>
  </si>
  <si>
    <t>.1~1670</t>
  </si>
  <si>
    <t>.1~1166</t>
  </si>
  <si>
    <t>.1~1430</t>
  </si>
  <si>
    <t>.1~844</t>
  </si>
  <si>
    <t>.1~602</t>
  </si>
  <si>
    <t>.1~519</t>
  </si>
  <si>
    <t>.1~761</t>
  </si>
  <si>
    <t>.1~1668</t>
  </si>
  <si>
    <t>.1~1448</t>
  </si>
  <si>
    <t>.1~1228</t>
  </si>
  <si>
    <t>.1~1162</t>
  </si>
  <si>
    <t>.1~964</t>
  </si>
  <si>
    <t>.1~960</t>
  </si>
  <si>
    <t>.1~1038</t>
  </si>
  <si>
    <t>.1~1478</t>
  </si>
  <si>
    <t>.1~1721</t>
  </si>
  <si>
    <t>.1~1501</t>
  </si>
  <si>
    <t>.1~1325</t>
  </si>
  <si>
    <t>.1~1678</t>
  </si>
  <si>
    <t>.1~1634</t>
  </si>
  <si>
    <t>.1~1458</t>
  </si>
  <si>
    <t>.1~1304</t>
  </si>
  <si>
    <t>.1~1216</t>
  </si>
  <si>
    <t>.1~996</t>
  </si>
  <si>
    <t>.1~1739</t>
  </si>
  <si>
    <t>.1~1299</t>
  </si>
  <si>
    <t>.1~1233</t>
  </si>
  <si>
    <t>.1~1057</t>
  </si>
  <si>
    <t>.1~727</t>
  </si>
  <si>
    <t>.1~1168</t>
  </si>
  <si>
    <t>.1~948</t>
  </si>
  <si>
    <t>.1~1263</t>
  </si>
  <si>
    <t>.1~1043</t>
  </si>
  <si>
    <t>.1~713</t>
  </si>
  <si>
    <t>.1~647</t>
  </si>
  <si>
    <t>.1~537</t>
  </si>
  <si>
    <t>.1~912</t>
  </si>
  <si>
    <t>.1~626</t>
  </si>
  <si>
    <t>.1~1261</t>
  </si>
  <si>
    <t>.1~1239</t>
  </si>
  <si>
    <t>.1~997</t>
  </si>
  <si>
    <t>.1~777</t>
  </si>
  <si>
    <t>.1~1635</t>
  </si>
  <si>
    <t>.1~1099</t>
  </si>
  <si>
    <t>.1~879</t>
  </si>
  <si>
    <t>.1~1383</t>
  </si>
  <si>
    <t>.1~1731</t>
  </si>
  <si>
    <t>.1~961</t>
  </si>
  <si>
    <t>.1~587</t>
  </si>
  <si>
    <t>.1~1776</t>
  </si>
  <si>
    <t>.1~1270</t>
  </si>
  <si>
    <t>.1~896</t>
  </si>
  <si>
    <t>.1~636</t>
  </si>
  <si>
    <t>.1~1100</t>
  </si>
  <si>
    <t>.1~880</t>
  </si>
  <si>
    <t>.1~787</t>
  </si>
  <si>
    <t>.1~1205</t>
  </si>
  <si>
    <t>.1~690</t>
  </si>
  <si>
    <t>.1~668</t>
  </si>
  <si>
    <t>.1~1702</t>
  </si>
  <si>
    <t>.1~1482</t>
  </si>
  <si>
    <t>.1~1240</t>
  </si>
  <si>
    <t>.1~1289</t>
  </si>
  <si>
    <t>.1~1113</t>
  </si>
  <si>
    <t>.1~1360</t>
  </si>
  <si>
    <t>.1~634</t>
  </si>
  <si>
    <t>.1~1070</t>
  </si>
  <si>
    <t>.1~1675</t>
  </si>
  <si>
    <t>.1~1631</t>
  </si>
  <si>
    <t>.1~1082</t>
  </si>
  <si>
    <t>.1~972</t>
  </si>
  <si>
    <t>.1~752</t>
  </si>
  <si>
    <t>.1~1544</t>
  </si>
  <si>
    <t>.1~1500</t>
  </si>
  <si>
    <t>.1~1695</t>
  </si>
  <si>
    <t>.1~1629</t>
  </si>
  <si>
    <t>.1~1409</t>
  </si>
  <si>
    <t>.1~1211</t>
  </si>
  <si>
    <t>.1~1167</t>
  </si>
  <si>
    <t>.1~1123</t>
  </si>
  <si>
    <t>.1~903</t>
  </si>
  <si>
    <t>.1~1630</t>
  </si>
  <si>
    <t>.1~728</t>
  </si>
  <si>
    <t>.1~508</t>
  </si>
  <si>
    <t>.1~1747</t>
  </si>
  <si>
    <t>.1~1527</t>
  </si>
  <si>
    <t>.1~889</t>
  </si>
  <si>
    <t>.1~1287</t>
  </si>
  <si>
    <t>.1~1067</t>
  </si>
  <si>
    <t>.1~781</t>
  </si>
  <si>
    <t>.1~737</t>
  </si>
  <si>
    <t>.1~557</t>
  </si>
  <si>
    <t>.1~738</t>
  </si>
  <si>
    <t>.1~1288</t>
  </si>
  <si>
    <t>.1~1068</t>
  </si>
  <si>
    <t>.1~1297</t>
  </si>
  <si>
    <t>.1~1119</t>
  </si>
  <si>
    <t>.1~833</t>
  </si>
  <si>
    <t>.1~745</t>
  </si>
  <si>
    <t>.1~613</t>
  </si>
  <si>
    <t>.1~1577</t>
  </si>
  <si>
    <t>.1~1511</t>
  </si>
  <si>
    <t>.1~1225</t>
  </si>
  <si>
    <t>.1~1049</t>
  </si>
  <si>
    <t>.1~807</t>
  </si>
  <si>
    <t>.1~1446</t>
  </si>
  <si>
    <t>.1~874</t>
  </si>
  <si>
    <t>.1~1472</t>
  </si>
  <si>
    <t>.1~1428</t>
  </si>
  <si>
    <t>.1~1318</t>
  </si>
  <si>
    <t>.1~1296</t>
  </si>
  <si>
    <t>.1~922</t>
  </si>
  <si>
    <t>.1~658</t>
  </si>
  <si>
    <t>.1~1298</t>
  </si>
  <si>
    <t>.1~946</t>
  </si>
  <si>
    <t>.1~1716</t>
  </si>
  <si>
    <t>.1~1381</t>
  </si>
  <si>
    <t>.1~1724</t>
  </si>
  <si>
    <t>.1~1548</t>
  </si>
  <si>
    <t>.1~1504</t>
  </si>
  <si>
    <t>.1~1328</t>
  </si>
  <si>
    <t>.1~1597</t>
  </si>
  <si>
    <t>.1~1377</t>
  </si>
  <si>
    <t>.1~1025</t>
  </si>
  <si>
    <t>.1~783</t>
  </si>
  <si>
    <t>.1~656</t>
  </si>
  <si>
    <t>.1~1620</t>
  </si>
  <si>
    <t>.1~1400</t>
  </si>
  <si>
    <t>.1~894</t>
  </si>
  <si>
    <t>.1~806</t>
  </si>
  <si>
    <t>.1~608</t>
  </si>
  <si>
    <t>.1~1279</t>
  </si>
  <si>
    <t>.1~1059</t>
  </si>
  <si>
    <t>.1~729</t>
  </si>
  <si>
    <t>.1~884</t>
  </si>
  <si>
    <t>.1~951</t>
  </si>
  <si>
    <t>.1~754</t>
  </si>
  <si>
    <t>.1~1084</t>
  </si>
  <si>
    <t>.1~1365</t>
  </si>
  <si>
    <t>.1~1476</t>
  </si>
  <si>
    <t>.1~1146</t>
  </si>
  <si>
    <t>.1~669</t>
  </si>
  <si>
    <t>.1~1572</t>
  </si>
  <si>
    <t>.1~1352</t>
  </si>
  <si>
    <t>.1~1110</t>
  </si>
  <si>
    <t>.1~890</t>
  </si>
  <si>
    <t>.1~1595</t>
  </si>
  <si>
    <t>.1~1375</t>
  </si>
  <si>
    <t>.1~1133</t>
  </si>
  <si>
    <t>.1~913</t>
  </si>
  <si>
    <t>.1~953</t>
  </si>
  <si>
    <t>.1~865</t>
  </si>
  <si>
    <t>.1~623</t>
  </si>
  <si>
    <t>.1~914</t>
  </si>
  <si>
    <t>.1~1596</t>
  </si>
  <si>
    <t>.1~1376</t>
  </si>
  <si>
    <t>.1~1134</t>
  </si>
  <si>
    <t>.1~681</t>
  </si>
  <si>
    <t>.1~1671</t>
  </si>
  <si>
    <t>.1~1451</t>
  </si>
  <si>
    <t>.1~1625</t>
  </si>
  <si>
    <t>.1~1273</t>
  </si>
  <si>
    <t>.1~965</t>
  </si>
  <si>
    <t>.1~1423</t>
  </si>
  <si>
    <t>.1~1335</t>
  </si>
  <si>
    <t>.1~1181</t>
  </si>
  <si>
    <t>.1~1115</t>
  </si>
  <si>
    <t>.1~697</t>
  </si>
  <si>
    <t>.1~1754</t>
  </si>
  <si>
    <t>.1~1402</t>
  </si>
  <si>
    <t>.1~654</t>
  </si>
  <si>
    <t>.1~1626</t>
  </si>
  <si>
    <t>.1~1098</t>
  </si>
  <si>
    <t>.1~724</t>
  </si>
  <si>
    <t>.1~682</t>
  </si>
  <si>
    <t>.1~1183</t>
  </si>
  <si>
    <t>.1~897</t>
  </si>
  <si>
    <t>.1~1601</t>
  </si>
  <si>
    <t>.1~1315</t>
  </si>
  <si>
    <t>.1~1157</t>
  </si>
  <si>
    <t>.1~1602</t>
  </si>
  <si>
    <t>.1~612</t>
  </si>
  <si>
    <t>.1~502</t>
  </si>
  <si>
    <t>.1~1224</t>
  </si>
  <si>
    <t>.1~1180</t>
  </si>
  <si>
    <t>.1~1092</t>
  </si>
  <si>
    <t>.1~1455</t>
  </si>
  <si>
    <t>.1~1411</t>
  </si>
  <si>
    <t>.1~1125</t>
  </si>
  <si>
    <t>.1~1653</t>
  </si>
  <si>
    <t>.1~1346</t>
  </si>
  <si>
    <t>.1~840</t>
  </si>
  <si>
    <t>.1~774</t>
  </si>
  <si>
    <t>.1~730</t>
  </si>
  <si>
    <t>.1~797</t>
  </si>
  <si>
    <t>.1~753</t>
  </si>
  <si>
    <t>.1~511</t>
  </si>
  <si>
    <t>.1~1150</t>
  </si>
  <si>
    <t>.1~930</t>
  </si>
  <si>
    <t>.1~1651</t>
  </si>
  <si>
    <t>.1~1101</t>
  </si>
  <si>
    <t>.1~1432</t>
  </si>
  <si>
    <t>.1~1366</t>
  </si>
  <si>
    <t>.1~1278</t>
  </si>
  <si>
    <t>.1~772</t>
  </si>
  <si>
    <t>.1~1549</t>
  </si>
  <si>
    <t>.1~1329</t>
  </si>
  <si>
    <t>.1~846</t>
  </si>
  <si>
    <t>.1~692</t>
  </si>
  <si>
    <t>.1~1771</t>
  </si>
  <si>
    <t>.1~1041</t>
  </si>
  <si>
    <t>.1~975</t>
  </si>
  <si>
    <t>.1~711</t>
  </si>
  <si>
    <t>.1~645</t>
  </si>
  <si>
    <t>.1~549</t>
  </si>
  <si>
    <t>.1~1737</t>
  </si>
  <si>
    <t>.1~1649</t>
  </si>
  <si>
    <t>.1~1407</t>
  </si>
  <si>
    <t>.1~1209</t>
  </si>
  <si>
    <t>.1~811</t>
  </si>
  <si>
    <t>.1~547</t>
  </si>
  <si>
    <t>.1~829</t>
  </si>
  <si>
    <t>.1~521</t>
  </si>
  <si>
    <t>.1~1072</t>
  </si>
  <si>
    <t>.1~1032</t>
  </si>
  <si>
    <t>.1~1408</t>
  </si>
  <si>
    <t>.1~1210</t>
  </si>
  <si>
    <t>.1~1122</t>
  </si>
  <si>
    <t>.1~550</t>
  </si>
  <si>
    <t>.1~1738</t>
  </si>
  <si>
    <t>.1~1650</t>
  </si>
  <si>
    <t>.1~655</t>
  </si>
  <si>
    <t>.1~1645</t>
  </si>
  <si>
    <t>.1~1469</t>
  </si>
  <si>
    <t>.1~1425</t>
  </si>
  <si>
    <t>.1~1359</t>
  </si>
  <si>
    <t>.1~1174</t>
  </si>
  <si>
    <t>.1~1751</t>
  </si>
  <si>
    <t>.1~871</t>
  </si>
  <si>
    <t>.1~1778</t>
  </si>
  <si>
    <t>.1~1052</t>
  </si>
  <si>
    <t>.1~876</t>
  </si>
  <si>
    <t>.1~678</t>
  </si>
  <si>
    <t>.1~982</t>
  </si>
  <si>
    <t>.1~1433</t>
  </si>
  <si>
    <t>.1~905</t>
  </si>
  <si>
    <t>.1~1126</t>
  </si>
  <si>
    <t>.1~1742</t>
  </si>
  <si>
    <t>.1~929</t>
  </si>
  <si>
    <t>.1~1611</t>
  </si>
  <si>
    <t>.1~1391</t>
  </si>
  <si>
    <t>.1~1149</t>
  </si>
  <si>
    <t>.1~776</t>
  </si>
  <si>
    <t>.1~837</t>
  </si>
  <si>
    <t>.1~1058</t>
  </si>
  <si>
    <t>.1~823</t>
  </si>
  <si>
    <t>.1~1198</t>
  </si>
  <si>
    <t>.1~978</t>
  </si>
  <si>
    <t>.1~1107</t>
  </si>
  <si>
    <t>.1~887</t>
  </si>
  <si>
    <t>.1~1525</t>
  </si>
  <si>
    <t>.1~1574</t>
  </si>
  <si>
    <t>.1~1354</t>
  </si>
  <si>
    <t>.1~1539</t>
  </si>
  <si>
    <t>.1~1077</t>
  </si>
  <si>
    <t>.1~857</t>
  </si>
  <si>
    <t>.1~503</t>
  </si>
  <si>
    <t>.1~1603</t>
  </si>
  <si>
    <t>.1~1339</t>
  </si>
  <si>
    <t>.1~1053</t>
  </si>
  <si>
    <t>.1~1357</t>
  </si>
  <si>
    <t>.1~962</t>
  </si>
  <si>
    <t>.1~588</t>
  </si>
  <si>
    <t>.1~988</t>
  </si>
  <si>
    <t>.1~1078</t>
  </si>
  <si>
    <t>.1~858</t>
  </si>
  <si>
    <t>.1~1161</t>
  </si>
  <si>
    <t>.1~1579</t>
  </si>
  <si>
    <t>.1~800</t>
  </si>
  <si>
    <t>.1~558</t>
  </si>
  <si>
    <t>.1~514</t>
  </si>
  <si>
    <t>.1~1641</t>
  </si>
  <si>
    <t>.1~1316</t>
  </si>
  <si>
    <t>.1~1118</t>
  </si>
  <si>
    <t>.1~1136</t>
  </si>
  <si>
    <t>.1~928</t>
  </si>
  <si>
    <t>.1~1720</t>
  </si>
  <si>
    <t>.1~1434</t>
  </si>
  <si>
    <t>.1~1390</t>
  </si>
  <si>
    <t>.1~908</t>
  </si>
  <si>
    <t>.1~1590</t>
  </si>
  <si>
    <t>.1~1370</t>
  </si>
  <si>
    <t>.1~1128</t>
  </si>
  <si>
    <t>.1~1453</t>
  </si>
  <si>
    <t>.1~1013</t>
  </si>
  <si>
    <t>.1~969</t>
  </si>
  <si>
    <t>.1~1344</t>
  </si>
  <si>
    <t>.1~1256</t>
  </si>
  <si>
    <t>.1~684</t>
  </si>
  <si>
    <t>.1~618</t>
  </si>
  <si>
    <t>.1~1637</t>
  </si>
  <si>
    <t>.1~1417</t>
  </si>
  <si>
    <t>.1~1307</t>
  </si>
  <si>
    <t>.1~1219</t>
  </si>
  <si>
    <t>.1~1175</t>
  </si>
  <si>
    <t>.1~999</t>
  </si>
  <si>
    <t>.1~955</t>
  </si>
  <si>
    <t>.1~1506</t>
  </si>
  <si>
    <t>.1~824</t>
  </si>
  <si>
    <t>.1~582</t>
  </si>
  <si>
    <t>.1~847</t>
  </si>
  <si>
    <t>.1~605</t>
  </si>
  <si>
    <t>.1~667</t>
  </si>
  <si>
    <t>.1~848</t>
  </si>
  <si>
    <t>.1~606</t>
  </si>
  <si>
    <t>.1~593</t>
  </si>
  <si>
    <t>.1~1561</t>
  </si>
  <si>
    <t>.1~1317</t>
  </si>
  <si>
    <t>.1~1207</t>
  </si>
  <si>
    <t>.1~789</t>
  </si>
  <si>
    <t>.1~525</t>
  </si>
  <si>
    <t>.1~565</t>
  </si>
  <si>
    <t>.1~1512</t>
  </si>
  <si>
    <t>.1~1468</t>
  </si>
  <si>
    <t>.1~1226</t>
  </si>
  <si>
    <t>.1~1050</t>
  </si>
  <si>
    <t>.1~592</t>
  </si>
  <si>
    <t>.1~548</t>
  </si>
  <si>
    <t>.1~1758</t>
  </si>
  <si>
    <t>.1~1562</t>
  </si>
  <si>
    <t>.1~1073</t>
  </si>
  <si>
    <t>.1~831</t>
  </si>
  <si>
    <t>.1~699</t>
  </si>
  <si>
    <t>.1~677</t>
  </si>
  <si>
    <t>.1~545</t>
  </si>
  <si>
    <t>.1~1447</t>
  </si>
  <si>
    <t>.1~1614</t>
  </si>
  <si>
    <t>.1~1438</t>
  </si>
  <si>
    <t>.1~1394</t>
  </si>
  <si>
    <t>.1~1152</t>
  </si>
  <si>
    <t>.1~1487</t>
  </si>
  <si>
    <t>.1~849</t>
  </si>
  <si>
    <t>MaterialMaster</t>
  </si>
  <si>
    <t>BOM</t>
  </si>
  <si>
    <t>DistributionChannels</t>
  </si>
  <si>
    <t>SalesAreas</t>
  </si>
  <si>
    <t>StorageLocations</t>
  </si>
  <si>
    <t>SalesOD</t>
  </si>
  <si>
    <t>InventoryOD</t>
  </si>
  <si>
    <t>Inventory</t>
  </si>
  <si>
    <t>ProductionOD</t>
  </si>
  <si>
    <t>ProductionPlan</t>
  </si>
  <si>
    <t>Navigation</t>
  </si>
  <si>
    <t>Documentation</t>
  </si>
  <si>
    <t>ProductionPlan-Archive</t>
  </si>
  <si>
    <t>SalesForecast-Archive</t>
  </si>
  <si>
    <t>SalesForecast-CurrentMonth</t>
  </si>
  <si>
    <t>MainNavigation</t>
  </si>
  <si>
    <t>Model revised based on feedback from Assignment 1 and Assignment 2</t>
  </si>
  <si>
    <t>All master files updated</t>
  </si>
  <si>
    <t>Models linked to ODATA feeds to update actuals @ end of round</t>
  </si>
  <si>
    <t>Create Navigation page and links to all worksheets</t>
  </si>
  <si>
    <t>Apply protection to worksheets</t>
  </si>
  <si>
    <t>Review model</t>
  </si>
  <si>
    <t>3560</t>
  </si>
  <si>
    <t>3563</t>
  </si>
  <si>
    <t>3564</t>
  </si>
  <si>
    <t>3567</t>
  </si>
  <si>
    <t>3566</t>
  </si>
  <si>
    <t>05/02</t>
  </si>
  <si>
    <t>3577</t>
  </si>
  <si>
    <t>FREISING</t>
  </si>
  <si>
    <t>85356</t>
  </si>
  <si>
    <t>80102</t>
  </si>
  <si>
    <t>3586</t>
  </si>
  <si>
    <t>3581</t>
  </si>
  <si>
    <t>05/03</t>
  </si>
  <si>
    <t>3601</t>
  </si>
  <si>
    <t>3605</t>
  </si>
  <si>
    <t>3602</t>
  </si>
  <si>
    <t>05/04</t>
  </si>
  <si>
    <t>3627</t>
  </si>
  <si>
    <t>3629</t>
  </si>
  <si>
    <t>3630</t>
  </si>
  <si>
    <t>05/05</t>
  </si>
  <si>
    <t>3657</t>
  </si>
  <si>
    <t>3650</t>
  </si>
  <si>
    <t>05/06</t>
  </si>
  <si>
    <t>3669</t>
  </si>
  <si>
    <t>3678</t>
  </si>
  <si>
    <t>3682</t>
  </si>
  <si>
    <t>05/07</t>
  </si>
  <si>
    <t>3691</t>
  </si>
  <si>
    <t>3698</t>
  </si>
  <si>
    <t>3695</t>
  </si>
  <si>
    <t>05/08</t>
  </si>
  <si>
    <t>3714</t>
  </si>
  <si>
    <t>3718</t>
  </si>
  <si>
    <t>3720</t>
  </si>
  <si>
    <t>3722</t>
  </si>
  <si>
    <t>05/09</t>
  </si>
  <si>
    <t>3738</t>
  </si>
  <si>
    <t>3748</t>
  </si>
  <si>
    <t>05/10</t>
  </si>
  <si>
    <t>3778</t>
  </si>
  <si>
    <t>3779</t>
  </si>
  <si>
    <t>3771</t>
  </si>
  <si>
    <t>05/11</t>
  </si>
  <si>
    <t>3803</t>
  </si>
  <si>
    <t>3791</t>
  </si>
  <si>
    <t>3787</t>
  </si>
  <si>
    <t>05/12</t>
  </si>
  <si>
    <t>3826</t>
  </si>
  <si>
    <t>3819</t>
  </si>
  <si>
    <t>3816</t>
  </si>
  <si>
    <t>05/13</t>
  </si>
  <si>
    <t>3834</t>
  </si>
  <si>
    <t>WIESBADEN</t>
  </si>
  <si>
    <t>65183</t>
  </si>
  <si>
    <t>80140</t>
  </si>
  <si>
    <t>3848</t>
  </si>
  <si>
    <t>72762</t>
  </si>
  <si>
    <t>80182</t>
  </si>
  <si>
    <t>05/14</t>
  </si>
  <si>
    <t>3865</t>
  </si>
  <si>
    <t>3863</t>
  </si>
  <si>
    <t>3858</t>
  </si>
  <si>
    <t>HANNOVER</t>
  </si>
  <si>
    <t>30165</t>
  </si>
  <si>
    <t>80222</t>
  </si>
  <si>
    <t>3873</t>
  </si>
  <si>
    <t>3872</t>
  </si>
  <si>
    <t>3870</t>
  </si>
  <si>
    <t>33602</t>
  </si>
  <si>
    <t>80232</t>
  </si>
  <si>
    <t>3866</t>
  </si>
  <si>
    <t>26125</t>
  </si>
  <si>
    <t>80225</t>
  </si>
  <si>
    <t>05/15</t>
  </si>
  <si>
    <t>3884</t>
  </si>
  <si>
    <t>3888</t>
  </si>
  <si>
    <t>3886</t>
  </si>
  <si>
    <t>10785</t>
  </si>
  <si>
    <t>80197</t>
  </si>
  <si>
    <t>3897</t>
  </si>
  <si>
    <t>3896</t>
  </si>
  <si>
    <t>3895</t>
  </si>
  <si>
    <t>3894</t>
  </si>
  <si>
    <t>3891</t>
  </si>
  <si>
    <t>05/16</t>
  </si>
  <si>
    <t>3907</t>
  </si>
  <si>
    <t>3911</t>
  </si>
  <si>
    <t>3916</t>
  </si>
  <si>
    <t>3920</t>
  </si>
  <si>
    <t>3917</t>
  </si>
  <si>
    <t>05/17</t>
  </si>
  <si>
    <t>3938</t>
  </si>
  <si>
    <t>LAATZEN</t>
  </si>
  <si>
    <t>30880</t>
  </si>
  <si>
    <t>80224</t>
  </si>
  <si>
    <t>3937</t>
  </si>
  <si>
    <t>3936</t>
  </si>
  <si>
    <t>3934</t>
  </si>
  <si>
    <t>10178</t>
  </si>
  <si>
    <t>80198</t>
  </si>
  <si>
    <t>3942</t>
  </si>
  <si>
    <t>80171</t>
  </si>
  <si>
    <t>3943</t>
  </si>
  <si>
    <t>3944</t>
  </si>
  <si>
    <t>05/18</t>
  </si>
  <si>
    <t>3959</t>
  </si>
  <si>
    <t>3962</t>
  </si>
  <si>
    <t>3963</t>
  </si>
  <si>
    <t>HALLE (SAALE)</t>
  </si>
  <si>
    <t>06122</t>
  </si>
  <si>
    <t>80279</t>
  </si>
  <si>
    <t>3964</t>
  </si>
  <si>
    <t>3966</t>
  </si>
  <si>
    <t>72072</t>
  </si>
  <si>
    <t>80183</t>
  </si>
  <si>
    <t>05/19</t>
  </si>
  <si>
    <t>3982</t>
  </si>
  <si>
    <t>3984</t>
  </si>
  <si>
    <t>05/20</t>
  </si>
  <si>
    <t>3998</t>
  </si>
  <si>
    <t>4000</t>
  </si>
  <si>
    <t>4002</t>
  </si>
  <si>
    <t>06/01</t>
  </si>
  <si>
    <t>4023</t>
  </si>
  <si>
    <t>4013</t>
  </si>
  <si>
    <t>4009</t>
  </si>
  <si>
    <t>MANNHEIM</t>
  </si>
  <si>
    <t>68199</t>
  </si>
  <si>
    <t>80117</t>
  </si>
  <si>
    <t>06/02</t>
  </si>
  <si>
    <t>4036</t>
  </si>
  <si>
    <t>4033</t>
  </si>
  <si>
    <t>06/03</t>
  </si>
  <si>
    <t>4054</t>
  </si>
  <si>
    <t>4055</t>
  </si>
  <si>
    <t>4046</t>
  </si>
  <si>
    <t>4048</t>
  </si>
  <si>
    <t>06/04</t>
  </si>
  <si>
    <t>4062</t>
  </si>
  <si>
    <t>4074</t>
  </si>
  <si>
    <t>4075</t>
  </si>
  <si>
    <t>4077</t>
  </si>
  <si>
    <t>06/05</t>
  </si>
  <si>
    <t>4098</t>
  </si>
  <si>
    <t>06/06</t>
  </si>
  <si>
    <t>4110</t>
  </si>
  <si>
    <t>4116</t>
  </si>
  <si>
    <t>4117</t>
  </si>
  <si>
    <t>4124</t>
  </si>
  <si>
    <t>4120</t>
  </si>
  <si>
    <t>06/07</t>
  </si>
  <si>
    <t>4146</t>
  </si>
  <si>
    <t>80992</t>
  </si>
  <si>
    <t>80192</t>
  </si>
  <si>
    <t>4147</t>
  </si>
  <si>
    <t>85049</t>
  </si>
  <si>
    <t>80185</t>
  </si>
  <si>
    <t>4144</t>
  </si>
  <si>
    <t>4143</t>
  </si>
  <si>
    <t>4142</t>
  </si>
  <si>
    <t>4141</t>
  </si>
  <si>
    <t>4145</t>
  </si>
  <si>
    <t>4139</t>
  </si>
  <si>
    <t>HEIDE</t>
  </si>
  <si>
    <t>25746</t>
  </si>
  <si>
    <t>80285</t>
  </si>
  <si>
    <t>06/08</t>
  </si>
  <si>
    <t>4163</t>
  </si>
  <si>
    <t>4169</t>
  </si>
  <si>
    <t>4166</t>
  </si>
  <si>
    <t>4168</t>
  </si>
  <si>
    <t>06/09</t>
  </si>
  <si>
    <t>4179</t>
  </si>
  <si>
    <t>4189</t>
  </si>
  <si>
    <t>4184</t>
  </si>
  <si>
    <t>4186</t>
  </si>
  <si>
    <t>4188</t>
  </si>
  <si>
    <t>06/10</t>
  </si>
  <si>
    <t>4208</t>
  </si>
  <si>
    <t>4206</t>
  </si>
  <si>
    <t>44339</t>
  </si>
  <si>
    <t>80150</t>
  </si>
  <si>
    <t>4205</t>
  </si>
  <si>
    <t>4204</t>
  </si>
  <si>
    <t>4203</t>
  </si>
  <si>
    <t>4207</t>
  </si>
  <si>
    <t>38440</t>
  </si>
  <si>
    <t>80228</t>
  </si>
  <si>
    <t>4209</t>
  </si>
  <si>
    <t>4210</t>
  </si>
  <si>
    <t>80190</t>
  </si>
  <si>
    <t>4211</t>
  </si>
  <si>
    <t>4212</t>
  </si>
  <si>
    <t>06/11</t>
  </si>
  <si>
    <t>4231</t>
  </si>
  <si>
    <t>4235</t>
  </si>
  <si>
    <t>GIEßEN</t>
  </si>
  <si>
    <t>35390</t>
  </si>
  <si>
    <t>80210</t>
  </si>
  <si>
    <t>06/12</t>
  </si>
  <si>
    <t>4243</t>
  </si>
  <si>
    <t>4260</t>
  </si>
  <si>
    <t>NAGOLD</t>
  </si>
  <si>
    <t>72202</t>
  </si>
  <si>
    <t>80177</t>
  </si>
  <si>
    <t>06/13</t>
  </si>
  <si>
    <t>4284</t>
  </si>
  <si>
    <t>4271</t>
  </si>
  <si>
    <t>4273</t>
  </si>
  <si>
    <t>4272</t>
  </si>
  <si>
    <t>4277</t>
  </si>
  <si>
    <t>4281</t>
  </si>
  <si>
    <t>06/14</t>
  </si>
  <si>
    <t>4307</t>
  </si>
  <si>
    <t>4308</t>
  </si>
  <si>
    <t>4296</t>
  </si>
  <si>
    <t>4302</t>
  </si>
  <si>
    <t>06/15</t>
  </si>
  <si>
    <t>4318</t>
  </si>
  <si>
    <t>4317</t>
  </si>
  <si>
    <t>4320</t>
  </si>
  <si>
    <t>06/16</t>
  </si>
  <si>
    <t>4355</t>
  </si>
  <si>
    <t>4339</t>
  </si>
  <si>
    <t>4344</t>
  </si>
  <si>
    <t>06/17</t>
  </si>
  <si>
    <t>4379</t>
  </si>
  <si>
    <t>4368</t>
  </si>
  <si>
    <t>4363</t>
  </si>
  <si>
    <t>06/18</t>
  </si>
  <si>
    <t>4403</t>
  </si>
  <si>
    <t>4395</t>
  </si>
  <si>
    <t>06/19</t>
  </si>
  <si>
    <t>4424</t>
  </si>
  <si>
    <t>4419</t>
  </si>
  <si>
    <t>4418</t>
  </si>
  <si>
    <t>4417</t>
  </si>
  <si>
    <t>06/20</t>
  </si>
  <si>
    <t>4437</t>
  </si>
  <si>
    <t>4438</t>
  </si>
  <si>
    <t>AUGSBURG</t>
  </si>
  <si>
    <t>86156</t>
  </si>
  <si>
    <t>80119</t>
  </si>
  <si>
    <t>.1~2152</t>
  </si>
  <si>
    <t>.1~1910</t>
  </si>
  <si>
    <t>.1~2588</t>
  </si>
  <si>
    <t>.1~1818</t>
  </si>
  <si>
    <t>.1~2536</t>
  </si>
  <si>
    <t>.1~2294</t>
  </si>
  <si>
    <t>.1~1920</t>
  </si>
  <si>
    <t>.1~2245</t>
  </si>
  <si>
    <t>.1~2047</t>
  </si>
  <si>
    <t>.1~1871</t>
  </si>
  <si>
    <t>.1~2312</t>
  </si>
  <si>
    <t>.1~1923</t>
  </si>
  <si>
    <t>.1~2408</t>
  </si>
  <si>
    <t>.1~1946</t>
  </si>
  <si>
    <t>.1~2295</t>
  </si>
  <si>
    <t>.1~1921</t>
  </si>
  <si>
    <t>.1~2520</t>
  </si>
  <si>
    <t>.1~2045</t>
  </si>
  <si>
    <t>.1~2485</t>
  </si>
  <si>
    <t>.1~2527</t>
  </si>
  <si>
    <t>.1~2329</t>
  </si>
  <si>
    <t>.1~1798</t>
  </si>
  <si>
    <t>.1~2440</t>
  </si>
  <si>
    <t>.1~2132</t>
  </si>
  <si>
    <t>.1~2596</t>
  </si>
  <si>
    <t>.1~2186</t>
  </si>
  <si>
    <t>.1~2081</t>
  </si>
  <si>
    <t>.1~2174</t>
  </si>
  <si>
    <t>.1~1932</t>
  </si>
  <si>
    <t>.1~1866</t>
  </si>
  <si>
    <t>.1~2610</t>
  </si>
  <si>
    <t>.1~2456</t>
  </si>
  <si>
    <t>.1~2148</t>
  </si>
  <si>
    <t>.1~1840</t>
  </si>
  <si>
    <t>.1~2182</t>
  </si>
  <si>
    <t>.1~2315</t>
  </si>
  <si>
    <t>.1~2558</t>
  </si>
  <si>
    <t>.1~1893</t>
  </si>
  <si>
    <t>.1~2334</t>
  </si>
  <si>
    <t>.1~1982</t>
  </si>
  <si>
    <t>.1~2561</t>
  </si>
  <si>
    <t>.1~2190</t>
  </si>
  <si>
    <t>.1~2639</t>
  </si>
  <si>
    <t>.1~2351</t>
  </si>
  <si>
    <t>.1~2436</t>
  </si>
  <si>
    <t>.1~2128</t>
  </si>
  <si>
    <t>.1~1820</t>
  </si>
  <si>
    <t>.1~2154</t>
  </si>
  <si>
    <t>.1~1846</t>
  </si>
  <si>
    <t>.1~2618</t>
  </si>
  <si>
    <t>.1~2041</t>
  </si>
  <si>
    <t>.1~2195</t>
  </si>
  <si>
    <t>.1~2151</t>
  </si>
  <si>
    <t>.1~2538</t>
  </si>
  <si>
    <t>.1~2411</t>
  </si>
  <si>
    <t>.1~1949</t>
  </si>
  <si>
    <t>.1~2658</t>
  </si>
  <si>
    <t>07/01</t>
  </si>
  <si>
    <t>.1~2504</t>
  </si>
  <si>
    <t>.1~2478</t>
  </si>
  <si>
    <t>.1~2214</t>
  </si>
  <si>
    <t>.1~2170</t>
  </si>
  <si>
    <t>.1~1972</t>
  </si>
  <si>
    <t>.1~2093</t>
  </si>
  <si>
    <t>.1~2337</t>
  </si>
  <si>
    <t>.1~1985</t>
  </si>
  <si>
    <t>.1~2580</t>
  </si>
  <si>
    <t>.1~2531</t>
  </si>
  <si>
    <t>.1~2289</t>
  </si>
  <si>
    <t>.1~1915</t>
  </si>
  <si>
    <t>.1~2004</t>
  </si>
  <si>
    <t>.1~2321</t>
  </si>
  <si>
    <t>.1~2369</t>
  </si>
  <si>
    <t>.1~2215</t>
  </si>
  <si>
    <t>.1~2458</t>
  </si>
  <si>
    <t>.1~2150</t>
  </si>
  <si>
    <t>.1~1842</t>
  </si>
  <si>
    <t>.1~2176</t>
  </si>
  <si>
    <t>.1~1868</t>
  </si>
  <si>
    <t>.1~2173</t>
  </si>
  <si>
    <t>.1~2560</t>
  </si>
  <si>
    <t>.1~2526</t>
  </si>
  <si>
    <t>.1~1822</t>
  </si>
  <si>
    <t>.1~2236</t>
  </si>
  <si>
    <t>.1~2115</t>
  </si>
  <si>
    <t>.1~1807</t>
  </si>
  <si>
    <t>.1~2359</t>
  </si>
  <si>
    <t>.1~2007</t>
  </si>
  <si>
    <t>.1~2602</t>
  </si>
  <si>
    <t>.1~2553</t>
  </si>
  <si>
    <t>.1~2026</t>
  </si>
  <si>
    <t>.1~2378</t>
  </si>
  <si>
    <t>.1~2605</t>
  </si>
  <si>
    <t>.1~2606</t>
  </si>
  <si>
    <t>.1~2343</t>
  </si>
  <si>
    <t>.1~1991</t>
  </si>
  <si>
    <t>.1~2391</t>
  </si>
  <si>
    <t>.1~2237</t>
  </si>
  <si>
    <t>.1~2480</t>
  </si>
  <si>
    <t>.1~2172</t>
  </si>
  <si>
    <t>.1~1864</t>
  </si>
  <si>
    <t>.1~2156</t>
  </si>
  <si>
    <t>.1~2318</t>
  </si>
  <si>
    <t>.1~1812</t>
  </si>
  <si>
    <t>.1~2460</t>
  </si>
  <si>
    <t>.1~2196</t>
  </si>
  <si>
    <t>.1~1844</t>
  </si>
  <si>
    <t>.1~2632</t>
  </si>
  <si>
    <t>.1~2137</t>
  </si>
  <si>
    <t>.1~1829</t>
  </si>
  <si>
    <t>.1~2314</t>
  </si>
  <si>
    <t>.1~1808</t>
  </si>
  <si>
    <t>.1~2381</t>
  </si>
  <si>
    <t>.1~2029</t>
  </si>
  <si>
    <t>.1~1964</t>
  </si>
  <si>
    <t>.1~2575</t>
  </si>
  <si>
    <t>.1~1967</t>
  </si>
  <si>
    <t>.1~2210</t>
  </si>
  <si>
    <t>.1~2365</t>
  </si>
  <si>
    <t>.1~2013</t>
  </si>
  <si>
    <t>.1~2207</t>
  </si>
  <si>
    <t>.1~1965</t>
  </si>
  <si>
    <t>.1~2322</t>
  </si>
  <si>
    <t>.1~2133</t>
  </si>
  <si>
    <t>.1~1891</t>
  </si>
  <si>
    <t>.1~2633</t>
  </si>
  <si>
    <t>.1~2259</t>
  </si>
  <si>
    <t>.1~1885</t>
  </si>
  <si>
    <t>.1~2656</t>
  </si>
  <si>
    <t>.1~2502</t>
  </si>
  <si>
    <t>.1~2040</t>
  </si>
  <si>
    <t>.1~2264</t>
  </si>
  <si>
    <t>.1~2178</t>
  </si>
  <si>
    <t>.1~2327</t>
  </si>
  <si>
    <t>.1~2450</t>
  </si>
  <si>
    <t>.1~2340</t>
  </si>
  <si>
    <t>.1~2636</t>
  </si>
  <si>
    <t>.1~2482</t>
  </si>
  <si>
    <t>.1~1906</t>
  </si>
  <si>
    <t>.1~2159</t>
  </si>
  <si>
    <t>.1~1851</t>
  </si>
  <si>
    <t>.1~2446</t>
  </si>
  <si>
    <t>.1~2336</t>
  </si>
  <si>
    <t>.1~1984</t>
  </si>
  <si>
    <t>.1~2051</t>
  </si>
  <si>
    <t>.1~2597</t>
  </si>
  <si>
    <t>.1~2232</t>
  </si>
  <si>
    <t>.1~2387</t>
  </si>
  <si>
    <t>.1~2035</t>
  </si>
  <si>
    <t>.1~2344</t>
  </si>
  <si>
    <t>.1~1992</t>
  </si>
  <si>
    <t>.1~2199</t>
  </si>
  <si>
    <t>.1~1999</t>
  </si>
  <si>
    <t>.1~1907</t>
  </si>
  <si>
    <t>.1~2524</t>
  </si>
  <si>
    <t>.1~2198</t>
  </si>
  <si>
    <t>.1~1997</t>
  </si>
  <si>
    <t>.1~2349</t>
  </si>
  <si>
    <t>.1~2472</t>
  </si>
  <si>
    <t>.1~2362</t>
  </si>
  <si>
    <t>.1~2208</t>
  </si>
  <si>
    <t>.1~1861</t>
  </si>
  <si>
    <t>.1~2544</t>
  </si>
  <si>
    <t>.1~1928</t>
  </si>
  <si>
    <t>.1~2643</t>
  </si>
  <si>
    <t>.1~2489</t>
  </si>
  <si>
    <t>.1~2358</t>
  </si>
  <si>
    <t>.1~2006</t>
  </si>
  <si>
    <t>.1~2073</t>
  </si>
  <si>
    <t>.1~2624</t>
  </si>
  <si>
    <t>.1~1959</t>
  </si>
  <si>
    <t>.1~1938</t>
  </si>
  <si>
    <t>.1~2627</t>
  </si>
  <si>
    <t>.1~2254</t>
  </si>
  <si>
    <t>.1~1880</t>
  </si>
  <si>
    <t>.1~2057</t>
  </si>
  <si>
    <t>.1~2625</t>
  </si>
  <si>
    <t>.1~2366</t>
  </si>
  <si>
    <t>.1~2014</t>
  </si>
  <si>
    <t>.1~2067</t>
  </si>
  <si>
    <t>.1~1825</t>
  </si>
  <si>
    <t>.1~2373</t>
  </si>
  <si>
    <t>.1~2021</t>
  </si>
  <si>
    <t>.1~1867</t>
  </si>
  <si>
    <t>.1~2545</t>
  </si>
  <si>
    <t>.1~1929</t>
  </si>
  <si>
    <t>.1~2194</t>
  </si>
  <si>
    <t>.1~2550</t>
  </si>
  <si>
    <t>.1~2420</t>
  </si>
  <si>
    <t>.1~2019</t>
  </si>
  <si>
    <t>.1~2371</t>
  </si>
  <si>
    <t>.1~2384</t>
  </si>
  <si>
    <t>.1~2499</t>
  </si>
  <si>
    <t>.1~2328</t>
  </si>
  <si>
    <t>.1~2566</t>
  </si>
  <si>
    <t>.1~2104</t>
  </si>
  <si>
    <t>.1~1796</t>
  </si>
  <si>
    <t>.1~2511</t>
  </si>
  <si>
    <t>.1~2380</t>
  </si>
  <si>
    <t>.1~2028</t>
  </si>
  <si>
    <t>.1~2403</t>
  </si>
  <si>
    <t>.1~1941</t>
  </si>
  <si>
    <t>.1~2092</t>
  </si>
  <si>
    <t>.1~2276</t>
  </si>
  <si>
    <t>.1~1902</t>
  </si>
  <si>
    <t>.1~2079</t>
  </si>
  <si>
    <t>.1~2185</t>
  </si>
  <si>
    <t>.1~2388</t>
  </si>
  <si>
    <t>.1~2036</t>
  </si>
  <si>
    <t>.1~1847</t>
  </si>
  <si>
    <t>.1~2661</t>
  </si>
  <si>
    <t>.1~2395</t>
  </si>
  <si>
    <t>.1~2043</t>
  </si>
  <si>
    <t>.1~2567</t>
  </si>
  <si>
    <t>.1~2572</t>
  </si>
  <si>
    <t>.1~1804</t>
  </si>
  <si>
    <t>.1~2503</t>
  </si>
  <si>
    <t>.1~2393</t>
  </si>
  <si>
    <t>.1~2054</t>
  </si>
  <si>
    <t>.1~1878</t>
  </si>
  <si>
    <t>.1~2521</t>
  </si>
  <si>
    <t>.1~2257</t>
  </si>
  <si>
    <t>.1~2350</t>
  </si>
  <si>
    <t>.1~1998</t>
  </si>
  <si>
    <t>.1~2434</t>
  </si>
  <si>
    <t>.1~2126</t>
  </si>
  <si>
    <t>.1~2181</t>
  </si>
  <si>
    <t>.1~2512</t>
  </si>
  <si>
    <t>.1~2050</t>
  </si>
  <si>
    <t>.1~2619</t>
  </si>
  <si>
    <t>.1~2540</t>
  </si>
  <si>
    <t>.1~2298</t>
  </si>
  <si>
    <t>.1~1924</t>
  </si>
  <si>
    <t>.1~2409</t>
  </si>
  <si>
    <t>.1~1947</t>
  </si>
  <si>
    <t>.1~2537</t>
  </si>
  <si>
    <t>.1~2058</t>
  </si>
  <si>
    <t>.1~2265</t>
  </si>
  <si>
    <t>.1~2551</t>
  </si>
  <si>
    <t>.1~2065</t>
  </si>
  <si>
    <t>.1~2589</t>
  </si>
  <si>
    <t>.1~2325</t>
  </si>
  <si>
    <t>.1~2106</t>
  </si>
  <si>
    <t>.1~2330</t>
  </si>
  <si>
    <t>.1~2222</t>
  </si>
  <si>
    <t>.1~2063</t>
  </si>
  <si>
    <t>.1~2525</t>
  </si>
  <si>
    <t>.1~2076</t>
  </si>
  <si>
    <t>.1~1900</t>
  </si>
  <si>
    <t>.1~2279</t>
  </si>
  <si>
    <t>.1~2191</t>
  </si>
  <si>
    <t>.1~2020</t>
  </si>
  <si>
    <t>.1~2401</t>
  </si>
  <si>
    <t>.1~2072</t>
  </si>
  <si>
    <t>.1~2096</t>
  </si>
  <si>
    <t>.1~1788</t>
  </si>
  <si>
    <t>.1~2267</t>
  </si>
  <si>
    <t>.1~1791</t>
  </si>
  <si>
    <t>.1~2099</t>
  </si>
  <si>
    <t>.1~2562</t>
  </si>
  <si>
    <t>.1~2559</t>
  </si>
  <si>
    <t>.1~2097</t>
  </si>
  <si>
    <t>.1~1789</t>
  </si>
  <si>
    <t>.1~2080</t>
  </si>
  <si>
    <t>.1~2089</t>
  </si>
  <si>
    <t>.1~2573</t>
  </si>
  <si>
    <t>.1~2197</t>
  </si>
  <si>
    <t>.1~2087</t>
  </si>
  <si>
    <t>.1~2611</t>
  </si>
  <si>
    <t>.1~2347</t>
  </si>
  <si>
    <t>.1~2352</t>
  </si>
  <si>
    <t>.1~2244</t>
  </si>
  <si>
    <t>.1~2085</t>
  </si>
  <si>
    <t>.1~2406</t>
  </si>
  <si>
    <t>.1~2301</t>
  </si>
  <si>
    <t>.1~2042</t>
  </si>
  <si>
    <t>.1~2402</t>
  </si>
  <si>
    <t>.1~1940</t>
  </si>
  <si>
    <t>.1~2426</t>
  </si>
  <si>
    <t>.1~2118</t>
  </si>
  <si>
    <t>.1~1810</t>
  </si>
  <si>
    <t>.1~2202</t>
  </si>
  <si>
    <t>.1~1813</t>
  </si>
  <si>
    <t>.1~2583</t>
  </si>
  <si>
    <t>.1~2429</t>
  </si>
  <si>
    <t>.1~2121</t>
  </si>
  <si>
    <t>.1~2584</t>
  </si>
  <si>
    <t>.1~2581</t>
  </si>
  <si>
    <t>.1~2427</t>
  </si>
  <si>
    <t>.1~2119</t>
  </si>
  <si>
    <t>.1~1811</t>
  </si>
  <si>
    <t>.1~2410</t>
  </si>
  <si>
    <t>.1~1948</t>
  </si>
  <si>
    <t>.1~2331</t>
  </si>
  <si>
    <t>.1~2417</t>
  </si>
  <si>
    <t>.1~1955</t>
  </si>
  <si>
    <t>.1~1973</t>
  </si>
  <si>
    <t>.1~1996</t>
  </si>
  <si>
    <t>.1~2374</t>
  </si>
  <si>
    <t>.1~1978</t>
  </si>
  <si>
    <t>.1~2112</t>
  </si>
  <si>
    <t>.1~1980</t>
  </si>
  <si>
    <t>.1~1953</t>
  </si>
  <si>
    <t>.1~2415</t>
  </si>
  <si>
    <t>.1~2654</t>
  </si>
  <si>
    <t>.1~2423</t>
  </si>
  <si>
    <t>.1~2205</t>
  </si>
  <si>
    <t>.1~2448</t>
  </si>
  <si>
    <t>.1~2140</t>
  </si>
  <si>
    <t>.1~1832</t>
  </si>
  <si>
    <t>.1~1783</t>
  </si>
  <si>
    <t>.1~2224</t>
  </si>
  <si>
    <t>.1~1835</t>
  </si>
  <si>
    <t>.1~2451</t>
  </si>
  <si>
    <t>.1~2143</t>
  </si>
  <si>
    <t>.1~2603</t>
  </si>
  <si>
    <t>.1~2449</t>
  </si>
  <si>
    <t>.1~1833</t>
  </si>
  <si>
    <t>.1~2353</t>
  </si>
  <si>
    <t>.1~2507</t>
  </si>
  <si>
    <t>.1~2018</t>
  </si>
  <si>
    <t>.1~2396</t>
  </si>
  <si>
    <t>.1~2044</t>
  </si>
  <si>
    <t>.1~2464</t>
  </si>
  <si>
    <t>.1~2587</t>
  </si>
  <si>
    <t>.1~1817</t>
  </si>
  <si>
    <t>.1~2086</t>
  </si>
  <si>
    <t>.1~1884</t>
  </si>
  <si>
    <t>.1~2335</t>
  </si>
  <si>
    <t>.1~1983</t>
  </si>
  <si>
    <t>.1~2445</t>
  </si>
  <si>
    <t>.1~2116</t>
  </si>
  <si>
    <t>.1~2227</t>
  </si>
  <si>
    <t>.1~2470</t>
  </si>
  <si>
    <t>.1~2162</t>
  </si>
  <si>
    <t>.1~1854</t>
  </si>
  <si>
    <t>.1~2421</t>
  </si>
  <si>
    <t>.1~2113</t>
  </si>
  <si>
    <t>.1~1805</t>
  </si>
  <si>
    <t>.1~2246</t>
  </si>
  <si>
    <t>.1~1872</t>
  </si>
  <si>
    <t>.1~2473</t>
  </si>
  <si>
    <t>.1~2209</t>
  </si>
  <si>
    <t>.1~2165</t>
  </si>
  <si>
    <t>.1~1968</t>
  </si>
  <si>
    <t>.1~2211</t>
  </si>
  <si>
    <t>.1~2471</t>
  </si>
  <si>
    <t>.1~2163</t>
  </si>
  <si>
    <t>.1~1855</t>
  </si>
  <si>
    <t>.1~2529</t>
  </si>
  <si>
    <t>.1~2441</t>
  </si>
  <si>
    <t>.1~2131</t>
  </si>
  <si>
    <t>.1~2061</t>
  </si>
  <si>
    <t>.1~2638</t>
  </si>
  <si>
    <t>.1~2066</t>
  </si>
  <si>
    <t>.1~2046</t>
  </si>
  <si>
    <t>.1~2486</t>
  </si>
  <si>
    <t>.1~2609</t>
  </si>
  <si>
    <t>.1~2455</t>
  </si>
  <si>
    <t>.1~2147</t>
  </si>
  <si>
    <t>.1~1839</t>
  </si>
  <si>
    <t>.1~2416</t>
  </si>
  <si>
    <t>.1~1954</t>
  </si>
  <si>
    <t>.1~2005</t>
  </si>
  <si>
    <t>.1~2467</t>
  </si>
  <si>
    <t>.1~2138</t>
  </si>
  <si>
    <t>.1~2249</t>
  </si>
  <si>
    <t>.1~1875</t>
  </si>
  <si>
    <t>.1~2646</t>
  </si>
  <si>
    <t>.1~2492</t>
  </si>
  <si>
    <t>.1~2443</t>
  </si>
  <si>
    <t>.1~2333</t>
  </si>
  <si>
    <t>.1~2135</t>
  </si>
  <si>
    <t>.1~1827</t>
  </si>
  <si>
    <t>.1~2268</t>
  </si>
  <si>
    <t>.1~1894</t>
  </si>
  <si>
    <t>.1~2649</t>
  </si>
  <si>
    <t>.1~2495</t>
  </si>
  <si>
    <t>.1~2231</t>
  </si>
  <si>
    <t>.1~2233</t>
  </si>
  <si>
    <t>.1~2647</t>
  </si>
  <si>
    <t>.1~2001</t>
  </si>
  <si>
    <t>.1~2088</t>
  </si>
  <si>
    <t>.1~2640</t>
  </si>
  <si>
    <t>.1~1856</t>
  </si>
  <si>
    <t>.1~2477</t>
  </si>
  <si>
    <t>.1~2213</t>
  </si>
  <si>
    <t>.1~2169</t>
  </si>
  <si>
    <t>.1~1971</t>
  </si>
  <si>
    <t>.1~2027</t>
  </si>
  <si>
    <t>.1~2468</t>
  </si>
  <si>
    <t>.1~2204</t>
  </si>
  <si>
    <t>.1~2271</t>
  </si>
  <si>
    <t>.1~1897</t>
  </si>
  <si>
    <t>.1~2514</t>
  </si>
  <si>
    <t>.1~2465</t>
  </si>
  <si>
    <t>.1~2157</t>
  </si>
  <si>
    <t>.1~1849</t>
  </si>
  <si>
    <t>.1~2290</t>
  </si>
  <si>
    <t>.1~1916</t>
  </si>
  <si>
    <t>.1~2532</t>
  </si>
  <si>
    <t>.1~2517</t>
  </si>
  <si>
    <t>.1~2253</t>
  </si>
  <si>
    <t>.1~2628</t>
  </si>
  <si>
    <t>.1~2255</t>
  </si>
  <si>
    <t>.1~1881</t>
  </si>
  <si>
    <t>.1~2515</t>
  </si>
  <si>
    <t>.1~2212</t>
  </si>
  <si>
    <t>.1~2023</t>
  </si>
  <si>
    <t>.1~2219</t>
  </si>
  <si>
    <t>.1~2282</t>
  </si>
  <si>
    <t>.1~2084</t>
  </si>
  <si>
    <t>.1~2418</t>
  </si>
  <si>
    <t>.1~2217</t>
  </si>
  <si>
    <t>.1~2230</t>
  </si>
  <si>
    <t>.1~2235</t>
  </si>
  <si>
    <t>.1~2049</t>
  </si>
  <si>
    <t>.1~2490</t>
  </si>
  <si>
    <t>.1~2226</t>
  </si>
  <si>
    <t>.1~2535</t>
  </si>
  <si>
    <t>.1~2293</t>
  </si>
  <si>
    <t>.1~1919</t>
  </si>
  <si>
    <t>.1~2184</t>
  </si>
  <si>
    <t>.1~2641</t>
  </si>
  <si>
    <t>.1~2487</t>
  </si>
  <si>
    <t>.1~2554</t>
  </si>
  <si>
    <t>.1~1901</t>
  </si>
  <si>
    <t>.1~2275</t>
  </si>
  <si>
    <t>.1~2277</t>
  </si>
  <si>
    <t>.1~1903</t>
  </si>
  <si>
    <t>.1~2234</t>
  </si>
  <si>
    <t>.1~1913</t>
  </si>
  <si>
    <t>.1~2241</t>
  </si>
  <si>
    <t>.1~1797</t>
  </si>
  <si>
    <t>.1~2414</t>
  </si>
  <si>
    <t>.1~2304</t>
  </si>
  <si>
    <t>.1~1952</t>
  </si>
  <si>
    <t>.1~1802</t>
  </si>
  <si>
    <t>.1~2239</t>
  </si>
  <si>
    <t>.1~2516</t>
  </si>
  <si>
    <t>.1~2631</t>
  </si>
  <si>
    <t>.1~2324</t>
  </si>
  <si>
    <t>.1~2071</t>
  </si>
  <si>
    <t>.1~2248</t>
  </si>
  <si>
    <t>.1~1874</t>
  </si>
  <si>
    <t>.1~2557</t>
  </si>
  <si>
    <t>.1~2509</t>
  </si>
  <si>
    <t>.1~2114</t>
  </si>
  <si>
    <t>.1~2576</t>
  </si>
  <si>
    <t>.1~2297</t>
  </si>
  <si>
    <t>.1~2541</t>
  </si>
  <si>
    <t>.1~2299</t>
  </si>
  <si>
    <t>.1~1925</t>
  </si>
  <si>
    <t>.1~2256</t>
  </si>
  <si>
    <t>.1~1882</t>
  </si>
  <si>
    <t>.1~1935</t>
  </si>
  <si>
    <t>.1~2263</t>
  </si>
  <si>
    <t>.1~2435</t>
  </si>
  <si>
    <t>.1~2127</t>
  </si>
  <si>
    <t>.1~1819</t>
  </si>
  <si>
    <t>.1~1824</t>
  </si>
  <si>
    <t>.1~2134</t>
  </si>
  <si>
    <t>.1~1892</t>
  </si>
  <si>
    <t>.1~1887</t>
  </si>
  <si>
    <t>.1~2261</t>
  </si>
  <si>
    <t>.1~2274</t>
  </si>
  <si>
    <t>.1~1905</t>
  </si>
  <si>
    <t>.1~2346</t>
  </si>
  <si>
    <t>.1~1994</t>
  </si>
  <si>
    <t>.1~1939</t>
  </si>
  <si>
    <t>.1~2270</t>
  </si>
  <si>
    <t>.1~1896</t>
  </si>
  <si>
    <t>.1~2579</t>
  </si>
  <si>
    <t>.1~2179</t>
  </si>
  <si>
    <t>.1~2136</t>
  </si>
  <si>
    <t>.1~2598</t>
  </si>
  <si>
    <t>.1~2100</t>
  </si>
  <si>
    <t>.1~1792</t>
  </si>
  <si>
    <t>.1~2563</t>
  </si>
  <si>
    <t>.1~2278</t>
  </si>
  <si>
    <t>.1~1904</t>
  </si>
  <si>
    <t>.1~2375</t>
  </si>
  <si>
    <t>.1~2285</t>
  </si>
  <si>
    <t>.1~1911</t>
  </si>
  <si>
    <t>.1~2457</t>
  </si>
  <si>
    <t>.1~2149</t>
  </si>
  <si>
    <t>.1~1841</t>
  </si>
  <si>
    <t>.1~2462</t>
  </si>
  <si>
    <t>.1~2200</t>
  </si>
  <si>
    <t>.1~1909</t>
  </si>
  <si>
    <t>.1~2296</t>
  </si>
  <si>
    <t>.1~1944</t>
  </si>
  <si>
    <t>.1~1922</t>
  </si>
  <si>
    <t>.1~2543</t>
  </si>
  <si>
    <t>.1~1927</t>
  </si>
  <si>
    <t>.1~2368</t>
  </si>
  <si>
    <t>.1~2016</t>
  </si>
  <si>
    <t>.1~2534</t>
  </si>
  <si>
    <t>.1~2292</t>
  </si>
  <si>
    <t>.1~1918</t>
  </si>
  <si>
    <t>.1~2601</t>
  </si>
  <si>
    <t>.1~2316</t>
  </si>
  <si>
    <t>.1~2158</t>
  </si>
  <si>
    <t>.1~1960</t>
  </si>
  <si>
    <t>.1~2319</t>
  </si>
  <si>
    <t>.1~2430</t>
  </si>
  <si>
    <t>.1~2122</t>
  </si>
  <si>
    <t>.1~1814</t>
  </si>
  <si>
    <t>.1~2585</t>
  </si>
  <si>
    <t>.1~2317</t>
  </si>
  <si>
    <t>.1~2542</t>
  </si>
  <si>
    <t>.1~2300</t>
  </si>
  <si>
    <t>.1~1926</t>
  </si>
  <si>
    <t>.1~2397</t>
  </si>
  <si>
    <t>.1~2287</t>
  </si>
  <si>
    <t>.1~1957</t>
  </si>
  <si>
    <t>.1~1869</t>
  </si>
  <si>
    <t>.1~2307</t>
  </si>
  <si>
    <t>.1~1933</t>
  </si>
  <si>
    <t>.1~2479</t>
  </si>
  <si>
    <t>.1~2171</t>
  </si>
  <si>
    <t>.1~1863</t>
  </si>
  <si>
    <t>.1~2484</t>
  </si>
  <si>
    <t>.1~2220</t>
  </si>
  <si>
    <t>.1~2068</t>
  </si>
  <si>
    <t>.1~1826</t>
  </si>
  <si>
    <t>.1~1931</t>
  </si>
  <si>
    <t>.1~2547</t>
  </si>
  <si>
    <t>.1~2565</t>
  </si>
  <si>
    <t>.1~2103</t>
  </si>
  <si>
    <t>.1~1795</t>
  </si>
  <si>
    <t>.1~2262</t>
  </si>
  <si>
    <t>.1~1888</t>
  </si>
  <si>
    <t>.1~2390</t>
  </si>
  <si>
    <t>.1~2038</t>
  </si>
  <si>
    <t>.1~2556</t>
  </si>
  <si>
    <t>.1~2094</t>
  </si>
  <si>
    <t>.1~1963</t>
  </si>
  <si>
    <t>.1~2338</t>
  </si>
  <si>
    <t>.1~1986</t>
  </si>
  <si>
    <t>.1~2091</t>
  </si>
  <si>
    <t>.1~2642</t>
  </si>
  <si>
    <t>.1~1989</t>
  </si>
  <si>
    <t>.1~2341</t>
  </si>
  <si>
    <t>.1~2452</t>
  </si>
  <si>
    <t>.1~2144</t>
  </si>
  <si>
    <t>.1~1836</t>
  </si>
  <si>
    <t>.1~2607</t>
  </si>
  <si>
    <t>.1~2339</t>
  </si>
  <si>
    <t>.1~2141</t>
  </si>
  <si>
    <t>.1~1987</t>
  </si>
  <si>
    <t>.1~2564</t>
  </si>
  <si>
    <t>.1~2309</t>
  </si>
  <si>
    <t>.1~2655</t>
  </si>
  <si>
    <t>.1~2501</t>
  </si>
  <si>
    <t>.1~2039</t>
  </si>
  <si>
    <t>.1~2370</t>
  </si>
  <si>
    <t>.1~2216</t>
  </si>
  <si>
    <t>.1~2660</t>
  </si>
  <si>
    <t>.1~2506</t>
  </si>
  <si>
    <t>.1~2242</t>
  </si>
  <si>
    <t>.1~1848</t>
  </si>
  <si>
    <t>.1~2662</t>
  </si>
  <si>
    <t>.1~2569</t>
  </si>
  <si>
    <t>.1~2582</t>
  </si>
  <si>
    <t>.1~2433</t>
  </si>
  <si>
    <t>.1~2125</t>
  </si>
  <si>
    <t>.1~2284</t>
  </si>
  <si>
    <t>.1~2060</t>
  </si>
  <si>
    <t>.1~2578</t>
  </si>
  <si>
    <t>.1~2360</t>
  </si>
  <si>
    <t>.1~2008</t>
  </si>
  <si>
    <t>.1~2048</t>
  </si>
  <si>
    <t>.1~2011</t>
  </si>
  <si>
    <t>.1~2363</t>
  </si>
  <si>
    <t>.1~2474</t>
  </si>
  <si>
    <t>.1~2166</t>
  </si>
  <si>
    <t>.1~1858</t>
  </si>
  <si>
    <t>.1~1969</t>
  </si>
  <si>
    <t>.1~2361</t>
  </si>
  <si>
    <t>.1~2009</t>
  </si>
  <si>
    <t>.1~2586</t>
  </si>
  <si>
    <t>.1~2595</t>
  </si>
  <si>
    <t>.1~2593</t>
  </si>
  <si>
    <t>.1~2523</t>
  </si>
  <si>
    <t>.1~2392</t>
  </si>
  <si>
    <t>.1~2238</t>
  </si>
  <si>
    <t>.1~2528</t>
  </si>
  <si>
    <t>.1~1890</t>
  </si>
  <si>
    <t>.1~2266</t>
  </si>
  <si>
    <t>.1~2552</t>
  </si>
  <si>
    <t>.1~2591</t>
  </si>
  <si>
    <t>.1~2604</t>
  </si>
  <si>
    <t>.1~1988</t>
  </si>
  <si>
    <t>.1~2548</t>
  </si>
  <si>
    <t>.1~2306</t>
  </si>
  <si>
    <t>.1~2082</t>
  </si>
  <si>
    <t>.1~2203</t>
  </si>
  <si>
    <t>.1~2357</t>
  </si>
  <si>
    <t>.1~2600</t>
  </si>
  <si>
    <t>.1~2623</t>
  </si>
  <si>
    <t>.1~2382</t>
  </si>
  <si>
    <t>.1~2030</t>
  </si>
  <si>
    <t>.1~1981</t>
  </si>
  <si>
    <t>.1~2070</t>
  </si>
  <si>
    <t>.1~2033</t>
  </si>
  <si>
    <t>.1~2385</t>
  </si>
  <si>
    <t>.1~2650</t>
  </si>
  <si>
    <t>.1~2496</t>
  </si>
  <si>
    <t>.1~2383</t>
  </si>
  <si>
    <t>.1~2031</t>
  </si>
  <si>
    <t>.1~2608</t>
  </si>
  <si>
    <t>.1~2617</t>
  </si>
  <si>
    <t>.1~2615</t>
  </si>
  <si>
    <t>.1~2193</t>
  </si>
  <si>
    <t>.1~2634</t>
  </si>
  <si>
    <t>.1~2260</t>
  </si>
  <si>
    <t>.1~1886</t>
  </si>
  <si>
    <t>.1~2286</t>
  </si>
  <si>
    <t>.1~1912</t>
  </si>
  <si>
    <t>.1~2090</t>
  </si>
  <si>
    <t>.1~2574</t>
  </si>
  <si>
    <t>.1~2613</t>
  </si>
  <si>
    <t>.1~2010</t>
  </si>
  <si>
    <t>.1~2570</t>
  </si>
  <si>
    <t>.1~2412</t>
  </si>
  <si>
    <t>.1~1950</t>
  </si>
  <si>
    <t>.1~2225</t>
  </si>
  <si>
    <t>.1~2379</t>
  </si>
  <si>
    <t>.1~1962</t>
  </si>
  <si>
    <t>.1~2052</t>
  </si>
  <si>
    <t>.1~2355</t>
  </si>
  <si>
    <t>.1~2003</t>
  </si>
  <si>
    <t>.1~2055</t>
  </si>
  <si>
    <t>.1~2518</t>
  </si>
  <si>
    <t>.1~2629</t>
  </si>
  <si>
    <t>.1~2053</t>
  </si>
  <si>
    <t>.1~1970</t>
  </si>
  <si>
    <t>.1~1977</t>
  </si>
  <si>
    <t>.1~1908</t>
  </si>
  <si>
    <t>.1~2308</t>
  </si>
  <si>
    <t>.1~1934</t>
  </si>
  <si>
    <t>.1~2332</t>
  </si>
  <si>
    <t>.1~1975</t>
  </si>
  <si>
    <t>.1~2494</t>
  </si>
  <si>
    <t>.1~2032</t>
  </si>
  <si>
    <t>.1~2653</t>
  </si>
  <si>
    <t>.1~2592</t>
  </si>
  <si>
    <t>.1~2372</t>
  </si>
  <si>
    <t>.1~2064</t>
  </si>
  <si>
    <t>.1~2247</t>
  </si>
  <si>
    <t>.1~1873</t>
  </si>
  <si>
    <t>.1~2074</t>
  </si>
  <si>
    <t>.1~2377</t>
  </si>
  <si>
    <t>.1~1784</t>
  </si>
  <si>
    <t>.1~2077</t>
  </si>
  <si>
    <t>.1~2188</t>
  </si>
  <si>
    <t>.1~2075</t>
  </si>
  <si>
    <t>.1~2155</t>
  </si>
  <si>
    <t>.1~2105</t>
  </si>
  <si>
    <t>.1~2546</t>
  </si>
  <si>
    <t>.1~1930</t>
  </si>
  <si>
    <t>.1~2354</t>
  </si>
  <si>
    <t>.1~2508</t>
  </si>
  <si>
    <t>.1~2626</t>
  </si>
  <si>
    <t>.1~1883</t>
  </si>
  <si>
    <t>.1~2614</t>
  </si>
  <si>
    <t>.1~2394</t>
  </si>
  <si>
    <t>.1~2269</t>
  </si>
  <si>
    <t>.1~1895</t>
  </si>
  <si>
    <t>.1~2622</t>
  </si>
  <si>
    <t>.1~2095</t>
  </si>
  <si>
    <t>.1~1787</t>
  </si>
  <si>
    <t>.1~2404</t>
  </si>
  <si>
    <t>.1~1942</t>
  </si>
  <si>
    <t>.1~1806</t>
  </si>
  <si>
    <t>.1~2422</t>
  </si>
  <si>
    <t>.1~1945</t>
  </si>
  <si>
    <t>.1~2539</t>
  </si>
  <si>
    <t>.1~2407</t>
  </si>
  <si>
    <t>.1~2405</t>
  </si>
  <si>
    <t>.1~1943</t>
  </si>
  <si>
    <t>.1~2630</t>
  </si>
  <si>
    <t>.1~2177</t>
  </si>
  <si>
    <t>.1~2637</t>
  </si>
  <si>
    <t>.1~1889</t>
  </si>
  <si>
    <t>.1~2568</t>
  </si>
  <si>
    <t>.1~2594</t>
  </si>
  <si>
    <t>.1~2530</t>
  </si>
  <si>
    <t>.1~2442</t>
  </si>
  <si>
    <t>.1~2635</t>
  </si>
  <si>
    <t>.1~1976</t>
  </si>
  <si>
    <t>.1~2291</t>
  </si>
  <si>
    <t>.1~1917</t>
  </si>
  <si>
    <t>.1~2533</t>
  </si>
  <si>
    <t>.1~2425</t>
  </si>
  <si>
    <t>.1~2117</t>
  </si>
  <si>
    <t>.1~1809</t>
  </si>
  <si>
    <t>.1~2069</t>
  </si>
  <si>
    <t>.1~1828</t>
  </si>
  <si>
    <t>.1~2444</t>
  </si>
  <si>
    <t>.1~2101</t>
  </si>
  <si>
    <t>.1~1793</t>
  </si>
  <si>
    <t>.1~1995</t>
  </si>
  <si>
    <t>.1~2590</t>
  </si>
  <si>
    <t>.1~2326</t>
  </si>
  <si>
    <t>.1~2616</t>
  </si>
  <si>
    <t>.1~2000</t>
  </si>
  <si>
    <t>.1~2002</t>
  </si>
  <si>
    <t>.1~1862</t>
  </si>
  <si>
    <t>.1~1785</t>
  </si>
  <si>
    <t>.1~2555</t>
  </si>
  <si>
    <t>.1~2447</t>
  </si>
  <si>
    <t>.1~2139</t>
  </si>
  <si>
    <t>.1~1831</t>
  </si>
  <si>
    <t>.1~2399</t>
  </si>
  <si>
    <t>.1~1937</t>
  </si>
  <si>
    <t>.1~2356</t>
  </si>
  <si>
    <t>.1~1850</t>
  </si>
  <si>
    <t>.1~2466</t>
  </si>
  <si>
    <t>.1~2320</t>
  </si>
  <si>
    <t>.1~2431</t>
  </si>
  <si>
    <t>.1~2123</t>
  </si>
  <si>
    <t>.1~1815</t>
  </si>
  <si>
    <t>.1~2419</t>
  </si>
  <si>
    <t>.1~2017</t>
  </si>
  <si>
    <t>.1~2612</t>
  </si>
  <si>
    <t>.1~2348</t>
  </si>
  <si>
    <t>.1~2022</t>
  </si>
  <si>
    <t>.1~2024</t>
  </si>
  <si>
    <t>.1~2098</t>
  </si>
  <si>
    <t>.1~1790</t>
  </si>
  <si>
    <t>.1~2500</t>
  </si>
  <si>
    <t>.1~2313</t>
  </si>
  <si>
    <t>.1~2577</t>
  </si>
  <si>
    <t>.1~1786</t>
  </si>
  <si>
    <t>.1~2469</t>
  </si>
  <si>
    <t>.1~2161</t>
  </si>
  <si>
    <t>.1~1853</t>
  </si>
  <si>
    <t>.1~2488</t>
  </si>
  <si>
    <t>.1~2342</t>
  </si>
  <si>
    <t>.1~1990</t>
  </si>
  <si>
    <t>.1~2453</t>
  </si>
  <si>
    <t>.1~2145</t>
  </si>
  <si>
    <t>.1~1837</t>
  </si>
  <si>
    <t>.1~2102</t>
  </si>
  <si>
    <t>.1~1794</t>
  </si>
  <si>
    <t>.1~1803</t>
  </si>
  <si>
    <t>.1~2109</t>
  </si>
  <si>
    <t>.1~1801</t>
  </si>
  <si>
    <t>.1~1974</t>
  </si>
  <si>
    <t>.1~1914</t>
  </si>
  <si>
    <t>.1~1799</t>
  </si>
  <si>
    <t>.1~2283</t>
  </si>
  <si>
    <t>.1~2107</t>
  </si>
  <si>
    <t>.1~2428</t>
  </si>
  <si>
    <t>.1~2120</t>
  </si>
  <si>
    <t>.1~2323</t>
  </si>
  <si>
    <t>.1~2522</t>
  </si>
  <si>
    <t>.1~2258</t>
  </si>
  <si>
    <t>.1~2599</t>
  </si>
  <si>
    <t>.1~2424</t>
  </si>
  <si>
    <t>.1~2645</t>
  </si>
  <si>
    <t>.1~2491</t>
  </si>
  <si>
    <t>.1~2206</t>
  </si>
  <si>
    <t>.1~2311</t>
  </si>
  <si>
    <t>.1~2620</t>
  </si>
  <si>
    <t>.1~2510</t>
  </si>
  <si>
    <t>.1~1857</t>
  </si>
  <si>
    <t>.1~2364</t>
  </si>
  <si>
    <t>.1~2012</t>
  </si>
  <si>
    <t>.1~2475</t>
  </si>
  <si>
    <t>.1~2167</t>
  </si>
  <si>
    <t>.1~1859</t>
  </si>
  <si>
    <t>.1~2432</t>
  </si>
  <si>
    <t>.1~2124</t>
  </si>
  <si>
    <t>.1~1816</t>
  </si>
  <si>
    <t>.1~2221</t>
  </si>
  <si>
    <t>.1~2439</t>
  </si>
  <si>
    <t>.1~1823</t>
  </si>
  <si>
    <t>.1~1936</t>
  </si>
  <si>
    <t>.1~1821</t>
  </si>
  <si>
    <t>.1~2437</t>
  </si>
  <si>
    <t>.1~2305</t>
  </si>
  <si>
    <t>.1~2129</t>
  </si>
  <si>
    <t>.1~2142</t>
  </si>
  <si>
    <t>.1~1834</t>
  </si>
  <si>
    <t>.1~2345</t>
  </si>
  <si>
    <t>.1~1993</t>
  </si>
  <si>
    <t>.1~2218</t>
  </si>
  <si>
    <t>.1~2280</t>
  </si>
  <si>
    <t>.1~2192</t>
  </si>
  <si>
    <t>.1~1961</t>
  </si>
  <si>
    <t>.1~1830</t>
  </si>
  <si>
    <t>.1~2513</t>
  </si>
  <si>
    <t>.1~2228</t>
  </si>
  <si>
    <t>.1~2180</t>
  </si>
  <si>
    <t>.1~2386</t>
  </si>
  <si>
    <t>.1~2034</t>
  </si>
  <si>
    <t>.1~2651</t>
  </si>
  <si>
    <t>.1~2497</t>
  </si>
  <si>
    <t>.1~2493</t>
  </si>
  <si>
    <t>.1~2229</t>
  </si>
  <si>
    <t>.1~2454</t>
  </si>
  <si>
    <t>.1~2146</t>
  </si>
  <si>
    <t>.1~1838</t>
  </si>
  <si>
    <t>.1~2243</t>
  </si>
  <si>
    <t>.1~2461</t>
  </si>
  <si>
    <t>.1~2153</t>
  </si>
  <si>
    <t>.1~1845</t>
  </si>
  <si>
    <t>.1~2281</t>
  </si>
  <si>
    <t>.1~2083</t>
  </si>
  <si>
    <t>.1~2062</t>
  </si>
  <si>
    <t>.1~2110</t>
  </si>
  <si>
    <t>.1~2376</t>
  </si>
  <si>
    <t>.1~1843</t>
  </si>
  <si>
    <t>.1~2459</t>
  </si>
  <si>
    <t>.1~2164</t>
  </si>
  <si>
    <t>.1~1966</t>
  </si>
  <si>
    <t>.1~2367</t>
  </si>
  <si>
    <t>.1~2015</t>
  </si>
  <si>
    <t>.1~2240</t>
  </si>
  <si>
    <t>.1~2108</t>
  </si>
  <si>
    <t>.1~1800</t>
  </si>
  <si>
    <t>.1~2302</t>
  </si>
  <si>
    <t>.1~2160</t>
  </si>
  <si>
    <t>.1~1852</t>
  </si>
  <si>
    <t>.1~2183</t>
  </si>
  <si>
    <t>.1~2250</t>
  </si>
  <si>
    <t>.1~1876</t>
  </si>
  <si>
    <t>.1~2201</t>
  </si>
  <si>
    <t>.1~2400</t>
  </si>
  <si>
    <t>.1~1879</t>
  </si>
  <si>
    <t>.1~2056</t>
  </si>
  <si>
    <t>.1~2519</t>
  </si>
  <si>
    <t>.1~2251</t>
  </si>
  <si>
    <t>.1~1877</t>
  </si>
  <si>
    <t>.1~2476</t>
  </si>
  <si>
    <t>.1~2168</t>
  </si>
  <si>
    <t>.1~1860</t>
  </si>
  <si>
    <t>.1~2111</t>
  </si>
  <si>
    <t>.1~1979</t>
  </si>
  <si>
    <t>.1~2549</t>
  </si>
  <si>
    <t>.1~2483</t>
  </si>
  <si>
    <t>.1~2175</t>
  </si>
  <si>
    <t>.1~2413</t>
  </si>
  <si>
    <t>.1~2303</t>
  </si>
  <si>
    <t>.1~1951</t>
  </si>
  <si>
    <t>.1~1956</t>
  </si>
  <si>
    <t>.1~2398</t>
  </si>
  <si>
    <t>.1~2288</t>
  </si>
  <si>
    <t>.1~1958</t>
  </si>
  <si>
    <t>.1~1870</t>
  </si>
  <si>
    <t>.1~1865</t>
  </si>
  <si>
    <t>.1~2481</t>
  </si>
  <si>
    <t>.1~2648</t>
  </si>
  <si>
    <t>.1~2389</t>
  </si>
  <si>
    <t>.1~2037</t>
  </si>
  <si>
    <t>.1~2438</t>
  </si>
  <si>
    <t>.1~2130</t>
  </si>
  <si>
    <t>.1~2621</t>
  </si>
  <si>
    <t>.1~2644</t>
  </si>
  <si>
    <t>.1~2272</t>
  </si>
  <si>
    <t>.1~1898</t>
  </si>
  <si>
    <t>.1~2223</t>
  </si>
  <si>
    <t>.1~2025</t>
  </si>
  <si>
    <t>.1~2187</t>
  </si>
  <si>
    <t>.1~2078</t>
  </si>
  <si>
    <t>.1~2189</t>
  </si>
  <si>
    <t>.1~2273</t>
  </si>
  <si>
    <t>.1~1899</t>
  </si>
  <si>
    <t>.1~2652</t>
  </si>
  <si>
    <t>.1~2498</t>
  </si>
  <si>
    <t>.1~2463</t>
  </si>
  <si>
    <t>.1~2659</t>
  </si>
  <si>
    <t>.1~2571</t>
  </si>
  <si>
    <t>.1~2505</t>
  </si>
  <si>
    <t>.1~2310</t>
  </si>
  <si>
    <t>.1~2657</t>
  </si>
  <si>
    <t>.1~2252</t>
  </si>
  <si>
    <t>.1~2059</t>
  </si>
  <si>
    <t>6</t>
  </si>
  <si>
    <t>NET_VALUE - %</t>
  </si>
  <si>
    <t>NET_VALUE - Euro</t>
  </si>
  <si>
    <t>Company Market Share by Area</t>
  </si>
  <si>
    <t>(All)</t>
  </si>
  <si>
    <t>MainNavigation!A1</t>
  </si>
  <si>
    <t>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</si>
</sst>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[$-1009]d/mmm/yy;@"/>
    <numFmt numFmtId="165" formatCode="[$€-2]\ #,##0.00"/>
    <numFmt numFmtId="166" formatCode="[$€-2]\ #,##0"/>
    <numFmt numFmtId="167" formatCode="_-* #,##0_-;\-* #,##0_-;_-* &quot;-&quot;??_-;_-@_-"/>
    <numFmt numFmtId="168" formatCode="[$€-2]\ #,##0;[Red]\-[$€-2]\ #,##0"/>
    <numFmt numFmtId="169" formatCode="0.0%"/>
    <numFmt numFmtId="170" formatCode="#,##0.0"/>
    <numFmt numFmtId="171" formatCode="[$€-2]\ #,##0.00;\-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theme="1"/>
      <name val="Calibri Light"/>
      <family val="2"/>
      <scheme val="major"/>
    </font>
    <font>
      <u/>
      <sz val="14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8" fillId="0" borderId="33" applyNumberFormat="0" applyFill="0" applyAlignment="0" applyProtection="0"/>
  </cellStyleXfs>
  <cellXfs count="193">
    <xf numFmtId="0" fontId="0" fillId="0" borderId="0" xfId="0"/>
    <xf numFmtId="0" fontId="2" fillId="0" borderId="1" xfId="1" applyFont="1" applyBorder="1"/>
    <xf numFmtId="0" fontId="1" fillId="0" borderId="0" xfId="1"/>
    <xf numFmtId="0" fontId="1" fillId="0" borderId="1" xfId="1" applyBorder="1"/>
    <xf numFmtId="0" fontId="2" fillId="0" borderId="0" xfId="1" applyFont="1"/>
    <xf numFmtId="0" fontId="1" fillId="0" borderId="1" xfId="1" applyBorder="1" applyAlignment="1">
      <alignment wrapText="1"/>
    </xf>
    <xf numFmtId="15" fontId="1" fillId="0" borderId="0" xfId="1" applyNumberFormat="1"/>
    <xf numFmtId="0" fontId="1" fillId="0" borderId="0" xfId="1" applyAlignment="1">
      <alignment wrapText="1"/>
    </xf>
    <xf numFmtId="15" fontId="0" fillId="0" borderId="2" xfId="0" applyNumberFormat="1" applyBorder="1"/>
    <xf numFmtId="0" fontId="0" fillId="0" borderId="2" xfId="0" applyBorder="1" applyAlignment="1">
      <alignment wrapText="1"/>
    </xf>
    <xf numFmtId="0" fontId="0" fillId="0" borderId="2" xfId="0" applyBorder="1"/>
    <xf numFmtId="0" fontId="0" fillId="2" borderId="2" xfId="0" applyFill="1" applyBorder="1"/>
    <xf numFmtId="0" fontId="1" fillId="0" borderId="2" xfId="1" applyBorder="1"/>
    <xf numFmtId="0" fontId="3" fillId="0" borderId="0" xfId="0" applyFont="1"/>
    <xf numFmtId="0" fontId="4" fillId="0" borderId="2" xfId="0" applyFont="1" applyBorder="1"/>
    <xf numFmtId="164" fontId="1" fillId="0" borderId="1" xfId="1" applyNumberForma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1" xfId="1" applyNumberFormat="1" applyBorder="1" applyAlignment="1">
      <alignment horizontal="left"/>
    </xf>
    <xf numFmtId="0" fontId="1" fillId="0" borderId="1" xfId="1" applyBorder="1" applyAlignment="1">
      <alignment horizontal="left"/>
    </xf>
    <xf numFmtId="15" fontId="1" fillId="0" borderId="1" xfId="1" applyNumberFormat="1" applyBorder="1" applyAlignment="1">
      <alignment horizontal="left"/>
    </xf>
    <xf numFmtId="0" fontId="1" fillId="0" borderId="1" xfId="1" applyBorder="1" applyAlignment="1">
      <alignment horizontal="left" wrapText="1"/>
    </xf>
    <xf numFmtId="9" fontId="0" fillId="0" borderId="2" xfId="3" applyFont="1" applyBorder="1"/>
    <xf numFmtId="0" fontId="0" fillId="0" borderId="2" xfId="0" applyBorder="1" applyAlignment="1" applyProtection="1">
      <alignment horizontal="left"/>
      <protection locked="0"/>
    </xf>
    <xf numFmtId="22" fontId="0" fillId="0" borderId="0" xfId="0" applyNumberFormat="1"/>
    <xf numFmtId="170" fontId="0" fillId="0" borderId="2" xfId="0" applyNumberFormat="1" applyBorder="1"/>
    <xf numFmtId="0" fontId="0" fillId="0" borderId="0" xfId="0" pivotButton="1"/>
    <xf numFmtId="0" fontId="15" fillId="0" borderId="7" xfId="0" applyFont="1" applyBorder="1"/>
    <xf numFmtId="0" fontId="13" fillId="16" borderId="30" xfId="4" applyFont="1" applyFill="1" applyBorder="1"/>
    <xf numFmtId="0" fontId="13" fillId="16" borderId="31" xfId="4" applyFont="1" applyFill="1" applyBorder="1"/>
    <xf numFmtId="0" fontId="13" fillId="17" borderId="30" xfId="4" applyFont="1" applyFill="1" applyBorder="1"/>
    <xf numFmtId="0" fontId="13" fillId="17" borderId="32" xfId="4" applyFont="1" applyFill="1" applyBorder="1"/>
    <xf numFmtId="0" fontId="13" fillId="17" borderId="31" xfId="4" applyFont="1" applyFill="1" applyBorder="1"/>
    <xf numFmtId="0" fontId="14" fillId="18" borderId="30" xfId="4" applyFont="1" applyFill="1" applyBorder="1"/>
    <xf numFmtId="0" fontId="13" fillId="19" borderId="30" xfId="4" applyFont="1" applyFill="1" applyBorder="1"/>
    <xf numFmtId="0" fontId="13" fillId="19" borderId="31" xfId="4" applyFont="1" applyFill="1" applyBorder="1"/>
    <xf numFmtId="0" fontId="13" fillId="15" borderId="30" xfId="4" applyFont="1" applyFill="1" applyBorder="1"/>
    <xf numFmtId="0" fontId="13" fillId="15" borderId="32" xfId="4" applyFont="1" applyFill="1" applyBorder="1"/>
    <xf numFmtId="0" fontId="13" fillId="20" borderId="30" xfId="4" applyFont="1" applyFill="1" applyBorder="1"/>
    <xf numFmtId="0" fontId="16" fillId="20" borderId="0" xfId="4" applyFont="1" applyFill="1" applyAlignment="1">
      <alignment horizontal="left"/>
    </xf>
    <xf numFmtId="0" fontId="5" fillId="2" borderId="2" xfId="0" applyFont="1" applyFill="1" applyBorder="1" applyAlignment="1">
      <alignment horizontal="center" wrapText="1"/>
    </xf>
    <xf numFmtId="0" fontId="0" fillId="13" borderId="2" xfId="0" applyFill="1" applyBorder="1"/>
    <xf numFmtId="0" fontId="0" fillId="13" borderId="2" xfId="0" applyFill="1" applyBorder="1" applyAlignment="1">
      <alignment horizontal="right"/>
    </xf>
    <xf numFmtId="2" fontId="0" fillId="13" borderId="2" xfId="0" applyNumberFormat="1" applyFill="1" applyBorder="1"/>
    <xf numFmtId="9" fontId="0" fillId="13" borderId="2" xfId="3" applyFont="1" applyFill="1" applyBorder="1" applyProtection="1"/>
    <xf numFmtId="0" fontId="2" fillId="2" borderId="2" xfId="0" applyFont="1" applyFill="1" applyBorder="1"/>
    <xf numFmtId="2" fontId="2" fillId="2" borderId="2" xfId="0" applyNumberFormat="1" applyFont="1" applyFill="1" applyBorder="1"/>
    <xf numFmtId="0" fontId="0" fillId="13" borderId="2" xfId="0" applyFill="1" applyBorder="1" applyAlignment="1">
      <alignment horizontal="center"/>
    </xf>
    <xf numFmtId="0" fontId="0" fillId="13" borderId="2" xfId="3" applyNumberFormat="1" applyFont="1" applyFill="1" applyBorder="1" applyProtection="1"/>
    <xf numFmtId="0" fontId="0" fillId="6" borderId="0" xfId="0" applyFill="1"/>
    <xf numFmtId="0" fontId="0" fillId="2" borderId="2" xfId="0" applyFill="1" applyBorder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left"/>
    </xf>
    <xf numFmtId="0" fontId="7" fillId="6" borderId="2" xfId="0" applyFont="1" applyFill="1" applyBorder="1" applyAlignment="1">
      <alignment vertical="center" wrapText="1"/>
    </xf>
    <xf numFmtId="0" fontId="7" fillId="6" borderId="8" xfId="0" applyFont="1" applyFill="1" applyBorder="1" applyAlignment="1">
      <alignment vertical="center" wrapText="1"/>
    </xf>
    <xf numFmtId="0" fontId="7" fillId="6" borderId="16" xfId="0" applyFont="1" applyFill="1" applyBorder="1" applyAlignment="1">
      <alignment vertical="center" wrapText="1"/>
    </xf>
    <xf numFmtId="0" fontId="0" fillId="13" borderId="14" xfId="0" applyFill="1" applyBorder="1" applyAlignment="1">
      <alignment horizontal="left"/>
    </xf>
    <xf numFmtId="166" fontId="0" fillId="13" borderId="2" xfId="0" applyNumberFormat="1" applyFill="1" applyBorder="1"/>
    <xf numFmtId="167" fontId="0" fillId="13" borderId="3" xfId="2" applyNumberFormat="1" applyFont="1" applyFill="1" applyBorder="1" applyProtection="1"/>
    <xf numFmtId="169" fontId="0" fillId="13" borderId="2" xfId="3" applyNumberFormat="1" applyFont="1" applyFill="1" applyBorder="1" applyProtection="1"/>
    <xf numFmtId="9" fontId="8" fillId="0" borderId="7" xfId="3" applyFont="1" applyBorder="1" applyAlignment="1" applyProtection="1">
      <alignment horizontal="center" vertical="center" wrapText="1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7" fontId="0" fillId="6" borderId="0" xfId="2" applyNumberFormat="1" applyFont="1" applyFill="1" applyAlignment="1" applyProtection="1">
      <alignment horizontal="center"/>
    </xf>
    <xf numFmtId="0" fontId="0" fillId="0" borderId="2" xfId="0" applyBorder="1" applyProtection="1">
      <protection locked="0"/>
    </xf>
    <xf numFmtId="165" fontId="0" fillId="0" borderId="2" xfId="0" applyNumberFormat="1" applyBorder="1" applyProtection="1">
      <protection locked="0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16" fillId="20" borderId="0" xfId="4" applyFont="1" applyFill="1" applyAlignment="1" applyProtection="1">
      <alignment vertical="center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9" fontId="0" fillId="4" borderId="2" xfId="0" applyNumberForma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168" fontId="0" fillId="0" borderId="2" xfId="0" applyNumberFormat="1" applyBorder="1" applyAlignment="1" applyProtection="1">
      <alignment horizontal="center" vertical="center"/>
      <protection locked="0"/>
    </xf>
    <xf numFmtId="0" fontId="2" fillId="0" borderId="2" xfId="0" applyFont="1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68" fontId="0" fillId="13" borderId="2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9" fontId="0" fillId="13" borderId="2" xfId="3" applyFont="1" applyFill="1" applyBorder="1" applyProtection="1">
      <protection locked="0"/>
    </xf>
    <xf numFmtId="3" fontId="0" fillId="0" borderId="0" xfId="0" applyNumberFormat="1" applyProtection="1">
      <protection locked="0"/>
    </xf>
    <xf numFmtId="0" fontId="0" fillId="0" borderId="2" xfId="0" quotePrefix="1" applyBorder="1" applyProtection="1">
      <protection locked="0"/>
    </xf>
    <xf numFmtId="3" fontId="0" fillId="0" borderId="2" xfId="0" applyNumberFormat="1" applyBorder="1" applyAlignment="1" applyProtection="1">
      <alignment horizontal="left"/>
      <protection locked="0"/>
    </xf>
    <xf numFmtId="165" fontId="0" fillId="0" borderId="2" xfId="0" applyNumberFormat="1" applyBorder="1" applyAlignment="1" applyProtection="1">
      <alignment horizontal="left"/>
      <protection locked="0"/>
    </xf>
    <xf numFmtId="0" fontId="0" fillId="2" borderId="2" xfId="0" applyFill="1" applyBorder="1" applyAlignment="1">
      <alignment wrapText="1"/>
    </xf>
    <xf numFmtId="3" fontId="0" fillId="0" borderId="2" xfId="0" applyNumberFormat="1" applyBorder="1" applyProtection="1">
      <protection locked="0"/>
    </xf>
    <xf numFmtId="0" fontId="0" fillId="0" borderId="3" xfId="0" applyBorder="1" applyProtection="1">
      <protection locked="0"/>
    </xf>
    <xf numFmtId="166" fontId="0" fillId="5" borderId="2" xfId="0" applyNumberFormat="1" applyFill="1" applyBorder="1"/>
    <xf numFmtId="167" fontId="0" fillId="5" borderId="2" xfId="2" applyNumberFormat="1" applyFont="1" applyFill="1" applyBorder="1" applyProtection="1"/>
    <xf numFmtId="43" fontId="0" fillId="5" borderId="2" xfId="0" applyNumberFormat="1" applyFill="1" applyBorder="1"/>
    <xf numFmtId="0" fontId="0" fillId="5" borderId="2" xfId="0" applyFill="1" applyBorder="1"/>
    <xf numFmtId="0" fontId="11" fillId="11" borderId="8" xfId="0" applyFont="1" applyFill="1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6" fillId="11" borderId="0" xfId="0" applyFont="1" applyFill="1" applyProtection="1">
      <protection locked="0"/>
    </xf>
    <xf numFmtId="0" fontId="6" fillId="11" borderId="0" xfId="0" applyFont="1" applyFill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vertical="center" wrapText="1"/>
      <protection locked="0"/>
    </xf>
    <xf numFmtId="167" fontId="0" fillId="0" borderId="2" xfId="2" applyNumberFormat="1" applyFont="1" applyFill="1" applyBorder="1" applyProtection="1">
      <protection locked="0"/>
    </xf>
    <xf numFmtId="165" fontId="0" fillId="0" borderId="2" xfId="2" applyNumberFormat="1" applyFont="1" applyFill="1" applyBorder="1" applyProtection="1">
      <protection locked="0"/>
    </xf>
    <xf numFmtId="43" fontId="0" fillId="0" borderId="0" xfId="2" applyFont="1" applyProtection="1">
      <protection locked="0"/>
    </xf>
    <xf numFmtId="0" fontId="2" fillId="6" borderId="0" xfId="0" applyFont="1" applyFill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3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2" fillId="0" borderId="7" xfId="0" applyFont="1" applyBorder="1" applyAlignment="1">
      <alignment horizontal="center" wrapText="1"/>
    </xf>
    <xf numFmtId="167" fontId="0" fillId="0" borderId="25" xfId="2" applyNumberFormat="1" applyFont="1" applyBorder="1" applyProtection="1">
      <protection locked="0"/>
    </xf>
    <xf numFmtId="165" fontId="0" fillId="0" borderId="26" xfId="0" applyNumberFormat="1" applyBorder="1" applyProtection="1">
      <protection locked="0"/>
    </xf>
    <xf numFmtId="166" fontId="0" fillId="3" borderId="26" xfId="0" applyNumberFormat="1" applyFill="1" applyBorder="1" applyProtection="1">
      <protection locked="0"/>
    </xf>
    <xf numFmtId="167" fontId="0" fillId="0" borderId="26" xfId="2" applyNumberFormat="1" applyFont="1" applyBorder="1" applyProtection="1">
      <protection locked="0"/>
    </xf>
    <xf numFmtId="166" fontId="0" fillId="0" borderId="27" xfId="0" applyNumberFormat="1" applyBorder="1" applyProtection="1">
      <protection locked="0"/>
    </xf>
    <xf numFmtId="166" fontId="0" fillId="3" borderId="2" xfId="0" applyNumberFormat="1" applyFill="1" applyBorder="1" applyProtection="1">
      <protection locked="0"/>
    </xf>
    <xf numFmtId="167" fontId="0" fillId="0" borderId="2" xfId="2" applyNumberFormat="1" applyFont="1" applyBorder="1" applyProtection="1">
      <protection locked="0"/>
    </xf>
    <xf numFmtId="166" fontId="0" fillId="0" borderId="21" xfId="0" applyNumberFormat="1" applyBorder="1" applyProtection="1">
      <protection locked="0"/>
    </xf>
    <xf numFmtId="167" fontId="0" fillId="0" borderId="20" xfId="2" applyNumberFormat="1" applyFont="1" applyBorder="1" applyProtection="1">
      <protection locked="0"/>
    </xf>
    <xf numFmtId="167" fontId="0" fillId="0" borderId="22" xfId="2" applyNumberFormat="1" applyFont="1" applyBorder="1" applyProtection="1">
      <protection locked="0"/>
    </xf>
    <xf numFmtId="165" fontId="0" fillId="0" borderId="23" xfId="0" applyNumberFormat="1" applyBorder="1" applyProtection="1">
      <protection locked="0"/>
    </xf>
    <xf numFmtId="166" fontId="0" fillId="3" borderId="23" xfId="0" applyNumberFormat="1" applyFill="1" applyBorder="1" applyProtection="1">
      <protection locked="0"/>
    </xf>
    <xf numFmtId="167" fontId="0" fillId="0" borderId="23" xfId="2" applyNumberFormat="1" applyFont="1" applyBorder="1" applyProtection="1">
      <protection locked="0"/>
    </xf>
    <xf numFmtId="166" fontId="0" fillId="0" borderId="24" xfId="0" applyNumberFormat="1" applyBorder="1" applyProtection="1">
      <protection locked="0"/>
    </xf>
    <xf numFmtId="0" fontId="16" fillId="20" borderId="0" xfId="4" applyFont="1" applyFill="1" applyAlignment="1" applyProtection="1">
      <alignment horizontal="left" vertical="center"/>
      <protection locked="0"/>
    </xf>
    <xf numFmtId="0" fontId="2" fillId="8" borderId="0" xfId="0" applyFont="1" applyFill="1" applyProtection="1">
      <protection locked="0"/>
    </xf>
    <xf numFmtId="167" fontId="0" fillId="6" borderId="0" xfId="0" applyNumberFormat="1" applyFill="1" applyProtection="1">
      <protection locked="0"/>
    </xf>
    <xf numFmtId="0" fontId="0" fillId="8" borderId="0" xfId="0" applyFill="1" applyProtection="1">
      <protection locked="0"/>
    </xf>
    <xf numFmtId="0" fontId="7" fillId="6" borderId="2" xfId="0" applyFont="1" applyFill="1" applyBorder="1" applyAlignment="1">
      <alignment wrapText="1"/>
    </xf>
    <xf numFmtId="0" fontId="7" fillId="6" borderId="14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7" fillId="6" borderId="19" xfId="0" applyFont="1" applyFill="1" applyBorder="1" applyAlignment="1">
      <alignment wrapText="1"/>
    </xf>
    <xf numFmtId="0" fontId="0" fillId="3" borderId="2" xfId="0" applyFill="1" applyBorder="1"/>
    <xf numFmtId="0" fontId="0" fillId="3" borderId="14" xfId="0" applyFill="1" applyBorder="1" applyAlignment="1">
      <alignment horizontal="left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17" fillId="20" borderId="0" xfId="4" applyFont="1" applyFill="1" applyAlignment="1" applyProtection="1">
      <alignment vertical="center"/>
      <protection locked="0"/>
    </xf>
    <xf numFmtId="0" fontId="0" fillId="0" borderId="14" xfId="0" applyBorder="1" applyProtection="1">
      <protection locked="0"/>
    </xf>
    <xf numFmtId="167" fontId="0" fillId="9" borderId="2" xfId="2" applyNumberFormat="1" applyFont="1" applyFill="1" applyBorder="1" applyProtection="1">
      <protection locked="0"/>
    </xf>
    <xf numFmtId="0" fontId="2" fillId="0" borderId="28" xfId="0" applyFont="1" applyBorder="1" applyProtection="1">
      <protection locked="0"/>
    </xf>
    <xf numFmtId="0" fontId="0" fillId="0" borderId="29" xfId="0" applyBorder="1" applyProtection="1">
      <protection locked="0"/>
    </xf>
    <xf numFmtId="167" fontId="0" fillId="13" borderId="2" xfId="0" applyNumberFormat="1" applyFill="1" applyBorder="1"/>
    <xf numFmtId="171" fontId="0" fillId="13" borderId="2" xfId="0" applyNumberFormat="1" applyFill="1" applyBorder="1"/>
    <xf numFmtId="0" fontId="3" fillId="0" borderId="7" xfId="0" applyFont="1" applyBorder="1" applyAlignment="1">
      <alignment wrapText="1"/>
    </xf>
    <xf numFmtId="1" fontId="0" fillId="13" borderId="2" xfId="2" applyNumberFormat="1" applyFont="1" applyFill="1" applyBorder="1" applyProtection="1"/>
    <xf numFmtId="165" fontId="0" fillId="13" borderId="2" xfId="0" applyNumberFormat="1" applyFill="1" applyBorder="1"/>
    <xf numFmtId="167" fontId="0" fillId="13" borderId="2" xfId="2" applyNumberFormat="1" applyFont="1" applyFill="1" applyBorder="1" applyProtection="1">
      <protection locked="0"/>
    </xf>
    <xf numFmtId="167" fontId="0" fillId="13" borderId="2" xfId="2" applyNumberFormat="1" applyFont="1" applyFill="1" applyBorder="1" applyProtection="1"/>
    <xf numFmtId="167" fontId="0" fillId="8" borderId="0" xfId="0" applyNumberFormat="1" applyFill="1" applyProtection="1">
      <protection locked="0"/>
    </xf>
    <xf numFmtId="167" fontId="0" fillId="0" borderId="0" xfId="0" applyNumberFormat="1" applyProtection="1">
      <protection locked="0"/>
    </xf>
    <xf numFmtId="9" fontId="0" fillId="0" borderId="0" xfId="3" applyFont="1" applyProtection="1">
      <protection locked="0"/>
    </xf>
    <xf numFmtId="0" fontId="0" fillId="14" borderId="2" xfId="0" applyFill="1" applyBorder="1"/>
    <xf numFmtId="167" fontId="0" fillId="10" borderId="2" xfId="2" applyNumberFormat="1" applyFont="1" applyFill="1" applyBorder="1" applyProtection="1"/>
    <xf numFmtId="10" fontId="0" fillId="0" borderId="0" xfId="0" applyNumberFormat="1"/>
    <xf numFmtId="0" fontId="18" fillId="0" borderId="33" xfId="5"/>
    <xf numFmtId="165" fontId="0" fillId="0" borderId="0" xfId="0" applyNumberFormat="1"/>
    <xf numFmtId="9" fontId="0" fillId="0" borderId="0" xfId="0" applyNumberFormat="1"/>
    <xf numFmtId="0" fontId="17" fillId="20" borderId="0" xfId="4" applyFont="1" applyFill="1"/>
    <xf numFmtId="0" fontId="16" fillId="21" borderId="0" xfId="4" applyFont="1" applyFill="1"/>
    <xf numFmtId="0" fontId="0" fillId="0" borderId="0" xfId="0" applyAlignment="1" applyProtection="1">
      <alignment horizontal="center"/>
      <protection locked="0"/>
    </xf>
    <xf numFmtId="0" fontId="0" fillId="13" borderId="0" xfId="0" applyFill="1" applyAlignment="1" applyProtection="1">
      <alignment horizontal="center"/>
      <protection locked="0"/>
    </xf>
    <xf numFmtId="0" fontId="0" fillId="13" borderId="9" xfId="0" applyFill="1" applyBorder="1" applyAlignment="1" applyProtection="1">
      <alignment horizontal="center"/>
      <protection locked="0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12" borderId="4" xfId="0" applyFont="1" applyFill="1" applyBorder="1" applyAlignment="1" applyProtection="1">
      <alignment horizontal="center" wrapText="1"/>
      <protection locked="0"/>
    </xf>
    <xf numFmtId="0" fontId="2" fillId="12" borderId="5" xfId="0" applyFont="1" applyFill="1" applyBorder="1" applyAlignment="1" applyProtection="1">
      <alignment horizontal="center" wrapText="1"/>
      <protection locked="0"/>
    </xf>
    <xf numFmtId="0" fontId="2" fillId="12" borderId="6" xfId="0" applyFont="1" applyFill="1" applyBorder="1" applyAlignment="1" applyProtection="1">
      <alignment horizontal="center" wrapText="1"/>
      <protection locked="0"/>
    </xf>
    <xf numFmtId="0" fontId="2" fillId="11" borderId="4" xfId="0" applyFont="1" applyFill="1" applyBorder="1" applyAlignment="1" applyProtection="1">
      <alignment horizontal="center" wrapText="1"/>
      <protection locked="0"/>
    </xf>
    <xf numFmtId="0" fontId="2" fillId="11" borderId="5" xfId="0" applyFont="1" applyFill="1" applyBorder="1" applyAlignment="1" applyProtection="1">
      <alignment horizontal="center" wrapText="1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5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7" borderId="14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16" fillId="20" borderId="0" xfId="4" applyFont="1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6" fillId="11" borderId="9" xfId="0" applyFont="1" applyFill="1" applyBorder="1" applyAlignment="1" applyProtection="1">
      <alignment horizontal="center"/>
      <protection locked="0"/>
    </xf>
    <xf numFmtId="0" fontId="6" fillId="11" borderId="10" xfId="0" applyFont="1" applyFill="1" applyBorder="1" applyAlignment="1" applyProtection="1">
      <alignment horizontal="center"/>
      <protection locked="0"/>
    </xf>
    <xf numFmtId="0" fontId="6" fillId="12" borderId="11" xfId="0" applyFont="1" applyFill="1" applyBorder="1" applyAlignment="1" applyProtection="1">
      <alignment horizontal="center"/>
      <protection locked="0"/>
    </xf>
    <xf numFmtId="0" fontId="6" fillId="12" borderId="0" xfId="0" applyFont="1" applyFill="1" applyAlignment="1" applyProtection="1">
      <alignment horizontal="center"/>
      <protection locked="0"/>
    </xf>
    <xf numFmtId="0" fontId="6" fillId="12" borderId="12" xfId="0" applyFont="1" applyFill="1" applyBorder="1" applyAlignment="1" applyProtection="1">
      <alignment horizontal="center"/>
      <protection locked="0"/>
    </xf>
    <xf numFmtId="0" fontId="6" fillId="12" borderId="4" xfId="0" applyFont="1" applyFill="1" applyBorder="1" applyAlignment="1" applyProtection="1">
      <alignment horizontal="center"/>
      <protection locked="0"/>
    </xf>
    <xf numFmtId="0" fontId="6" fillId="12" borderId="5" xfId="0" applyFont="1" applyFill="1" applyBorder="1" applyAlignment="1" applyProtection="1">
      <alignment horizontal="center"/>
      <protection locked="0"/>
    </xf>
    <xf numFmtId="0" fontId="6" fillId="12" borderId="6" xfId="0" applyFont="1" applyFill="1" applyBorder="1" applyAlignment="1" applyProtection="1">
      <alignment horizontal="center"/>
      <protection locked="0"/>
    </xf>
    <xf numFmtId="0" fontId="3" fillId="11" borderId="4" xfId="0" applyFont="1" applyFill="1" applyBorder="1" applyAlignment="1" applyProtection="1">
      <alignment horizontal="center"/>
      <protection locked="0"/>
    </xf>
    <xf numFmtId="0" fontId="3" fillId="11" borderId="5" xfId="0" applyFont="1" applyFill="1" applyBorder="1" applyAlignment="1" applyProtection="1">
      <alignment horizontal="center"/>
      <protection locked="0"/>
    </xf>
    <xf numFmtId="0" fontId="3" fillId="11" borderId="6" xfId="0" applyFont="1" applyFill="1" applyBorder="1" applyAlignment="1" applyProtection="1">
      <alignment horizontal="center"/>
      <protection locked="0"/>
    </xf>
    <xf numFmtId="0" fontId="3" fillId="12" borderId="4" xfId="0" applyFont="1" applyFill="1" applyBorder="1" applyAlignment="1" applyProtection="1">
      <alignment horizontal="center"/>
      <protection locked="0"/>
    </xf>
    <xf numFmtId="0" fontId="3" fillId="12" borderId="5" xfId="0" applyFont="1" applyFill="1" applyBorder="1" applyAlignment="1" applyProtection="1">
      <alignment horizontal="center"/>
      <protection locked="0"/>
    </xf>
    <xf numFmtId="0" fontId="3" fillId="12" borderId="6" xfId="0" applyFont="1" applyFill="1" applyBorder="1" applyAlignment="1" applyProtection="1">
      <alignment horizontal="center"/>
      <protection locked="0"/>
    </xf>
  </cellXfs>
  <cellStyles count="6">
    <cellStyle name="Comma" xfId="2" builtinId="3"/>
    <cellStyle name="Heading 1" xfId="5" builtinId="16"/>
    <cellStyle name="Hyperlink" xfId="4" builtinId="8"/>
    <cellStyle name="Normal" xfId="0" builtinId="0"/>
    <cellStyle name="Normal 2" xfId="1" xr:uid="{ACAF5FC4-1CE5-4EE1-9238-5B2D113AFA54}"/>
    <cellStyle name="Percent" xfId="3" builtinId="5"/>
  </cellStyles>
  <dxfs count="58"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Forecast Demand vs Actual Demand (Units)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'SalesForecast-CurrentMonth'!$E$7</c:f>
              <c:strCache>
                <c:ptCount val="1"/>
                <c:pt idx="0">
                  <c:v>Current Forecast - Units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'SalesForecast-CurrentMonth'!$A$8:$A$19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'SalesForecast-CurrentMonth'!$E$8:$E$19</c:f>
              <c:numCache>
                <c:formatCode>_-* #,##0_-;\-* #,##0_-;_-* "-"??_-;_-@_-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0</c:v>
                </c:pt>
                <c:pt idx="5">
                  <c:v>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7-46B7-B707-D7C8053F0841}"/>
            </c:ext>
          </c:extLst>
        </c:ser>
        <c:ser>
          <c:idx val="1"/>
          <c:order val="1"/>
          <c:tx>
            <c:strRef>
              <c:f>'SalesForecast-CurrentMonth'!$H$7</c:f>
              <c:strCache>
                <c:ptCount val="1"/>
                <c:pt idx="0">
                  <c:v>Current Actual - Units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'SalesForecast-CurrentMonth'!$A$8:$A$19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'SalesForecast-CurrentMonth'!$H$8:$H$19</c:f>
              <c:numCache>
                <c:formatCode>_-* #,##0_-;\-* #,##0_-;_-* "-"??_-;_-@_-</c:formatCode>
                <c:ptCount val="12"/>
                <c:pt idx="0">
                  <c:v>44000</c:v>
                </c:pt>
                <c:pt idx="1">
                  <c:v>61625</c:v>
                </c:pt>
                <c:pt idx="2">
                  <c:v>48000</c:v>
                </c:pt>
                <c:pt idx="3">
                  <c:v>37000</c:v>
                </c:pt>
                <c:pt idx="4">
                  <c:v>0</c:v>
                </c:pt>
                <c:pt idx="5">
                  <c:v>0</c:v>
                </c:pt>
                <c:pt idx="6">
                  <c:v>49229</c:v>
                </c:pt>
                <c:pt idx="7">
                  <c:v>78000</c:v>
                </c:pt>
                <c:pt idx="8">
                  <c:v>44750</c:v>
                </c:pt>
                <c:pt idx="9">
                  <c:v>78000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27-46B7-B707-D7C8053F0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5701656"/>
        <c:axId val="365703296"/>
      </c:barChart>
      <c:catAx>
        <c:axId val="365701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3296"/>
        <c:crosses val="autoZero"/>
        <c:auto val="1"/>
        <c:lblAlgn val="ctr"/>
        <c:lblOffset val="100"/>
        <c:noMultiLvlLbl val="0"/>
      </c:catAx>
      <c:valAx>
        <c:axId val="365703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Forecast Demand vs Actual Demand (Euros)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'SalesForecast-CurrentMonth'!$G$7</c:f>
              <c:strCache>
                <c:ptCount val="1"/>
                <c:pt idx="0">
                  <c:v>Current Forecast - Euros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'SalesForecast-CurrentMonth'!$A$8:$A$19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'SalesForecast-CurrentMonth'!$G$8:$G$19</c:f>
              <c:numCache>
                <c:formatCode>[$€-2]\ #,##0</c:formatCode>
                <c:ptCount val="12"/>
                <c:pt idx="0">
                  <c:v>195000</c:v>
                </c:pt>
                <c:pt idx="1">
                  <c:v>211500.00000000003</c:v>
                </c:pt>
                <c:pt idx="2">
                  <c:v>211500.00000000003</c:v>
                </c:pt>
                <c:pt idx="3">
                  <c:v>189500</c:v>
                </c:pt>
                <c:pt idx="4">
                  <c:v>0</c:v>
                </c:pt>
                <c:pt idx="5">
                  <c:v>0</c:v>
                </c:pt>
                <c:pt idx="6">
                  <c:v>230500.00000000003</c:v>
                </c:pt>
                <c:pt idx="7">
                  <c:v>263000</c:v>
                </c:pt>
                <c:pt idx="8">
                  <c:v>263500</c:v>
                </c:pt>
                <c:pt idx="9">
                  <c:v>219000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7-41E9-BC33-70749FFD6876}"/>
            </c:ext>
          </c:extLst>
        </c:ser>
        <c:ser>
          <c:idx val="1"/>
          <c:order val="1"/>
          <c:tx>
            <c:strRef>
              <c:f>'SalesForecast-CurrentMonth'!$M$7</c:f>
              <c:strCache>
                <c:ptCount val="1"/>
                <c:pt idx="0">
                  <c:v>Current Actual - Euros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'SalesForecast-CurrentMonth'!$A$8:$A$19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'SalesForecast-CurrentMonth'!$M$8:$M$19</c:f>
              <c:numCache>
                <c:formatCode>[$€-2]\ #,##0</c:formatCode>
                <c:ptCount val="12"/>
                <c:pt idx="0">
                  <c:v>171600</c:v>
                </c:pt>
                <c:pt idx="1">
                  <c:v>260673.75000000003</c:v>
                </c:pt>
                <c:pt idx="2">
                  <c:v>203040.00000000003</c:v>
                </c:pt>
                <c:pt idx="3">
                  <c:v>140230</c:v>
                </c:pt>
                <c:pt idx="4">
                  <c:v>0</c:v>
                </c:pt>
                <c:pt idx="5">
                  <c:v>0</c:v>
                </c:pt>
                <c:pt idx="6">
                  <c:v>226945.69</c:v>
                </c:pt>
                <c:pt idx="7">
                  <c:v>410280</c:v>
                </c:pt>
                <c:pt idx="8">
                  <c:v>235832.49999999997</c:v>
                </c:pt>
                <c:pt idx="9">
                  <c:v>341640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7-41E9-BC33-70749FFD6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8981160"/>
        <c:axId val="498981816"/>
      </c:barChart>
      <c:catAx>
        <c:axId val="498981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81816"/>
        <c:crosses val="autoZero"/>
        <c:auto val="1"/>
        <c:lblAlgn val="ctr"/>
        <c:lblOffset val="100"/>
        <c:noMultiLvlLbl val="0"/>
      </c:catAx>
      <c:valAx>
        <c:axId val="498981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€-2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8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Forecast Demand vs Actual Demand (Recipe)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'SalesForecast-CurrentMonth'!$R$16</c:f>
              <c:strCache>
                <c:ptCount val="1"/>
                <c:pt idx="0">
                  <c:v>Units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'SalesForecast-CurrentMonth'!$Q$17:$Q$22</c:f>
              <c:strCache>
                <c:ptCount val="6"/>
                <c:pt idx="0">
                  <c:v>Nut</c:v>
                </c:pt>
                <c:pt idx="1">
                  <c:v>Blueberry</c:v>
                </c:pt>
                <c:pt idx="2">
                  <c:v>Strawberry</c:v>
                </c:pt>
                <c:pt idx="3">
                  <c:v>Raisins</c:v>
                </c:pt>
                <c:pt idx="4">
                  <c:v>Original</c:v>
                </c:pt>
                <c:pt idx="5">
                  <c:v>Mixed</c:v>
                </c:pt>
              </c:strCache>
            </c:strRef>
          </c:cat>
          <c:val>
            <c:numRef>
              <c:f>'SalesForecast-CurrentMonth'!$R$17:$R$22</c:f>
              <c:numCache>
                <c:formatCode>General</c:formatCode>
                <c:ptCount val="6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3-462D-8661-6E2DE767B0E6}"/>
            </c:ext>
          </c:extLst>
        </c:ser>
        <c:ser>
          <c:idx val="1"/>
          <c:order val="1"/>
          <c:tx>
            <c:strRef>
              <c:f>'SalesForecast-CurrentMonth'!$T$16</c:f>
              <c:strCache>
                <c:ptCount val="1"/>
                <c:pt idx="0">
                  <c:v>Units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'SalesForecast-CurrentMonth'!$Q$17:$Q$22</c:f>
              <c:strCache>
                <c:ptCount val="6"/>
                <c:pt idx="0">
                  <c:v>Nut</c:v>
                </c:pt>
                <c:pt idx="1">
                  <c:v>Blueberry</c:v>
                </c:pt>
                <c:pt idx="2">
                  <c:v>Strawberry</c:v>
                </c:pt>
                <c:pt idx="3">
                  <c:v>Raisins</c:v>
                </c:pt>
                <c:pt idx="4">
                  <c:v>Original</c:v>
                </c:pt>
                <c:pt idx="5">
                  <c:v>Mixed</c:v>
                </c:pt>
              </c:strCache>
            </c:strRef>
          </c:cat>
          <c:val>
            <c:numRef>
              <c:f>'SalesForecast-CurrentMonth'!$T$17:$T$22</c:f>
              <c:numCache>
                <c:formatCode>General</c:formatCode>
                <c:ptCount val="6"/>
                <c:pt idx="0">
                  <c:v>93229</c:v>
                </c:pt>
                <c:pt idx="1">
                  <c:v>139625</c:v>
                </c:pt>
                <c:pt idx="2">
                  <c:v>92750</c:v>
                </c:pt>
                <c:pt idx="3">
                  <c:v>115000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3-462D-8661-6E2DE767B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29052608"/>
        <c:axId val="1229049656"/>
      </c:barChart>
      <c:catAx>
        <c:axId val="122905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Recipe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049656"/>
        <c:crosses val="autoZero"/>
        <c:auto val="1"/>
        <c:lblAlgn val="ctr"/>
        <c:lblOffset val="100"/>
        <c:noMultiLvlLbl val="0"/>
      </c:catAx>
      <c:valAx>
        <c:axId val="1229049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05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Forecast Demand vs Actual Demand (Size)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Forecast Euros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'SalesForecast-CurrentMonth'!$Q$12:$Q$13</c:f>
              <c:numCache>
                <c:formatCode>General</c:formatCode>
                <c:ptCount val="2"/>
                <c:pt idx="0">
                  <c:v>500</c:v>
                </c:pt>
                <c:pt idx="1">
                  <c:v>1000</c:v>
                </c:pt>
              </c:numCache>
            </c:numRef>
          </c:cat>
          <c:val>
            <c:numRef>
              <c:f>('SalesForecast-CurrentMonth'!$S$12,'SalesForecast-CurrentMonth'!$U$12)</c:f>
              <c:numCache>
                <c:formatCode>General</c:formatCode>
                <c:ptCount val="2"/>
                <c:pt idx="0">
                  <c:v>807500</c:v>
                </c:pt>
                <c:pt idx="1">
                  <c:v>775543.75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DF-4E9B-B512-3F1588809D01}"/>
            </c:ext>
          </c:extLst>
        </c:ser>
        <c:ser>
          <c:idx val="1"/>
          <c:order val="1"/>
          <c:tx>
            <c:v>Actual Euros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'SalesForecast-CurrentMonth'!$Q$12:$Q$13</c:f>
              <c:numCache>
                <c:formatCode>General</c:formatCode>
                <c:ptCount val="2"/>
                <c:pt idx="0">
                  <c:v>500</c:v>
                </c:pt>
                <c:pt idx="1">
                  <c:v>1000</c:v>
                </c:pt>
              </c:numCache>
            </c:numRef>
          </c:cat>
          <c:val>
            <c:numRef>
              <c:f>('SalesForecast-CurrentMonth'!$S$13,'SalesForecast-CurrentMonth'!$U$13)</c:f>
              <c:numCache>
                <c:formatCode>General</c:formatCode>
                <c:ptCount val="2"/>
                <c:pt idx="0">
                  <c:v>976000</c:v>
                </c:pt>
                <c:pt idx="1">
                  <c:v>1214698.19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DF-4E9B-B512-3F1588809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48139792"/>
        <c:axId val="748138152"/>
      </c:barChart>
      <c:catAx>
        <c:axId val="748139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38152"/>
        <c:crosses val="autoZero"/>
        <c:auto val="1"/>
        <c:lblAlgn val="ctr"/>
        <c:lblOffset val="100"/>
        <c:noMultiLvlLbl val="0"/>
      </c:catAx>
      <c:valAx>
        <c:axId val="748138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3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Projected Inventory Versus Actual Inventory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Inventory!$E$7</c:f>
              <c:strCache>
                <c:ptCount val="1"/>
                <c:pt idx="0">
                  <c:v>Projected Ending Inventory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Inventory!$A$8:$A$19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Inventory!$E$8:$E$19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14000</c:v>
                </c:pt>
                <c:pt idx="2">
                  <c:v>14000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1229</c:v>
                </c:pt>
                <c:pt idx="7">
                  <c:v>51375</c:v>
                </c:pt>
                <c:pt idx="8">
                  <c:v>12750</c:v>
                </c:pt>
                <c:pt idx="9">
                  <c:v>46000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C-4F8A-BC80-CC341A4D5BAC}"/>
            </c:ext>
          </c:extLst>
        </c:ser>
        <c:ser>
          <c:idx val="1"/>
          <c:order val="1"/>
          <c:tx>
            <c:strRef>
              <c:f>Inventory!$F$7</c:f>
              <c:strCache>
                <c:ptCount val="1"/>
                <c:pt idx="0">
                  <c:v>Month-End Cycle Count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Inventory!$A$8:$A$19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Inventory!$F$8:$F$19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3229</c:v>
                </c:pt>
                <c:pt idx="7">
                  <c:v>5375</c:v>
                </c:pt>
                <c:pt idx="8">
                  <c:v>14750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C-4F8A-BC80-CC341A4D5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96617176"/>
        <c:axId val="1196618488"/>
      </c:barChart>
      <c:catAx>
        <c:axId val="1196617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618488"/>
        <c:crosses val="autoZero"/>
        <c:auto val="1"/>
        <c:lblAlgn val="ctr"/>
        <c:lblOffset val="100"/>
        <c:noMultiLvlLbl val="0"/>
      </c:catAx>
      <c:valAx>
        <c:axId val="11966184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61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Production Plan Versus Actual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ProductionPlan!$E$7</c:f>
              <c:strCache>
                <c:ptCount val="1"/>
                <c:pt idx="0">
                  <c:v>Production Plan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ProductionPlan!$A$8:$A$19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ProductionPlan!$E$8:$E$19</c:f>
              <c:numCache>
                <c:formatCode>_-* #,##0_-;\-* #,##0_-;_-* "-"??_-;_-@_-</c:formatCode>
                <c:ptCount val="12"/>
                <c:pt idx="0">
                  <c:v>48000</c:v>
                </c:pt>
                <c:pt idx="1">
                  <c:v>64000</c:v>
                </c:pt>
                <c:pt idx="2">
                  <c:v>64000</c:v>
                </c:pt>
                <c:pt idx="3">
                  <c:v>48000</c:v>
                </c:pt>
                <c:pt idx="4">
                  <c:v>0</c:v>
                </c:pt>
                <c:pt idx="5">
                  <c:v>0</c:v>
                </c:pt>
                <c:pt idx="6">
                  <c:v>48000</c:v>
                </c:pt>
                <c:pt idx="7">
                  <c:v>96000</c:v>
                </c:pt>
                <c:pt idx="8">
                  <c:v>48000</c:v>
                </c:pt>
                <c:pt idx="9">
                  <c:v>96000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3-4464-8CC9-65FDF8334A0E}"/>
            </c:ext>
          </c:extLst>
        </c:ser>
        <c:ser>
          <c:idx val="1"/>
          <c:order val="1"/>
          <c:tx>
            <c:strRef>
              <c:f>ProductionPlan!$H$7</c:f>
              <c:strCache>
                <c:ptCount val="1"/>
                <c:pt idx="0">
                  <c:v>Actual Production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ProductionPlan!$A$8:$A$19</c:f>
              <c:strCache>
                <c:ptCount val="12"/>
                <c:pt idx="0">
                  <c:v>F01</c:v>
                </c:pt>
                <c:pt idx="1">
                  <c:v>F02</c:v>
                </c:pt>
                <c:pt idx="2">
                  <c:v>F03</c:v>
                </c:pt>
                <c:pt idx="3">
                  <c:v>F04</c:v>
                </c:pt>
                <c:pt idx="4">
                  <c:v>F05</c:v>
                </c:pt>
                <c:pt idx="5">
                  <c:v>F06</c:v>
                </c:pt>
                <c:pt idx="6">
                  <c:v>F11</c:v>
                </c:pt>
                <c:pt idx="7">
                  <c:v>F12</c:v>
                </c:pt>
                <c:pt idx="8">
                  <c:v>F13</c:v>
                </c:pt>
                <c:pt idx="9">
                  <c:v>F14</c:v>
                </c:pt>
                <c:pt idx="10">
                  <c:v>F15</c:v>
                </c:pt>
                <c:pt idx="11">
                  <c:v>F16</c:v>
                </c:pt>
              </c:strCache>
            </c:strRef>
          </c:cat>
          <c:val>
            <c:numRef>
              <c:f>ProductionPlan!$H$8:$H$19</c:f>
              <c:numCache>
                <c:formatCode>_-* #,##0_-;\-* #,##0_-;_-* "-"??_-;_-@_-</c:formatCode>
                <c:ptCount val="12"/>
                <c:pt idx="0">
                  <c:v>44000</c:v>
                </c:pt>
                <c:pt idx="1">
                  <c:v>64000</c:v>
                </c:pt>
                <c:pt idx="2">
                  <c:v>64000</c:v>
                </c:pt>
                <c:pt idx="3">
                  <c:v>37000</c:v>
                </c:pt>
                <c:pt idx="4">
                  <c:v>0</c:v>
                </c:pt>
                <c:pt idx="5">
                  <c:v>0</c:v>
                </c:pt>
                <c:pt idx="6">
                  <c:v>46000</c:v>
                </c:pt>
                <c:pt idx="7">
                  <c:v>72625</c:v>
                </c:pt>
                <c:pt idx="8">
                  <c:v>30000</c:v>
                </c:pt>
                <c:pt idx="9">
                  <c:v>78000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3-4464-8CC9-65FDF833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06392408"/>
        <c:axId val="1106392736"/>
      </c:barChart>
      <c:catAx>
        <c:axId val="110639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392736"/>
        <c:crosses val="autoZero"/>
        <c:auto val="1"/>
        <c:lblAlgn val="ctr"/>
        <c:lblOffset val="100"/>
        <c:noMultiLvlLbl val="0"/>
      </c:catAx>
      <c:valAx>
        <c:axId val="110639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39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Historical Data (Actual Units Produced by Round)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9-4252-A28C-6EDBB75D3BEB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9-4252-A28C-6EDBB75D3BEB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49-4252-A28C-6EDBB75D3BEB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49-4252-A28C-6EDBB75D3BEB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49-4252-A28C-6EDBB75D3BEB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9-4252-A28C-6EDBB75D3BEB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49-4252-A28C-6EDBB75D3BEB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9-4252-A28C-6EDBB75D3BEB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49-4252-A28C-6EDBB75D3BEB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'ProductionPlan-Archive'!#REF!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49-4252-A28C-6EDBB75D3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116920"/>
        <c:axId val="966117904"/>
      </c:barChart>
      <c:catAx>
        <c:axId val="96611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17904"/>
        <c:crosses val="autoZero"/>
        <c:auto val="1"/>
        <c:lblAlgn val="ctr"/>
        <c:lblOffset val="100"/>
        <c:noMultiLvlLbl val="0"/>
      </c:catAx>
      <c:valAx>
        <c:axId val="966117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1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[Visualization_Project.xlsm]Analysis!PivotTable1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Analysis!$B$5</c:f>
              <c:strCache>
                <c:ptCount val="1"/>
                <c:pt idx="0">
                  <c:v>NET_VALUE - Euro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18-4BD2-91CE-0FA7608B0A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18-4BD2-91CE-0FA7608B0A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18-4BD2-91CE-0FA7608B0A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Analysis!$A$6:$A$9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Analysis!$B$6:$B$9</c:f>
              <c:numCache>
                <c:formatCode>[$€-2]\ #,##0.00</c:formatCode>
                <c:ptCount val="3"/>
                <c:pt idx="0">
                  <c:v>3914591.8199999994</c:v>
                </c:pt>
                <c:pt idx="1">
                  <c:v>4268246.92</c:v>
                </c:pt>
                <c:pt idx="2">
                  <c:v>3370106.2900000019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3-446F-917F-BED6EC4D23F1}"/>
            </c:ext>
          </c:extLst>
        </c:ser>
        <c:ser>
          <c:idx val="1"/>
          <c:order val="1"/>
          <c:tx>
            <c:strRef>
              <c:f>Analysis!$C$5</c:f>
              <c:strCache>
                <c:ptCount val="1"/>
                <c:pt idx="0">
                  <c:v>NET_VALUE -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118-4BD2-91CE-0FA7608B0A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118-4BD2-91CE-0FA7608B0A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118-4BD2-91CE-0FA7608B0A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Analysis!$A$6:$A$9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Analysis!$C$6:$C$9</c:f>
              <c:numCache>
                <c:formatCode>0%</c:formatCode>
                <c:ptCount val="3"/>
                <c:pt idx="0">
                  <c:v>0.33883930113359145</c:v>
                </c:pt>
                <c:pt idx="1">
                  <c:v>0.36945098491479617</c:v>
                </c:pt>
                <c:pt idx="2">
                  <c:v>0.29170971395161233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3-446F-917F-BED6EC4D23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7776</xdr:colOff>
      <xdr:row>26</xdr:row>
      <xdr:rowOff>32850</xdr:rowOff>
    </xdr:from>
    <xdr:to>
      <xdr:col>5</xdr:col>
      <xdr:colOff>0</xdr:colOff>
      <xdr:row>41</xdr:row>
      <xdr:rowOff>19438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1038032</xdr:colOff>
      <xdr:row>25</xdr:row>
      <xdr:rowOff>188358</xdr:rowOff>
    </xdr:from>
    <xdr:to>
      <xdr:col>10</xdr:col>
      <xdr:colOff>1020538</xdr:colOff>
      <xdr:row>40</xdr:row>
      <xdr:rowOff>194386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17496</xdr:colOff>
      <xdr:row>26</xdr:row>
      <xdr:rowOff>3692</xdr:rowOff>
    </xdr:from>
    <xdr:to>
      <xdr:col>17</xdr:col>
      <xdr:colOff>29159</xdr:colOff>
      <xdr:row>41</xdr:row>
      <xdr:rowOff>9718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7777</xdr:colOff>
      <xdr:row>26</xdr:row>
      <xdr:rowOff>13414</xdr:rowOff>
    </xdr:from>
    <xdr:to>
      <xdr:col>25</xdr:col>
      <xdr:colOff>9721</xdr:colOff>
      <xdr:row>41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9720</xdr:colOff>
      <xdr:row>0</xdr:row>
      <xdr:rowOff>408214</xdr:rowOff>
    </xdr:from>
    <xdr:to>
      <xdr:col>9</xdr:col>
      <xdr:colOff>19439</xdr:colOff>
      <xdr:row>3</xdr:row>
      <xdr:rowOff>38878</xdr:rowOff>
    </xdr:to>
    <xdr:sp macro="[0]!Archive_Sales" textlink="">
      <xdr:nvSpPr>
        <xdr:cNvPr id="6" name="Arrow: Right 5">
          <a:extLst>
            <a:ext uri="{FF2B5EF4-FFF2-40B4-BE49-F238E27FC236}">
              <a16:creationId xmlns:a16="http://schemas.microsoft.com/office/drawing/2014/main" id="{65FFC718-EEB1-4710-8FA1-1AE9EC601E9A}"/>
            </a:ext>
          </a:extLst>
        </xdr:cNvPr>
        <xdr:cNvSpPr/>
      </xdr:nvSpPr>
      <xdr:spPr>
        <a:xfrm>
          <a:off x="8368393" y="408214"/>
          <a:ext cx="1049694" cy="437373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Archive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9524</xdr:rowOff>
    </xdr:from>
    <xdr:to>
      <xdr:col>6</xdr:col>
      <xdr:colOff>28574</xdr:colOff>
      <xdr:row>36</xdr:row>
      <xdr:rowOff>171449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4</xdr:col>
      <xdr:colOff>771526</xdr:colOff>
      <xdr:row>39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</xdr:row>
      <xdr:rowOff>19050</xdr:rowOff>
    </xdr:from>
    <xdr:to>
      <xdr:col>9</xdr:col>
      <xdr:colOff>57150</xdr:colOff>
      <xdr:row>3</xdr:row>
      <xdr:rowOff>114300</xdr:rowOff>
    </xdr:to>
    <xdr:sp macro="[0]!Archive_ProductionPlan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63075" y="409575"/>
          <a:ext cx="1181100" cy="47625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/>
            <a:t>Archive</a:t>
          </a:r>
          <a:r>
            <a:rPr lang="en-CA" sz="1200" b="1" baseline="0"/>
            <a:t> Data</a:t>
          </a:r>
          <a:endParaRPr lang="en-CA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18</xdr:row>
      <xdr:rowOff>4761</xdr:rowOff>
    </xdr:from>
    <xdr:to>
      <xdr:col>9</xdr:col>
      <xdr:colOff>219074</xdr:colOff>
      <xdr:row>32</xdr:row>
      <xdr:rowOff>161924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AE5378-922A-4B90-B59B-29EA8BA5AC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10</xdr:row>
      <xdr:rowOff>0</xdr:rowOff>
    </xdr:from>
    <xdr:to>
      <xdr:col>2</xdr:col>
      <xdr:colOff>866775</xdr:colOff>
      <xdr:row>13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74D7EB3-427B-458E-AAA4-4BDEF47642E3}"/>
            </a:ext>
          </a:extLst>
        </xdr:cNvPr>
        <xdr:cNvSpPr txBox="1"/>
      </xdr:nvSpPr>
      <xdr:spPr>
        <a:xfrm>
          <a:off x="790576" y="2057400"/>
          <a:ext cx="2000249" cy="752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South Area has the highest market share of 37% representing 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€ 4,268,246.92</a:t>
          </a:r>
          <a:r>
            <a:rPr lang="en-CA"/>
            <a:t> in value</a:t>
          </a:r>
          <a:endParaRPr lang="en-CA" sz="1100"/>
        </a:p>
      </xdr:txBody>
    </xdr:sp>
    <xdr:clientData/>
  </xdr:twoCellAnchor>
  <xdr:twoCellAnchor>
    <xdr:from>
      <xdr:col>3</xdr:col>
      <xdr:colOff>381000</xdr:colOff>
      <xdr:row>2</xdr:row>
      <xdr:rowOff>0</xdr:rowOff>
    </xdr:from>
    <xdr:to>
      <xdr:col>11</xdr:col>
      <xdr:colOff>76200</xdr:colOff>
      <xdr:row>16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0A09AB-10BB-42C4-BCD7-3081761924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bigoboye0304_conestogac_on_ca/Documents/Winter%202022/OPER3225/Week%202/Workbook%20-%20ERPsim%20Manufacturing%20Intro_V2.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ation"/>
      <sheetName val="MaterialMaster"/>
      <sheetName val="BOM"/>
      <sheetName val="DistributionChannels"/>
      <sheetName val="SalesAreas"/>
      <sheetName val="Suppliers"/>
      <sheetName val="StorageLocations"/>
      <sheetName val="Equipment"/>
      <sheetName val="SalesForecast-CurrentMonth"/>
      <sheetName val="SalesForecast-Archive"/>
      <sheetName val="Inventory"/>
      <sheetName val="Production Planning"/>
    </sheetNames>
    <sheetDataSet>
      <sheetData sheetId="0">
        <row r="11">
          <cell r="E11">
            <v>5</v>
          </cell>
        </row>
        <row r="12">
          <cell r="E12">
            <v>1</v>
          </cell>
        </row>
        <row r="16">
          <cell r="A16" t="str">
            <v>FG</v>
          </cell>
        </row>
        <row r="17">
          <cell r="A17" t="str">
            <v>PK</v>
          </cell>
        </row>
        <row r="18">
          <cell r="A18" t="str">
            <v>RM</v>
          </cell>
        </row>
        <row r="19">
          <cell r="D19" t="str">
            <v>PP</v>
          </cell>
        </row>
        <row r="20">
          <cell r="D20" t="str">
            <v>MRP</v>
          </cell>
        </row>
        <row r="21">
          <cell r="A21" t="str">
            <v>500g</v>
          </cell>
        </row>
        <row r="22">
          <cell r="A22" t="str">
            <v>1000g</v>
          </cell>
        </row>
        <row r="23">
          <cell r="D23"/>
        </row>
        <row r="24">
          <cell r="D24"/>
        </row>
        <row r="25">
          <cell r="A25" t="str">
            <v>Nuts</v>
          </cell>
          <cell r="D25"/>
        </row>
        <row r="26">
          <cell r="A26" t="str">
            <v>Blueberries</v>
          </cell>
          <cell r="D26"/>
        </row>
        <row r="27">
          <cell r="A27" t="str">
            <v>Strawberries</v>
          </cell>
          <cell r="D27"/>
        </row>
        <row r="28">
          <cell r="A28" t="str">
            <v>Raisins</v>
          </cell>
          <cell r="D28"/>
        </row>
        <row r="29">
          <cell r="A29" t="str">
            <v>Wheat</v>
          </cell>
        </row>
        <row r="30">
          <cell r="A30" t="str">
            <v>Oat</v>
          </cell>
        </row>
        <row r="31">
          <cell r="A31" t="str">
            <v>Not Applicable</v>
          </cell>
        </row>
      </sheetData>
      <sheetData sheetId="1">
        <row r="2">
          <cell r="A2" t="str">
            <v>Material Number</v>
          </cell>
          <cell r="B2" t="str">
            <v>Material Description</v>
          </cell>
        </row>
        <row r="3">
          <cell r="A3" t="str">
            <v>F01</v>
          </cell>
          <cell r="B3" t="str">
            <v>500g Nut Muesli</v>
          </cell>
          <cell r="C3" t="str">
            <v>FG</v>
          </cell>
          <cell r="D3"/>
          <cell r="E3" t="str">
            <v>PP</v>
          </cell>
          <cell r="F3"/>
          <cell r="G3"/>
          <cell r="H3"/>
          <cell r="I3"/>
          <cell r="J3" t="str">
            <v>boxes</v>
          </cell>
          <cell r="K3">
            <v>1.1000000000000001</v>
          </cell>
          <cell r="L3">
            <v>0.9</v>
          </cell>
          <cell r="M3">
            <v>0.20000000000000007</v>
          </cell>
          <cell r="N3"/>
          <cell r="O3" t="str">
            <v>Nut</v>
          </cell>
          <cell r="P3" t="str">
            <v>500g</v>
          </cell>
          <cell r="Q3"/>
        </row>
        <row r="4">
          <cell r="A4" t="str">
            <v>F02</v>
          </cell>
          <cell r="B4" t="str">
            <v>500g Blueberry Muesli</v>
          </cell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</row>
        <row r="5">
          <cell r="A5" t="str">
            <v>F03</v>
          </cell>
          <cell r="B5" t="str">
            <v>500g Strawberry Muesli</v>
          </cell>
          <cell r="C5"/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</row>
        <row r="6">
          <cell r="A6" t="str">
            <v>F04</v>
          </cell>
          <cell r="B6" t="str">
            <v>500g Raisin Muesli</v>
          </cell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</row>
        <row r="7">
          <cell r="A7" t="str">
            <v>F05</v>
          </cell>
          <cell r="B7" t="str">
            <v>500g Original Muesli</v>
          </cell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</row>
        <row r="8">
          <cell r="A8" t="str">
            <v>F06</v>
          </cell>
          <cell r="B8" t="str">
            <v>500g Mixed Fruits Muesli</v>
          </cell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</row>
        <row r="9">
          <cell r="A9" t="str">
            <v>F11</v>
          </cell>
          <cell r="B9" t="str">
            <v>1000g Nut Muesli</v>
          </cell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</row>
        <row r="10">
          <cell r="A10" t="str">
            <v>F12</v>
          </cell>
          <cell r="B10" t="str">
            <v>1000g Blueberry Muesli</v>
          </cell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</row>
        <row r="11">
          <cell r="A11" t="str">
            <v>F13</v>
          </cell>
          <cell r="B11" t="str">
            <v>1000g Strawberry Muesli</v>
          </cell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</row>
        <row r="12">
          <cell r="A12" t="str">
            <v>F14</v>
          </cell>
          <cell r="B12" t="str">
            <v>1000g Raisin Muesli</v>
          </cell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</row>
        <row r="13">
          <cell r="A13" t="str">
            <v>F15</v>
          </cell>
          <cell r="B13" t="str">
            <v>1000g Original Muesli</v>
          </cell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</row>
        <row r="14">
          <cell r="A14" t="str">
            <v>F16</v>
          </cell>
          <cell r="B14" t="str">
            <v>1000g Mixed Fruits Muesli</v>
          </cell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</row>
        <row r="15">
          <cell r="A15" t="str">
            <v>P01</v>
          </cell>
          <cell r="B15" t="str">
            <v>Large Box (1kg)</v>
          </cell>
          <cell r="C15" t="str">
            <v>PK</v>
          </cell>
          <cell r="D15"/>
          <cell r="E15" t="str">
            <v>MRP</v>
          </cell>
          <cell r="F15"/>
          <cell r="G15"/>
          <cell r="H15"/>
          <cell r="I15"/>
          <cell r="J15" t="str">
            <v>units</v>
          </cell>
          <cell r="K15"/>
          <cell r="L15"/>
          <cell r="M15">
            <v>0</v>
          </cell>
          <cell r="N15"/>
          <cell r="O15" t="str">
            <v>Blueberry</v>
          </cell>
          <cell r="P15"/>
          <cell r="Q15"/>
        </row>
        <row r="16">
          <cell r="A16" t="str">
            <v>P02</v>
          </cell>
          <cell r="B16" t="str">
            <v>Large Box (1kg)</v>
          </cell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</row>
        <row r="17">
          <cell r="A17" t="str">
            <v>P03</v>
          </cell>
          <cell r="B17" t="str">
            <v>Small Box (500g)</v>
          </cell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</row>
        <row r="18">
          <cell r="A18" t="str">
            <v>P04</v>
          </cell>
          <cell r="B18" t="str">
            <v>Small Box (500g)</v>
          </cell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</row>
        <row r="19">
          <cell r="A19" t="str">
            <v>R01</v>
          </cell>
          <cell r="B19" t="str">
            <v>Nuts</v>
          </cell>
          <cell r="C19" t="str">
            <v>RM</v>
          </cell>
          <cell r="D19"/>
          <cell r="E19" t="str">
            <v>MRP</v>
          </cell>
          <cell r="F19"/>
          <cell r="G19"/>
          <cell r="H19"/>
          <cell r="I19"/>
          <cell r="J19" t="str">
            <v>kg</v>
          </cell>
          <cell r="K19"/>
          <cell r="L19"/>
          <cell r="M19">
            <v>0</v>
          </cell>
          <cell r="N19"/>
          <cell r="O19" t="str">
            <v>Not Applicable</v>
          </cell>
          <cell r="P19"/>
          <cell r="Q19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lessing" refreshedDate="44652.850227314811" createdVersion="7" refreshedVersion="7" minRefreshableVersion="3" recordCount="837" xr:uid="{4C1F81B6-DEEC-469C-B4AE-E5224CC63B51}">
  <cacheSource type="worksheet">
    <worksheetSource name="Sales__2"/>
  </cacheSource>
  <cacheFields count="34">
    <cacheField name="ID" numFmtId="0">
      <sharedItems/>
    </cacheField>
    <cacheField name="ROW_NUMBER" numFmtId="0">
      <sharedItems containsSemiMixedTypes="0" containsString="0" containsNumber="1" containsInteger="1" minValue="1" maxValue="837"/>
    </cacheField>
    <cacheField name="SALES_ORGANIZATION" numFmtId="0">
      <sharedItems count="1">
        <s v="II"/>
      </sharedItems>
    </cacheField>
    <cacheField name="SIM_ROUND" numFmtId="0">
      <sharedItems count="6">
        <s v="01"/>
        <s v="02"/>
        <s v="03"/>
        <s v="04"/>
        <s v="05"/>
        <s v="06"/>
      </sharedItems>
    </cacheField>
    <cacheField name="SIM_STEP" numFmtId="0">
      <sharedItems/>
    </cacheField>
    <cacheField name="SIM_DATE" numFmtId="0">
      <sharedItems/>
    </cacheField>
    <cacheField name="SIM_CALENDAR_DATE" numFmtId="22">
      <sharedItems containsSemiMixedTypes="0" containsNonDate="0" containsDate="1" containsString="0" minDate="2021-01-05T00:00:00" maxDate="2021-05-01T00:00:00"/>
    </cacheField>
    <cacheField name="SIM_PERIOD" numFmtId="0">
      <sharedItems containsSemiMixedTypes="0" containsString="0" containsNumber="1" containsInteger="1" minValue="1" maxValue="24"/>
    </cacheField>
    <cacheField name="SIM_ELAPSED_STEPS" numFmtId="0">
      <sharedItems containsSemiMixedTypes="0" containsString="0" containsNumber="1" containsInteger="1" minValue="5" maxValue="120"/>
    </cacheField>
    <cacheField name="SALES_ORDER_NUMBER" numFmtId="0">
      <sharedItems/>
    </cacheField>
    <cacheField name="LINE_ITEM" numFmtId="0">
      <sharedItems/>
    </cacheField>
    <cacheField name="STORAGE_LOCATION" numFmtId="0">
      <sharedItems/>
    </cacheField>
    <cacheField name="REGION" numFmtId="0">
      <sharedItems/>
    </cacheField>
    <cacheField name="AREA" numFmtId="0">
      <sharedItems count="3">
        <s v="North"/>
        <s v="South"/>
        <s v="West"/>
      </sharedItems>
    </cacheField>
    <cacheField name="CITY" numFmtId="0">
      <sharedItems/>
    </cacheField>
    <cacheField name="COUNTRY" numFmtId="0">
      <sharedItems/>
    </cacheField>
    <cacheField name="POSTAL_CODE" numFmtId="0">
      <sharedItems/>
    </cacheField>
    <cacheField name="CUSTOMER_NUMBER" numFmtId="0">
      <sharedItems/>
    </cacheField>
    <cacheField name="DISTRIBUTION_CHANNEL" numFmtId="0">
      <sharedItems/>
    </cacheField>
    <cacheField name="MATERIAL_NUMBER" numFmtId="0">
      <sharedItems/>
    </cacheField>
    <cacheField name="MATERIAL_DESCRIPTION" numFmtId="0">
      <sharedItems/>
    </cacheField>
    <cacheField name="MATERIAL_TYPE" numFmtId="0">
      <sharedItems/>
    </cacheField>
    <cacheField name="MATERIAL_CODE" numFmtId="0">
      <sharedItems/>
    </cacheField>
    <cacheField name="MATERIAL_SIZE" numFmtId="0">
      <sharedItems/>
    </cacheField>
    <cacheField name="MATERIAL_LABEL" numFmtId="0">
      <sharedItems/>
    </cacheField>
    <cacheField name="QUANTITY" numFmtId="0">
      <sharedItems containsSemiMixedTypes="0" containsString="0" containsNumber="1" containsInteger="1" minValue="57" maxValue="4428"/>
    </cacheField>
    <cacheField name="QUANTITY_DELIVERED" numFmtId="0">
      <sharedItems containsSemiMixedTypes="0" containsString="0" containsNumber="1" containsInteger="1" minValue="57" maxValue="4428"/>
    </cacheField>
    <cacheField name="UNIT" numFmtId="0">
      <sharedItems/>
    </cacheField>
    <cacheField name="NET_PRICE" numFmtId="0">
      <sharedItems containsSemiMixedTypes="0" containsString="0" containsNumber="1" minValue="3.79" maxValue="6.09"/>
    </cacheField>
    <cacheField name="NET_VALUE" numFmtId="0">
      <sharedItems containsSemiMixedTypes="0" containsString="0" containsNumber="1" minValue="289.56" maxValue="16795.349999999999"/>
    </cacheField>
    <cacheField name="COST" numFmtId="0">
      <sharedItems containsSemiMixedTypes="0" containsString="0" containsNumber="1" minValue="87.33" maxValue="8597.8799999999992"/>
    </cacheField>
    <cacheField name="CURRENCY" numFmtId="0">
      <sharedItems/>
    </cacheField>
    <cacheField name="CONTRIBUTION_MARGIN" numFmtId="0">
      <sharedItems containsSemiMixedTypes="0" containsString="0" containsNumber="1" minValue="197.22" maxValue="13566.15"/>
    </cacheField>
    <cacheField name="CONTRIBUTION_MARGIN_PCT" numFmtId="0">
      <sharedItems containsSemiMixedTypes="0" containsString="0" containsNumber="1" minValue="0.48" maxValue="0.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7">
  <r>
    <s v=".1~1"/>
    <n v="1"/>
    <x v="0"/>
    <x v="0"/>
    <s v="05"/>
    <s v="01/05"/>
    <d v="2021-01-05T00:00:00"/>
    <n v="1"/>
    <n v="5"/>
    <s v="1855"/>
    <s v="1"/>
    <s v="02"/>
    <s v="Hamburg"/>
    <x v="0"/>
    <s v="BUXTEHUDE"/>
    <s v="Germany"/>
    <s v="21614"/>
    <s v="80134"/>
    <s v="12"/>
    <s v="II-F01"/>
    <s v="500g Nut Muesli"/>
    <s v="Finished Product"/>
    <s v="F01"/>
    <s v="500g"/>
    <s v="Nut Muesli"/>
    <n v="4068"/>
    <n v="4068"/>
    <s v="ST"/>
    <n v="3.9"/>
    <n v="15865.2"/>
    <n v="3661.2"/>
    <s v="EUR"/>
    <n v="12204"/>
    <n v="0.77"/>
  </r>
  <r>
    <s v=".1~2"/>
    <n v="2"/>
    <x v="0"/>
    <x v="0"/>
    <s v="05"/>
    <s v="01/05"/>
    <d v="2021-01-05T00:00:00"/>
    <n v="1"/>
    <n v="5"/>
    <s v="1847"/>
    <s v="1"/>
    <s v="02"/>
    <s v="Bavaria"/>
    <x v="1"/>
    <s v="WÜRZBURG"/>
    <s v="Germany"/>
    <s v="97070"/>
    <s v="80128"/>
    <s v="12"/>
    <s v="II-F01"/>
    <s v="500g Nut Muesli"/>
    <s v="Finished Product"/>
    <s v="F01"/>
    <s v="500g"/>
    <s v="Nut Muesli"/>
    <n v="4188"/>
    <n v="4188"/>
    <s v="ST"/>
    <n v="3.9"/>
    <n v="16333.2"/>
    <n v="3769.2"/>
    <s v="EUR"/>
    <n v="12564"/>
    <n v="0.77"/>
  </r>
  <r>
    <s v=".1~3"/>
    <n v="3"/>
    <x v="0"/>
    <x v="0"/>
    <s v="05"/>
    <s v="01/05"/>
    <d v="2021-01-05T00:00:00"/>
    <n v="1"/>
    <n v="5"/>
    <s v="1855"/>
    <s v="2"/>
    <s v="02"/>
    <s v="Hamburg"/>
    <x v="0"/>
    <s v="BUXTEHUDE"/>
    <s v="Germany"/>
    <s v="21614"/>
    <s v="80134"/>
    <s v="12"/>
    <s v="II-F01"/>
    <s v="500g Nut Muesli"/>
    <s v="Finished Product"/>
    <s v="F01"/>
    <s v="500g"/>
    <s v="Nut Muesli"/>
    <n v="3727"/>
    <n v="3727"/>
    <s v="ST"/>
    <n v="3.9"/>
    <n v="14535.3"/>
    <n v="3354.3"/>
    <s v="EUR"/>
    <n v="11181"/>
    <n v="0.77"/>
  </r>
  <r>
    <s v=".1~4"/>
    <n v="4"/>
    <x v="0"/>
    <x v="0"/>
    <s v="05"/>
    <s v="01/05"/>
    <d v="2021-01-05T00:00:00"/>
    <n v="1"/>
    <n v="5"/>
    <s v="1849"/>
    <s v="1"/>
    <s v="02"/>
    <s v="Nrth Rhine Westfalia"/>
    <x v="2"/>
    <s v="GELSENKIRCHEN"/>
    <s v="Germany"/>
    <s v="45879"/>
    <s v="80154"/>
    <s v="12"/>
    <s v="II-F01"/>
    <s v="500g Nut Muesli"/>
    <s v="Finished Product"/>
    <s v="F01"/>
    <s v="500g"/>
    <s v="Nut Muesli"/>
    <n v="4110"/>
    <n v="4110"/>
    <s v="ST"/>
    <n v="3.9"/>
    <n v="16029"/>
    <n v="3699"/>
    <s v="EUR"/>
    <n v="12330"/>
    <n v="0.77"/>
  </r>
  <r>
    <s v=".1~5"/>
    <n v="5"/>
    <x v="0"/>
    <x v="0"/>
    <s v="05"/>
    <s v="01/05"/>
    <d v="2021-01-05T00:00:00"/>
    <n v="1"/>
    <n v="5"/>
    <s v="1849"/>
    <s v="2"/>
    <s v="02"/>
    <s v="Nrth Rhine Westfalia"/>
    <x v="2"/>
    <s v="GELSENKIRCHEN"/>
    <s v="Germany"/>
    <s v="45879"/>
    <s v="80154"/>
    <s v="12"/>
    <s v="II-F01"/>
    <s v="500g Nut Muesli"/>
    <s v="Finished Product"/>
    <s v="F01"/>
    <s v="500g"/>
    <s v="Nut Muesli"/>
    <n v="3377"/>
    <n v="3377"/>
    <s v="ST"/>
    <n v="3.9"/>
    <n v="13170.3"/>
    <n v="3039.3"/>
    <s v="EUR"/>
    <n v="10131"/>
    <n v="0.77"/>
  </r>
  <r>
    <s v=".1~6"/>
    <n v="6"/>
    <x v="0"/>
    <x v="0"/>
    <s v="05"/>
    <s v="01/05"/>
    <d v="2021-01-05T00:00:00"/>
    <n v="1"/>
    <n v="5"/>
    <s v="1857"/>
    <s v="1"/>
    <s v="02"/>
    <s v="Rhineland Palatinate"/>
    <x v="2"/>
    <s v="MAINZ"/>
    <s v="Germany"/>
    <s v="55116"/>
    <s v="80266"/>
    <s v="14"/>
    <s v="II-F01"/>
    <s v="500g Nut Muesli"/>
    <s v="Finished Product"/>
    <s v="F01"/>
    <s v="500g"/>
    <s v="Nut Muesli"/>
    <n v="1321"/>
    <n v="1321"/>
    <s v="ST"/>
    <n v="4.29"/>
    <n v="5667.09"/>
    <n v="1188.9000000000001"/>
    <s v="EUR"/>
    <n v="4478.1899999999996"/>
    <n v="0.79"/>
  </r>
  <r>
    <s v=".1~7"/>
    <n v="7"/>
    <x v="0"/>
    <x v="0"/>
    <s v="05"/>
    <s v="01/05"/>
    <d v="2021-01-05T00:00:00"/>
    <n v="1"/>
    <n v="5"/>
    <s v="1852"/>
    <s v="1"/>
    <s v="02"/>
    <s v="Schleswig-Holstein"/>
    <x v="0"/>
    <s v="LÜBECK"/>
    <s v="Germany"/>
    <s v="23556"/>
    <s v="80287"/>
    <s v="14"/>
    <s v="II-F01"/>
    <s v="500g Nut Muesli"/>
    <s v="Finished Product"/>
    <s v="F01"/>
    <s v="500g"/>
    <s v="Nut Muesli"/>
    <n v="3209"/>
    <n v="3209"/>
    <s v="ST"/>
    <n v="4.29"/>
    <n v="13766.61"/>
    <n v="2888.1"/>
    <s v="EUR"/>
    <n v="10878.51"/>
    <n v="0.79"/>
  </r>
  <r>
    <s v=".1~8"/>
    <n v="8"/>
    <x v="0"/>
    <x v="0"/>
    <s v="06"/>
    <s v="01/06"/>
    <d v="2021-01-06T00:00:00"/>
    <n v="2"/>
    <n v="6"/>
    <s v="1872"/>
    <s v="2"/>
    <s v="02"/>
    <s v="Brandenburg"/>
    <x v="0"/>
    <s v="BRANDENBURG"/>
    <s v="Germany"/>
    <s v="14772"/>
    <s v="80131"/>
    <s v="12"/>
    <s v="II-F02"/>
    <s v="500g Blueberry Muesli"/>
    <s v="Finished Product"/>
    <s v="F02"/>
    <s v="500g"/>
    <s v="Blueberry Muesli"/>
    <n v="3472"/>
    <n v="3472"/>
    <s v="ST"/>
    <n v="4.2300000000000004"/>
    <n v="14686.56"/>
    <n v="4270.5600000000004"/>
    <s v="EUR"/>
    <n v="10416"/>
    <n v="0.71"/>
  </r>
  <r>
    <s v=".1~9"/>
    <n v="9"/>
    <x v="0"/>
    <x v="0"/>
    <s v="06"/>
    <s v="01/06"/>
    <d v="2021-01-06T00:00:00"/>
    <n v="2"/>
    <n v="6"/>
    <s v="1872"/>
    <s v="1"/>
    <s v="02"/>
    <s v="Brandenburg"/>
    <x v="0"/>
    <s v="BRANDENBURG"/>
    <s v="Germany"/>
    <s v="14772"/>
    <s v="80131"/>
    <s v="12"/>
    <s v="II-F02"/>
    <s v="500g Blueberry Muesli"/>
    <s v="Finished Product"/>
    <s v="F02"/>
    <s v="500g"/>
    <s v="Blueberry Muesli"/>
    <n v="3217"/>
    <n v="3217"/>
    <s v="ST"/>
    <n v="4.2300000000000004"/>
    <n v="13607.91"/>
    <n v="3956.91"/>
    <s v="EUR"/>
    <n v="9651"/>
    <n v="0.71"/>
  </r>
  <r>
    <s v=".1~10"/>
    <n v="10"/>
    <x v="0"/>
    <x v="0"/>
    <s v="06"/>
    <s v="01/06"/>
    <d v="2021-01-06T00:00:00"/>
    <n v="2"/>
    <n v="6"/>
    <s v="1869"/>
    <s v="1"/>
    <s v="02"/>
    <s v="Nrth Rhine Westfalia"/>
    <x v="2"/>
    <s v="MÜNSTER"/>
    <s v="Germany"/>
    <s v="48159"/>
    <s v="80158"/>
    <s v="12"/>
    <s v="II-F02"/>
    <s v="500g Blueberry Muesli"/>
    <s v="Finished Product"/>
    <s v="F02"/>
    <s v="500g"/>
    <s v="Blueberry Muesli"/>
    <n v="3298"/>
    <n v="3298"/>
    <s v="ST"/>
    <n v="4.2300000000000004"/>
    <n v="13950.54"/>
    <n v="4056.54"/>
    <s v="EUR"/>
    <n v="9894"/>
    <n v="0.71"/>
  </r>
  <r>
    <s v=".1~11"/>
    <n v="11"/>
    <x v="0"/>
    <x v="0"/>
    <s v="06"/>
    <s v="01/06"/>
    <d v="2021-01-06T00:00:00"/>
    <n v="2"/>
    <n v="6"/>
    <s v="1866"/>
    <s v="1"/>
    <s v="02"/>
    <s v="Nrth Rhine Westfalia"/>
    <x v="2"/>
    <s v="GELSENKIRCHEN"/>
    <s v="Germany"/>
    <s v="45879"/>
    <s v="80154"/>
    <s v="12"/>
    <s v="II-F02"/>
    <s v="500g Blueberry Muesli"/>
    <s v="Finished Product"/>
    <s v="F02"/>
    <s v="500g"/>
    <s v="Blueberry Muesli"/>
    <n v="3679"/>
    <n v="3679"/>
    <s v="ST"/>
    <n v="4.2300000000000004"/>
    <n v="15562.17"/>
    <n v="4525.17"/>
    <s v="EUR"/>
    <n v="11037"/>
    <n v="0.71"/>
  </r>
  <r>
    <s v=".1~12"/>
    <n v="12"/>
    <x v="0"/>
    <x v="0"/>
    <s v="06"/>
    <s v="01/06"/>
    <d v="2021-01-06T00:00:00"/>
    <n v="2"/>
    <n v="6"/>
    <s v="1875"/>
    <s v="1"/>
    <s v="02"/>
    <s v="Nrth Rhine Westfalia"/>
    <x v="2"/>
    <s v="KÖLN"/>
    <s v="Germany"/>
    <s v="50667"/>
    <s v="80246"/>
    <s v="14"/>
    <s v="II-F02"/>
    <s v="500g Blueberry Muesli"/>
    <s v="Finished Product"/>
    <s v="F02"/>
    <s v="500g"/>
    <s v="Blueberry Muesli"/>
    <n v="2334"/>
    <n v="2334"/>
    <s v="ST"/>
    <n v="4.6500000000000004"/>
    <n v="10853.1"/>
    <n v="2870.82"/>
    <s v="EUR"/>
    <n v="7982.28"/>
    <n v="0.74"/>
  </r>
  <r>
    <s v=".1~13"/>
    <n v="13"/>
    <x v="0"/>
    <x v="0"/>
    <s v="07"/>
    <s v="01/07"/>
    <d v="2021-01-07T00:00:00"/>
    <n v="2"/>
    <n v="7"/>
    <s v="1885"/>
    <s v="2"/>
    <s v="02"/>
    <s v="Nrth Rhine Westfalia"/>
    <x v="2"/>
    <s v="KREFELD"/>
    <s v="Germany"/>
    <s v="47798"/>
    <s v="80157"/>
    <s v="12"/>
    <s v="II-F02"/>
    <s v="500g Blueberry Muesli"/>
    <s v="Finished Product"/>
    <s v="F02"/>
    <s v="500g"/>
    <s v="Blueberry Muesli"/>
    <n v="3415"/>
    <n v="3415"/>
    <s v="ST"/>
    <n v="4.2300000000000004"/>
    <n v="14445.45"/>
    <n v="4200.45"/>
    <s v="EUR"/>
    <n v="10245"/>
    <n v="0.71"/>
  </r>
  <r>
    <s v=".1~14"/>
    <n v="14"/>
    <x v="0"/>
    <x v="0"/>
    <s v="07"/>
    <s v="01/07"/>
    <d v="2021-01-07T00:00:00"/>
    <n v="2"/>
    <n v="7"/>
    <s v="1894"/>
    <s v="1"/>
    <s v="02"/>
    <s v="Hessen"/>
    <x v="1"/>
    <s v="MARBURG"/>
    <s v="Germany"/>
    <s v="35037"/>
    <s v="80139"/>
    <s v="12"/>
    <s v="II-F02"/>
    <s v="500g Blueberry Muesli"/>
    <s v="Finished Product"/>
    <s v="F02"/>
    <s v="500g"/>
    <s v="Blueberry Muesli"/>
    <n v="3576"/>
    <n v="3576"/>
    <s v="ST"/>
    <n v="4.2300000000000004"/>
    <n v="15126.48"/>
    <n v="4398.4799999999996"/>
    <s v="EUR"/>
    <n v="10728"/>
    <n v="0.71"/>
  </r>
  <r>
    <s v=".1~15"/>
    <n v="15"/>
    <x v="0"/>
    <x v="0"/>
    <s v="07"/>
    <s v="01/07"/>
    <d v="2021-01-07T00:00:00"/>
    <n v="2"/>
    <n v="7"/>
    <s v="1885"/>
    <s v="1"/>
    <s v="02"/>
    <s v="Nrth Rhine Westfalia"/>
    <x v="2"/>
    <s v="KREFELD"/>
    <s v="Germany"/>
    <s v="47798"/>
    <s v="80157"/>
    <s v="12"/>
    <s v="II-F03"/>
    <s v="500g Strawberry Muesli"/>
    <s v="Finished Product"/>
    <s v="F03"/>
    <s v="500g"/>
    <s v="Strawberry Muesli"/>
    <n v="3749"/>
    <n v="3749"/>
    <s v="ST"/>
    <n v="4.2300000000000004"/>
    <n v="15858.27"/>
    <n v="4611.2700000000004"/>
    <s v="EUR"/>
    <n v="11247"/>
    <n v="0.71"/>
  </r>
  <r>
    <s v=".1~16"/>
    <n v="16"/>
    <x v="0"/>
    <x v="0"/>
    <s v="07"/>
    <s v="01/07"/>
    <d v="2021-01-07T00:00:00"/>
    <n v="2"/>
    <n v="7"/>
    <s v="1889"/>
    <s v="1"/>
    <s v="02"/>
    <s v="Saxony-Anhalt"/>
    <x v="0"/>
    <s v="GÜNTHERSDORF"/>
    <s v="Germany"/>
    <s v="06254"/>
    <s v="80167"/>
    <s v="12"/>
    <s v="II-F03"/>
    <s v="500g Strawberry Muesli"/>
    <s v="Finished Product"/>
    <s v="F03"/>
    <s v="500g"/>
    <s v="Strawberry Muesli"/>
    <n v="3602"/>
    <n v="3602"/>
    <s v="ST"/>
    <n v="4.2300000000000004"/>
    <n v="15236.46"/>
    <n v="4430.46"/>
    <s v="EUR"/>
    <n v="10806"/>
    <n v="0.71"/>
  </r>
  <r>
    <s v=".1~17"/>
    <n v="17"/>
    <x v="0"/>
    <x v="0"/>
    <s v="08"/>
    <s v="01/08"/>
    <d v="2021-01-08T00:00:00"/>
    <n v="2"/>
    <n v="8"/>
    <s v="1913"/>
    <s v="3"/>
    <s v="02"/>
    <s v="Nrth Rhine Westfalia"/>
    <x v="2"/>
    <s v="BRÜHL"/>
    <s v="Germany"/>
    <s v="50321"/>
    <s v="80149"/>
    <s v="12"/>
    <s v="II-F02"/>
    <s v="500g Blueberry Muesli"/>
    <s v="Finished Product"/>
    <s v="F02"/>
    <s v="500g"/>
    <s v="Blueberry Muesli"/>
    <n v="1009"/>
    <n v="1009"/>
    <s v="ST"/>
    <n v="4.2300000000000004"/>
    <n v="4268.07"/>
    <n v="1241.07"/>
    <s v="EUR"/>
    <n v="3027"/>
    <n v="0.71"/>
  </r>
  <r>
    <s v=".1~18"/>
    <n v="18"/>
    <x v="0"/>
    <x v="0"/>
    <s v="08"/>
    <s v="01/08"/>
    <d v="2021-01-08T00:00:00"/>
    <n v="2"/>
    <n v="8"/>
    <s v="1913"/>
    <s v="2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2676"/>
    <n v="2676"/>
    <s v="ST"/>
    <n v="4.2300000000000004"/>
    <n v="11319.48"/>
    <n v="3291.48"/>
    <s v="EUR"/>
    <n v="8028"/>
    <n v="0.71"/>
  </r>
  <r>
    <s v=".1~19"/>
    <n v="19"/>
    <x v="0"/>
    <x v="0"/>
    <s v="08"/>
    <s v="01/08"/>
    <d v="2021-01-08T00:00:00"/>
    <n v="2"/>
    <n v="8"/>
    <s v="1913"/>
    <s v="1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3568"/>
    <n v="3568"/>
    <s v="ST"/>
    <n v="4.2300000000000004"/>
    <n v="15092.64"/>
    <n v="4388.6400000000003"/>
    <s v="EUR"/>
    <n v="10704"/>
    <n v="0.71"/>
  </r>
  <r>
    <s v=".1~20"/>
    <n v="20"/>
    <x v="0"/>
    <x v="0"/>
    <s v="08"/>
    <s v="01/08"/>
    <d v="2021-01-08T00:00:00"/>
    <n v="2"/>
    <n v="8"/>
    <s v="1908"/>
    <s v="1"/>
    <s v="02"/>
    <s v="Baden-Wurttemberg"/>
    <x v="1"/>
    <s v="FREIBURG"/>
    <s v="Germany"/>
    <s v="79098"/>
    <s v="80113"/>
    <s v="12"/>
    <s v="II-F03"/>
    <s v="500g Strawberry Muesli"/>
    <s v="Finished Product"/>
    <s v="F03"/>
    <s v="500g"/>
    <s v="Strawberry Muesli"/>
    <n v="3394"/>
    <n v="3394"/>
    <s v="ST"/>
    <n v="4.2300000000000004"/>
    <n v="14356.62"/>
    <n v="4174.62"/>
    <s v="EUR"/>
    <n v="10182"/>
    <n v="0.71"/>
  </r>
  <r>
    <s v=".1~21"/>
    <n v="21"/>
    <x v="0"/>
    <x v="0"/>
    <s v="08"/>
    <s v="01/08"/>
    <d v="2021-01-08T00:00:00"/>
    <n v="2"/>
    <n v="8"/>
    <s v="1905"/>
    <s v="2"/>
    <s v="02"/>
    <s v="Lower Saxony"/>
    <x v="0"/>
    <s v="NIENBURG"/>
    <s v="Germany"/>
    <s v="31582"/>
    <s v="80143"/>
    <s v="12"/>
    <s v="II-F03"/>
    <s v="500g Strawberry Muesli"/>
    <s v="Finished Product"/>
    <s v="F03"/>
    <s v="500g"/>
    <s v="Strawberry Muesli"/>
    <n v="3111"/>
    <n v="3111"/>
    <s v="ST"/>
    <n v="4.2300000000000004"/>
    <n v="13159.53"/>
    <n v="3826.53"/>
    <s v="EUR"/>
    <n v="9333"/>
    <n v="0.71"/>
  </r>
  <r>
    <s v=".1~22"/>
    <n v="22"/>
    <x v="0"/>
    <x v="0"/>
    <s v="08"/>
    <s v="01/08"/>
    <d v="2021-01-08T00:00:00"/>
    <n v="2"/>
    <n v="8"/>
    <s v="1905"/>
    <s v="1"/>
    <s v="02"/>
    <s v="Lower Saxony"/>
    <x v="0"/>
    <s v="NIENBURG"/>
    <s v="Germany"/>
    <s v="31582"/>
    <s v="80143"/>
    <s v="12"/>
    <s v="II-F03"/>
    <s v="500g Strawberry Muesli"/>
    <s v="Finished Product"/>
    <s v="F03"/>
    <s v="500g"/>
    <s v="Strawberry Muesli"/>
    <n v="3900"/>
    <n v="3900"/>
    <s v="ST"/>
    <n v="4.2300000000000004"/>
    <n v="16497"/>
    <n v="4797"/>
    <s v="EUR"/>
    <n v="11700"/>
    <n v="0.71"/>
  </r>
  <r>
    <s v=".1~23"/>
    <n v="23"/>
    <x v="0"/>
    <x v="0"/>
    <s v="09"/>
    <s v="01/09"/>
    <d v="2021-01-09T00:00:00"/>
    <n v="2"/>
    <n v="9"/>
    <s v="1928"/>
    <s v="3"/>
    <s v="02"/>
    <s v="Baden-Wurttemberg"/>
    <x v="1"/>
    <s v="Heidelberg"/>
    <s v="Germany"/>
    <s v="69117"/>
    <s v="80100"/>
    <s v="10"/>
    <s v="II-F11"/>
    <s v="1kg Nut Muesli"/>
    <s v="Finished Product"/>
    <s v="F11"/>
    <s v="1kg"/>
    <s v="Nut Muesli"/>
    <n v="2742"/>
    <n v="2742"/>
    <s v="ST"/>
    <n v="4.6100000000000003"/>
    <n v="12640.62"/>
    <n v="4442.04"/>
    <s v="EUR"/>
    <n v="8198.58"/>
    <n v="0.65"/>
  </r>
  <r>
    <s v=".1~24"/>
    <n v="24"/>
    <x v="0"/>
    <x v="0"/>
    <s v="09"/>
    <s v="01/09"/>
    <d v="2021-01-09T00:00:00"/>
    <n v="2"/>
    <n v="9"/>
    <s v="1928"/>
    <s v="2"/>
    <s v="02"/>
    <s v="Baden-Wurttemberg"/>
    <x v="1"/>
    <s v="Heidelberg"/>
    <s v="Germany"/>
    <s v="69117"/>
    <s v="80100"/>
    <s v="10"/>
    <s v="II-F11"/>
    <s v="1kg Nut Muesli"/>
    <s v="Finished Product"/>
    <s v="F11"/>
    <s v="1kg"/>
    <s v="Nut Muesli"/>
    <n v="2970"/>
    <n v="2970"/>
    <s v="ST"/>
    <n v="4.6100000000000003"/>
    <n v="13691.7"/>
    <n v="4811.3999999999996"/>
    <s v="EUR"/>
    <n v="8880.2999999999993"/>
    <n v="0.65"/>
  </r>
  <r>
    <s v=".1~25"/>
    <n v="25"/>
    <x v="0"/>
    <x v="0"/>
    <s v="09"/>
    <s v="01/09"/>
    <d v="2021-01-09T00:00:00"/>
    <n v="2"/>
    <n v="9"/>
    <s v="1928"/>
    <s v="1"/>
    <s v="02"/>
    <s v="Baden-Wurttemberg"/>
    <x v="1"/>
    <s v="Heidelberg"/>
    <s v="Germany"/>
    <s v="69117"/>
    <s v="80100"/>
    <s v="10"/>
    <s v="II-F11"/>
    <s v="1kg Nut Muesli"/>
    <s v="Finished Product"/>
    <s v="F11"/>
    <s v="1kg"/>
    <s v="Nut Muesli"/>
    <n v="2837"/>
    <n v="2837"/>
    <s v="ST"/>
    <n v="4.6100000000000003"/>
    <n v="13078.57"/>
    <n v="4595.9399999999996"/>
    <s v="EUR"/>
    <n v="8482.6299999999992"/>
    <n v="0.65"/>
  </r>
  <r>
    <s v=".1~26"/>
    <n v="26"/>
    <x v="0"/>
    <x v="0"/>
    <s v="09"/>
    <s v="01/09"/>
    <d v="2021-01-09T00:00:00"/>
    <n v="2"/>
    <n v="9"/>
    <s v="1940"/>
    <s v="1"/>
    <s v="02"/>
    <s v="Nrth Rhine Westfalia"/>
    <x v="2"/>
    <s v="SIEGEN"/>
    <s v="Germany"/>
    <s v="57076"/>
    <s v="80160"/>
    <s v="12"/>
    <s v="II-F11"/>
    <s v="1kg Nut Muesli"/>
    <s v="Finished Product"/>
    <s v="F11"/>
    <s v="1kg"/>
    <s v="Nut Muesli"/>
    <n v="936"/>
    <n v="936"/>
    <s v="ST"/>
    <n v="4.6100000000000003"/>
    <n v="4314.96"/>
    <n v="1516.32"/>
    <s v="EUR"/>
    <n v="2798.64"/>
    <n v="0.65"/>
  </r>
  <r>
    <s v=".1~27"/>
    <n v="27"/>
    <x v="0"/>
    <x v="0"/>
    <s v="09"/>
    <s v="01/09"/>
    <d v="2021-01-09T00:00:00"/>
    <n v="2"/>
    <n v="9"/>
    <s v="1932"/>
    <s v="1"/>
    <s v="02"/>
    <s v="Brandenburg"/>
    <x v="0"/>
    <s v="COTTBUS"/>
    <s v="Germany"/>
    <s v="03046"/>
    <s v="80132"/>
    <s v="12"/>
    <s v="II-F11"/>
    <s v="1kg Nut Muesli"/>
    <s v="Finished Product"/>
    <s v="F11"/>
    <s v="1kg"/>
    <s v="Nut Muesli"/>
    <n v="2792"/>
    <n v="2792"/>
    <s v="ST"/>
    <n v="4.6100000000000003"/>
    <n v="12871.12"/>
    <n v="4523.04"/>
    <s v="EUR"/>
    <n v="8348.08"/>
    <n v="0.65"/>
  </r>
  <r>
    <s v=".1~28"/>
    <n v="28"/>
    <x v="0"/>
    <x v="0"/>
    <s v="09"/>
    <s v="01/09"/>
    <d v="2021-01-09T00:00:00"/>
    <n v="2"/>
    <n v="9"/>
    <s v="1932"/>
    <s v="2"/>
    <s v="02"/>
    <s v="Brandenburg"/>
    <x v="0"/>
    <s v="COTTBUS"/>
    <s v="Germany"/>
    <s v="03046"/>
    <s v="80132"/>
    <s v="12"/>
    <s v="II-F11"/>
    <s v="1kg Nut Muesli"/>
    <s v="Finished Product"/>
    <s v="F11"/>
    <s v="1kg"/>
    <s v="Nut Muesli"/>
    <n v="2948"/>
    <n v="2948"/>
    <s v="ST"/>
    <n v="4.6100000000000003"/>
    <n v="13590.28"/>
    <n v="4775.76"/>
    <s v="EUR"/>
    <n v="8814.52"/>
    <n v="0.65"/>
  </r>
  <r>
    <s v=".1~29"/>
    <n v="29"/>
    <x v="0"/>
    <x v="0"/>
    <s v="09"/>
    <s v="01/09"/>
    <d v="2021-01-09T00:00:00"/>
    <n v="2"/>
    <n v="9"/>
    <s v="1936"/>
    <s v="3"/>
    <s v="02"/>
    <s v="Baden-Wurttemberg"/>
    <x v="1"/>
    <s v="GUNDELFINGEN"/>
    <s v="Germany"/>
    <s v="79194"/>
    <s v="80114"/>
    <s v="12"/>
    <s v="II-F11"/>
    <s v="1kg Nut Muesli"/>
    <s v="Finished Product"/>
    <s v="F11"/>
    <s v="1kg"/>
    <s v="Nut Muesli"/>
    <n v="3085"/>
    <n v="3085"/>
    <s v="ST"/>
    <n v="4.6100000000000003"/>
    <n v="14221.85"/>
    <n v="4997.7"/>
    <s v="EUR"/>
    <n v="9224.15"/>
    <n v="0.65"/>
  </r>
  <r>
    <s v=".1~30"/>
    <n v="30"/>
    <x v="0"/>
    <x v="0"/>
    <s v="09"/>
    <s v="01/09"/>
    <d v="2021-01-09T00:00:00"/>
    <n v="2"/>
    <n v="9"/>
    <s v="1936"/>
    <s v="2"/>
    <s v="02"/>
    <s v="Baden-Wurttemberg"/>
    <x v="1"/>
    <s v="GUNDELFINGEN"/>
    <s v="Germany"/>
    <s v="79194"/>
    <s v="80114"/>
    <s v="12"/>
    <s v="II-F11"/>
    <s v="1kg Nut Muesli"/>
    <s v="Finished Product"/>
    <s v="F11"/>
    <s v="1kg"/>
    <s v="Nut Muesli"/>
    <n v="2759"/>
    <n v="2759"/>
    <s v="ST"/>
    <n v="4.6100000000000003"/>
    <n v="12718.99"/>
    <n v="4469.58"/>
    <s v="EUR"/>
    <n v="8249.41"/>
    <n v="0.65"/>
  </r>
  <r>
    <s v=".1~31"/>
    <n v="31"/>
    <x v="0"/>
    <x v="0"/>
    <s v="09"/>
    <s v="01/09"/>
    <d v="2021-01-09T00:00:00"/>
    <n v="2"/>
    <n v="9"/>
    <s v="1936"/>
    <s v="1"/>
    <s v="02"/>
    <s v="Baden-Wurttemberg"/>
    <x v="1"/>
    <s v="GUNDELFINGEN"/>
    <s v="Germany"/>
    <s v="79194"/>
    <s v="80114"/>
    <s v="12"/>
    <s v="II-F11"/>
    <s v="1kg Nut Muesli"/>
    <s v="Finished Product"/>
    <s v="F11"/>
    <s v="1kg"/>
    <s v="Nut Muesli"/>
    <n v="2931"/>
    <n v="2931"/>
    <s v="ST"/>
    <n v="4.6100000000000003"/>
    <n v="13511.91"/>
    <n v="4748.22"/>
    <s v="EUR"/>
    <n v="8763.69"/>
    <n v="0.65"/>
  </r>
  <r>
    <s v=".1~32"/>
    <n v="32"/>
    <x v="0"/>
    <x v="0"/>
    <s v="10"/>
    <s v="01/10"/>
    <d v="2021-01-10T00:00:00"/>
    <n v="2"/>
    <n v="10"/>
    <s v="1958"/>
    <s v="1"/>
    <s v="02"/>
    <s v="Nrth Rhine Westfalia"/>
    <x v="2"/>
    <s v="BRÜHL"/>
    <s v="Germany"/>
    <s v="50321"/>
    <s v="80149"/>
    <s v="12"/>
    <s v="II-F04"/>
    <s v="500g Raisin Muesli"/>
    <s v="Finished Product"/>
    <s v="F04"/>
    <s v="500g"/>
    <s v="Raisin Muesli"/>
    <n v="4428"/>
    <n v="4428"/>
    <s v="ST"/>
    <n v="3.79"/>
    <n v="16782.12"/>
    <n v="3498.12"/>
    <s v="EUR"/>
    <n v="13284"/>
    <n v="0.79"/>
  </r>
  <r>
    <s v=".1~33"/>
    <n v="33"/>
    <x v="0"/>
    <x v="0"/>
    <s v="11"/>
    <s v="01/11"/>
    <d v="2021-01-11T00:00:00"/>
    <n v="3"/>
    <n v="11"/>
    <s v="1979"/>
    <s v="1"/>
    <s v="02"/>
    <s v="Lower Saxony"/>
    <x v="0"/>
    <s v="OLDENBURG"/>
    <s v="Germany"/>
    <s v="26121"/>
    <s v="80145"/>
    <s v="12"/>
    <s v="II-F04"/>
    <s v="500g Raisin Muesli"/>
    <s v="Finished Product"/>
    <s v="F04"/>
    <s v="500g"/>
    <s v="Raisin Muesli"/>
    <n v="4029"/>
    <n v="4029"/>
    <s v="ST"/>
    <n v="3.79"/>
    <n v="15269.91"/>
    <n v="3182.91"/>
    <s v="EUR"/>
    <n v="12087"/>
    <n v="0.79"/>
  </r>
  <r>
    <s v=".1~34"/>
    <n v="34"/>
    <x v="0"/>
    <x v="0"/>
    <s v="11"/>
    <s v="01/11"/>
    <d v="2021-01-11T00:00:00"/>
    <n v="3"/>
    <n v="11"/>
    <s v="1979"/>
    <s v="4"/>
    <s v="02"/>
    <s v="Lower Saxony"/>
    <x v="0"/>
    <s v="OLDENBURG"/>
    <s v="Germany"/>
    <s v="26121"/>
    <s v="80145"/>
    <s v="12"/>
    <s v="II-F04"/>
    <s v="500g Raisin Muesli"/>
    <s v="Finished Product"/>
    <s v="F04"/>
    <s v="500g"/>
    <s v="Raisin Muesli"/>
    <n v="4100"/>
    <n v="4100"/>
    <s v="ST"/>
    <n v="3.79"/>
    <n v="15539"/>
    <n v="3239"/>
    <s v="EUR"/>
    <n v="12300"/>
    <n v="0.79"/>
  </r>
  <r>
    <s v=".1~35"/>
    <n v="35"/>
    <x v="0"/>
    <x v="0"/>
    <s v="11"/>
    <s v="01/11"/>
    <d v="2021-01-11T00:00:00"/>
    <n v="3"/>
    <n v="11"/>
    <s v="1981"/>
    <s v="1"/>
    <s v="02"/>
    <s v="Nrth Rhine Westfalia"/>
    <x v="2"/>
    <s v="HERFORD"/>
    <s v="Germany"/>
    <s v="32052"/>
    <s v="80155"/>
    <s v="12"/>
    <s v="II-F04"/>
    <s v="500g Raisin Muesli"/>
    <s v="Finished Product"/>
    <s v="F04"/>
    <s v="500g"/>
    <s v="Raisin Muesli"/>
    <n v="4300"/>
    <n v="4300"/>
    <s v="ST"/>
    <n v="3.79"/>
    <n v="16297"/>
    <n v="3397"/>
    <s v="EUR"/>
    <n v="12900"/>
    <n v="0.79"/>
  </r>
  <r>
    <s v=".1~36"/>
    <n v="36"/>
    <x v="0"/>
    <x v="0"/>
    <s v="11"/>
    <s v="01/11"/>
    <d v="2021-01-11T00:00:00"/>
    <n v="3"/>
    <n v="11"/>
    <s v="1979"/>
    <s v="2"/>
    <s v="02"/>
    <s v="Lower Saxony"/>
    <x v="0"/>
    <s v="OLDENBURG"/>
    <s v="Germany"/>
    <s v="26121"/>
    <s v="80145"/>
    <s v="12"/>
    <s v="II-F12"/>
    <s v="1kg Blueberry Muesli"/>
    <s v="Finished Product"/>
    <s v="F12"/>
    <s v="1kg"/>
    <s v="Blueberry Muesli"/>
    <n v="3145"/>
    <n v="3145"/>
    <s v="ST"/>
    <n v="5.26"/>
    <n v="16542.7"/>
    <n v="7139.15"/>
    <s v="EUR"/>
    <n v="9403.5499999999993"/>
    <n v="0.56999999999999995"/>
  </r>
  <r>
    <s v=".1~37"/>
    <n v="37"/>
    <x v="0"/>
    <x v="0"/>
    <s v="11"/>
    <s v="01/11"/>
    <d v="2021-01-11T00:00:00"/>
    <n v="3"/>
    <n v="11"/>
    <s v="1979"/>
    <s v="3"/>
    <s v="02"/>
    <s v="Lower Saxony"/>
    <x v="0"/>
    <s v="OLDENBURG"/>
    <s v="Germany"/>
    <s v="26121"/>
    <s v="80145"/>
    <s v="12"/>
    <s v="II-F12"/>
    <s v="1kg Blueberry Muesli"/>
    <s v="Finished Product"/>
    <s v="F12"/>
    <s v="1kg"/>
    <s v="Blueberry Muesli"/>
    <n v="3119"/>
    <n v="3119"/>
    <s v="ST"/>
    <n v="5.26"/>
    <n v="16405.939999999999"/>
    <n v="7080.13"/>
    <s v="EUR"/>
    <n v="9325.81"/>
    <n v="0.56999999999999995"/>
  </r>
  <r>
    <s v=".1~38"/>
    <n v="38"/>
    <x v="0"/>
    <x v="0"/>
    <s v="11"/>
    <s v="01/11"/>
    <d v="2021-01-11T00:00:00"/>
    <n v="3"/>
    <n v="11"/>
    <s v="1981"/>
    <s v="2"/>
    <s v="02"/>
    <s v="Nrth Rhine Westfalia"/>
    <x v="2"/>
    <s v="HERFORD"/>
    <s v="Germany"/>
    <s v="32052"/>
    <s v="80155"/>
    <s v="12"/>
    <s v="II-F12"/>
    <s v="1kg Blueberry Muesli"/>
    <s v="Finished Product"/>
    <s v="F12"/>
    <s v="1kg"/>
    <s v="Blueberry Muesli"/>
    <n v="2736"/>
    <n v="2736"/>
    <s v="ST"/>
    <n v="5.26"/>
    <n v="14391.36"/>
    <n v="6210.72"/>
    <s v="EUR"/>
    <n v="8180.64"/>
    <n v="0.56999999999999995"/>
  </r>
  <r>
    <s v=".1~39"/>
    <n v="39"/>
    <x v="0"/>
    <x v="0"/>
    <s v="12"/>
    <s v="01/12"/>
    <d v="2021-01-12T00:00:00"/>
    <n v="3"/>
    <n v="12"/>
    <s v="2000"/>
    <s v="2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970"/>
    <n v="970"/>
    <s v="ST"/>
    <n v="5.26"/>
    <n v="5102.2"/>
    <n v="2201.9"/>
    <s v="EUR"/>
    <n v="2900.3"/>
    <n v="0.56999999999999995"/>
  </r>
  <r>
    <s v=".1~40"/>
    <n v="40"/>
    <x v="0"/>
    <x v="0"/>
    <s v="12"/>
    <s v="01/12"/>
    <d v="2021-01-12T00:00:00"/>
    <n v="3"/>
    <n v="12"/>
    <s v="2000"/>
    <s v="1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2667"/>
    <n v="2667"/>
    <s v="ST"/>
    <n v="5.26"/>
    <n v="14028.42"/>
    <n v="6054.09"/>
    <s v="EUR"/>
    <n v="7974.33"/>
    <n v="0.56999999999999995"/>
  </r>
  <r>
    <s v=".1~41"/>
    <n v="41"/>
    <x v="0"/>
    <x v="0"/>
    <s v="12"/>
    <s v="01/12"/>
    <d v="2021-01-12T00:00:00"/>
    <n v="3"/>
    <n v="12"/>
    <s v="1991"/>
    <s v="4"/>
    <s v="02"/>
    <s v="Hessen"/>
    <x v="1"/>
    <s v="MAGDEBURG"/>
    <s v="Germany"/>
    <s v="39128"/>
    <s v="80138"/>
    <s v="12"/>
    <s v="II-F04"/>
    <s v="500g Raisin Muesli"/>
    <s v="Finished Product"/>
    <s v="F04"/>
    <s v="500g"/>
    <s v="Raisin Muesli"/>
    <n v="3907"/>
    <n v="3907"/>
    <s v="ST"/>
    <n v="3.79"/>
    <n v="14807.53"/>
    <n v="3086.53"/>
    <s v="EUR"/>
    <n v="11721"/>
    <n v="0.79"/>
  </r>
  <r>
    <s v=".1~42"/>
    <n v="42"/>
    <x v="0"/>
    <x v="0"/>
    <s v="12"/>
    <s v="01/12"/>
    <d v="2021-01-12T00:00:00"/>
    <n v="3"/>
    <n v="12"/>
    <s v="1995"/>
    <s v="1"/>
    <s v="02"/>
    <s v="Berlin"/>
    <x v="0"/>
    <s v="BERLIN"/>
    <s v="Germany"/>
    <s v="13349"/>
    <s v="80129"/>
    <s v="12"/>
    <s v="II-F04"/>
    <s v="500g Raisin Muesli"/>
    <s v="Finished Product"/>
    <s v="F04"/>
    <s v="500g"/>
    <s v="Raisin Muesli"/>
    <n v="3236"/>
    <n v="3236"/>
    <s v="ST"/>
    <n v="3.79"/>
    <n v="12264.44"/>
    <n v="2556.44"/>
    <s v="EUR"/>
    <n v="9708"/>
    <n v="0.79"/>
  </r>
  <r>
    <s v=".1~43"/>
    <n v="43"/>
    <x v="0"/>
    <x v="0"/>
    <s v="12"/>
    <s v="01/12"/>
    <d v="2021-01-12T00:00:00"/>
    <n v="3"/>
    <n v="12"/>
    <s v="1991"/>
    <s v="1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3110"/>
    <n v="3110"/>
    <s v="ST"/>
    <n v="5.26"/>
    <n v="16358.6"/>
    <n v="7059.7"/>
    <s v="EUR"/>
    <n v="9298.9"/>
    <n v="0.56999999999999995"/>
  </r>
  <r>
    <s v=".1~44"/>
    <n v="44"/>
    <x v="0"/>
    <x v="0"/>
    <s v="12"/>
    <s v="01/12"/>
    <d v="2021-01-12T00:00:00"/>
    <n v="3"/>
    <n v="12"/>
    <s v="1991"/>
    <s v="3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719"/>
    <n v="2719"/>
    <s v="ST"/>
    <n v="5.26"/>
    <n v="14301.94"/>
    <n v="6172.13"/>
    <s v="EUR"/>
    <n v="8129.81"/>
    <n v="0.56999999999999995"/>
  </r>
  <r>
    <s v=".1~45"/>
    <n v="45"/>
    <x v="0"/>
    <x v="0"/>
    <s v="12"/>
    <s v="01/12"/>
    <d v="2021-01-12T00:00:00"/>
    <n v="3"/>
    <n v="12"/>
    <s v="1995"/>
    <s v="3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733"/>
    <n v="2733"/>
    <s v="ST"/>
    <n v="5.26"/>
    <n v="14375.58"/>
    <n v="6203.91"/>
    <s v="EUR"/>
    <n v="8171.67"/>
    <n v="0.56999999999999995"/>
  </r>
  <r>
    <s v=".1~46"/>
    <n v="46"/>
    <x v="0"/>
    <x v="0"/>
    <s v="12"/>
    <s v="01/12"/>
    <d v="2021-01-12T00:00:00"/>
    <n v="3"/>
    <n v="12"/>
    <s v="1995"/>
    <s v="2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801"/>
    <n v="2801"/>
    <s v="ST"/>
    <n v="5.26"/>
    <n v="14733.26"/>
    <n v="6358.27"/>
    <s v="EUR"/>
    <n v="8374.99"/>
    <n v="0.56999999999999995"/>
  </r>
  <r>
    <s v=".1~47"/>
    <n v="47"/>
    <x v="0"/>
    <x v="0"/>
    <s v="12"/>
    <s v="01/12"/>
    <d v="2021-01-12T00:00:00"/>
    <n v="3"/>
    <n v="12"/>
    <s v="1991"/>
    <s v="2"/>
    <s v="02"/>
    <s v="Hessen"/>
    <x v="1"/>
    <s v="MAGDEBURG"/>
    <s v="Germany"/>
    <s v="39128"/>
    <s v="80138"/>
    <s v="12"/>
    <s v="II-F14"/>
    <s v="1kg Raisin Muesli"/>
    <s v="Finished Product"/>
    <s v="F14"/>
    <s v="1kg"/>
    <s v="Raisin Muesli"/>
    <n v="2000"/>
    <n v="2000"/>
    <s v="ST"/>
    <n v="4.38"/>
    <n v="8760"/>
    <n v="2780"/>
    <s v="EUR"/>
    <n v="5980"/>
    <n v="0.68"/>
  </r>
  <r>
    <s v=".1~48"/>
    <n v="48"/>
    <x v="0"/>
    <x v="0"/>
    <s v="13"/>
    <s v="01/13"/>
    <d v="2021-01-13T00:00:00"/>
    <n v="3"/>
    <n v="13"/>
    <s v="2019"/>
    <s v="3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011"/>
    <n v="3011"/>
    <s v="ST"/>
    <n v="4.38"/>
    <n v="13188.18"/>
    <n v="4185.29"/>
    <s v="EUR"/>
    <n v="9002.89"/>
    <n v="0.68"/>
  </r>
  <r>
    <s v=".1~49"/>
    <n v="49"/>
    <x v="0"/>
    <x v="0"/>
    <s v="13"/>
    <s v="01/13"/>
    <d v="2021-01-13T00:00:00"/>
    <n v="3"/>
    <n v="13"/>
    <s v="2019"/>
    <s v="1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576"/>
    <n v="3576"/>
    <s v="ST"/>
    <n v="4.38"/>
    <n v="15662.88"/>
    <n v="4970.6400000000003"/>
    <s v="EUR"/>
    <n v="10692.24"/>
    <n v="0.68"/>
  </r>
  <r>
    <s v=".1~50"/>
    <n v="50"/>
    <x v="0"/>
    <x v="0"/>
    <s v="13"/>
    <s v="01/13"/>
    <d v="2021-01-13T00:00:00"/>
    <n v="3"/>
    <n v="13"/>
    <s v="2019"/>
    <s v="4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176"/>
    <n v="3176"/>
    <s v="ST"/>
    <n v="4.38"/>
    <n v="13910.88"/>
    <n v="4414.6400000000003"/>
    <s v="EUR"/>
    <n v="9496.24"/>
    <n v="0.68"/>
  </r>
  <r>
    <s v=".1~51"/>
    <n v="51"/>
    <x v="0"/>
    <x v="0"/>
    <s v="13"/>
    <s v="01/13"/>
    <d v="2021-01-13T00:00:00"/>
    <n v="3"/>
    <n v="13"/>
    <s v="2023"/>
    <s v="1"/>
    <s v="02"/>
    <s v="Rhineland Palatinate"/>
    <x v="2"/>
    <s v="TRIER"/>
    <s v="Germany"/>
    <s v="54290"/>
    <s v="80164"/>
    <s v="12"/>
    <s v="II-F14"/>
    <s v="1kg Raisin Muesli"/>
    <s v="Finished Product"/>
    <s v="F14"/>
    <s v="1kg"/>
    <s v="Raisin Muesli"/>
    <n v="3469"/>
    <n v="3469"/>
    <s v="ST"/>
    <n v="4.38"/>
    <n v="15194.22"/>
    <n v="4821.91"/>
    <s v="EUR"/>
    <n v="10372.31"/>
    <n v="0.68"/>
  </r>
  <r>
    <s v=".1~52"/>
    <n v="52"/>
    <x v="0"/>
    <x v="0"/>
    <s v="13"/>
    <s v="01/13"/>
    <d v="2021-01-13T00:00:00"/>
    <n v="3"/>
    <n v="13"/>
    <s v="2023"/>
    <s v="3"/>
    <s v="02"/>
    <s v="Rhineland Palatinate"/>
    <x v="2"/>
    <s v="TRIER"/>
    <s v="Germany"/>
    <s v="54290"/>
    <s v="80164"/>
    <s v="12"/>
    <s v="II-F14"/>
    <s v="1kg Raisin Muesli"/>
    <s v="Finished Product"/>
    <s v="F14"/>
    <s v="1kg"/>
    <s v="Raisin Muesli"/>
    <n v="1553"/>
    <n v="1553"/>
    <s v="ST"/>
    <n v="4.38"/>
    <n v="6802.14"/>
    <n v="2158.67"/>
    <s v="EUR"/>
    <n v="4643.47"/>
    <n v="0.68"/>
  </r>
  <r>
    <s v=".1~53"/>
    <n v="53"/>
    <x v="0"/>
    <x v="0"/>
    <s v="13"/>
    <s v="01/13"/>
    <d v="2021-01-13T00:00:00"/>
    <n v="3"/>
    <n v="13"/>
    <s v="2023"/>
    <s v="2"/>
    <s v="02"/>
    <s v="Rhineland Palatinate"/>
    <x v="2"/>
    <s v="TRIER"/>
    <s v="Germany"/>
    <s v="54290"/>
    <s v="80164"/>
    <s v="12"/>
    <s v="II-F14"/>
    <s v="1kg Raisin Muesli"/>
    <s v="Finished Product"/>
    <s v="F14"/>
    <s v="1kg"/>
    <s v="Raisin Muesli"/>
    <n v="3466"/>
    <n v="3466"/>
    <s v="ST"/>
    <n v="4.38"/>
    <n v="15181.08"/>
    <n v="4817.74"/>
    <s v="EUR"/>
    <n v="10363.34"/>
    <n v="0.68"/>
  </r>
  <r>
    <s v=".1~54"/>
    <n v="54"/>
    <x v="0"/>
    <x v="0"/>
    <s v="13"/>
    <s v="01/13"/>
    <d v="2021-01-13T00:00:00"/>
    <n v="3"/>
    <n v="13"/>
    <s v="2019"/>
    <s v="2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749"/>
    <n v="3749"/>
    <s v="ST"/>
    <n v="4.38"/>
    <n v="16420.62"/>
    <n v="5211.1099999999997"/>
    <s v="EUR"/>
    <n v="11209.51"/>
    <n v="0.68"/>
  </r>
  <r>
    <s v=".1~55"/>
    <n v="55"/>
    <x v="0"/>
    <x v="0"/>
    <s v="14"/>
    <s v="01/14"/>
    <d v="2021-01-14T00:00:00"/>
    <n v="3"/>
    <n v="14"/>
    <s v="2039"/>
    <s v="1"/>
    <s v="02"/>
    <s v="Baden-Wurttemberg"/>
    <x v="1"/>
    <s v="ALBSTADT"/>
    <s v="Germany"/>
    <s v="72458"/>
    <s v="80170"/>
    <s v="12"/>
    <s v="II-F13"/>
    <s v="1kg Strawberry Muesli"/>
    <s v="Finished Product"/>
    <s v="F13"/>
    <s v="1kg"/>
    <s v="Strawberry Muesli"/>
    <n v="3078"/>
    <n v="3078"/>
    <s v="ST"/>
    <n v="5.27"/>
    <n v="16221.06"/>
    <n v="7017.84"/>
    <s v="EUR"/>
    <n v="9203.2199999999993"/>
    <n v="0.56999999999999995"/>
  </r>
  <r>
    <s v=".1~56"/>
    <n v="56"/>
    <x v="0"/>
    <x v="0"/>
    <s v="14"/>
    <s v="01/14"/>
    <d v="2021-01-14T00:00:00"/>
    <n v="3"/>
    <n v="14"/>
    <s v="2039"/>
    <s v="2"/>
    <s v="02"/>
    <s v="Baden-Wurttemberg"/>
    <x v="1"/>
    <s v="ALBSTADT"/>
    <s v="Germany"/>
    <s v="72458"/>
    <s v="80170"/>
    <s v="12"/>
    <s v="II-F13"/>
    <s v="1kg Strawberry Muesli"/>
    <s v="Finished Product"/>
    <s v="F13"/>
    <s v="1kg"/>
    <s v="Strawberry Muesli"/>
    <n v="2878"/>
    <n v="2878"/>
    <s v="ST"/>
    <n v="5.27"/>
    <n v="15167.06"/>
    <n v="6561.84"/>
    <s v="EUR"/>
    <n v="8605.2199999999993"/>
    <n v="0.56999999999999995"/>
  </r>
  <r>
    <s v=".1~57"/>
    <n v="57"/>
    <x v="0"/>
    <x v="0"/>
    <s v="14"/>
    <s v="01/14"/>
    <d v="2021-01-14T00:00:00"/>
    <n v="3"/>
    <n v="14"/>
    <s v="2039"/>
    <s v="3"/>
    <s v="02"/>
    <s v="Baden-Wurttemberg"/>
    <x v="1"/>
    <s v="ALBSTADT"/>
    <s v="Germany"/>
    <s v="72458"/>
    <s v="80170"/>
    <s v="12"/>
    <s v="II-F13"/>
    <s v="1kg Strawberry Muesli"/>
    <s v="Finished Product"/>
    <s v="F13"/>
    <s v="1kg"/>
    <s v="Strawberry Muesli"/>
    <n v="2487"/>
    <n v="2487"/>
    <s v="ST"/>
    <n v="5.27"/>
    <n v="13106.49"/>
    <n v="5670.36"/>
    <s v="EUR"/>
    <n v="7436.13"/>
    <n v="0.56999999999999995"/>
  </r>
  <r>
    <s v=".1~58"/>
    <n v="58"/>
    <x v="0"/>
    <x v="0"/>
    <s v="14"/>
    <s v="01/14"/>
    <d v="2021-01-14T00:00:00"/>
    <n v="3"/>
    <n v="14"/>
    <s v="2039"/>
    <s v="4"/>
    <s v="02"/>
    <s v="Baden-Wurttemberg"/>
    <x v="1"/>
    <s v="ALBSTADT"/>
    <s v="Germany"/>
    <s v="72458"/>
    <s v="80170"/>
    <s v="12"/>
    <s v="II-F13"/>
    <s v="1kg Strawberry Muesli"/>
    <s v="Finished Product"/>
    <s v="F13"/>
    <s v="1kg"/>
    <s v="Strawberry Muesli"/>
    <n v="2708"/>
    <n v="2708"/>
    <s v="ST"/>
    <n v="5.27"/>
    <n v="14271.16"/>
    <n v="6174.24"/>
    <s v="EUR"/>
    <n v="8096.92"/>
    <n v="0.56999999999999995"/>
  </r>
  <r>
    <s v=".1~59"/>
    <n v="59"/>
    <x v="0"/>
    <x v="0"/>
    <s v="14"/>
    <s v="01/14"/>
    <d v="2021-01-14T00:00:00"/>
    <n v="3"/>
    <n v="14"/>
    <s v="2043"/>
    <s v="3"/>
    <s v="02"/>
    <s v="Lower Saxony"/>
    <x v="0"/>
    <s v="OLDENBURG"/>
    <s v="Germany"/>
    <s v="26129"/>
    <s v="80144"/>
    <s v="12"/>
    <s v="II-F13"/>
    <s v="1kg Strawberry Muesli"/>
    <s v="Finished Product"/>
    <s v="F13"/>
    <s v="1kg"/>
    <s v="Strawberry Muesli"/>
    <n v="2318"/>
    <n v="2318"/>
    <s v="ST"/>
    <n v="5.27"/>
    <n v="12215.86"/>
    <n v="5285.04"/>
    <s v="EUR"/>
    <n v="6930.82"/>
    <n v="0.56999999999999995"/>
  </r>
  <r>
    <s v=".1~60"/>
    <n v="60"/>
    <x v="0"/>
    <x v="0"/>
    <s v="14"/>
    <s v="01/14"/>
    <d v="2021-01-14T00:00:00"/>
    <n v="3"/>
    <n v="14"/>
    <s v="2043"/>
    <s v="1"/>
    <s v="02"/>
    <s v="Lower Saxony"/>
    <x v="0"/>
    <s v="OLDENBURG"/>
    <s v="Germany"/>
    <s v="26129"/>
    <s v="80144"/>
    <s v="12"/>
    <s v="II-F13"/>
    <s v="1kg Strawberry Muesli"/>
    <s v="Finished Product"/>
    <s v="F13"/>
    <s v="1kg"/>
    <s v="Strawberry Muesli"/>
    <n v="2497"/>
    <n v="2497"/>
    <s v="ST"/>
    <n v="5.27"/>
    <n v="13159.19"/>
    <n v="5693.16"/>
    <s v="EUR"/>
    <n v="7466.03"/>
    <n v="0.56999999999999995"/>
  </r>
  <r>
    <s v=".1~61"/>
    <n v="61"/>
    <x v="0"/>
    <x v="0"/>
    <s v="14"/>
    <s v="01/14"/>
    <d v="2021-01-14T00:00:00"/>
    <n v="3"/>
    <n v="14"/>
    <s v="2043"/>
    <s v="2"/>
    <s v="02"/>
    <s v="Lower Saxony"/>
    <x v="0"/>
    <s v="OLDENBURG"/>
    <s v="Germany"/>
    <s v="26129"/>
    <s v="80144"/>
    <s v="12"/>
    <s v="II-F13"/>
    <s v="1kg Strawberry Muesli"/>
    <s v="Finished Product"/>
    <s v="F13"/>
    <s v="1kg"/>
    <s v="Strawberry Muesli"/>
    <n v="3034"/>
    <n v="3034"/>
    <s v="ST"/>
    <n v="5.27"/>
    <n v="15989.18"/>
    <n v="6917.52"/>
    <s v="EUR"/>
    <n v="9071.66"/>
    <n v="0.56999999999999995"/>
  </r>
  <r>
    <s v=".1~62"/>
    <n v="62"/>
    <x v="0"/>
    <x v="0"/>
    <s v="15"/>
    <s v="01/15"/>
    <d v="2021-01-15T00:00:00"/>
    <n v="3"/>
    <n v="15"/>
    <s v="2061"/>
    <s v="1"/>
    <s v="02"/>
    <s v="Hamburg"/>
    <x v="0"/>
    <s v="HAMBURG"/>
    <s v="Germany"/>
    <s v="22765"/>
    <s v="80135"/>
    <s v="12"/>
    <s v="II-F01"/>
    <s v="500g Nut Muesli"/>
    <s v="Finished Product"/>
    <s v="F01"/>
    <s v="500g"/>
    <s v="Nut Muesli"/>
    <n v="3461"/>
    <n v="3461"/>
    <s v="ST"/>
    <n v="3.9"/>
    <n v="13497.9"/>
    <n v="3114.9"/>
    <s v="EUR"/>
    <n v="10383"/>
    <n v="0.77"/>
  </r>
  <r>
    <s v=".1~63"/>
    <n v="63"/>
    <x v="0"/>
    <x v="0"/>
    <s v="15"/>
    <s v="01/15"/>
    <d v="2021-01-15T00:00:00"/>
    <n v="3"/>
    <n v="15"/>
    <s v="2061"/>
    <s v="3"/>
    <s v="02"/>
    <s v="Hamburg"/>
    <x v="0"/>
    <s v="HAMBURG"/>
    <s v="Germany"/>
    <s v="22765"/>
    <s v="80135"/>
    <s v="12"/>
    <s v="II-F01"/>
    <s v="500g Nut Muesli"/>
    <s v="Finished Product"/>
    <s v="F01"/>
    <s v="500g"/>
    <s v="Nut Muesli"/>
    <n v="3449"/>
    <n v="3449"/>
    <s v="ST"/>
    <n v="3.9"/>
    <n v="13451.1"/>
    <n v="3104.1"/>
    <s v="EUR"/>
    <n v="10347"/>
    <n v="0.77"/>
  </r>
  <r>
    <s v=".1~64"/>
    <n v="64"/>
    <x v="0"/>
    <x v="0"/>
    <s v="15"/>
    <s v="01/15"/>
    <d v="2021-01-15T00:00:00"/>
    <n v="3"/>
    <n v="15"/>
    <s v="2061"/>
    <s v="2"/>
    <s v="02"/>
    <s v="Hamburg"/>
    <x v="0"/>
    <s v="HAMBURG"/>
    <s v="Germany"/>
    <s v="22765"/>
    <s v="80135"/>
    <s v="12"/>
    <s v="II-F13"/>
    <s v="1kg Strawberry Muesli"/>
    <s v="Finished Product"/>
    <s v="F13"/>
    <s v="1kg"/>
    <s v="Strawberry Muesli"/>
    <n v="3126"/>
    <n v="3126"/>
    <s v="ST"/>
    <n v="5.27"/>
    <n v="16474.02"/>
    <n v="7127.28"/>
    <s v="EUR"/>
    <n v="9346.74"/>
    <n v="0.56999999999999995"/>
  </r>
  <r>
    <s v=".1~65"/>
    <n v="65"/>
    <x v="0"/>
    <x v="0"/>
    <s v="15"/>
    <s v="01/15"/>
    <d v="2021-01-15T00:00:00"/>
    <n v="3"/>
    <n v="15"/>
    <s v="2061"/>
    <s v="4"/>
    <s v="02"/>
    <s v="Hamburg"/>
    <x v="0"/>
    <s v="HAMBURG"/>
    <s v="Germany"/>
    <s v="22765"/>
    <s v="80135"/>
    <s v="12"/>
    <s v="II-F13"/>
    <s v="1kg Strawberry Muesli"/>
    <s v="Finished Product"/>
    <s v="F13"/>
    <s v="1kg"/>
    <s v="Strawberry Muesli"/>
    <n v="1874"/>
    <n v="1874"/>
    <s v="ST"/>
    <n v="5.27"/>
    <n v="9875.98"/>
    <n v="4272.72"/>
    <s v="EUR"/>
    <n v="5603.26"/>
    <n v="0.56999999999999995"/>
  </r>
  <r>
    <s v=".1~66"/>
    <n v="66"/>
    <x v="0"/>
    <x v="0"/>
    <s v="15"/>
    <s v="01/15"/>
    <d v="2021-01-15T00:00:00"/>
    <n v="3"/>
    <n v="15"/>
    <s v="2071"/>
    <s v="1"/>
    <s v="02"/>
    <s v="Nrth Rhine Westfalia"/>
    <x v="2"/>
    <s v="DUISBURG"/>
    <s v="Germany"/>
    <s v="47059"/>
    <s v="80238"/>
    <s v="14"/>
    <s v="II-F01"/>
    <s v="500g Nut Muesli"/>
    <s v="Finished Product"/>
    <s v="F01"/>
    <s v="500g"/>
    <s v="Nut Muesli"/>
    <n v="3661"/>
    <n v="3661"/>
    <s v="ST"/>
    <n v="4.29"/>
    <n v="15705.69"/>
    <n v="3294.9"/>
    <s v="EUR"/>
    <n v="12410.79"/>
    <n v="0.79"/>
  </r>
  <r>
    <s v=".1~67"/>
    <n v="67"/>
    <x v="0"/>
    <x v="0"/>
    <s v="15"/>
    <s v="01/15"/>
    <d v="2021-01-15T00:00:00"/>
    <n v="3"/>
    <n v="15"/>
    <s v="2067"/>
    <s v="1"/>
    <s v="02"/>
    <s v="Saxony"/>
    <x v="0"/>
    <s v="CHEMNITZ"/>
    <s v="Germany"/>
    <s v="09130"/>
    <s v="80270"/>
    <s v="14"/>
    <s v="II-F01"/>
    <s v="500g Nut Muesli"/>
    <s v="Finished Product"/>
    <s v="F01"/>
    <s v="500g"/>
    <s v="Nut Muesli"/>
    <n v="2957"/>
    <n v="2957"/>
    <s v="ST"/>
    <n v="4.29"/>
    <n v="12685.53"/>
    <n v="2661.3"/>
    <s v="EUR"/>
    <n v="10024.23"/>
    <n v="0.79"/>
  </r>
  <r>
    <s v=".1~68"/>
    <n v="68"/>
    <x v="0"/>
    <x v="0"/>
    <s v="16"/>
    <s v="01/16"/>
    <d v="2021-01-16T00:00:00"/>
    <n v="4"/>
    <n v="16"/>
    <s v="2089"/>
    <s v="4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554"/>
    <n v="3554"/>
    <s v="ST"/>
    <n v="3.9"/>
    <n v="13860.6"/>
    <n v="3198.6"/>
    <s v="EUR"/>
    <n v="10662"/>
    <n v="0.77"/>
  </r>
  <r>
    <s v=".1~69"/>
    <n v="69"/>
    <x v="0"/>
    <x v="0"/>
    <s v="16"/>
    <s v="01/16"/>
    <d v="2021-01-16T00:00:00"/>
    <n v="4"/>
    <n v="16"/>
    <s v="2089"/>
    <s v="2"/>
    <s v="02"/>
    <s v="Nrth Rhine Westfalia"/>
    <x v="2"/>
    <s v="MÜNSTER"/>
    <s v="Germany"/>
    <s v="48159"/>
    <s v="80158"/>
    <s v="12"/>
    <s v="II-F02"/>
    <s v="500g Blueberry Muesli"/>
    <s v="Finished Product"/>
    <s v="F02"/>
    <s v="500g"/>
    <s v="Blueberry Muesli"/>
    <n v="3226"/>
    <n v="3226"/>
    <s v="ST"/>
    <n v="4.2300000000000004"/>
    <n v="13645.98"/>
    <n v="3967.98"/>
    <s v="EUR"/>
    <n v="9678"/>
    <n v="0.71"/>
  </r>
  <r>
    <s v=".1~70"/>
    <n v="70"/>
    <x v="0"/>
    <x v="0"/>
    <s v="16"/>
    <s v="01/16"/>
    <d v="2021-01-16T00:00:00"/>
    <n v="4"/>
    <n v="16"/>
    <s v="2089"/>
    <s v="3"/>
    <s v="02"/>
    <s v="Nrth Rhine Westfalia"/>
    <x v="2"/>
    <s v="MÜNSTER"/>
    <s v="Germany"/>
    <s v="48159"/>
    <s v="80158"/>
    <s v="12"/>
    <s v="II-F02"/>
    <s v="500g Blueberry Muesli"/>
    <s v="Finished Product"/>
    <s v="F02"/>
    <s v="500g"/>
    <s v="Blueberry Muesli"/>
    <n v="3021"/>
    <n v="3021"/>
    <s v="ST"/>
    <n v="4.2300000000000004"/>
    <n v="12778.83"/>
    <n v="3715.83"/>
    <s v="EUR"/>
    <n v="9063"/>
    <n v="0.71"/>
  </r>
  <r>
    <s v=".1~71"/>
    <n v="71"/>
    <x v="0"/>
    <x v="0"/>
    <s v="16"/>
    <s v="01/16"/>
    <d v="2021-01-16T00:00:00"/>
    <n v="4"/>
    <n v="16"/>
    <s v="2089"/>
    <s v="1"/>
    <s v="02"/>
    <s v="Nrth Rhine Westfalia"/>
    <x v="2"/>
    <s v="MÜNSTER"/>
    <s v="Germany"/>
    <s v="48159"/>
    <s v="80158"/>
    <s v="12"/>
    <s v="II-F02"/>
    <s v="500g Blueberry Muesli"/>
    <s v="Finished Product"/>
    <s v="F02"/>
    <s v="500g"/>
    <s v="Blueberry Muesli"/>
    <n v="3136"/>
    <n v="3136"/>
    <s v="ST"/>
    <n v="4.2300000000000004"/>
    <n v="13265.28"/>
    <n v="3857.28"/>
    <s v="EUR"/>
    <n v="9408"/>
    <n v="0.71"/>
  </r>
  <r>
    <s v=".1~72"/>
    <n v="72"/>
    <x v="0"/>
    <x v="0"/>
    <s v="16"/>
    <s v="01/16"/>
    <d v="2021-01-16T00:00:00"/>
    <n v="4"/>
    <n v="16"/>
    <s v="2099"/>
    <s v="1"/>
    <s v="02"/>
    <s v="Saxony"/>
    <x v="0"/>
    <s v="LEIPZIG"/>
    <s v="Germany"/>
    <s v="04109"/>
    <s v="80274"/>
    <s v="14"/>
    <s v="II-F01"/>
    <s v="500g Nut Muesli"/>
    <s v="Finished Product"/>
    <s v="F01"/>
    <s v="500g"/>
    <s v="Nut Muesli"/>
    <n v="3217"/>
    <n v="3217"/>
    <s v="ST"/>
    <n v="4.29"/>
    <n v="13800.93"/>
    <n v="2895.3"/>
    <s v="EUR"/>
    <n v="10905.63"/>
    <n v="0.79"/>
  </r>
  <r>
    <s v=".1~73"/>
    <n v="73"/>
    <x v="0"/>
    <x v="0"/>
    <s v="16"/>
    <s v="01/16"/>
    <d v="2021-01-16T00:00:00"/>
    <n v="4"/>
    <n v="16"/>
    <s v="2094"/>
    <s v="1"/>
    <s v="02"/>
    <s v="Schleswig-Holstein"/>
    <x v="0"/>
    <s v="LÜBECK"/>
    <s v="Germany"/>
    <s v="23556"/>
    <s v="80287"/>
    <s v="14"/>
    <s v="II-F01"/>
    <s v="500g Nut Muesli"/>
    <s v="Finished Product"/>
    <s v="F01"/>
    <s v="500g"/>
    <s v="Nut Muesli"/>
    <n v="3701"/>
    <n v="3701"/>
    <s v="ST"/>
    <n v="4.29"/>
    <n v="15877.29"/>
    <n v="3330.9"/>
    <s v="EUR"/>
    <n v="12546.39"/>
    <n v="0.79"/>
  </r>
  <r>
    <s v=".1~74"/>
    <n v="74"/>
    <x v="0"/>
    <x v="0"/>
    <s v="16"/>
    <s v="01/16"/>
    <d v="2021-01-16T00:00:00"/>
    <n v="4"/>
    <n v="16"/>
    <s v="2103"/>
    <s v="1"/>
    <s v="02"/>
    <s v="Hessen"/>
    <x v="1"/>
    <s v="KASSEL"/>
    <s v="Germany"/>
    <s v="34134"/>
    <s v="80212"/>
    <s v="14"/>
    <s v="II-F02"/>
    <s v="500g Blueberry Muesli"/>
    <s v="Finished Product"/>
    <s v="F02"/>
    <s v="500g"/>
    <s v="Blueberry Muesli"/>
    <n v="1867"/>
    <n v="1867"/>
    <s v="ST"/>
    <n v="4.6500000000000004"/>
    <n v="8681.5499999999993"/>
    <n v="2296.41"/>
    <s v="EUR"/>
    <n v="6385.14"/>
    <n v="0.74"/>
  </r>
  <r>
    <s v=".1~75"/>
    <n v="75"/>
    <x v="0"/>
    <x v="0"/>
    <s v="17"/>
    <s v="01/17"/>
    <d v="2021-01-17T00:00:00"/>
    <n v="4"/>
    <n v="17"/>
    <s v="2118"/>
    <s v="1"/>
    <s v="02"/>
    <s v="Bavaria"/>
    <x v="1"/>
    <s v="MÜNCHEN"/>
    <s v="Germany"/>
    <s v="80804"/>
    <s v="80122"/>
    <s v="12"/>
    <s v="II-F02"/>
    <s v="500g Blueberry Muesli"/>
    <s v="Finished Product"/>
    <s v="F02"/>
    <s v="500g"/>
    <s v="Blueberry Muesli"/>
    <n v="3589"/>
    <n v="3589"/>
    <s v="ST"/>
    <n v="4.2300000000000004"/>
    <n v="15181.47"/>
    <n v="4414.47"/>
    <s v="EUR"/>
    <n v="10767"/>
    <n v="0.71"/>
  </r>
  <r>
    <s v=".1~76"/>
    <n v="76"/>
    <x v="0"/>
    <x v="0"/>
    <s v="17"/>
    <s v="01/17"/>
    <d v="2021-01-17T00:00:00"/>
    <n v="4"/>
    <n v="17"/>
    <s v="2118"/>
    <s v="2"/>
    <s v="02"/>
    <s v="Bavaria"/>
    <x v="1"/>
    <s v="MÜNCHEN"/>
    <s v="Germany"/>
    <s v="80804"/>
    <s v="80122"/>
    <s v="12"/>
    <s v="II-F03"/>
    <s v="500g Strawberry Muesli"/>
    <s v="Finished Product"/>
    <s v="F03"/>
    <s v="500g"/>
    <s v="Strawberry Muesli"/>
    <n v="3122"/>
    <n v="3122"/>
    <s v="ST"/>
    <n v="4.2300000000000004"/>
    <n v="13206.06"/>
    <n v="3840.06"/>
    <s v="EUR"/>
    <n v="9366"/>
    <n v="0.71"/>
  </r>
  <r>
    <s v=".1~77"/>
    <n v="77"/>
    <x v="0"/>
    <x v="0"/>
    <s v="17"/>
    <s v="01/17"/>
    <d v="2021-01-17T00:00:00"/>
    <n v="4"/>
    <n v="17"/>
    <s v="2126"/>
    <s v="1"/>
    <s v="02"/>
    <s v="Nrth Rhine Westfalia"/>
    <x v="2"/>
    <s v="WUPPERTAL"/>
    <s v="Germany"/>
    <s v="42389"/>
    <s v="80261"/>
    <s v="14"/>
    <s v="II-F02"/>
    <s v="500g Blueberry Muesli"/>
    <s v="Finished Product"/>
    <s v="F02"/>
    <s v="500g"/>
    <s v="Blueberry Muesli"/>
    <n v="3116"/>
    <n v="3116"/>
    <s v="ST"/>
    <n v="4.6500000000000004"/>
    <n v="14489.4"/>
    <n v="3832.68"/>
    <s v="EUR"/>
    <n v="10656.72"/>
    <n v="0.74"/>
  </r>
  <r>
    <s v=".1~78"/>
    <n v="78"/>
    <x v="0"/>
    <x v="0"/>
    <s v="17"/>
    <s v="01/17"/>
    <d v="2021-01-17T00:00:00"/>
    <n v="4"/>
    <n v="17"/>
    <s v="2129"/>
    <s v="1"/>
    <s v="02"/>
    <s v="Nrth Rhine Westfalia"/>
    <x v="2"/>
    <s v="ST. AUGUSTIN"/>
    <s v="Germany"/>
    <s v="53757"/>
    <s v="80258"/>
    <s v="14"/>
    <s v="II-F02"/>
    <s v="500g Blueberry Muesli"/>
    <s v="Finished Product"/>
    <s v="F02"/>
    <s v="500g"/>
    <s v="Blueberry Muesli"/>
    <n v="2989"/>
    <n v="2989"/>
    <s v="ST"/>
    <n v="4.6500000000000004"/>
    <n v="13898.85"/>
    <n v="3676.47"/>
    <s v="EUR"/>
    <n v="10222.379999999999"/>
    <n v="0.74"/>
  </r>
  <r>
    <s v=".1~79"/>
    <n v="79"/>
    <x v="0"/>
    <x v="0"/>
    <s v="17"/>
    <s v="01/17"/>
    <d v="2021-01-17T00:00:00"/>
    <n v="4"/>
    <n v="17"/>
    <s v="2131"/>
    <s v="1"/>
    <s v="02"/>
    <s v="Hessen"/>
    <x v="1"/>
    <s v="FRANKFURT/MAIN"/>
    <s v="Germany"/>
    <s v="60313"/>
    <s v="80207"/>
    <s v="14"/>
    <s v="II-F02"/>
    <s v="500g Blueberry Muesli"/>
    <s v="Finished Product"/>
    <s v="F02"/>
    <s v="500g"/>
    <s v="Blueberry Muesli"/>
    <n v="2985"/>
    <n v="2985"/>
    <s v="ST"/>
    <n v="4.6500000000000004"/>
    <n v="13880.25"/>
    <n v="3671.55"/>
    <s v="EUR"/>
    <n v="10208.700000000001"/>
    <n v="0.74"/>
  </r>
  <r>
    <s v=".1~80"/>
    <n v="80"/>
    <x v="0"/>
    <x v="0"/>
    <s v="17"/>
    <s v="01/17"/>
    <d v="2021-01-17T00:00:00"/>
    <n v="4"/>
    <n v="17"/>
    <s v="2122"/>
    <s v="1"/>
    <s v="02"/>
    <s v="Lower Saxony"/>
    <x v="0"/>
    <s v="OLDENBURG"/>
    <s v="Germany"/>
    <s v="26133"/>
    <s v="80226"/>
    <s v="14"/>
    <s v="II-F03"/>
    <s v="500g Strawberry Muesli"/>
    <s v="Finished Product"/>
    <s v="F03"/>
    <s v="500g"/>
    <s v="Strawberry Muesli"/>
    <n v="2967"/>
    <n v="2967"/>
    <s v="ST"/>
    <n v="4.6500000000000004"/>
    <n v="13796.55"/>
    <n v="3649.41"/>
    <s v="EUR"/>
    <n v="10147.14"/>
    <n v="0.74"/>
  </r>
  <r>
    <s v=".1~81"/>
    <n v="81"/>
    <x v="0"/>
    <x v="0"/>
    <s v="17"/>
    <s v="01/17"/>
    <d v="2021-01-17T00:00:00"/>
    <n v="4"/>
    <n v="17"/>
    <s v="2132"/>
    <s v="1"/>
    <s v="02"/>
    <s v="Bavaria"/>
    <x v="1"/>
    <s v="MÜNCHEN"/>
    <s v="Germany"/>
    <s v="80339"/>
    <s v="80194"/>
    <s v="14"/>
    <s v="II-F03"/>
    <s v="500g Strawberry Muesli"/>
    <s v="Finished Product"/>
    <s v="F03"/>
    <s v="500g"/>
    <s v="Strawberry Muesli"/>
    <n v="1286"/>
    <n v="1286"/>
    <s v="ST"/>
    <n v="4.6500000000000004"/>
    <n v="5979.9"/>
    <n v="1581.78"/>
    <s v="EUR"/>
    <n v="4398.12"/>
    <n v="0.74"/>
  </r>
  <r>
    <s v=".1~82"/>
    <n v="82"/>
    <x v="0"/>
    <x v="0"/>
    <s v="18"/>
    <s v="01/18"/>
    <d v="2021-01-18T00:00:00"/>
    <n v="4"/>
    <n v="18"/>
    <s v="2137"/>
    <s v="3"/>
    <s v="02"/>
    <s v="Schleswig-Holstein"/>
    <x v="0"/>
    <s v="KIEL"/>
    <s v="Germany"/>
    <s v="24113"/>
    <s v="80168"/>
    <s v="12"/>
    <s v="II-F03"/>
    <s v="500g Strawberry Muesli"/>
    <s v="Finished Product"/>
    <s v="F03"/>
    <s v="500g"/>
    <s v="Strawberry Muesli"/>
    <n v="3932"/>
    <n v="3932"/>
    <s v="ST"/>
    <n v="4.2300000000000004"/>
    <n v="16632.36"/>
    <n v="4836.3599999999997"/>
    <s v="EUR"/>
    <n v="11796"/>
    <n v="0.71"/>
  </r>
  <r>
    <s v=".1~83"/>
    <n v="83"/>
    <x v="0"/>
    <x v="0"/>
    <s v="18"/>
    <s v="01/18"/>
    <d v="2021-01-18T00:00:00"/>
    <n v="4"/>
    <n v="18"/>
    <s v="2137"/>
    <s v="1"/>
    <s v="02"/>
    <s v="Schleswig-Holstein"/>
    <x v="0"/>
    <s v="KIEL"/>
    <s v="Germany"/>
    <s v="24113"/>
    <s v="80168"/>
    <s v="12"/>
    <s v="II-F03"/>
    <s v="500g Strawberry Muesli"/>
    <s v="Finished Product"/>
    <s v="F03"/>
    <s v="500g"/>
    <s v="Strawberry Muesli"/>
    <n v="3130"/>
    <n v="3130"/>
    <s v="ST"/>
    <n v="4.2300000000000004"/>
    <n v="13239.9"/>
    <n v="3849.9"/>
    <s v="EUR"/>
    <n v="9390"/>
    <n v="0.71"/>
  </r>
  <r>
    <s v=".1~84"/>
    <n v="84"/>
    <x v="0"/>
    <x v="0"/>
    <s v="18"/>
    <s v="01/18"/>
    <d v="2021-01-18T00:00:00"/>
    <n v="4"/>
    <n v="18"/>
    <s v="2143"/>
    <s v="1"/>
    <s v="02"/>
    <s v="Nrth Rhine Westfalia"/>
    <x v="2"/>
    <s v="KREFELD"/>
    <s v="Germany"/>
    <s v="47798"/>
    <s v="80157"/>
    <s v="12"/>
    <s v="II-F03"/>
    <s v="500g Strawberry Muesli"/>
    <s v="Finished Product"/>
    <s v="F03"/>
    <s v="500g"/>
    <s v="Strawberry Muesli"/>
    <n v="3301"/>
    <n v="3301"/>
    <s v="ST"/>
    <n v="4.2300000000000004"/>
    <n v="13963.23"/>
    <n v="4060.23"/>
    <s v="EUR"/>
    <n v="9903"/>
    <n v="0.71"/>
  </r>
  <r>
    <s v=".1~85"/>
    <n v="85"/>
    <x v="0"/>
    <x v="0"/>
    <s v="18"/>
    <s v="01/18"/>
    <d v="2021-01-18T00:00:00"/>
    <n v="4"/>
    <n v="18"/>
    <s v="2143"/>
    <s v="2"/>
    <s v="02"/>
    <s v="Nrth Rhine Westfalia"/>
    <x v="2"/>
    <s v="KREFELD"/>
    <s v="Germany"/>
    <s v="47798"/>
    <s v="80157"/>
    <s v="12"/>
    <s v="II-F03"/>
    <s v="500g Strawberry Muesli"/>
    <s v="Finished Product"/>
    <s v="F03"/>
    <s v="500g"/>
    <s v="Strawberry Muesli"/>
    <n v="3671"/>
    <n v="3671"/>
    <s v="ST"/>
    <n v="4.2300000000000004"/>
    <n v="15528.33"/>
    <n v="4515.33"/>
    <s v="EUR"/>
    <n v="11013"/>
    <n v="0.71"/>
  </r>
  <r>
    <s v=".1~86"/>
    <n v="86"/>
    <x v="0"/>
    <x v="0"/>
    <s v="18"/>
    <s v="01/18"/>
    <d v="2021-01-18T00:00:00"/>
    <n v="4"/>
    <n v="18"/>
    <s v="2137"/>
    <s v="4"/>
    <s v="02"/>
    <s v="Schleswig-Holstein"/>
    <x v="0"/>
    <s v="KIEL"/>
    <s v="Germany"/>
    <s v="24113"/>
    <s v="80168"/>
    <s v="12"/>
    <s v="II-F11"/>
    <s v="1kg Nut Muesli"/>
    <s v="Finished Product"/>
    <s v="F11"/>
    <s v="1kg"/>
    <s v="Nut Muesli"/>
    <n v="388"/>
    <n v="388"/>
    <s v="ST"/>
    <n v="4.6100000000000003"/>
    <n v="1788.68"/>
    <n v="628.55999999999995"/>
    <s v="EUR"/>
    <n v="1160.1199999999999"/>
    <n v="0.65"/>
  </r>
  <r>
    <s v=".1~87"/>
    <n v="87"/>
    <x v="0"/>
    <x v="0"/>
    <s v="18"/>
    <s v="01/18"/>
    <d v="2021-01-18T00:00:00"/>
    <n v="4"/>
    <n v="18"/>
    <s v="2137"/>
    <s v="2"/>
    <s v="02"/>
    <s v="Schleswig-Holstein"/>
    <x v="0"/>
    <s v="KIEL"/>
    <s v="Germany"/>
    <s v="24113"/>
    <s v="80168"/>
    <s v="12"/>
    <s v="II-F11"/>
    <s v="1kg Nut Muesli"/>
    <s v="Finished Product"/>
    <s v="F11"/>
    <s v="1kg"/>
    <s v="Nut Muesli"/>
    <n v="3112"/>
    <n v="3112"/>
    <s v="ST"/>
    <n v="4.6100000000000003"/>
    <n v="14346.32"/>
    <n v="5041.4399999999996"/>
    <s v="EUR"/>
    <n v="9304.8799999999992"/>
    <n v="0.65"/>
  </r>
  <r>
    <s v=".1~88"/>
    <n v="88"/>
    <x v="0"/>
    <x v="0"/>
    <s v="18"/>
    <s v="01/18"/>
    <d v="2021-01-18T00:00:00"/>
    <n v="4"/>
    <n v="18"/>
    <s v="2148"/>
    <s v="1"/>
    <s v="02"/>
    <s v="Saxony-Anhalt"/>
    <x v="0"/>
    <s v="BITTERFELD"/>
    <s v="Germany"/>
    <s v="06749"/>
    <s v="80277"/>
    <s v="14"/>
    <s v="II-F03"/>
    <s v="500g Strawberry Muesli"/>
    <s v="Finished Product"/>
    <s v="F03"/>
    <s v="500g"/>
    <s v="Strawberry Muesli"/>
    <n v="2591"/>
    <n v="2591"/>
    <s v="ST"/>
    <n v="4.6500000000000004"/>
    <n v="12048.15"/>
    <n v="3186.93"/>
    <s v="EUR"/>
    <n v="8861.2199999999993"/>
    <n v="0.74"/>
  </r>
  <r>
    <s v=".1~89"/>
    <n v="89"/>
    <x v="0"/>
    <x v="0"/>
    <s v="19"/>
    <s v="01/19"/>
    <d v="2021-01-19T00:00:00"/>
    <n v="4"/>
    <n v="19"/>
    <s v="2168"/>
    <s v="1"/>
    <s v="02"/>
    <s v="Lower Saxony"/>
    <x v="0"/>
    <s v="GÖTTINGEN"/>
    <s v="Germany"/>
    <s v="37075"/>
    <s v="80108"/>
    <s v="10"/>
    <s v="II-F11"/>
    <s v="1kg Nut Muesli"/>
    <s v="Finished Product"/>
    <s v="F11"/>
    <s v="1kg"/>
    <s v="Nut Muesli"/>
    <n v="2274"/>
    <n v="2274"/>
    <s v="ST"/>
    <n v="4.6100000000000003"/>
    <n v="10483.14"/>
    <n v="3683.88"/>
    <s v="EUR"/>
    <n v="6799.26"/>
    <n v="0.65"/>
  </r>
  <r>
    <s v=".1~90"/>
    <n v="90"/>
    <x v="0"/>
    <x v="0"/>
    <s v="19"/>
    <s v="01/19"/>
    <d v="2021-01-19T00:00:00"/>
    <n v="4"/>
    <n v="19"/>
    <s v="2164"/>
    <s v="3"/>
    <s v="02"/>
    <s v="Nrth Rhine Westfalia"/>
    <x v="2"/>
    <s v="BAD OEYNHAUSEN"/>
    <s v="Germany"/>
    <s v="32547"/>
    <s v="80148"/>
    <s v="12"/>
    <s v="II-F02"/>
    <s v="500g Blueberry Muesli"/>
    <s v="Finished Product"/>
    <s v="F02"/>
    <s v="500g"/>
    <s v="Blueberry Muesli"/>
    <n v="71"/>
    <n v="71"/>
    <s v="ST"/>
    <n v="4.2300000000000004"/>
    <n v="300.33"/>
    <n v="87.33"/>
    <s v="EUR"/>
    <n v="213"/>
    <n v="0.71"/>
  </r>
  <r>
    <s v=".1~91"/>
    <n v="91"/>
    <x v="0"/>
    <x v="0"/>
    <s v="19"/>
    <s v="01/19"/>
    <d v="2021-01-19T00:00:00"/>
    <n v="4"/>
    <n v="19"/>
    <s v="2164"/>
    <s v="1"/>
    <s v="02"/>
    <s v="Nrth Rhine Westfalia"/>
    <x v="2"/>
    <s v="BAD OEYNHAUSEN"/>
    <s v="Germany"/>
    <s v="32547"/>
    <s v="80148"/>
    <s v="12"/>
    <s v="II-F11"/>
    <s v="1kg Nut Muesli"/>
    <s v="Finished Product"/>
    <s v="F11"/>
    <s v="1kg"/>
    <s v="Nut Muesli"/>
    <n v="2860"/>
    <n v="2860"/>
    <s v="ST"/>
    <n v="4.6100000000000003"/>
    <n v="13184.6"/>
    <n v="4633.2"/>
    <s v="EUR"/>
    <n v="8551.4"/>
    <n v="0.65"/>
  </r>
  <r>
    <s v=".1~92"/>
    <n v="92"/>
    <x v="0"/>
    <x v="0"/>
    <s v="19"/>
    <s v="01/19"/>
    <d v="2021-01-19T00:00:00"/>
    <n v="4"/>
    <n v="19"/>
    <s v="2160"/>
    <s v="1"/>
    <s v="02"/>
    <s v="Schleswig-Holstein"/>
    <x v="0"/>
    <s v="KIEL"/>
    <s v="Germany"/>
    <s v="24113"/>
    <s v="80168"/>
    <s v="12"/>
    <s v="II-F11"/>
    <s v="1kg Nut Muesli"/>
    <s v="Finished Product"/>
    <s v="F11"/>
    <s v="1kg"/>
    <s v="Nut Muesli"/>
    <n v="3459"/>
    <n v="3459"/>
    <s v="ST"/>
    <n v="4.6100000000000003"/>
    <n v="15945.99"/>
    <n v="5603.58"/>
    <s v="EUR"/>
    <n v="10342.41"/>
    <n v="0.65"/>
  </r>
  <r>
    <s v=".1~93"/>
    <n v="93"/>
    <x v="0"/>
    <x v="0"/>
    <s v="19"/>
    <s v="01/19"/>
    <d v="2021-01-19T00:00:00"/>
    <n v="4"/>
    <n v="19"/>
    <s v="2160"/>
    <s v="2"/>
    <s v="02"/>
    <s v="Schleswig-Holstein"/>
    <x v="0"/>
    <s v="KIEL"/>
    <s v="Germany"/>
    <s v="24113"/>
    <s v="80168"/>
    <s v="12"/>
    <s v="II-F11"/>
    <s v="1kg Nut Muesli"/>
    <s v="Finished Product"/>
    <s v="F11"/>
    <s v="1kg"/>
    <s v="Nut Muesli"/>
    <n v="2790"/>
    <n v="2790"/>
    <s v="ST"/>
    <n v="4.6100000000000003"/>
    <n v="12861.9"/>
    <n v="4519.8"/>
    <s v="EUR"/>
    <n v="8342.1"/>
    <n v="0.65"/>
  </r>
  <r>
    <s v=".1~94"/>
    <n v="94"/>
    <x v="0"/>
    <x v="0"/>
    <s v="19"/>
    <s v="01/19"/>
    <d v="2021-01-19T00:00:00"/>
    <n v="4"/>
    <n v="19"/>
    <s v="2160"/>
    <s v="3"/>
    <s v="02"/>
    <s v="Schleswig-Holstein"/>
    <x v="0"/>
    <s v="KIEL"/>
    <s v="Germany"/>
    <s v="24113"/>
    <s v="80168"/>
    <s v="12"/>
    <s v="II-F11"/>
    <s v="1kg Nut Muesli"/>
    <s v="Finished Product"/>
    <s v="F11"/>
    <s v="1kg"/>
    <s v="Nut Muesli"/>
    <n v="3332"/>
    <n v="3332"/>
    <s v="ST"/>
    <n v="4.6100000000000003"/>
    <n v="15360.52"/>
    <n v="5397.84"/>
    <s v="EUR"/>
    <n v="9962.68"/>
    <n v="0.65"/>
  </r>
  <r>
    <s v=".1~95"/>
    <n v="95"/>
    <x v="0"/>
    <x v="0"/>
    <s v="19"/>
    <s v="01/19"/>
    <d v="2021-01-19T00:00:00"/>
    <n v="4"/>
    <n v="19"/>
    <s v="2160"/>
    <s v="4"/>
    <s v="02"/>
    <s v="Schleswig-Holstein"/>
    <x v="0"/>
    <s v="KIEL"/>
    <s v="Germany"/>
    <s v="24113"/>
    <s v="80168"/>
    <s v="12"/>
    <s v="II-F11"/>
    <s v="1kg Nut Muesli"/>
    <s v="Finished Product"/>
    <s v="F11"/>
    <s v="1kg"/>
    <s v="Nut Muesli"/>
    <n v="2870"/>
    <n v="2870"/>
    <s v="ST"/>
    <n v="4.6100000000000003"/>
    <n v="13230.7"/>
    <n v="4649.3999999999996"/>
    <s v="EUR"/>
    <n v="8581.2999999999993"/>
    <n v="0.65"/>
  </r>
  <r>
    <s v=".1~96"/>
    <n v="96"/>
    <x v="0"/>
    <x v="0"/>
    <s v="19"/>
    <s v="01/19"/>
    <d v="2021-01-19T00:00:00"/>
    <n v="4"/>
    <n v="19"/>
    <s v="2164"/>
    <s v="2"/>
    <s v="02"/>
    <s v="Nrth Rhine Westfalia"/>
    <x v="2"/>
    <s v="BAD OEYNHAUSEN"/>
    <s v="Germany"/>
    <s v="32547"/>
    <s v="80148"/>
    <s v="12"/>
    <s v="II-F11"/>
    <s v="1kg Nut Muesli"/>
    <s v="Finished Product"/>
    <s v="F11"/>
    <s v="1kg"/>
    <s v="Nut Muesli"/>
    <n v="2915"/>
    <n v="2915"/>
    <s v="ST"/>
    <n v="4.6100000000000003"/>
    <n v="13438.15"/>
    <n v="4722.3"/>
    <s v="EUR"/>
    <n v="8715.85"/>
    <n v="0.65"/>
  </r>
  <r>
    <s v=".1~97"/>
    <n v="97"/>
    <x v="0"/>
    <x v="0"/>
    <s v="20"/>
    <s v="01/20"/>
    <d v="2021-01-20T00:00:00"/>
    <n v="4"/>
    <n v="20"/>
    <s v="2182"/>
    <s v="1"/>
    <s v="02"/>
    <s v="Bavaria"/>
    <x v="1"/>
    <s v="WÜRZBURG"/>
    <s v="Germany"/>
    <s v="97070"/>
    <s v="80128"/>
    <s v="12"/>
    <s v="II-F04"/>
    <s v="500g Raisin Muesli"/>
    <s v="Finished Product"/>
    <s v="F04"/>
    <s v="500g"/>
    <s v="Raisin Muesli"/>
    <n v="4223"/>
    <n v="4223"/>
    <s v="ST"/>
    <n v="3.79"/>
    <n v="16005.17"/>
    <n v="3336.17"/>
    <s v="EUR"/>
    <n v="12669"/>
    <n v="0.79"/>
  </r>
  <r>
    <s v=".1~98"/>
    <n v="98"/>
    <x v="0"/>
    <x v="0"/>
    <s v="20"/>
    <s v="01/20"/>
    <d v="2021-01-20T00:00:00"/>
    <n v="4"/>
    <n v="20"/>
    <s v="2186"/>
    <s v="1"/>
    <s v="02"/>
    <s v="Lower Saxony"/>
    <x v="0"/>
    <s v="UELZEN"/>
    <s v="Germany"/>
    <s v="29525"/>
    <s v="80146"/>
    <s v="12"/>
    <s v="II-F04"/>
    <s v="500g Raisin Muesli"/>
    <s v="Finished Product"/>
    <s v="F04"/>
    <s v="500g"/>
    <s v="Raisin Muesli"/>
    <n v="3356"/>
    <n v="3356"/>
    <s v="ST"/>
    <n v="3.79"/>
    <n v="12719.24"/>
    <n v="2651.24"/>
    <s v="EUR"/>
    <n v="10068"/>
    <n v="0.79"/>
  </r>
  <r>
    <s v=".1~99"/>
    <n v="99"/>
    <x v="0"/>
    <x v="0"/>
    <s v="20"/>
    <s v="01/20"/>
    <d v="2021-01-20T00:00:00"/>
    <n v="4"/>
    <n v="20"/>
    <s v="2190"/>
    <s v="1"/>
    <s v="02"/>
    <s v="Nrth Rhine Westfalia"/>
    <x v="2"/>
    <s v="DORTMUND"/>
    <s v="Germany"/>
    <s v="44137"/>
    <s v="80236"/>
    <s v="14"/>
    <s v="II-F04"/>
    <s v="500g Raisin Muesli"/>
    <s v="Finished Product"/>
    <s v="F04"/>
    <s v="500g"/>
    <s v="Raisin Muesli"/>
    <n v="3794"/>
    <n v="3794"/>
    <s v="ST"/>
    <n v="4.17"/>
    <n v="15820.98"/>
    <n v="2997.26"/>
    <s v="EUR"/>
    <n v="12823.72"/>
    <n v="0.81"/>
  </r>
  <r>
    <s v=".1~100"/>
    <n v="100"/>
    <x v="0"/>
    <x v="0"/>
    <s v="20"/>
    <s v="01/20"/>
    <d v="2021-01-20T00:00:00"/>
    <n v="4"/>
    <n v="20"/>
    <s v="2192"/>
    <s v="1"/>
    <s v="02"/>
    <s v="Baden-Wurttemberg"/>
    <x v="1"/>
    <s v="BALINGEN"/>
    <s v="Germany"/>
    <s v="72336"/>
    <s v="80172"/>
    <s v="14"/>
    <s v="II-F04"/>
    <s v="500g Raisin Muesli"/>
    <s v="Finished Product"/>
    <s v="F04"/>
    <s v="500g"/>
    <s v="Raisin Muesli"/>
    <n v="3768"/>
    <n v="3768"/>
    <s v="ST"/>
    <n v="4.17"/>
    <n v="15712.56"/>
    <n v="2976.72"/>
    <s v="EUR"/>
    <n v="12735.84"/>
    <n v="0.81"/>
  </r>
  <r>
    <s v=".1~101"/>
    <n v="101"/>
    <x v="0"/>
    <x v="1"/>
    <s v="01"/>
    <s v="02/01"/>
    <d v="2021-01-21T00:00:00"/>
    <n v="5"/>
    <n v="21"/>
    <s v="2217"/>
    <s v="1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148"/>
    <n v="148"/>
    <s v="ST"/>
    <n v="5.26"/>
    <n v="778.48"/>
    <n v="335.96"/>
    <s v="EUR"/>
    <n v="442.52"/>
    <n v="0.56999999999999995"/>
  </r>
  <r>
    <s v=".1~102"/>
    <n v="102"/>
    <x v="0"/>
    <x v="1"/>
    <s v="01"/>
    <s v="02/01"/>
    <d v="2021-01-21T00:00:00"/>
    <n v="5"/>
    <n v="21"/>
    <s v="2205"/>
    <s v="1"/>
    <s v="02"/>
    <s v="Bavaria"/>
    <x v="1"/>
    <s v="INGOLSTADT"/>
    <s v="Germany"/>
    <s v="85046"/>
    <s v="80121"/>
    <s v="12"/>
    <s v="II-F04"/>
    <s v="500g Raisin Muesli"/>
    <s v="Finished Product"/>
    <s v="F04"/>
    <s v="500g"/>
    <s v="Raisin Muesli"/>
    <n v="3567"/>
    <n v="3567"/>
    <s v="ST"/>
    <n v="3.79"/>
    <n v="13518.93"/>
    <n v="2817.93"/>
    <s v="EUR"/>
    <n v="10701"/>
    <n v="0.79"/>
  </r>
  <r>
    <s v=".1~103"/>
    <n v="103"/>
    <x v="0"/>
    <x v="1"/>
    <s v="01"/>
    <s v="02/01"/>
    <d v="2021-01-21T00:00:00"/>
    <n v="5"/>
    <n v="21"/>
    <s v="2205"/>
    <s v="2"/>
    <s v="02"/>
    <s v="Bavaria"/>
    <x v="1"/>
    <s v="INGOLSTADT"/>
    <s v="Germany"/>
    <s v="85046"/>
    <s v="80121"/>
    <s v="12"/>
    <s v="II-F04"/>
    <s v="500g Raisin Muesli"/>
    <s v="Finished Product"/>
    <s v="F04"/>
    <s v="500g"/>
    <s v="Raisin Muesli"/>
    <n v="3518"/>
    <n v="3518"/>
    <s v="ST"/>
    <n v="3.79"/>
    <n v="13333.22"/>
    <n v="2779.22"/>
    <s v="EUR"/>
    <n v="10554"/>
    <n v="0.79"/>
  </r>
  <r>
    <s v=".1~104"/>
    <n v="104"/>
    <x v="0"/>
    <x v="1"/>
    <s v="01"/>
    <s v="02/01"/>
    <d v="2021-01-21T00:00:00"/>
    <n v="5"/>
    <n v="21"/>
    <s v="2209"/>
    <s v="1"/>
    <s v="02"/>
    <s v="Saxony"/>
    <x v="0"/>
    <s v="CHEMNITZ"/>
    <s v="Germany"/>
    <s v="09111"/>
    <s v="80165"/>
    <s v="12"/>
    <s v="II-F04"/>
    <s v="500g Raisin Muesli"/>
    <s v="Finished Product"/>
    <s v="F04"/>
    <s v="500g"/>
    <s v="Raisin Muesli"/>
    <n v="1774"/>
    <n v="1774"/>
    <s v="ST"/>
    <n v="3.79"/>
    <n v="6723.46"/>
    <n v="1401.46"/>
    <s v="EUR"/>
    <n v="5322"/>
    <n v="0.79"/>
  </r>
  <r>
    <s v=".1~105"/>
    <n v="105"/>
    <x v="0"/>
    <x v="1"/>
    <s v="01"/>
    <s v="02/01"/>
    <d v="2021-01-21T00:00:00"/>
    <n v="5"/>
    <n v="21"/>
    <s v="2214"/>
    <s v="1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419"/>
    <n v="2419"/>
    <s v="ST"/>
    <n v="5.26"/>
    <n v="12723.94"/>
    <n v="5491.13"/>
    <s v="EUR"/>
    <n v="7232.81"/>
    <n v="0.56999999999999995"/>
  </r>
  <r>
    <s v=".1~106"/>
    <n v="106"/>
    <x v="0"/>
    <x v="1"/>
    <s v="01"/>
    <s v="02/01"/>
    <d v="2021-01-21T00:00:00"/>
    <n v="5"/>
    <n v="21"/>
    <s v="2214"/>
    <s v="2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937"/>
    <n v="2937"/>
    <s v="ST"/>
    <n v="5.26"/>
    <n v="15448.62"/>
    <n v="6666.99"/>
    <s v="EUR"/>
    <n v="8781.6299999999992"/>
    <n v="0.56999999999999995"/>
  </r>
  <r>
    <s v=".1~107"/>
    <n v="107"/>
    <x v="0"/>
    <x v="1"/>
    <s v="01"/>
    <s v="02/01"/>
    <d v="2021-01-21T00:00:00"/>
    <n v="5"/>
    <n v="21"/>
    <s v="2209"/>
    <s v="2"/>
    <s v="02"/>
    <s v="Saxony"/>
    <x v="0"/>
    <s v="CHEMNITZ"/>
    <s v="Germany"/>
    <s v="09111"/>
    <s v="80165"/>
    <s v="12"/>
    <s v="II-F12"/>
    <s v="1kg Blueberry Muesli"/>
    <s v="Finished Product"/>
    <s v="F12"/>
    <s v="1kg"/>
    <s v="Blueberry Muesli"/>
    <n v="2902"/>
    <n v="2902"/>
    <s v="ST"/>
    <n v="5.26"/>
    <n v="15264.52"/>
    <n v="6587.54"/>
    <s v="EUR"/>
    <n v="8676.98"/>
    <n v="0.56999999999999995"/>
  </r>
  <r>
    <s v=".1~108"/>
    <n v="108"/>
    <x v="0"/>
    <x v="1"/>
    <s v="01"/>
    <s v="02/01"/>
    <d v="2021-01-21T00:00:00"/>
    <n v="5"/>
    <n v="21"/>
    <s v="2209"/>
    <s v="3"/>
    <s v="02"/>
    <s v="Saxony"/>
    <x v="0"/>
    <s v="CHEMNITZ"/>
    <s v="Germany"/>
    <s v="09111"/>
    <s v="80165"/>
    <s v="12"/>
    <s v="II-F12"/>
    <s v="1kg Blueberry Muesli"/>
    <s v="Finished Product"/>
    <s v="F12"/>
    <s v="1kg"/>
    <s v="Blueberry Muesli"/>
    <n v="2408"/>
    <n v="2408"/>
    <s v="ST"/>
    <n v="5.26"/>
    <n v="12666.08"/>
    <n v="5466.16"/>
    <s v="EUR"/>
    <n v="7199.92"/>
    <n v="0.56999999999999995"/>
  </r>
  <r>
    <s v=".1~109"/>
    <n v="109"/>
    <x v="0"/>
    <x v="1"/>
    <s v="01"/>
    <s v="02/01"/>
    <d v="2021-01-21T00:00:00"/>
    <n v="5"/>
    <n v="21"/>
    <s v="2209"/>
    <s v="4"/>
    <s v="02"/>
    <s v="Saxony"/>
    <x v="0"/>
    <s v="CHEMNITZ"/>
    <s v="Germany"/>
    <s v="09111"/>
    <s v="80165"/>
    <s v="12"/>
    <s v="II-F12"/>
    <s v="1kg Blueberry Muesli"/>
    <s v="Finished Product"/>
    <s v="F12"/>
    <s v="1kg"/>
    <s v="Blueberry Muesli"/>
    <n v="3070"/>
    <n v="3070"/>
    <s v="ST"/>
    <n v="5.26"/>
    <n v="16148.2"/>
    <n v="6968.9"/>
    <s v="EUR"/>
    <n v="9179.2999999999993"/>
    <n v="0.56999999999999995"/>
  </r>
  <r>
    <s v=".1~110"/>
    <n v="110"/>
    <x v="0"/>
    <x v="1"/>
    <s v="01"/>
    <s v="02/01"/>
    <d v="2021-01-21T00:00:00"/>
    <n v="5"/>
    <n v="21"/>
    <s v="2205"/>
    <s v="3"/>
    <s v="02"/>
    <s v="Bavaria"/>
    <x v="1"/>
    <s v="INGOLSTADT"/>
    <s v="Germany"/>
    <s v="85046"/>
    <s v="80121"/>
    <s v="12"/>
    <s v="II-F12"/>
    <s v="1kg Blueberry Muesli"/>
    <s v="Finished Product"/>
    <s v="F12"/>
    <s v="1kg"/>
    <s v="Blueberry Muesli"/>
    <n v="2924"/>
    <n v="2924"/>
    <s v="ST"/>
    <n v="5.26"/>
    <n v="15380.24"/>
    <n v="6637.48"/>
    <s v="EUR"/>
    <n v="8742.76"/>
    <n v="0.56999999999999995"/>
  </r>
  <r>
    <s v=".1~111"/>
    <n v="111"/>
    <x v="0"/>
    <x v="1"/>
    <s v="01"/>
    <s v="02/01"/>
    <d v="2021-01-21T00:00:00"/>
    <n v="5"/>
    <n v="21"/>
    <s v="2205"/>
    <s v="4"/>
    <s v="02"/>
    <s v="Bavaria"/>
    <x v="1"/>
    <s v="INGOLSTADT"/>
    <s v="Germany"/>
    <s v="85046"/>
    <s v="80121"/>
    <s v="12"/>
    <s v="II-F12"/>
    <s v="1kg Blueberry Muesli"/>
    <s v="Finished Product"/>
    <s v="F12"/>
    <s v="1kg"/>
    <s v="Blueberry Muesli"/>
    <n v="2942"/>
    <n v="2942"/>
    <s v="ST"/>
    <n v="5.26"/>
    <n v="15474.92"/>
    <n v="6678.34"/>
    <s v="EUR"/>
    <n v="8796.58"/>
    <n v="0.56999999999999995"/>
  </r>
  <r>
    <s v=".1~112"/>
    <n v="112"/>
    <x v="0"/>
    <x v="1"/>
    <s v="02"/>
    <s v="02/02"/>
    <d v="2021-01-22T00:00:00"/>
    <n v="5"/>
    <n v="22"/>
    <s v="2225"/>
    <s v="1"/>
    <s v="02"/>
    <s v="Baden-Wurttemberg"/>
    <x v="1"/>
    <s v="ESSLINGEN"/>
    <s v="Germany"/>
    <s v="73730"/>
    <s v="80112"/>
    <s v="12"/>
    <s v="II-F12"/>
    <s v="1kg Blueberry Muesli"/>
    <s v="Finished Product"/>
    <s v="F12"/>
    <s v="1kg"/>
    <s v="Blueberry Muesli"/>
    <n v="2527"/>
    <n v="2527"/>
    <s v="ST"/>
    <n v="5.26"/>
    <n v="13292.02"/>
    <n v="5736.29"/>
    <s v="EUR"/>
    <n v="7555.73"/>
    <n v="0.56999999999999995"/>
  </r>
  <r>
    <s v=".1~113"/>
    <n v="113"/>
    <x v="0"/>
    <x v="1"/>
    <s v="02"/>
    <s v="02/02"/>
    <d v="2021-01-22T00:00:00"/>
    <n v="5"/>
    <n v="22"/>
    <s v="2225"/>
    <s v="2"/>
    <s v="02"/>
    <s v="Baden-Wurttemberg"/>
    <x v="1"/>
    <s v="ESSLINGEN"/>
    <s v="Germany"/>
    <s v="73730"/>
    <s v="80112"/>
    <s v="12"/>
    <s v="II-F12"/>
    <s v="1kg Blueberry Muesli"/>
    <s v="Finished Product"/>
    <s v="F12"/>
    <s v="1kg"/>
    <s v="Blueberry Muesli"/>
    <n v="1723"/>
    <n v="1723"/>
    <s v="ST"/>
    <n v="5.26"/>
    <n v="9062.98"/>
    <n v="3911.21"/>
    <s v="EUR"/>
    <n v="5151.7700000000004"/>
    <n v="0.56999999999999995"/>
  </r>
  <r>
    <s v=".1~114"/>
    <n v="114"/>
    <x v="0"/>
    <x v="1"/>
    <s v="05"/>
    <s v="02/05"/>
    <d v="2021-01-25T00:00:00"/>
    <n v="5"/>
    <n v="25"/>
    <s v="2303"/>
    <s v="3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2953"/>
    <n v="2953"/>
    <s v="ST"/>
    <n v="5.27"/>
    <n v="15562.31"/>
    <n v="6732.84"/>
    <s v="EUR"/>
    <n v="8829.4699999999993"/>
    <n v="0.56999999999999995"/>
  </r>
  <r>
    <s v=".1~115"/>
    <n v="115"/>
    <x v="0"/>
    <x v="1"/>
    <s v="05"/>
    <s v="02/05"/>
    <d v="2021-01-25T00:00:00"/>
    <n v="5"/>
    <n v="25"/>
    <s v="2303"/>
    <s v="1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3079"/>
    <n v="3079"/>
    <s v="ST"/>
    <n v="5.27"/>
    <n v="16226.33"/>
    <n v="7020.12"/>
    <s v="EUR"/>
    <n v="9206.2099999999991"/>
    <n v="0.56999999999999995"/>
  </r>
  <r>
    <s v=".1~116"/>
    <n v="116"/>
    <x v="0"/>
    <x v="1"/>
    <s v="05"/>
    <s v="02/05"/>
    <d v="2021-01-25T00:00:00"/>
    <n v="5"/>
    <n v="25"/>
    <s v="2303"/>
    <s v="4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2489"/>
    <n v="2489"/>
    <s v="ST"/>
    <n v="5.27"/>
    <n v="13117.03"/>
    <n v="5674.92"/>
    <s v="EUR"/>
    <n v="7442.11"/>
    <n v="0.56999999999999995"/>
  </r>
  <r>
    <s v=".1~117"/>
    <n v="117"/>
    <x v="0"/>
    <x v="1"/>
    <s v="05"/>
    <s v="02/05"/>
    <d v="2021-01-25T00:00:00"/>
    <n v="5"/>
    <n v="25"/>
    <s v="2303"/>
    <s v="2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3186"/>
    <n v="3186"/>
    <s v="ST"/>
    <n v="5.27"/>
    <n v="16790.22"/>
    <n v="7264.08"/>
    <s v="EUR"/>
    <n v="9526.14"/>
    <n v="0.56999999999999995"/>
  </r>
  <r>
    <s v=".1~118"/>
    <n v="118"/>
    <x v="0"/>
    <x v="1"/>
    <s v="05"/>
    <s v="02/05"/>
    <d v="2021-01-25T00:00:00"/>
    <n v="5"/>
    <n v="25"/>
    <s v="2307"/>
    <s v="3"/>
    <s v="02"/>
    <s v="Brandenburg"/>
    <x v="0"/>
    <s v="BRANDENBURG"/>
    <s v="Germany"/>
    <s v="14772"/>
    <s v="80131"/>
    <s v="12"/>
    <s v="II-F13"/>
    <s v="1kg Strawberry Muesli"/>
    <s v="Finished Product"/>
    <s v="F13"/>
    <s v="1kg"/>
    <s v="Strawberry Muesli"/>
    <n v="2349"/>
    <n v="2349"/>
    <s v="ST"/>
    <n v="5.27"/>
    <n v="12379.23"/>
    <n v="5355.72"/>
    <s v="EUR"/>
    <n v="7023.51"/>
    <n v="0.56999999999999995"/>
  </r>
  <r>
    <s v=".1~119"/>
    <n v="119"/>
    <x v="0"/>
    <x v="1"/>
    <s v="05"/>
    <s v="02/05"/>
    <d v="2021-01-25T00:00:00"/>
    <n v="5"/>
    <n v="25"/>
    <s v="2307"/>
    <s v="1"/>
    <s v="02"/>
    <s v="Brandenburg"/>
    <x v="0"/>
    <s v="BRANDENBURG"/>
    <s v="Germany"/>
    <s v="14772"/>
    <s v="80131"/>
    <s v="12"/>
    <s v="II-F13"/>
    <s v="1kg Strawberry Muesli"/>
    <s v="Finished Product"/>
    <s v="F13"/>
    <s v="1kg"/>
    <s v="Strawberry Muesli"/>
    <n v="2912"/>
    <n v="2912"/>
    <s v="ST"/>
    <n v="5.27"/>
    <n v="15346.24"/>
    <n v="6639.36"/>
    <s v="EUR"/>
    <n v="8706.8799999999992"/>
    <n v="0.56999999999999995"/>
  </r>
  <r>
    <s v=".1~120"/>
    <n v="120"/>
    <x v="0"/>
    <x v="1"/>
    <s v="05"/>
    <s v="02/05"/>
    <d v="2021-01-25T00:00:00"/>
    <n v="5"/>
    <n v="25"/>
    <s v="2307"/>
    <s v="2"/>
    <s v="02"/>
    <s v="Brandenburg"/>
    <x v="0"/>
    <s v="BRANDENBURG"/>
    <s v="Germany"/>
    <s v="14772"/>
    <s v="80131"/>
    <s v="12"/>
    <s v="II-F13"/>
    <s v="1kg Strawberry Muesli"/>
    <s v="Finished Product"/>
    <s v="F13"/>
    <s v="1kg"/>
    <s v="Strawberry Muesli"/>
    <n v="3157"/>
    <n v="3157"/>
    <s v="ST"/>
    <n v="5.27"/>
    <n v="16637.39"/>
    <n v="7197.96"/>
    <s v="EUR"/>
    <n v="9439.43"/>
    <n v="0.56999999999999995"/>
  </r>
  <r>
    <s v=".1~121"/>
    <n v="121"/>
    <x v="0"/>
    <x v="1"/>
    <s v="06"/>
    <s v="02/06"/>
    <d v="2021-01-26T00:00:00"/>
    <n v="6"/>
    <n v="26"/>
    <s v="2331"/>
    <s v="2"/>
    <s v="02"/>
    <s v="Nrth Rhine Westfalia"/>
    <x v="2"/>
    <s v="WITTEN"/>
    <s v="Germany"/>
    <s v="58452"/>
    <s v="80111"/>
    <s v="10"/>
    <s v="II-F11"/>
    <s v="1kg Nut Muesli"/>
    <s v="Finished Product"/>
    <s v="F11"/>
    <s v="1kg"/>
    <s v="Nut Muesli"/>
    <n v="422"/>
    <n v="422"/>
    <s v="ST"/>
    <n v="4.6100000000000003"/>
    <n v="1945.42"/>
    <n v="683.64"/>
    <s v="EUR"/>
    <n v="1261.78"/>
    <n v="0.65"/>
  </r>
  <r>
    <s v=".1~122"/>
    <n v="122"/>
    <x v="0"/>
    <x v="1"/>
    <s v="06"/>
    <s v="02/06"/>
    <d v="2021-01-26T00:00:00"/>
    <n v="6"/>
    <n v="26"/>
    <s v="2331"/>
    <s v="1"/>
    <s v="02"/>
    <s v="Nrth Rhine Westfalia"/>
    <x v="2"/>
    <s v="WITTEN"/>
    <s v="Germany"/>
    <s v="58452"/>
    <s v="80111"/>
    <s v="10"/>
    <s v="II-F11"/>
    <s v="1kg Nut Muesli"/>
    <s v="Finished Product"/>
    <s v="F11"/>
    <s v="1kg"/>
    <s v="Nut Muesli"/>
    <n v="3091"/>
    <n v="3091"/>
    <s v="ST"/>
    <n v="4.6100000000000003"/>
    <n v="14249.51"/>
    <n v="5007.42"/>
    <s v="EUR"/>
    <n v="9242.09"/>
    <n v="0.65"/>
  </r>
  <r>
    <s v=".1~123"/>
    <n v="123"/>
    <x v="0"/>
    <x v="1"/>
    <s v="06"/>
    <s v="02/06"/>
    <d v="2021-01-26T00:00:00"/>
    <n v="6"/>
    <n v="26"/>
    <s v="2320"/>
    <s v="3"/>
    <s v="02"/>
    <s v="Lower Saxony"/>
    <x v="0"/>
    <s v="NIENBURG"/>
    <s v="Germany"/>
    <s v="31582"/>
    <s v="80143"/>
    <s v="12"/>
    <s v="II-F11"/>
    <s v="1kg Nut Muesli"/>
    <s v="Finished Product"/>
    <s v="F11"/>
    <s v="1kg"/>
    <s v="Nut Muesli"/>
    <n v="3406"/>
    <n v="3406"/>
    <s v="ST"/>
    <n v="4.6100000000000003"/>
    <n v="15701.66"/>
    <n v="5517.72"/>
    <s v="EUR"/>
    <n v="10183.94"/>
    <n v="0.65"/>
  </r>
  <r>
    <s v=".1~124"/>
    <n v="124"/>
    <x v="0"/>
    <x v="1"/>
    <s v="06"/>
    <s v="02/06"/>
    <d v="2021-01-26T00:00:00"/>
    <n v="6"/>
    <n v="26"/>
    <s v="2324"/>
    <s v="3"/>
    <s v="02"/>
    <s v="Nrth Rhine Westfalia"/>
    <x v="2"/>
    <s v="ESSEN"/>
    <s v="Germany"/>
    <s v="45127"/>
    <s v="80153"/>
    <s v="12"/>
    <s v="II-F11"/>
    <s v="1kg Nut Muesli"/>
    <s v="Finished Product"/>
    <s v="F11"/>
    <s v="1kg"/>
    <s v="Nut Muesli"/>
    <n v="3033"/>
    <n v="3033"/>
    <s v="ST"/>
    <n v="4.6100000000000003"/>
    <n v="13982.13"/>
    <n v="4913.46"/>
    <s v="EUR"/>
    <n v="9068.67"/>
    <n v="0.65"/>
  </r>
  <r>
    <s v=".1~125"/>
    <n v="125"/>
    <x v="0"/>
    <x v="1"/>
    <s v="06"/>
    <s v="02/06"/>
    <d v="2021-01-26T00:00:00"/>
    <n v="6"/>
    <n v="26"/>
    <s v="2324"/>
    <s v="2"/>
    <s v="02"/>
    <s v="Nrth Rhine Westfalia"/>
    <x v="2"/>
    <s v="ESSEN"/>
    <s v="Germany"/>
    <s v="45127"/>
    <s v="80153"/>
    <s v="12"/>
    <s v="II-F11"/>
    <s v="1kg Nut Muesli"/>
    <s v="Finished Product"/>
    <s v="F11"/>
    <s v="1kg"/>
    <s v="Nut Muesli"/>
    <n v="3108"/>
    <n v="3108"/>
    <s v="ST"/>
    <n v="4.6100000000000003"/>
    <n v="14327.88"/>
    <n v="5034.96"/>
    <s v="EUR"/>
    <n v="9292.92"/>
    <n v="0.65"/>
  </r>
  <r>
    <s v=".1~126"/>
    <n v="126"/>
    <x v="0"/>
    <x v="1"/>
    <s v="06"/>
    <s v="02/06"/>
    <d v="2021-01-26T00:00:00"/>
    <n v="6"/>
    <n v="26"/>
    <s v="2324"/>
    <s v="1"/>
    <s v="02"/>
    <s v="Nrth Rhine Westfalia"/>
    <x v="2"/>
    <s v="ESSEN"/>
    <s v="Germany"/>
    <s v="45127"/>
    <s v="80153"/>
    <s v="12"/>
    <s v="II-F11"/>
    <s v="1kg Nut Muesli"/>
    <s v="Finished Product"/>
    <s v="F11"/>
    <s v="1kg"/>
    <s v="Nut Muesli"/>
    <n v="2940"/>
    <n v="2940"/>
    <s v="ST"/>
    <n v="4.6100000000000003"/>
    <n v="13553.4"/>
    <n v="4762.8"/>
    <s v="EUR"/>
    <n v="8790.6"/>
    <n v="0.65"/>
  </r>
  <r>
    <s v=".1~127"/>
    <n v="127"/>
    <x v="0"/>
    <x v="1"/>
    <s v="06"/>
    <s v="02/06"/>
    <d v="2021-01-26T00:00:00"/>
    <n v="6"/>
    <n v="26"/>
    <s v="2320"/>
    <s v="2"/>
    <s v="02"/>
    <s v="Lower Saxony"/>
    <x v="0"/>
    <s v="NIENBURG"/>
    <s v="Germany"/>
    <s v="31582"/>
    <s v="80143"/>
    <s v="12"/>
    <s v="II-F13"/>
    <s v="1kg Strawberry Muesli"/>
    <s v="Finished Product"/>
    <s v="F13"/>
    <s v="1kg"/>
    <s v="Strawberry Muesli"/>
    <n v="1208"/>
    <n v="1208"/>
    <s v="ST"/>
    <n v="5.27"/>
    <n v="6366.16"/>
    <n v="2754.24"/>
    <s v="EUR"/>
    <n v="3611.92"/>
    <n v="0.56999999999999995"/>
  </r>
  <r>
    <s v=".1~128"/>
    <n v="128"/>
    <x v="0"/>
    <x v="1"/>
    <s v="06"/>
    <s v="02/06"/>
    <d v="2021-01-26T00:00:00"/>
    <n v="6"/>
    <n v="26"/>
    <s v="2320"/>
    <s v="1"/>
    <s v="02"/>
    <s v="Lower Saxony"/>
    <x v="0"/>
    <s v="NIENBURG"/>
    <s v="Germany"/>
    <s v="31582"/>
    <s v="80143"/>
    <s v="12"/>
    <s v="II-F13"/>
    <s v="1kg Strawberry Muesli"/>
    <s v="Finished Product"/>
    <s v="F13"/>
    <s v="1kg"/>
    <s v="Strawberry Muesli"/>
    <n v="2667"/>
    <n v="2667"/>
    <s v="ST"/>
    <n v="5.27"/>
    <n v="14055.09"/>
    <n v="6080.76"/>
    <s v="EUR"/>
    <n v="7974.33"/>
    <n v="0.56999999999999995"/>
  </r>
  <r>
    <s v=".1~129"/>
    <n v="129"/>
    <x v="0"/>
    <x v="1"/>
    <s v="07"/>
    <s v="02/07"/>
    <d v="2021-01-27T00:00:00"/>
    <n v="6"/>
    <n v="27"/>
    <s v="2352"/>
    <s v="1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688"/>
    <n v="3688"/>
    <s v="ST"/>
    <n v="3.9"/>
    <n v="14383.2"/>
    <n v="3319.2"/>
    <s v="EUR"/>
    <n v="11064"/>
    <n v="0.77"/>
  </r>
  <r>
    <s v=".1~130"/>
    <n v="130"/>
    <x v="0"/>
    <x v="1"/>
    <s v="07"/>
    <s v="02/07"/>
    <d v="2021-01-27T00:00:00"/>
    <n v="6"/>
    <n v="27"/>
    <s v="2352"/>
    <s v="3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436"/>
    <n v="3436"/>
    <s v="ST"/>
    <n v="3.9"/>
    <n v="13400.4"/>
    <n v="3092.4"/>
    <s v="EUR"/>
    <n v="10308"/>
    <n v="0.77"/>
  </r>
  <r>
    <s v=".1~131"/>
    <n v="131"/>
    <x v="0"/>
    <x v="1"/>
    <s v="07"/>
    <s v="02/07"/>
    <d v="2021-01-27T00:00:00"/>
    <n v="6"/>
    <n v="27"/>
    <s v="2352"/>
    <s v="4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428"/>
    <n v="3428"/>
    <s v="ST"/>
    <n v="3.9"/>
    <n v="13369.2"/>
    <n v="3085.2"/>
    <s v="EUR"/>
    <n v="10284"/>
    <n v="0.77"/>
  </r>
  <r>
    <s v=".1~132"/>
    <n v="132"/>
    <x v="0"/>
    <x v="1"/>
    <s v="07"/>
    <s v="02/07"/>
    <d v="2021-01-27T00:00:00"/>
    <n v="6"/>
    <n v="27"/>
    <s v="2352"/>
    <s v="2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948"/>
    <n v="3948"/>
    <s v="ST"/>
    <n v="3.9"/>
    <n v="15397.2"/>
    <n v="3553.2"/>
    <s v="EUR"/>
    <n v="11844"/>
    <n v="0.77"/>
  </r>
  <r>
    <s v=".1~133"/>
    <n v="133"/>
    <x v="0"/>
    <x v="1"/>
    <s v="07"/>
    <s v="02/07"/>
    <d v="2021-01-27T00:00:00"/>
    <n v="6"/>
    <n v="27"/>
    <s v="2354"/>
    <s v="1"/>
    <s v="02"/>
    <s v="Schleswig-Holstein"/>
    <x v="0"/>
    <s v="LÜBECK"/>
    <s v="Germany"/>
    <s v="23556"/>
    <s v="80287"/>
    <s v="14"/>
    <s v="II-F01"/>
    <s v="500g Nut Muesli"/>
    <s v="Finished Product"/>
    <s v="F01"/>
    <s v="500g"/>
    <s v="Nut Muesli"/>
    <n v="3327"/>
    <n v="3327"/>
    <s v="ST"/>
    <n v="4.29"/>
    <n v="14272.83"/>
    <n v="2994.3"/>
    <s v="EUR"/>
    <n v="11278.53"/>
    <n v="0.79"/>
  </r>
  <r>
    <s v=".1~134"/>
    <n v="134"/>
    <x v="0"/>
    <x v="1"/>
    <s v="07"/>
    <s v="02/07"/>
    <d v="2021-01-27T00:00:00"/>
    <n v="6"/>
    <n v="27"/>
    <s v="2356"/>
    <s v="1"/>
    <s v="02"/>
    <s v="Bavaria"/>
    <x v="1"/>
    <s v="MÜNCHEN"/>
    <s v="Germany"/>
    <s v="80339"/>
    <s v="80194"/>
    <s v="14"/>
    <s v="II-F01"/>
    <s v="500g Nut Muesli"/>
    <s v="Finished Product"/>
    <s v="F01"/>
    <s v="500g"/>
    <s v="Nut Muesli"/>
    <n v="2548"/>
    <n v="2548"/>
    <s v="ST"/>
    <n v="4.29"/>
    <n v="10930.92"/>
    <n v="2293.1999999999998"/>
    <s v="EUR"/>
    <n v="8637.7199999999993"/>
    <n v="0.79"/>
  </r>
  <r>
    <s v=".1~135"/>
    <n v="135"/>
    <x v="0"/>
    <x v="1"/>
    <s v="08"/>
    <s v="02/08"/>
    <d v="2021-01-28T00:00:00"/>
    <n v="6"/>
    <n v="28"/>
    <s v="2364"/>
    <s v="1"/>
    <s v="02"/>
    <s v="Lower Saxony"/>
    <x v="0"/>
    <s v="UELZEN"/>
    <s v="Germany"/>
    <s v="29525"/>
    <s v="80146"/>
    <s v="12"/>
    <s v="II-F01"/>
    <s v="500g Nut Muesli"/>
    <s v="Finished Product"/>
    <s v="F01"/>
    <s v="500g"/>
    <s v="Nut Muesli"/>
    <n v="4009"/>
    <n v="4009"/>
    <s v="ST"/>
    <n v="3.9"/>
    <n v="15635.1"/>
    <n v="3608.1"/>
    <s v="EUR"/>
    <n v="12027"/>
    <n v="0.77"/>
  </r>
  <r>
    <s v=".1~136"/>
    <n v="136"/>
    <x v="0"/>
    <x v="1"/>
    <s v="08"/>
    <s v="02/08"/>
    <d v="2021-01-28T00:00:00"/>
    <n v="6"/>
    <n v="28"/>
    <s v="2375"/>
    <s v="1"/>
    <s v="02"/>
    <s v="Hessen"/>
    <x v="1"/>
    <s v="WEITERSTADT"/>
    <s v="Germany"/>
    <s v="64331"/>
    <s v="80216"/>
    <s v="14"/>
    <s v="II-F01"/>
    <s v="500g Nut Muesli"/>
    <s v="Finished Product"/>
    <s v="F01"/>
    <s v="500g"/>
    <s v="Nut Muesli"/>
    <n v="698"/>
    <n v="698"/>
    <s v="ST"/>
    <n v="4.29"/>
    <n v="2994.42"/>
    <n v="628.20000000000005"/>
    <s v="EUR"/>
    <n v="2366.2199999999998"/>
    <n v="0.79"/>
  </r>
  <r>
    <s v=".1~137"/>
    <n v="137"/>
    <x v="0"/>
    <x v="1"/>
    <s v="08"/>
    <s v="02/08"/>
    <d v="2021-01-28T00:00:00"/>
    <n v="6"/>
    <n v="28"/>
    <s v="2374"/>
    <s v="1"/>
    <s v="02"/>
    <s v="Nrth Rhine Westfalia"/>
    <x v="2"/>
    <s v="CASTROP-RAUXEL"/>
    <s v="Germany"/>
    <s v="44579"/>
    <s v="80234"/>
    <s v="14"/>
    <s v="II-F01"/>
    <s v="500g Nut Muesli"/>
    <s v="Finished Product"/>
    <s v="F01"/>
    <s v="500g"/>
    <s v="Nut Muesli"/>
    <n v="3024"/>
    <n v="3024"/>
    <s v="ST"/>
    <n v="4.29"/>
    <n v="12972.96"/>
    <n v="2721.6"/>
    <s v="EUR"/>
    <n v="10251.36"/>
    <n v="0.79"/>
  </r>
  <r>
    <s v=".1~138"/>
    <n v="138"/>
    <x v="0"/>
    <x v="1"/>
    <s v="08"/>
    <s v="02/08"/>
    <d v="2021-01-28T00:00:00"/>
    <n v="6"/>
    <n v="28"/>
    <s v="2373"/>
    <s v="1"/>
    <s v="02"/>
    <s v="Rhineland Palatinate"/>
    <x v="2"/>
    <s v="LUDWIGSHAFEN"/>
    <s v="Germany"/>
    <s v="67071"/>
    <s v="80264"/>
    <s v="14"/>
    <s v="II-F01"/>
    <s v="500g Nut Muesli"/>
    <s v="Finished Product"/>
    <s v="F01"/>
    <s v="500g"/>
    <s v="Nut Muesli"/>
    <n v="3176"/>
    <n v="3176"/>
    <s v="ST"/>
    <n v="4.29"/>
    <n v="13625.04"/>
    <n v="2858.4"/>
    <s v="EUR"/>
    <n v="10766.64"/>
    <n v="0.79"/>
  </r>
  <r>
    <s v=".1~139"/>
    <n v="139"/>
    <x v="0"/>
    <x v="1"/>
    <s v="08"/>
    <s v="02/08"/>
    <d v="2021-01-28T00:00:00"/>
    <n v="6"/>
    <n v="28"/>
    <s v="2372"/>
    <s v="1"/>
    <s v="02"/>
    <s v="Nrth Rhine Westfalia"/>
    <x v="2"/>
    <s v="GELSENKIRCHEN-BUER"/>
    <s v="Germany"/>
    <s v="45894"/>
    <s v="80243"/>
    <s v="14"/>
    <s v="II-F01"/>
    <s v="500g Nut Muesli"/>
    <s v="Finished Product"/>
    <s v="F01"/>
    <s v="500g"/>
    <s v="Nut Muesli"/>
    <n v="3007"/>
    <n v="3007"/>
    <s v="ST"/>
    <n v="4.29"/>
    <n v="12900.03"/>
    <n v="2706.3"/>
    <s v="EUR"/>
    <n v="10193.73"/>
    <n v="0.79"/>
  </r>
  <r>
    <s v=".1~140"/>
    <n v="140"/>
    <x v="0"/>
    <x v="1"/>
    <s v="08"/>
    <s v="02/08"/>
    <d v="2021-01-28T00:00:00"/>
    <n v="6"/>
    <n v="28"/>
    <s v="2371"/>
    <s v="1"/>
    <s v="02"/>
    <s v="Mecklenburg-Vorpomm."/>
    <x v="0"/>
    <s v="GREIFSWALD"/>
    <s v="Germany"/>
    <s v="17491"/>
    <s v="80218"/>
    <s v="14"/>
    <s v="II-F01"/>
    <s v="500g Nut Muesli"/>
    <s v="Finished Product"/>
    <s v="F01"/>
    <s v="500g"/>
    <s v="Nut Muesli"/>
    <n v="3156"/>
    <n v="3156"/>
    <s v="ST"/>
    <n v="4.29"/>
    <n v="13539.24"/>
    <n v="2840.4"/>
    <s v="EUR"/>
    <n v="10698.84"/>
    <n v="0.79"/>
  </r>
  <r>
    <s v=".1~141"/>
    <n v="141"/>
    <x v="0"/>
    <x v="1"/>
    <s v="08"/>
    <s v="02/08"/>
    <d v="2021-01-28T00:00:00"/>
    <n v="6"/>
    <n v="28"/>
    <s v="2369"/>
    <s v="1"/>
    <s v="02"/>
    <s v="Lower Saxony"/>
    <x v="0"/>
    <s v="OLDENBURG"/>
    <s v="Germany"/>
    <s v="26133"/>
    <s v="80226"/>
    <s v="14"/>
    <s v="II-F01"/>
    <s v="500g Nut Muesli"/>
    <s v="Finished Product"/>
    <s v="F01"/>
    <s v="500g"/>
    <s v="Nut Muesli"/>
    <n v="3095"/>
    <n v="3095"/>
    <s v="ST"/>
    <n v="4.29"/>
    <n v="13277.55"/>
    <n v="2785.5"/>
    <s v="EUR"/>
    <n v="10492.05"/>
    <n v="0.79"/>
  </r>
  <r>
    <s v=".1~142"/>
    <n v="142"/>
    <x v="0"/>
    <x v="1"/>
    <s v="08"/>
    <s v="02/08"/>
    <d v="2021-01-28T00:00:00"/>
    <n v="6"/>
    <n v="28"/>
    <s v="2367"/>
    <s v="1"/>
    <s v="02"/>
    <s v="Saxony"/>
    <x v="0"/>
    <s v="LEIPZIG"/>
    <s v="Germany"/>
    <s v="04109"/>
    <s v="80274"/>
    <s v="14"/>
    <s v="II-F01"/>
    <s v="500g Nut Muesli"/>
    <s v="Finished Product"/>
    <s v="F01"/>
    <s v="500g"/>
    <s v="Nut Muesli"/>
    <n v="3835"/>
    <n v="3835"/>
    <s v="ST"/>
    <n v="4.29"/>
    <n v="16452.150000000001"/>
    <n v="3451.5"/>
    <s v="EUR"/>
    <n v="13000.65"/>
    <n v="0.79"/>
  </r>
  <r>
    <s v=".1~143"/>
    <n v="143"/>
    <x v="0"/>
    <x v="1"/>
    <s v="09"/>
    <s v="02/09"/>
    <d v="2021-01-29T00:00:00"/>
    <n v="6"/>
    <n v="29"/>
    <s v="2397"/>
    <s v="1"/>
    <s v="02"/>
    <s v="Bavaria"/>
    <x v="1"/>
    <s v="MÜNCHEN"/>
    <s v="Germany"/>
    <s v="80335"/>
    <s v="80186"/>
    <s v="14"/>
    <s v="II-F01"/>
    <s v="500g Nut Muesli"/>
    <s v="Finished Product"/>
    <s v="F01"/>
    <s v="500g"/>
    <s v="Nut Muesli"/>
    <n v="3909"/>
    <n v="3909"/>
    <s v="ST"/>
    <n v="4.29"/>
    <n v="16769.61"/>
    <n v="3518.1"/>
    <s v="EUR"/>
    <n v="13251.51"/>
    <n v="0.79"/>
  </r>
  <r>
    <s v=".1~144"/>
    <n v="144"/>
    <x v="0"/>
    <x v="1"/>
    <s v="09"/>
    <s v="02/09"/>
    <d v="2021-01-29T00:00:00"/>
    <n v="6"/>
    <n v="29"/>
    <s v="2395"/>
    <s v="1"/>
    <s v="02"/>
    <s v="Baden-Wurttemberg"/>
    <x v="1"/>
    <s v="REUTLINGEN"/>
    <s v="Germany"/>
    <s v="72770"/>
    <s v="80180"/>
    <s v="14"/>
    <s v="II-F01"/>
    <s v="500g Nut Muesli"/>
    <s v="Finished Product"/>
    <s v="F01"/>
    <s v="500g"/>
    <s v="Nut Muesli"/>
    <n v="3859"/>
    <n v="3859"/>
    <s v="ST"/>
    <n v="4.29"/>
    <n v="16555.11"/>
    <n v="3473.1"/>
    <s v="EUR"/>
    <n v="13082.01"/>
    <n v="0.79"/>
  </r>
  <r>
    <s v=".1~145"/>
    <n v="145"/>
    <x v="0"/>
    <x v="1"/>
    <s v="09"/>
    <s v="02/09"/>
    <d v="2021-01-29T00:00:00"/>
    <n v="6"/>
    <n v="29"/>
    <s v="2393"/>
    <s v="1"/>
    <s v="02"/>
    <s v="Baden-Wurttemberg"/>
    <x v="1"/>
    <s v="REUTLINGEN"/>
    <s v="Germany"/>
    <s v="72764"/>
    <s v="80181"/>
    <s v="14"/>
    <s v="II-F01"/>
    <s v="500g Nut Muesli"/>
    <s v="Finished Product"/>
    <s v="F01"/>
    <s v="500g"/>
    <s v="Nut Muesli"/>
    <n v="3200"/>
    <n v="3200"/>
    <s v="ST"/>
    <n v="4.29"/>
    <n v="13728"/>
    <n v="2880"/>
    <s v="EUR"/>
    <n v="10848"/>
    <n v="0.79"/>
  </r>
  <r>
    <s v=".1~146"/>
    <n v="146"/>
    <x v="0"/>
    <x v="1"/>
    <s v="09"/>
    <s v="02/09"/>
    <d v="2021-01-29T00:00:00"/>
    <n v="6"/>
    <n v="29"/>
    <s v="2389"/>
    <s v="1"/>
    <s v="02"/>
    <s v="Rhineland Palatinate"/>
    <x v="2"/>
    <s v="KOBLENZ"/>
    <s v="Germany"/>
    <s v="56068"/>
    <s v="80262"/>
    <s v="14"/>
    <s v="II-F01"/>
    <s v="500g Nut Muesli"/>
    <s v="Finished Product"/>
    <s v="F01"/>
    <s v="500g"/>
    <s v="Nut Muesli"/>
    <n v="3915"/>
    <n v="3915"/>
    <s v="ST"/>
    <n v="4.29"/>
    <n v="16795.349999999999"/>
    <n v="3523.5"/>
    <s v="EUR"/>
    <n v="13271.85"/>
    <n v="0.79"/>
  </r>
  <r>
    <s v=".1~147"/>
    <n v="147"/>
    <x v="0"/>
    <x v="1"/>
    <s v="10"/>
    <s v="02/10"/>
    <d v="2021-01-30T00:00:00"/>
    <n v="6"/>
    <n v="30"/>
    <s v="2414"/>
    <s v="1"/>
    <s v="02"/>
    <s v="Nrth Rhine Westfalia"/>
    <x v="2"/>
    <s v="BRÜHL"/>
    <s v="Germany"/>
    <s v="50321"/>
    <s v="80149"/>
    <s v="12"/>
    <s v="II-F01"/>
    <s v="500g Nut Muesli"/>
    <s v="Finished Product"/>
    <s v="F01"/>
    <s v="500g"/>
    <s v="Nut Muesli"/>
    <n v="3505"/>
    <n v="3505"/>
    <s v="ST"/>
    <n v="3.9"/>
    <n v="13669.5"/>
    <n v="3154.5"/>
    <s v="EUR"/>
    <n v="10515"/>
    <n v="0.77"/>
  </r>
  <r>
    <s v=".1~148"/>
    <n v="148"/>
    <x v="0"/>
    <x v="1"/>
    <s v="10"/>
    <s v="02/10"/>
    <d v="2021-01-30T00:00:00"/>
    <n v="6"/>
    <n v="30"/>
    <s v="2414"/>
    <s v="2"/>
    <s v="02"/>
    <s v="Nrth Rhine Westfalia"/>
    <x v="2"/>
    <s v="BRÜHL"/>
    <s v="Germany"/>
    <s v="50321"/>
    <s v="80149"/>
    <s v="12"/>
    <s v="II-F01"/>
    <s v="500g Nut Muesli"/>
    <s v="Finished Product"/>
    <s v="F01"/>
    <s v="500g"/>
    <s v="Nut Muesli"/>
    <n v="3441"/>
    <n v="3441"/>
    <s v="ST"/>
    <n v="3.9"/>
    <n v="13419.9"/>
    <n v="3096.9"/>
    <s v="EUR"/>
    <n v="10323"/>
    <n v="0.77"/>
  </r>
  <r>
    <s v=".1~149"/>
    <n v="149"/>
    <x v="0"/>
    <x v="1"/>
    <s v="10"/>
    <s v="02/10"/>
    <d v="2021-01-30T00:00:00"/>
    <n v="6"/>
    <n v="30"/>
    <s v="2414"/>
    <s v="3"/>
    <s v="02"/>
    <s v="Nrth Rhine Westfalia"/>
    <x v="2"/>
    <s v="BRÜHL"/>
    <s v="Germany"/>
    <s v="50321"/>
    <s v="80149"/>
    <s v="12"/>
    <s v="II-F01"/>
    <s v="500g Nut Muesli"/>
    <s v="Finished Product"/>
    <s v="F01"/>
    <s v="500g"/>
    <s v="Nut Muesli"/>
    <n v="3352"/>
    <n v="3352"/>
    <s v="ST"/>
    <n v="3.9"/>
    <n v="13072.8"/>
    <n v="3016.8"/>
    <s v="EUR"/>
    <n v="10056"/>
    <n v="0.77"/>
  </r>
  <r>
    <s v=".1~150"/>
    <n v="150"/>
    <x v="0"/>
    <x v="1"/>
    <s v="10"/>
    <s v="02/10"/>
    <d v="2021-01-30T00:00:00"/>
    <n v="6"/>
    <n v="30"/>
    <s v="2412"/>
    <s v="2"/>
    <s v="02"/>
    <s v="Nrth Rhine Westfalia"/>
    <x v="2"/>
    <s v="BAD OEYNHAUSEN"/>
    <s v="Germany"/>
    <s v="32547"/>
    <s v="80148"/>
    <s v="12"/>
    <s v="II-F01"/>
    <s v="500g Nut Muesli"/>
    <s v="Finished Product"/>
    <s v="F01"/>
    <s v="500g"/>
    <s v="Nut Muesli"/>
    <n v="3694"/>
    <n v="3694"/>
    <s v="ST"/>
    <n v="3.9"/>
    <n v="14406.6"/>
    <n v="3324.6"/>
    <s v="EUR"/>
    <n v="11082"/>
    <n v="0.77"/>
  </r>
  <r>
    <s v=".1~151"/>
    <n v="151"/>
    <x v="0"/>
    <x v="1"/>
    <s v="10"/>
    <s v="02/10"/>
    <d v="2021-01-30T00:00:00"/>
    <n v="6"/>
    <n v="30"/>
    <s v="2412"/>
    <s v="1"/>
    <s v="02"/>
    <s v="Nrth Rhine Westfalia"/>
    <x v="2"/>
    <s v="BAD OEYNHAUSEN"/>
    <s v="Germany"/>
    <s v="32547"/>
    <s v="80148"/>
    <s v="12"/>
    <s v="II-F03"/>
    <s v="500g Strawberry Muesli"/>
    <s v="Finished Product"/>
    <s v="F03"/>
    <s v="500g"/>
    <s v="Strawberry Muesli"/>
    <n v="500"/>
    <n v="500"/>
    <s v="ST"/>
    <n v="4.2300000000000004"/>
    <n v="2115"/>
    <n v="615"/>
    <s v="EUR"/>
    <n v="1500"/>
    <n v="0.71"/>
  </r>
  <r>
    <s v=".1~152"/>
    <n v="152"/>
    <x v="0"/>
    <x v="1"/>
    <s v="10"/>
    <s v="02/10"/>
    <d v="2021-01-30T00:00:00"/>
    <n v="6"/>
    <n v="30"/>
    <s v="2419"/>
    <s v="1"/>
    <s v="02"/>
    <s v="Hessen"/>
    <x v="1"/>
    <s v="WETZLAR"/>
    <s v="Germany"/>
    <s v="35576"/>
    <s v="80217"/>
    <s v="14"/>
    <s v="II-F01"/>
    <s v="500g Nut Muesli"/>
    <s v="Finished Product"/>
    <s v="F01"/>
    <s v="500g"/>
    <s v="Nut Muesli"/>
    <n v="3775"/>
    <n v="3775"/>
    <s v="ST"/>
    <n v="4.29"/>
    <n v="16194.75"/>
    <n v="3397.5"/>
    <s v="EUR"/>
    <n v="12797.25"/>
    <n v="0.79"/>
  </r>
  <r>
    <s v=".1~153"/>
    <n v="153"/>
    <x v="0"/>
    <x v="1"/>
    <s v="10"/>
    <s v="02/10"/>
    <d v="2021-01-30T00:00:00"/>
    <n v="6"/>
    <n v="30"/>
    <s v="2418"/>
    <s v="1"/>
    <s v="02"/>
    <s v="Baden-Wurttemberg"/>
    <x v="1"/>
    <s v="BALINGEN"/>
    <s v="Germany"/>
    <s v="72336"/>
    <s v="80172"/>
    <s v="14"/>
    <s v="II-F01"/>
    <s v="500g Nut Muesli"/>
    <s v="Finished Product"/>
    <s v="F01"/>
    <s v="500g"/>
    <s v="Nut Muesli"/>
    <n v="3849"/>
    <n v="3849"/>
    <s v="ST"/>
    <n v="4.29"/>
    <n v="16512.21"/>
    <n v="3464.1"/>
    <s v="EUR"/>
    <n v="13048.11"/>
    <n v="0.79"/>
  </r>
  <r>
    <s v=".1~154"/>
    <n v="154"/>
    <x v="0"/>
    <x v="1"/>
    <s v="10"/>
    <s v="02/10"/>
    <d v="2021-01-30T00:00:00"/>
    <n v="6"/>
    <n v="30"/>
    <s v="2416"/>
    <s v="1"/>
    <s v="02"/>
    <s v="Nrth Rhine Westfalia"/>
    <x v="2"/>
    <s v="WUPPERTAL"/>
    <s v="Germany"/>
    <s v="42275"/>
    <s v="80259"/>
    <s v="14"/>
    <s v="II-F01"/>
    <s v="500g Nut Muesli"/>
    <s v="Finished Product"/>
    <s v="F01"/>
    <s v="500g"/>
    <s v="Nut Muesli"/>
    <n v="3419"/>
    <n v="3419"/>
    <s v="ST"/>
    <n v="4.29"/>
    <n v="14667.51"/>
    <n v="3077.1"/>
    <s v="EUR"/>
    <n v="11590.41"/>
    <n v="0.79"/>
  </r>
  <r>
    <s v=".1~155"/>
    <n v="155"/>
    <x v="0"/>
    <x v="1"/>
    <s v="11"/>
    <s v="02/11"/>
    <d v="2021-01-31T00:00:00"/>
    <n v="7"/>
    <n v="31"/>
    <s v="2431"/>
    <s v="4"/>
    <s v="02"/>
    <s v="Bavaria"/>
    <x v="1"/>
    <s v="INGOLSTADT"/>
    <s v="Germany"/>
    <s v="85055"/>
    <s v="80120"/>
    <s v="12"/>
    <s v="II-F03"/>
    <s v="500g Strawberry Muesli"/>
    <s v="Finished Product"/>
    <s v="F03"/>
    <s v="500g"/>
    <s v="Strawberry Muesli"/>
    <n v="3025"/>
    <n v="3025"/>
    <s v="ST"/>
    <n v="4.2300000000000004"/>
    <n v="12795.75"/>
    <n v="3720.75"/>
    <s v="EUR"/>
    <n v="9075"/>
    <n v="0.71"/>
  </r>
  <r>
    <s v=".1~156"/>
    <n v="156"/>
    <x v="0"/>
    <x v="1"/>
    <s v="11"/>
    <s v="02/11"/>
    <d v="2021-01-31T00:00:00"/>
    <n v="7"/>
    <n v="31"/>
    <s v="2431"/>
    <s v="1"/>
    <s v="02"/>
    <s v="Bavaria"/>
    <x v="1"/>
    <s v="INGOLSTADT"/>
    <s v="Germany"/>
    <s v="85055"/>
    <s v="80120"/>
    <s v="12"/>
    <s v="II-F03"/>
    <s v="500g Strawberry Muesli"/>
    <s v="Finished Product"/>
    <s v="F03"/>
    <s v="500g"/>
    <s v="Strawberry Muesli"/>
    <n v="3736"/>
    <n v="3736"/>
    <s v="ST"/>
    <n v="4.2300000000000004"/>
    <n v="15803.28"/>
    <n v="4595.28"/>
    <s v="EUR"/>
    <n v="11208"/>
    <n v="0.71"/>
  </r>
  <r>
    <s v=".1~157"/>
    <n v="157"/>
    <x v="0"/>
    <x v="1"/>
    <s v="11"/>
    <s v="02/11"/>
    <d v="2021-01-31T00:00:00"/>
    <n v="7"/>
    <n v="31"/>
    <s v="2437"/>
    <s v="2"/>
    <s v="02"/>
    <s v="Brandenburg"/>
    <x v="0"/>
    <s v="BRANDENBURG"/>
    <s v="Germany"/>
    <s v="14772"/>
    <s v="80131"/>
    <s v="12"/>
    <s v="II-F03"/>
    <s v="500g Strawberry Muesli"/>
    <s v="Finished Product"/>
    <s v="F03"/>
    <s v="500g"/>
    <s v="Strawberry Muesli"/>
    <n v="3649"/>
    <n v="3649"/>
    <s v="ST"/>
    <n v="4.2300000000000004"/>
    <n v="15435.27"/>
    <n v="4488.2700000000004"/>
    <s v="EUR"/>
    <n v="10947"/>
    <n v="0.71"/>
  </r>
  <r>
    <s v=".1~158"/>
    <n v="158"/>
    <x v="0"/>
    <x v="1"/>
    <s v="11"/>
    <s v="02/11"/>
    <d v="2021-01-31T00:00:00"/>
    <n v="7"/>
    <n v="31"/>
    <s v="2437"/>
    <s v="1"/>
    <s v="02"/>
    <s v="Brandenburg"/>
    <x v="0"/>
    <s v="BRANDENBURG"/>
    <s v="Germany"/>
    <s v="14772"/>
    <s v="80131"/>
    <s v="12"/>
    <s v="II-F03"/>
    <s v="500g Strawberry Muesli"/>
    <s v="Finished Product"/>
    <s v="F03"/>
    <s v="500g"/>
    <s v="Strawberry Muesli"/>
    <n v="3542"/>
    <n v="3542"/>
    <s v="ST"/>
    <n v="4.2300000000000004"/>
    <n v="14982.66"/>
    <n v="4356.66"/>
    <s v="EUR"/>
    <n v="10626"/>
    <n v="0.71"/>
  </r>
  <r>
    <s v=".1~159"/>
    <n v="159"/>
    <x v="0"/>
    <x v="1"/>
    <s v="11"/>
    <s v="02/11"/>
    <d v="2021-01-31T00:00:00"/>
    <n v="7"/>
    <n v="31"/>
    <s v="2431"/>
    <s v="2"/>
    <s v="02"/>
    <s v="Bavaria"/>
    <x v="1"/>
    <s v="INGOLSTADT"/>
    <s v="Germany"/>
    <s v="85055"/>
    <s v="80120"/>
    <s v="12"/>
    <s v="II-F14"/>
    <s v="1kg Raisin Muesli"/>
    <s v="Finished Product"/>
    <s v="F14"/>
    <s v="1kg"/>
    <s v="Raisin Muesli"/>
    <n v="3609"/>
    <n v="3609"/>
    <s v="ST"/>
    <n v="4.38"/>
    <n v="15807.42"/>
    <n v="5016.51"/>
    <s v="EUR"/>
    <n v="10790.91"/>
    <n v="0.68"/>
  </r>
  <r>
    <s v=".1~160"/>
    <n v="160"/>
    <x v="0"/>
    <x v="1"/>
    <s v="11"/>
    <s v="02/11"/>
    <d v="2021-01-31T00:00:00"/>
    <n v="7"/>
    <n v="31"/>
    <s v="2431"/>
    <s v="3"/>
    <s v="02"/>
    <s v="Bavaria"/>
    <x v="1"/>
    <s v="INGOLSTADT"/>
    <s v="Germany"/>
    <s v="85055"/>
    <s v="80120"/>
    <s v="12"/>
    <s v="II-F14"/>
    <s v="1kg Raisin Muesli"/>
    <s v="Finished Product"/>
    <s v="F14"/>
    <s v="1kg"/>
    <s v="Raisin Muesli"/>
    <n v="1016"/>
    <n v="1016"/>
    <s v="ST"/>
    <n v="4.38"/>
    <n v="4450.08"/>
    <n v="1412.24"/>
    <s v="EUR"/>
    <n v="3037.84"/>
    <n v="0.68"/>
  </r>
  <r>
    <s v=".1~161"/>
    <n v="161"/>
    <x v="0"/>
    <x v="1"/>
    <s v="11"/>
    <s v="02/11"/>
    <d v="2021-01-31T00:00:00"/>
    <n v="7"/>
    <n v="31"/>
    <s v="2440"/>
    <s v="1"/>
    <s v="02"/>
    <s v="Lower Saxony"/>
    <x v="0"/>
    <s v="RITTERHUDE"/>
    <s v="Germany"/>
    <s v="27721"/>
    <s v="80227"/>
    <s v="14"/>
    <s v="II-F01"/>
    <s v="500g Nut Muesli"/>
    <s v="Finished Product"/>
    <s v="F01"/>
    <s v="500g"/>
    <s v="Nut Muesli"/>
    <n v="3707"/>
    <n v="3707"/>
    <s v="ST"/>
    <n v="4.29"/>
    <n v="15903.03"/>
    <n v="3336.3"/>
    <s v="EUR"/>
    <n v="12566.73"/>
    <n v="0.79"/>
  </r>
  <r>
    <s v=".1~162"/>
    <n v="162"/>
    <x v="0"/>
    <x v="1"/>
    <s v="11"/>
    <s v="02/11"/>
    <d v="2021-01-31T00:00:00"/>
    <n v="7"/>
    <n v="31"/>
    <s v="2441"/>
    <s v="1"/>
    <s v="02"/>
    <s v="Bavaria"/>
    <x v="1"/>
    <s v="MÜNCHEN"/>
    <s v="Germany"/>
    <s v="80331"/>
    <s v="80187"/>
    <s v="14"/>
    <s v="II-F03"/>
    <s v="500g Strawberry Muesli"/>
    <s v="Finished Product"/>
    <s v="F03"/>
    <s v="500g"/>
    <s v="Strawberry Muesli"/>
    <n v="1548"/>
    <n v="1548"/>
    <s v="ST"/>
    <n v="4.6500000000000004"/>
    <n v="7198.2"/>
    <n v="1904.04"/>
    <s v="EUR"/>
    <n v="5294.16"/>
    <n v="0.74"/>
  </r>
  <r>
    <s v=".1~163"/>
    <n v="163"/>
    <x v="0"/>
    <x v="1"/>
    <s v="12"/>
    <s v="02/12"/>
    <d v="2021-02-01T00:00:00"/>
    <n v="7"/>
    <n v="32"/>
    <s v="2461"/>
    <s v="1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3158"/>
    <n v="3158"/>
    <s v="ST"/>
    <n v="4.38"/>
    <n v="13832.04"/>
    <n v="4389.62"/>
    <s v="EUR"/>
    <n v="9442.42"/>
    <n v="0.68"/>
  </r>
  <r>
    <s v=".1~164"/>
    <n v="164"/>
    <x v="0"/>
    <x v="1"/>
    <s v="12"/>
    <s v="02/12"/>
    <d v="2021-02-01T00:00:00"/>
    <n v="7"/>
    <n v="32"/>
    <s v="2451"/>
    <s v="1"/>
    <s v="02"/>
    <s v="Bavaria"/>
    <x v="1"/>
    <s v="MÜNCHEN"/>
    <s v="Germany"/>
    <s v="81245"/>
    <s v="80123"/>
    <s v="12"/>
    <s v="II-F02"/>
    <s v="500g Blueberry Muesli"/>
    <s v="Finished Product"/>
    <s v="F02"/>
    <s v="500g"/>
    <s v="Blueberry Muesli"/>
    <n v="750"/>
    <n v="750"/>
    <s v="ST"/>
    <n v="4.2300000000000004"/>
    <n v="3172.5"/>
    <n v="922.5"/>
    <s v="EUR"/>
    <n v="2250"/>
    <n v="0.71"/>
  </r>
  <r>
    <s v=".1~165"/>
    <n v="165"/>
    <x v="0"/>
    <x v="1"/>
    <s v="12"/>
    <s v="02/12"/>
    <d v="2021-02-01T00:00:00"/>
    <n v="7"/>
    <n v="32"/>
    <s v="2451"/>
    <s v="3"/>
    <s v="02"/>
    <s v="Bavaria"/>
    <x v="1"/>
    <s v="MÜNCHEN"/>
    <s v="Germany"/>
    <s v="81245"/>
    <s v="80123"/>
    <s v="12"/>
    <s v="II-F14"/>
    <s v="1kg Raisin Muesli"/>
    <s v="Finished Product"/>
    <s v="F14"/>
    <s v="1kg"/>
    <s v="Raisin Muesli"/>
    <n v="2918"/>
    <n v="2918"/>
    <s v="ST"/>
    <n v="4.38"/>
    <n v="12780.84"/>
    <n v="4056.02"/>
    <s v="EUR"/>
    <n v="8724.82"/>
    <n v="0.68"/>
  </r>
  <r>
    <s v=".1~166"/>
    <n v="166"/>
    <x v="0"/>
    <x v="1"/>
    <s v="12"/>
    <s v="02/12"/>
    <d v="2021-02-01T00:00:00"/>
    <n v="7"/>
    <n v="32"/>
    <s v="2451"/>
    <s v="2"/>
    <s v="02"/>
    <s v="Bavaria"/>
    <x v="1"/>
    <s v="MÜNCHEN"/>
    <s v="Germany"/>
    <s v="81245"/>
    <s v="80123"/>
    <s v="12"/>
    <s v="II-F14"/>
    <s v="1kg Raisin Muesli"/>
    <s v="Finished Product"/>
    <s v="F14"/>
    <s v="1kg"/>
    <s v="Raisin Muesli"/>
    <n v="3542"/>
    <n v="3542"/>
    <s v="ST"/>
    <n v="4.38"/>
    <n v="15513.96"/>
    <n v="4923.38"/>
    <s v="EUR"/>
    <n v="10590.58"/>
    <n v="0.68"/>
  </r>
  <r>
    <s v=".1~167"/>
    <n v="167"/>
    <x v="0"/>
    <x v="1"/>
    <s v="12"/>
    <s v="02/12"/>
    <d v="2021-02-01T00:00:00"/>
    <n v="7"/>
    <n v="32"/>
    <s v="2454"/>
    <s v="3"/>
    <s v="02"/>
    <s v="Saxony"/>
    <x v="0"/>
    <s v="ZWICKAU"/>
    <s v="Germany"/>
    <s v="08058"/>
    <s v="80166"/>
    <s v="12"/>
    <s v="II-F14"/>
    <s v="1kg Raisin Muesli"/>
    <s v="Finished Product"/>
    <s v="F14"/>
    <s v="1kg"/>
    <s v="Raisin Muesli"/>
    <n v="3016"/>
    <n v="3016"/>
    <s v="ST"/>
    <n v="4.38"/>
    <n v="13210.08"/>
    <n v="4192.24"/>
    <s v="EUR"/>
    <n v="9017.84"/>
    <n v="0.68"/>
  </r>
  <r>
    <s v=".1~168"/>
    <n v="168"/>
    <x v="0"/>
    <x v="1"/>
    <s v="12"/>
    <s v="02/12"/>
    <d v="2021-02-01T00:00:00"/>
    <n v="7"/>
    <n v="32"/>
    <s v="2454"/>
    <s v="2"/>
    <s v="02"/>
    <s v="Saxony"/>
    <x v="0"/>
    <s v="ZWICKAU"/>
    <s v="Germany"/>
    <s v="08058"/>
    <s v="80166"/>
    <s v="12"/>
    <s v="II-F14"/>
    <s v="1kg Raisin Muesli"/>
    <s v="Finished Product"/>
    <s v="F14"/>
    <s v="1kg"/>
    <s v="Raisin Muesli"/>
    <n v="3639"/>
    <n v="3639"/>
    <s v="ST"/>
    <n v="4.38"/>
    <n v="15938.82"/>
    <n v="5058.21"/>
    <s v="EUR"/>
    <n v="10880.61"/>
    <n v="0.68"/>
  </r>
  <r>
    <s v=".1~169"/>
    <n v="169"/>
    <x v="0"/>
    <x v="1"/>
    <s v="12"/>
    <s v="02/12"/>
    <d v="2021-02-01T00:00:00"/>
    <n v="7"/>
    <n v="32"/>
    <s v="2454"/>
    <s v="1"/>
    <s v="02"/>
    <s v="Saxony"/>
    <x v="0"/>
    <s v="ZWICKAU"/>
    <s v="Germany"/>
    <s v="08058"/>
    <s v="80166"/>
    <s v="12"/>
    <s v="II-F14"/>
    <s v="1kg Raisin Muesli"/>
    <s v="Finished Product"/>
    <s v="F14"/>
    <s v="1kg"/>
    <s v="Raisin Muesli"/>
    <n v="3102"/>
    <n v="3102"/>
    <s v="ST"/>
    <n v="4.38"/>
    <n v="13586.76"/>
    <n v="4311.78"/>
    <s v="EUR"/>
    <n v="9274.98"/>
    <n v="0.68"/>
  </r>
  <r>
    <s v=".1~170"/>
    <n v="170"/>
    <x v="0"/>
    <x v="1"/>
    <s v="13"/>
    <s v="02/13"/>
    <d v="2021-02-02T00:00:00"/>
    <n v="7"/>
    <n v="33"/>
    <s v="2475"/>
    <s v="1"/>
    <s v="02"/>
    <s v="Nrth Rhine Westfalia"/>
    <x v="2"/>
    <s v="PADERBORN"/>
    <s v="Germany"/>
    <s v="33100"/>
    <s v="80159"/>
    <s v="12"/>
    <s v="II-F02"/>
    <s v="500g Blueberry Muesli"/>
    <s v="Finished Product"/>
    <s v="F02"/>
    <s v="500g"/>
    <s v="Blueberry Muesli"/>
    <n v="3497"/>
    <n v="3497"/>
    <s v="ST"/>
    <n v="4.2300000000000004"/>
    <n v="14792.31"/>
    <n v="4301.3100000000004"/>
    <s v="EUR"/>
    <n v="10491"/>
    <n v="0.71"/>
  </r>
  <r>
    <s v=".1~171"/>
    <n v="171"/>
    <x v="0"/>
    <x v="1"/>
    <s v="13"/>
    <s v="02/13"/>
    <d v="2021-02-02T00:00:00"/>
    <n v="7"/>
    <n v="33"/>
    <s v="2478"/>
    <s v="2"/>
    <s v="02"/>
    <s v="Nrth Rhine Westfalia"/>
    <x v="2"/>
    <s v="VELBERT"/>
    <s v="Germany"/>
    <s v="42551"/>
    <s v="80161"/>
    <s v="12"/>
    <s v="II-F02"/>
    <s v="500g Blueberry Muesli"/>
    <s v="Finished Product"/>
    <s v="F02"/>
    <s v="500g"/>
    <s v="Blueberry Muesli"/>
    <n v="3291"/>
    <n v="3291"/>
    <s v="ST"/>
    <n v="4.2300000000000004"/>
    <n v="13920.93"/>
    <n v="4047.93"/>
    <s v="EUR"/>
    <n v="9873"/>
    <n v="0.71"/>
  </r>
  <r>
    <s v=".1~172"/>
    <n v="172"/>
    <x v="0"/>
    <x v="1"/>
    <s v="13"/>
    <s v="02/13"/>
    <d v="2021-02-02T00:00:00"/>
    <n v="7"/>
    <n v="33"/>
    <s v="2478"/>
    <s v="1"/>
    <s v="02"/>
    <s v="Nrth Rhine Westfalia"/>
    <x v="2"/>
    <s v="VELBERT"/>
    <s v="Germany"/>
    <s v="42551"/>
    <s v="80161"/>
    <s v="12"/>
    <s v="II-F02"/>
    <s v="500g Blueberry Muesli"/>
    <s v="Finished Product"/>
    <s v="F02"/>
    <s v="500g"/>
    <s v="Blueberry Muesli"/>
    <n v="3304"/>
    <n v="3304"/>
    <s v="ST"/>
    <n v="4.2300000000000004"/>
    <n v="13975.92"/>
    <n v="4063.92"/>
    <s v="EUR"/>
    <n v="9912"/>
    <n v="0.71"/>
  </r>
  <r>
    <s v=".1~173"/>
    <n v="173"/>
    <x v="0"/>
    <x v="1"/>
    <s v="13"/>
    <s v="02/13"/>
    <d v="2021-02-02T00:00:00"/>
    <n v="7"/>
    <n v="33"/>
    <s v="2477"/>
    <s v="1"/>
    <s v="02"/>
    <s v="Schleswig-Holstein"/>
    <x v="0"/>
    <s v="FLENSBURG"/>
    <s v="Germany"/>
    <s v="24941"/>
    <s v="80282"/>
    <s v="14"/>
    <s v="II-F02"/>
    <s v="500g Blueberry Muesli"/>
    <s v="Finished Product"/>
    <s v="F02"/>
    <s v="500g"/>
    <s v="Blueberry Muesli"/>
    <n v="3223"/>
    <n v="3223"/>
    <s v="ST"/>
    <n v="4.6500000000000004"/>
    <n v="14986.95"/>
    <n v="3964.29"/>
    <s v="EUR"/>
    <n v="11022.66"/>
    <n v="0.74"/>
  </r>
  <r>
    <s v=".1~174"/>
    <n v="174"/>
    <x v="0"/>
    <x v="1"/>
    <s v="13"/>
    <s v="02/13"/>
    <d v="2021-02-02T00:00:00"/>
    <n v="7"/>
    <n v="33"/>
    <s v="2480"/>
    <s v="1"/>
    <s v="02"/>
    <s v="Thuringia"/>
    <x v="1"/>
    <s v="GERA"/>
    <s v="Germany"/>
    <s v="07545"/>
    <s v="80290"/>
    <s v="14"/>
    <s v="II-F02"/>
    <s v="500g Blueberry Muesli"/>
    <s v="Finished Product"/>
    <s v="F02"/>
    <s v="500g"/>
    <s v="Blueberry Muesli"/>
    <n v="3086"/>
    <n v="3086"/>
    <s v="ST"/>
    <n v="4.6500000000000004"/>
    <n v="14349.9"/>
    <n v="3795.78"/>
    <s v="EUR"/>
    <n v="10554.12"/>
    <n v="0.74"/>
  </r>
  <r>
    <s v=".1~175"/>
    <n v="175"/>
    <x v="0"/>
    <x v="1"/>
    <s v="14"/>
    <s v="02/14"/>
    <d v="2021-02-03T00:00:00"/>
    <n v="7"/>
    <n v="34"/>
    <s v="2492"/>
    <s v="3"/>
    <s v="02"/>
    <s v="Baden-Wurttemberg"/>
    <x v="1"/>
    <s v="STUTTGART"/>
    <s v="Germany"/>
    <s v="70173"/>
    <s v="80118"/>
    <s v="12"/>
    <s v="II-F02"/>
    <s v="500g Blueberry Muesli"/>
    <s v="Finished Product"/>
    <s v="F02"/>
    <s v="500g"/>
    <s v="Blueberry Muesli"/>
    <n v="3444"/>
    <n v="3444"/>
    <s v="ST"/>
    <n v="4.2300000000000004"/>
    <n v="14568.12"/>
    <n v="4236.12"/>
    <s v="EUR"/>
    <n v="10332"/>
    <n v="0.71"/>
  </r>
  <r>
    <s v=".1~176"/>
    <n v="176"/>
    <x v="0"/>
    <x v="1"/>
    <s v="14"/>
    <s v="02/14"/>
    <d v="2021-02-03T00:00:00"/>
    <n v="7"/>
    <n v="34"/>
    <s v="2492"/>
    <s v="4"/>
    <s v="02"/>
    <s v="Baden-Wurttemberg"/>
    <x v="1"/>
    <s v="STUTTGART"/>
    <s v="Germany"/>
    <s v="70173"/>
    <s v="80118"/>
    <s v="12"/>
    <s v="II-F02"/>
    <s v="500g Blueberry Muesli"/>
    <s v="Finished Product"/>
    <s v="F02"/>
    <s v="500g"/>
    <s v="Blueberry Muesli"/>
    <n v="3379"/>
    <n v="3379"/>
    <s v="ST"/>
    <n v="4.2300000000000004"/>
    <n v="14293.17"/>
    <n v="4156.17"/>
    <s v="EUR"/>
    <n v="10137"/>
    <n v="0.71"/>
  </r>
  <r>
    <s v=".1~177"/>
    <n v="177"/>
    <x v="0"/>
    <x v="1"/>
    <s v="14"/>
    <s v="02/14"/>
    <d v="2021-02-03T00:00:00"/>
    <n v="7"/>
    <n v="34"/>
    <s v="2496"/>
    <s v="1"/>
    <s v="02"/>
    <s v="Lower Saxony"/>
    <x v="0"/>
    <s v="NIENBURG"/>
    <s v="Germany"/>
    <s v="31582"/>
    <s v="80143"/>
    <s v="12"/>
    <s v="II-F02"/>
    <s v="500g Blueberry Muesli"/>
    <s v="Finished Product"/>
    <s v="F02"/>
    <s v="500g"/>
    <s v="Blueberry Muesli"/>
    <n v="3478"/>
    <n v="3478"/>
    <s v="ST"/>
    <n v="4.2300000000000004"/>
    <n v="14711.94"/>
    <n v="4277.9399999999996"/>
    <s v="EUR"/>
    <n v="10434"/>
    <n v="0.71"/>
  </r>
  <r>
    <s v=".1~178"/>
    <n v="178"/>
    <x v="0"/>
    <x v="1"/>
    <s v="14"/>
    <s v="02/14"/>
    <d v="2021-02-03T00:00:00"/>
    <n v="7"/>
    <n v="34"/>
    <s v="2496"/>
    <s v="2"/>
    <s v="02"/>
    <s v="Lower Saxony"/>
    <x v="0"/>
    <s v="NIENBURG"/>
    <s v="Germany"/>
    <s v="31582"/>
    <s v="80143"/>
    <s v="12"/>
    <s v="II-F02"/>
    <s v="500g Blueberry Muesli"/>
    <s v="Finished Product"/>
    <s v="F02"/>
    <s v="500g"/>
    <s v="Blueberry Muesli"/>
    <n v="3226"/>
    <n v="3226"/>
    <s v="ST"/>
    <n v="4.2300000000000004"/>
    <n v="13645.98"/>
    <n v="3967.98"/>
    <s v="EUR"/>
    <n v="9678"/>
    <n v="0.71"/>
  </r>
  <r>
    <s v=".1~179"/>
    <n v="179"/>
    <x v="0"/>
    <x v="1"/>
    <s v="14"/>
    <s v="02/14"/>
    <d v="2021-02-03T00:00:00"/>
    <n v="7"/>
    <n v="34"/>
    <s v="2503"/>
    <s v="1"/>
    <s v="02"/>
    <s v="Nrth Rhine Westfalia"/>
    <x v="2"/>
    <s v="DÜSSELDORF"/>
    <s v="Germany"/>
    <s v="40212"/>
    <s v="80151"/>
    <s v="12"/>
    <s v="II-F02"/>
    <s v="500g Blueberry Muesli"/>
    <s v="Finished Product"/>
    <s v="F02"/>
    <s v="500g"/>
    <s v="Blueberry Muesli"/>
    <n v="2979"/>
    <n v="2979"/>
    <s v="ST"/>
    <n v="4.2300000000000004"/>
    <n v="12601.17"/>
    <n v="3664.17"/>
    <s v="EUR"/>
    <n v="8937"/>
    <n v="0.71"/>
  </r>
  <r>
    <s v=".1~180"/>
    <n v="180"/>
    <x v="0"/>
    <x v="1"/>
    <s v="14"/>
    <s v="02/14"/>
    <d v="2021-02-03T00:00:00"/>
    <n v="7"/>
    <n v="34"/>
    <s v="2492"/>
    <s v="2"/>
    <s v="02"/>
    <s v="Baden-Wurttemberg"/>
    <x v="1"/>
    <s v="STUTTGART"/>
    <s v="Germany"/>
    <s v="70173"/>
    <s v="80118"/>
    <s v="12"/>
    <s v="II-F02"/>
    <s v="500g Blueberry Muesli"/>
    <s v="Finished Product"/>
    <s v="F02"/>
    <s v="500g"/>
    <s v="Blueberry Muesli"/>
    <n v="3735"/>
    <n v="3735"/>
    <s v="ST"/>
    <n v="4.2300000000000004"/>
    <n v="15799.05"/>
    <n v="4594.05"/>
    <s v="EUR"/>
    <n v="11205"/>
    <n v="0.71"/>
  </r>
  <r>
    <s v=".1~181"/>
    <n v="181"/>
    <x v="0"/>
    <x v="1"/>
    <s v="14"/>
    <s v="02/14"/>
    <d v="2021-02-03T00:00:00"/>
    <n v="7"/>
    <n v="34"/>
    <s v="2492"/>
    <s v="1"/>
    <s v="02"/>
    <s v="Baden-Wurttemberg"/>
    <x v="1"/>
    <s v="STUTTGART"/>
    <s v="Germany"/>
    <s v="70173"/>
    <s v="80118"/>
    <s v="12"/>
    <s v="II-F02"/>
    <s v="500g Blueberry Muesli"/>
    <s v="Finished Product"/>
    <s v="F02"/>
    <s v="500g"/>
    <s v="Blueberry Muesli"/>
    <n v="3424"/>
    <n v="3424"/>
    <s v="ST"/>
    <n v="4.2300000000000004"/>
    <n v="14483.52"/>
    <n v="4211.5200000000004"/>
    <s v="EUR"/>
    <n v="10272"/>
    <n v="0.71"/>
  </r>
  <r>
    <s v=".1~182"/>
    <n v="182"/>
    <x v="0"/>
    <x v="1"/>
    <s v="14"/>
    <s v="02/14"/>
    <d v="2021-02-03T00:00:00"/>
    <n v="7"/>
    <n v="34"/>
    <s v="2504"/>
    <s v="1"/>
    <s v="02"/>
    <s v="Nrth Rhine Westfalia"/>
    <x v="2"/>
    <s v="NEUSS"/>
    <s v="Germany"/>
    <s v="41460"/>
    <s v="80253"/>
    <s v="14"/>
    <s v="II-F02"/>
    <s v="500g Blueberry Muesli"/>
    <s v="Finished Product"/>
    <s v="F02"/>
    <s v="500g"/>
    <s v="Blueberry Muesli"/>
    <n v="3114"/>
    <n v="3114"/>
    <s v="ST"/>
    <n v="4.6500000000000004"/>
    <n v="14480.1"/>
    <n v="3830.22"/>
    <s v="EUR"/>
    <n v="10649.88"/>
    <n v="0.74"/>
  </r>
  <r>
    <s v=".1~183"/>
    <n v="183"/>
    <x v="0"/>
    <x v="1"/>
    <s v="14"/>
    <s v="02/14"/>
    <d v="2021-02-03T00:00:00"/>
    <n v="7"/>
    <n v="34"/>
    <s v="2508"/>
    <s v="1"/>
    <s v="02"/>
    <s v="Thuringia"/>
    <x v="1"/>
    <s v="JENA"/>
    <s v="Germany"/>
    <s v="07747"/>
    <s v="80291"/>
    <s v="14"/>
    <s v="II-F02"/>
    <s v="500g Blueberry Muesli"/>
    <s v="Finished Product"/>
    <s v="F02"/>
    <s v="500g"/>
    <s v="Blueberry Muesli"/>
    <n v="3408"/>
    <n v="3408"/>
    <s v="ST"/>
    <n v="4.6500000000000004"/>
    <n v="15847.2"/>
    <n v="4191.84"/>
    <s v="EUR"/>
    <n v="11655.36"/>
    <n v="0.74"/>
  </r>
  <r>
    <s v=".1~184"/>
    <n v="184"/>
    <x v="0"/>
    <x v="1"/>
    <s v="15"/>
    <s v="02/15"/>
    <d v="2021-02-04T00:00:00"/>
    <n v="7"/>
    <n v="35"/>
    <s v="2514"/>
    <s v="1"/>
    <s v="02"/>
    <s v="Nrth Rhine Westfalia"/>
    <x v="2"/>
    <s v="HÜCKELHOVEN"/>
    <s v="Germany"/>
    <s v="41836"/>
    <s v="80156"/>
    <s v="12"/>
    <s v="II-F02"/>
    <s v="500g Blueberry Muesli"/>
    <s v="Finished Product"/>
    <s v="F02"/>
    <s v="500g"/>
    <s v="Blueberry Muesli"/>
    <n v="3321"/>
    <n v="3321"/>
    <s v="ST"/>
    <n v="4.2300000000000004"/>
    <n v="14047.83"/>
    <n v="4084.83"/>
    <s v="EUR"/>
    <n v="9963"/>
    <n v="0.71"/>
  </r>
  <r>
    <s v=".1~185"/>
    <n v="185"/>
    <x v="0"/>
    <x v="1"/>
    <s v="15"/>
    <s v="02/15"/>
    <d v="2021-02-04T00:00:00"/>
    <n v="7"/>
    <n v="35"/>
    <s v="2514"/>
    <s v="2"/>
    <s v="02"/>
    <s v="Nrth Rhine Westfalia"/>
    <x v="2"/>
    <s v="HÜCKELHOVEN"/>
    <s v="Germany"/>
    <s v="41836"/>
    <s v="80156"/>
    <s v="12"/>
    <s v="II-F02"/>
    <s v="500g Blueberry Muesli"/>
    <s v="Finished Product"/>
    <s v="F02"/>
    <s v="500g"/>
    <s v="Blueberry Muesli"/>
    <n v="3645"/>
    <n v="3645"/>
    <s v="ST"/>
    <n v="4.2300000000000004"/>
    <n v="15418.35"/>
    <n v="4483.3500000000004"/>
    <s v="EUR"/>
    <n v="10935"/>
    <n v="0.71"/>
  </r>
  <r>
    <s v=".1~186"/>
    <n v="186"/>
    <x v="0"/>
    <x v="1"/>
    <s v="16"/>
    <s v="02/16"/>
    <d v="2021-02-05T00:00:00"/>
    <n v="8"/>
    <n v="36"/>
    <s v="2540"/>
    <s v="1"/>
    <s v="02"/>
    <s v="Lower Saxony"/>
    <x v="0"/>
    <s v="OLDENBURG"/>
    <s v="Germany"/>
    <s v="26121"/>
    <s v="80145"/>
    <s v="12"/>
    <s v="II-F02"/>
    <s v="500g Blueberry Muesli"/>
    <s v="Finished Product"/>
    <s v="F02"/>
    <s v="500g"/>
    <s v="Blueberry Muesli"/>
    <n v="3765"/>
    <n v="3765"/>
    <s v="ST"/>
    <n v="4.2300000000000004"/>
    <n v="15925.95"/>
    <n v="4630.95"/>
    <s v="EUR"/>
    <n v="11295"/>
    <n v="0.71"/>
  </r>
  <r>
    <s v=".1~187"/>
    <n v="187"/>
    <x v="0"/>
    <x v="1"/>
    <s v="16"/>
    <s v="02/16"/>
    <d v="2021-02-05T00:00:00"/>
    <n v="8"/>
    <n v="36"/>
    <s v="2540"/>
    <s v="2"/>
    <s v="02"/>
    <s v="Lower Saxony"/>
    <x v="0"/>
    <s v="OLDENBURG"/>
    <s v="Germany"/>
    <s v="26121"/>
    <s v="80145"/>
    <s v="12"/>
    <s v="II-F02"/>
    <s v="500g Blueberry Muesli"/>
    <s v="Finished Product"/>
    <s v="F02"/>
    <s v="500g"/>
    <s v="Blueberry Muesli"/>
    <n v="3836"/>
    <n v="3836"/>
    <s v="ST"/>
    <n v="4.2300000000000004"/>
    <n v="16226.28"/>
    <n v="4718.28"/>
    <s v="EUR"/>
    <n v="11508"/>
    <n v="0.71"/>
  </r>
  <r>
    <s v=".1~188"/>
    <n v="188"/>
    <x v="0"/>
    <x v="1"/>
    <s v="16"/>
    <s v="02/16"/>
    <d v="2021-02-05T00:00:00"/>
    <n v="8"/>
    <n v="36"/>
    <s v="2532"/>
    <s v="2"/>
    <s v="02"/>
    <s v="Bavaria"/>
    <x v="1"/>
    <s v="INGOLSTADT"/>
    <s v="Germany"/>
    <s v="85046"/>
    <s v="80121"/>
    <s v="12"/>
    <s v="II-F02"/>
    <s v="500g Blueberry Muesli"/>
    <s v="Finished Product"/>
    <s v="F02"/>
    <s v="500g"/>
    <s v="Blueberry Muesli"/>
    <n v="3968"/>
    <n v="3968"/>
    <s v="ST"/>
    <n v="4.2300000000000004"/>
    <n v="16784.64"/>
    <n v="4880.6400000000003"/>
    <s v="EUR"/>
    <n v="11904"/>
    <n v="0.71"/>
  </r>
  <r>
    <s v=".1~189"/>
    <n v="189"/>
    <x v="0"/>
    <x v="1"/>
    <s v="16"/>
    <s v="02/16"/>
    <d v="2021-02-05T00:00:00"/>
    <n v="8"/>
    <n v="36"/>
    <s v="2532"/>
    <s v="1"/>
    <s v="02"/>
    <s v="Bavaria"/>
    <x v="1"/>
    <s v="INGOLSTADT"/>
    <s v="Germany"/>
    <s v="85046"/>
    <s v="80121"/>
    <s v="12"/>
    <s v="II-F02"/>
    <s v="500g Blueberry Muesli"/>
    <s v="Finished Product"/>
    <s v="F02"/>
    <s v="500g"/>
    <s v="Blueberry Muesli"/>
    <n v="3943"/>
    <n v="3943"/>
    <s v="ST"/>
    <n v="4.2300000000000004"/>
    <n v="16678.89"/>
    <n v="4849.8900000000003"/>
    <s v="EUR"/>
    <n v="11829"/>
    <n v="0.71"/>
  </r>
  <r>
    <s v=".1~190"/>
    <n v="190"/>
    <x v="0"/>
    <x v="1"/>
    <s v="16"/>
    <s v="02/16"/>
    <d v="2021-02-05T00:00:00"/>
    <n v="8"/>
    <n v="36"/>
    <s v="2547"/>
    <s v="1"/>
    <s v="02"/>
    <s v="Rhineland Palatinate"/>
    <x v="2"/>
    <s v="BAD KREUZNACH"/>
    <s v="Germany"/>
    <s v="55543"/>
    <s v="80163"/>
    <s v="12"/>
    <s v="II-F03"/>
    <s v="500g Strawberry Muesli"/>
    <s v="Finished Product"/>
    <s v="F03"/>
    <s v="500g"/>
    <s v="Strawberry Muesli"/>
    <n v="3140"/>
    <n v="3140"/>
    <s v="ST"/>
    <n v="4.2300000000000004"/>
    <n v="13282.2"/>
    <n v="3862.2"/>
    <s v="EUR"/>
    <n v="9420"/>
    <n v="0.71"/>
  </r>
  <r>
    <s v=".1~191"/>
    <n v="191"/>
    <x v="0"/>
    <x v="1"/>
    <s v="18"/>
    <s v="02/18"/>
    <d v="2021-02-07T00:00:00"/>
    <n v="8"/>
    <n v="38"/>
    <s v="2594"/>
    <s v="1"/>
    <s v="02"/>
    <s v="Nrth Rhine Westfalia"/>
    <x v="2"/>
    <s v="WÜRSELEN"/>
    <s v="Germany"/>
    <s v="52146"/>
    <s v="80162"/>
    <s v="12"/>
    <s v="II-F03"/>
    <s v="500g Strawberry Muesli"/>
    <s v="Finished Product"/>
    <s v="F03"/>
    <s v="500g"/>
    <s v="Strawberry Muesli"/>
    <n v="3573"/>
    <n v="3573"/>
    <s v="ST"/>
    <n v="4.2300000000000004"/>
    <n v="15113.79"/>
    <n v="4394.79"/>
    <s v="EUR"/>
    <n v="10719"/>
    <n v="0.71"/>
  </r>
  <r>
    <s v=".1~192"/>
    <n v="192"/>
    <x v="0"/>
    <x v="1"/>
    <s v="18"/>
    <s v="02/18"/>
    <d v="2021-02-07T00:00:00"/>
    <n v="8"/>
    <n v="38"/>
    <s v="2591"/>
    <s v="1"/>
    <s v="02"/>
    <s v="Nrth Rhine Westfalia"/>
    <x v="2"/>
    <s v="ESSEN"/>
    <s v="Germany"/>
    <s v="45127"/>
    <s v="80153"/>
    <s v="12"/>
    <s v="II-F03"/>
    <s v="500g Strawberry Muesli"/>
    <s v="Finished Product"/>
    <s v="F03"/>
    <s v="500g"/>
    <s v="Strawberry Muesli"/>
    <n v="3544"/>
    <n v="3544"/>
    <s v="ST"/>
    <n v="4.2300000000000004"/>
    <n v="14991.12"/>
    <n v="4359.12"/>
    <s v="EUR"/>
    <n v="10632"/>
    <n v="0.71"/>
  </r>
  <r>
    <s v=".1~193"/>
    <n v="193"/>
    <x v="0"/>
    <x v="1"/>
    <s v="18"/>
    <s v="02/18"/>
    <d v="2021-02-07T00:00:00"/>
    <n v="8"/>
    <n v="38"/>
    <s v="2597"/>
    <s v="1"/>
    <s v="02"/>
    <s v="Bavaria"/>
    <x v="1"/>
    <s v="MÜNCHEN"/>
    <s v="Germany"/>
    <s v="80804"/>
    <s v="80188"/>
    <s v="14"/>
    <s v="II-F02"/>
    <s v="500g Blueberry Muesli"/>
    <s v="Finished Product"/>
    <s v="F02"/>
    <s v="500g"/>
    <s v="Blueberry Muesli"/>
    <n v="3184"/>
    <n v="3184"/>
    <s v="ST"/>
    <n v="4.6500000000000004"/>
    <n v="14805.6"/>
    <n v="3916.32"/>
    <s v="EUR"/>
    <n v="10889.28"/>
    <n v="0.74"/>
  </r>
  <r>
    <s v=".1~194"/>
    <n v="194"/>
    <x v="0"/>
    <x v="1"/>
    <s v="19"/>
    <s v="02/19"/>
    <d v="2021-02-08T00:00:00"/>
    <n v="8"/>
    <n v="39"/>
    <s v="2617"/>
    <s v="1"/>
    <s v="02"/>
    <s v="Baden-Wurttemberg"/>
    <x v="1"/>
    <s v="REUTLINGEN"/>
    <s v="Germany"/>
    <s v="72770"/>
    <s v="80180"/>
    <s v="14"/>
    <s v="II-F02"/>
    <s v="500g Blueberry Muesli"/>
    <s v="Finished Product"/>
    <s v="F02"/>
    <s v="500g"/>
    <s v="Blueberry Muesli"/>
    <n v="3387"/>
    <n v="3387"/>
    <s v="ST"/>
    <n v="4.6500000000000004"/>
    <n v="15749.55"/>
    <n v="4166.01"/>
    <s v="EUR"/>
    <n v="11583.54"/>
    <n v="0.74"/>
  </r>
  <r>
    <s v=".1~195"/>
    <n v="195"/>
    <x v="0"/>
    <x v="1"/>
    <s v="19"/>
    <s v="02/19"/>
    <d v="2021-02-08T00:00:00"/>
    <n v="8"/>
    <n v="39"/>
    <s v="2619"/>
    <s v="1"/>
    <s v="02"/>
    <s v="Baden-Wurttemberg"/>
    <x v="1"/>
    <s v="BALINGEN"/>
    <s v="Germany"/>
    <s v="72336"/>
    <s v="80172"/>
    <s v="14"/>
    <s v="II-F03"/>
    <s v="500g Strawberry Muesli"/>
    <s v="Finished Product"/>
    <s v="F03"/>
    <s v="500g"/>
    <s v="Strawberry Muesli"/>
    <n v="3149"/>
    <n v="3149"/>
    <s v="ST"/>
    <n v="4.6500000000000004"/>
    <n v="14642.85"/>
    <n v="3873.27"/>
    <s v="EUR"/>
    <n v="10769.58"/>
    <n v="0.74"/>
  </r>
  <r>
    <s v=".1~196"/>
    <n v="196"/>
    <x v="0"/>
    <x v="1"/>
    <s v="19"/>
    <s v="02/19"/>
    <d v="2021-02-08T00:00:00"/>
    <n v="8"/>
    <n v="39"/>
    <s v="2615"/>
    <s v="1"/>
    <s v="02"/>
    <s v="Lower Saxony"/>
    <x v="0"/>
    <s v="OLDENBURG"/>
    <s v="Germany"/>
    <s v="26133"/>
    <s v="80226"/>
    <s v="14"/>
    <s v="II-F03"/>
    <s v="500g Strawberry Muesli"/>
    <s v="Finished Product"/>
    <s v="F03"/>
    <s v="500g"/>
    <s v="Strawberry Muesli"/>
    <n v="2931"/>
    <n v="2931"/>
    <s v="ST"/>
    <n v="4.6500000000000004"/>
    <n v="13629.15"/>
    <n v="3605.13"/>
    <s v="EUR"/>
    <n v="10024.02"/>
    <n v="0.74"/>
  </r>
  <r>
    <s v=".1~197"/>
    <n v="197"/>
    <x v="0"/>
    <x v="1"/>
    <s v="20"/>
    <s v="02/20"/>
    <d v="2021-02-09T00:00:00"/>
    <n v="8"/>
    <n v="40"/>
    <s v="2634"/>
    <s v="3"/>
    <s v="02"/>
    <s v="Baden-Wurttemberg"/>
    <x v="1"/>
    <s v="KORNTAL"/>
    <s v="Germany"/>
    <s v="70825"/>
    <s v="80116"/>
    <s v="12"/>
    <s v="II-F02"/>
    <s v="500g Blueberry Muesli"/>
    <s v="Finished Product"/>
    <s v="F02"/>
    <s v="500g"/>
    <s v="Blueberry Muesli"/>
    <n v="3447"/>
    <n v="3447"/>
    <s v="ST"/>
    <n v="4.2300000000000004"/>
    <n v="14580.81"/>
    <n v="4239.8100000000004"/>
    <s v="EUR"/>
    <n v="10341"/>
    <n v="0.71"/>
  </r>
  <r>
    <s v=".1~198"/>
    <n v="198"/>
    <x v="0"/>
    <x v="1"/>
    <s v="20"/>
    <s v="02/20"/>
    <d v="2021-02-09T00:00:00"/>
    <n v="8"/>
    <n v="40"/>
    <s v="2637"/>
    <s v="1"/>
    <s v="02"/>
    <s v="Bavaria"/>
    <x v="1"/>
    <s v="INGOLSTADT"/>
    <s v="Germany"/>
    <s v="85055"/>
    <s v="80120"/>
    <s v="12"/>
    <s v="II-F02"/>
    <s v="500g Blueberry Muesli"/>
    <s v="Finished Product"/>
    <s v="F02"/>
    <s v="500g"/>
    <s v="Blueberry Muesli"/>
    <n v="3169"/>
    <n v="3169"/>
    <s v="ST"/>
    <n v="4.2300000000000004"/>
    <n v="13404.87"/>
    <n v="3897.87"/>
    <s v="EUR"/>
    <n v="9507"/>
    <n v="0.71"/>
  </r>
  <r>
    <s v=".1~199"/>
    <n v="199"/>
    <x v="0"/>
    <x v="1"/>
    <s v="20"/>
    <s v="02/20"/>
    <d v="2021-02-09T00:00:00"/>
    <n v="8"/>
    <n v="40"/>
    <s v="2634"/>
    <s v="1"/>
    <s v="02"/>
    <s v="Baden-Wurttemberg"/>
    <x v="1"/>
    <s v="KORNTAL"/>
    <s v="Germany"/>
    <s v="70825"/>
    <s v="80116"/>
    <s v="12"/>
    <s v="II-F03"/>
    <s v="500g Strawberry Muesli"/>
    <s v="Finished Product"/>
    <s v="F03"/>
    <s v="500g"/>
    <s v="Strawberry Muesli"/>
    <n v="3799"/>
    <n v="3799"/>
    <s v="ST"/>
    <n v="4.2300000000000004"/>
    <n v="16069.77"/>
    <n v="4672.7700000000004"/>
    <s v="EUR"/>
    <n v="11397"/>
    <n v="0.71"/>
  </r>
  <r>
    <s v=".1~200"/>
    <n v="200"/>
    <x v="0"/>
    <x v="1"/>
    <s v="20"/>
    <s v="02/20"/>
    <d v="2021-02-09T00:00:00"/>
    <n v="8"/>
    <n v="40"/>
    <s v="2637"/>
    <s v="2"/>
    <s v="02"/>
    <s v="Bavaria"/>
    <x v="1"/>
    <s v="INGOLSTADT"/>
    <s v="Germany"/>
    <s v="85055"/>
    <s v="80120"/>
    <s v="12"/>
    <s v="II-F03"/>
    <s v="500g Strawberry Muesli"/>
    <s v="Finished Product"/>
    <s v="F03"/>
    <s v="500g"/>
    <s v="Strawberry Muesli"/>
    <n v="3214"/>
    <n v="3214"/>
    <s v="ST"/>
    <n v="4.2300000000000004"/>
    <n v="13595.22"/>
    <n v="3953.22"/>
    <s v="EUR"/>
    <n v="9642"/>
    <n v="0.71"/>
  </r>
  <r>
    <s v=".1~201"/>
    <n v="201"/>
    <x v="0"/>
    <x v="1"/>
    <s v="20"/>
    <s v="02/20"/>
    <d v="2021-02-09T00:00:00"/>
    <n v="8"/>
    <n v="40"/>
    <s v="2634"/>
    <s v="2"/>
    <s v="02"/>
    <s v="Baden-Wurttemberg"/>
    <x v="1"/>
    <s v="KORNTAL"/>
    <s v="Germany"/>
    <s v="70825"/>
    <s v="80116"/>
    <s v="12"/>
    <s v="II-F04"/>
    <s v="500g Raisin Muesli"/>
    <s v="Finished Product"/>
    <s v="F04"/>
    <s v="500g"/>
    <s v="Raisin Muesli"/>
    <n v="3690"/>
    <n v="3690"/>
    <s v="ST"/>
    <n v="3.79"/>
    <n v="13985.1"/>
    <n v="2915.1"/>
    <s v="EUR"/>
    <n v="11070"/>
    <n v="0.79"/>
  </r>
  <r>
    <s v=".1~202"/>
    <n v="202"/>
    <x v="0"/>
    <x v="1"/>
    <s v="20"/>
    <s v="02/20"/>
    <d v="2021-02-09T00:00:00"/>
    <n v="8"/>
    <n v="40"/>
    <s v="2637"/>
    <s v="4"/>
    <s v="02"/>
    <s v="Bavaria"/>
    <x v="1"/>
    <s v="INGOLSTADT"/>
    <s v="Germany"/>
    <s v="85055"/>
    <s v="80120"/>
    <s v="12"/>
    <s v="II-F04"/>
    <s v="500g Raisin Muesli"/>
    <s v="Finished Product"/>
    <s v="F04"/>
    <s v="500g"/>
    <s v="Raisin Muesli"/>
    <n v="3654"/>
    <n v="3654"/>
    <s v="ST"/>
    <n v="3.79"/>
    <n v="13848.66"/>
    <n v="2886.66"/>
    <s v="EUR"/>
    <n v="10962"/>
    <n v="0.79"/>
  </r>
  <r>
    <s v=".1~203"/>
    <n v="203"/>
    <x v="0"/>
    <x v="1"/>
    <s v="20"/>
    <s v="02/20"/>
    <d v="2021-02-09T00:00:00"/>
    <n v="8"/>
    <n v="40"/>
    <s v="2637"/>
    <s v="3"/>
    <s v="02"/>
    <s v="Bavaria"/>
    <x v="1"/>
    <s v="INGOLSTADT"/>
    <s v="Germany"/>
    <s v="85055"/>
    <s v="80120"/>
    <s v="12"/>
    <s v="II-F04"/>
    <s v="500g Raisin Muesli"/>
    <s v="Finished Product"/>
    <s v="F04"/>
    <s v="500g"/>
    <s v="Raisin Muesli"/>
    <n v="4207"/>
    <n v="4207"/>
    <s v="ST"/>
    <n v="3.79"/>
    <n v="15944.53"/>
    <n v="3323.53"/>
    <s v="EUR"/>
    <n v="12621"/>
    <n v="0.79"/>
  </r>
  <r>
    <s v=".1~204"/>
    <n v="204"/>
    <x v="0"/>
    <x v="1"/>
    <s v="20"/>
    <s v="02/20"/>
    <d v="2021-02-09T00:00:00"/>
    <n v="8"/>
    <n v="40"/>
    <s v="2641"/>
    <s v="1"/>
    <s v="02"/>
    <s v="Bavaria"/>
    <x v="1"/>
    <s v="MÜNCHEN"/>
    <s v="Germany"/>
    <s v="80331"/>
    <s v="80187"/>
    <s v="14"/>
    <s v="II-F03"/>
    <s v="500g Strawberry Muesli"/>
    <s v="Finished Product"/>
    <s v="F03"/>
    <s v="500g"/>
    <s v="Strawberry Muesli"/>
    <n v="2722"/>
    <n v="2722"/>
    <s v="ST"/>
    <n v="4.6500000000000004"/>
    <n v="12657.3"/>
    <n v="3348.06"/>
    <s v="EUR"/>
    <n v="9309.24"/>
    <n v="0.74"/>
  </r>
  <r>
    <s v=".1~205"/>
    <n v="205"/>
    <x v="0"/>
    <x v="2"/>
    <s v="01"/>
    <s v="03/01"/>
    <d v="2021-02-10T00:00:00"/>
    <n v="9"/>
    <n v="41"/>
    <s v="2659"/>
    <s v="1"/>
    <s v="02"/>
    <s v="Saxony"/>
    <x v="0"/>
    <s v="RÖHRSDORF"/>
    <s v="Germany"/>
    <s v="09247"/>
    <s v="80275"/>
    <s v="14"/>
    <s v="II-F02"/>
    <s v="500g Blueberry Muesli"/>
    <s v="Finished Product"/>
    <s v="F02"/>
    <s v="500g"/>
    <s v="Blueberry Muesli"/>
    <n v="2904"/>
    <n v="2904"/>
    <s v="ST"/>
    <n v="4.6500000000000004"/>
    <n v="13503.6"/>
    <n v="3571.92"/>
    <s v="EUR"/>
    <n v="9931.68"/>
    <n v="0.74"/>
  </r>
  <r>
    <s v=".1~206"/>
    <n v="206"/>
    <x v="0"/>
    <x v="2"/>
    <s v="01"/>
    <s v="03/01"/>
    <d v="2021-02-10T00:00:00"/>
    <n v="9"/>
    <n v="41"/>
    <s v="2668"/>
    <s v="1"/>
    <s v="02"/>
    <s v="Nrth Rhine Westfalia"/>
    <x v="2"/>
    <s v="DÜSSELDORF"/>
    <s v="Germany"/>
    <s v="40211"/>
    <s v="80240"/>
    <s v="14"/>
    <s v="II-F03"/>
    <s v="500g Strawberry Muesli"/>
    <s v="Finished Product"/>
    <s v="F03"/>
    <s v="500g"/>
    <s v="Strawberry Muesli"/>
    <n v="3153"/>
    <n v="3153"/>
    <s v="ST"/>
    <n v="4.6500000000000004"/>
    <n v="14661.45"/>
    <n v="3878.19"/>
    <s v="EUR"/>
    <n v="10783.26"/>
    <n v="0.74"/>
  </r>
  <r>
    <s v=".1~207"/>
    <n v="207"/>
    <x v="0"/>
    <x v="2"/>
    <s v="02"/>
    <s v="03/02"/>
    <d v="2021-02-11T00:00:00"/>
    <n v="9"/>
    <n v="42"/>
    <s v="2681"/>
    <s v="1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3082"/>
    <n v="3082"/>
    <s v="ST"/>
    <n v="5.26"/>
    <n v="16211.32"/>
    <n v="6996.14"/>
    <s v="EUR"/>
    <n v="9215.18"/>
    <n v="0.56999999999999995"/>
  </r>
  <r>
    <s v=".1~208"/>
    <n v="208"/>
    <x v="0"/>
    <x v="2"/>
    <s v="02"/>
    <s v="03/02"/>
    <d v="2021-02-11T00:00:00"/>
    <n v="9"/>
    <n v="42"/>
    <s v="2681"/>
    <s v="2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614"/>
    <n v="2614"/>
    <s v="ST"/>
    <n v="5.26"/>
    <n v="13749.64"/>
    <n v="5933.78"/>
    <s v="EUR"/>
    <n v="7815.86"/>
    <n v="0.56999999999999995"/>
  </r>
  <r>
    <s v=".1~209"/>
    <n v="209"/>
    <x v="0"/>
    <x v="2"/>
    <s v="02"/>
    <s v="03/02"/>
    <d v="2021-02-11T00:00:00"/>
    <n v="9"/>
    <n v="42"/>
    <s v="2681"/>
    <s v="3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3156"/>
    <n v="3156"/>
    <s v="ST"/>
    <n v="5.26"/>
    <n v="16600.560000000001"/>
    <n v="7164.12"/>
    <s v="EUR"/>
    <n v="9436.44"/>
    <n v="0.56999999999999995"/>
  </r>
  <r>
    <s v=".1~210"/>
    <n v="210"/>
    <x v="0"/>
    <x v="2"/>
    <s v="02"/>
    <s v="03/02"/>
    <d v="2021-02-11T00:00:00"/>
    <n v="9"/>
    <n v="42"/>
    <s v="2692"/>
    <s v="2"/>
    <s v="02"/>
    <s v="Mecklenburg-Vorpomm."/>
    <x v="0"/>
    <s v="ROSTOCK"/>
    <s v="Germany"/>
    <s v="18184"/>
    <s v="80141"/>
    <s v="12"/>
    <s v="II-F03"/>
    <s v="500g Strawberry Muesli"/>
    <s v="Finished Product"/>
    <s v="F03"/>
    <s v="500g"/>
    <s v="Strawberry Muesli"/>
    <n v="3663"/>
    <n v="3663"/>
    <s v="ST"/>
    <n v="4.4400000000000004"/>
    <n v="16263.72"/>
    <n v="4505.49"/>
    <s v="EUR"/>
    <n v="11758.23"/>
    <n v="0.72"/>
  </r>
  <r>
    <s v=".1~211"/>
    <n v="211"/>
    <x v="0"/>
    <x v="2"/>
    <s v="02"/>
    <s v="03/02"/>
    <d v="2021-02-11T00:00:00"/>
    <n v="9"/>
    <n v="42"/>
    <s v="2692"/>
    <s v="3"/>
    <s v="02"/>
    <s v="Mecklenburg-Vorpomm."/>
    <x v="0"/>
    <s v="ROSTOCK"/>
    <s v="Germany"/>
    <s v="18184"/>
    <s v="80141"/>
    <s v="12"/>
    <s v="II-F03"/>
    <s v="500g Strawberry Muesli"/>
    <s v="Finished Product"/>
    <s v="F03"/>
    <s v="500g"/>
    <s v="Strawberry Muesli"/>
    <n v="3679"/>
    <n v="3679"/>
    <s v="ST"/>
    <n v="4.4400000000000004"/>
    <n v="16334.76"/>
    <n v="4525.17"/>
    <s v="EUR"/>
    <n v="11809.59"/>
    <n v="0.72"/>
  </r>
  <r>
    <s v=".1~212"/>
    <n v="212"/>
    <x v="0"/>
    <x v="2"/>
    <s v="02"/>
    <s v="03/02"/>
    <d v="2021-02-11T00:00:00"/>
    <n v="9"/>
    <n v="42"/>
    <s v="2689"/>
    <s v="4"/>
    <s v="02"/>
    <s v="Hessen"/>
    <x v="1"/>
    <s v="MAGDEBURG"/>
    <s v="Germany"/>
    <s v="39128"/>
    <s v="80138"/>
    <s v="12"/>
    <s v="II-F03"/>
    <s v="500g Strawberry Muesli"/>
    <s v="Finished Product"/>
    <s v="F03"/>
    <s v="500g"/>
    <s v="Strawberry Muesli"/>
    <n v="2863"/>
    <n v="2863"/>
    <s v="ST"/>
    <n v="4.4400000000000004"/>
    <n v="12711.72"/>
    <n v="3521.49"/>
    <s v="EUR"/>
    <n v="9190.23"/>
    <n v="0.72"/>
  </r>
  <r>
    <s v=".1~213"/>
    <n v="213"/>
    <x v="0"/>
    <x v="2"/>
    <s v="02"/>
    <s v="03/02"/>
    <d v="2021-02-11T00:00:00"/>
    <n v="9"/>
    <n v="42"/>
    <s v="2687"/>
    <s v="2"/>
    <s v="02"/>
    <s v="Hessen"/>
    <x v="1"/>
    <s v="FULDA"/>
    <s v="Germany"/>
    <s v="36037"/>
    <s v="80137"/>
    <s v="12"/>
    <s v="II-F03"/>
    <s v="500g Strawberry Muesli"/>
    <s v="Finished Product"/>
    <s v="F03"/>
    <s v="500g"/>
    <s v="Strawberry Muesli"/>
    <n v="3511"/>
    <n v="3511"/>
    <s v="ST"/>
    <n v="4.4400000000000004"/>
    <n v="15588.84"/>
    <n v="4318.53"/>
    <s v="EUR"/>
    <n v="11270.31"/>
    <n v="0.72"/>
  </r>
  <r>
    <s v=".1~214"/>
    <n v="214"/>
    <x v="0"/>
    <x v="2"/>
    <s v="02"/>
    <s v="03/02"/>
    <d v="2021-02-11T00:00:00"/>
    <n v="9"/>
    <n v="42"/>
    <s v="2692"/>
    <s v="1"/>
    <s v="02"/>
    <s v="Mecklenburg-Vorpomm."/>
    <x v="0"/>
    <s v="ROSTOCK"/>
    <s v="Germany"/>
    <s v="18184"/>
    <s v="80141"/>
    <s v="12"/>
    <s v="II-F04"/>
    <s v="500g Raisin Muesli"/>
    <s v="Finished Product"/>
    <s v="F04"/>
    <s v="500g"/>
    <s v="Raisin Muesli"/>
    <n v="4067"/>
    <n v="4067"/>
    <s v="ST"/>
    <n v="3.98"/>
    <n v="16186.66"/>
    <n v="3212.93"/>
    <s v="EUR"/>
    <n v="12973.73"/>
    <n v="0.8"/>
  </r>
  <r>
    <s v=".1~215"/>
    <n v="215"/>
    <x v="0"/>
    <x v="2"/>
    <s v="02"/>
    <s v="03/02"/>
    <d v="2021-02-11T00:00:00"/>
    <n v="9"/>
    <n v="42"/>
    <s v="2687"/>
    <s v="1"/>
    <s v="02"/>
    <s v="Hessen"/>
    <x v="1"/>
    <s v="FULDA"/>
    <s v="Germany"/>
    <s v="36037"/>
    <s v="80137"/>
    <s v="12"/>
    <s v="II-F12"/>
    <s v="1kg Blueberry Muesli"/>
    <s v="Finished Product"/>
    <s v="F12"/>
    <s v="1kg"/>
    <s v="Blueberry Muesli"/>
    <n v="3012"/>
    <n v="3012"/>
    <s v="ST"/>
    <n v="5.52"/>
    <n v="16626.240000000002"/>
    <n v="6837.24"/>
    <s v="EUR"/>
    <n v="9789"/>
    <n v="0.59"/>
  </r>
  <r>
    <s v=".1~216"/>
    <n v="216"/>
    <x v="0"/>
    <x v="2"/>
    <s v="02"/>
    <s v="03/02"/>
    <d v="2021-02-11T00:00:00"/>
    <n v="9"/>
    <n v="42"/>
    <s v="2687"/>
    <s v="3"/>
    <s v="02"/>
    <s v="Hessen"/>
    <x v="1"/>
    <s v="FULDA"/>
    <s v="Germany"/>
    <s v="36037"/>
    <s v="80137"/>
    <s v="12"/>
    <s v="II-F12"/>
    <s v="1kg Blueberry Muesli"/>
    <s v="Finished Product"/>
    <s v="F12"/>
    <s v="1kg"/>
    <s v="Blueberry Muesli"/>
    <n v="2628"/>
    <n v="2628"/>
    <s v="ST"/>
    <n v="5.52"/>
    <n v="14506.56"/>
    <n v="5965.56"/>
    <s v="EUR"/>
    <n v="8541"/>
    <n v="0.59"/>
  </r>
  <r>
    <s v=".1~217"/>
    <n v="217"/>
    <x v="0"/>
    <x v="2"/>
    <s v="02"/>
    <s v="03/02"/>
    <d v="2021-02-11T00:00:00"/>
    <n v="9"/>
    <n v="42"/>
    <s v="2687"/>
    <s v="4"/>
    <s v="02"/>
    <s v="Hessen"/>
    <x v="1"/>
    <s v="FULDA"/>
    <s v="Germany"/>
    <s v="36037"/>
    <s v="80137"/>
    <s v="12"/>
    <s v="II-F12"/>
    <s v="1kg Blueberry Muesli"/>
    <s v="Finished Product"/>
    <s v="F12"/>
    <s v="1kg"/>
    <s v="Blueberry Muesli"/>
    <n v="2800"/>
    <n v="2800"/>
    <s v="ST"/>
    <n v="5.52"/>
    <n v="15456"/>
    <n v="6356"/>
    <s v="EUR"/>
    <n v="9100"/>
    <n v="0.59"/>
  </r>
  <r>
    <s v=".1~218"/>
    <n v="218"/>
    <x v="0"/>
    <x v="2"/>
    <s v="02"/>
    <s v="03/02"/>
    <d v="2021-02-11T00:00:00"/>
    <n v="9"/>
    <n v="42"/>
    <s v="2689"/>
    <s v="3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191"/>
    <n v="2191"/>
    <s v="ST"/>
    <n v="5.52"/>
    <n v="12094.32"/>
    <n v="4973.57"/>
    <s v="EUR"/>
    <n v="7120.75"/>
    <n v="0.59"/>
  </r>
  <r>
    <s v=".1~219"/>
    <n v="219"/>
    <x v="0"/>
    <x v="2"/>
    <s v="02"/>
    <s v="03/02"/>
    <d v="2021-02-11T00:00:00"/>
    <n v="9"/>
    <n v="42"/>
    <s v="2689"/>
    <s v="2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806"/>
    <n v="2806"/>
    <s v="ST"/>
    <n v="5.52"/>
    <n v="15489.12"/>
    <n v="6369.62"/>
    <s v="EUR"/>
    <n v="9119.5"/>
    <n v="0.59"/>
  </r>
  <r>
    <s v=".1~220"/>
    <n v="220"/>
    <x v="0"/>
    <x v="2"/>
    <s v="02"/>
    <s v="03/02"/>
    <d v="2021-02-11T00:00:00"/>
    <n v="9"/>
    <n v="42"/>
    <s v="2689"/>
    <s v="1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961"/>
    <n v="2961"/>
    <s v="ST"/>
    <n v="5.52"/>
    <n v="16344.72"/>
    <n v="6721.47"/>
    <s v="EUR"/>
    <n v="9623.25"/>
    <n v="0.59"/>
  </r>
  <r>
    <s v=".1~221"/>
    <n v="221"/>
    <x v="0"/>
    <x v="2"/>
    <s v="03"/>
    <s v="03/03"/>
    <d v="2021-02-12T00:00:00"/>
    <n v="9"/>
    <n v="43"/>
    <s v="2696"/>
    <s v="3"/>
    <s v="02"/>
    <s v="Hessen"/>
    <x v="1"/>
    <s v="MAGDEBURG"/>
    <s v="Germany"/>
    <s v="39116"/>
    <s v="80107"/>
    <s v="10"/>
    <s v="II-F12"/>
    <s v="1kg Blueberry Muesli"/>
    <s v="Finished Product"/>
    <s v="F12"/>
    <s v="1kg"/>
    <s v="Blueberry Muesli"/>
    <n v="2840"/>
    <n v="2840"/>
    <s v="ST"/>
    <n v="5.26"/>
    <n v="14938.4"/>
    <n v="6446.8"/>
    <s v="EUR"/>
    <n v="8491.6"/>
    <n v="0.56999999999999995"/>
  </r>
  <r>
    <s v=".1~222"/>
    <n v="222"/>
    <x v="0"/>
    <x v="2"/>
    <s v="03"/>
    <s v="03/03"/>
    <d v="2021-02-12T00:00:00"/>
    <n v="9"/>
    <n v="43"/>
    <s v="2696"/>
    <s v="2"/>
    <s v="02"/>
    <s v="Hessen"/>
    <x v="1"/>
    <s v="MAGDEBURG"/>
    <s v="Germany"/>
    <s v="39116"/>
    <s v="80107"/>
    <s v="10"/>
    <s v="II-F12"/>
    <s v="1kg Blueberry Muesli"/>
    <s v="Finished Product"/>
    <s v="F12"/>
    <s v="1kg"/>
    <s v="Blueberry Muesli"/>
    <n v="2862"/>
    <n v="2862"/>
    <s v="ST"/>
    <n v="5.26"/>
    <n v="15054.12"/>
    <n v="6496.74"/>
    <s v="EUR"/>
    <n v="8557.3799999999992"/>
    <n v="0.56999999999999995"/>
  </r>
  <r>
    <s v=".1~223"/>
    <n v="223"/>
    <x v="0"/>
    <x v="2"/>
    <s v="03"/>
    <s v="03/03"/>
    <d v="2021-02-12T00:00:00"/>
    <n v="9"/>
    <n v="43"/>
    <s v="2696"/>
    <s v="1"/>
    <s v="02"/>
    <s v="Hessen"/>
    <x v="1"/>
    <s v="MAGDEBURG"/>
    <s v="Germany"/>
    <s v="39116"/>
    <s v="80107"/>
    <s v="10"/>
    <s v="II-F12"/>
    <s v="1kg Blueberry Muesli"/>
    <s v="Finished Product"/>
    <s v="F12"/>
    <s v="1kg"/>
    <s v="Blueberry Muesli"/>
    <n v="2489"/>
    <n v="2489"/>
    <s v="ST"/>
    <n v="5.26"/>
    <n v="13092.14"/>
    <n v="5650.03"/>
    <s v="EUR"/>
    <n v="7442.11"/>
    <n v="0.56999999999999995"/>
  </r>
  <r>
    <s v=".1~224"/>
    <n v="224"/>
    <x v="0"/>
    <x v="2"/>
    <s v="03"/>
    <s v="03/03"/>
    <d v="2021-02-12T00:00:00"/>
    <n v="9"/>
    <n v="43"/>
    <s v="2710"/>
    <s v="1"/>
    <s v="02"/>
    <s v="Schleswig-Holstein"/>
    <x v="0"/>
    <s v="KIEL"/>
    <s v="Germany"/>
    <s v="24113"/>
    <s v="80168"/>
    <s v="12"/>
    <s v="II-F02"/>
    <s v="500g Blueberry Muesli"/>
    <s v="Finished Product"/>
    <s v="F02"/>
    <s v="500g"/>
    <s v="Blueberry Muesli"/>
    <n v="2093"/>
    <n v="2093"/>
    <s v="ST"/>
    <n v="4.4400000000000004"/>
    <n v="9292.92"/>
    <n v="2574.39"/>
    <s v="EUR"/>
    <n v="6718.53"/>
    <n v="0.72"/>
  </r>
  <r>
    <s v=".1~225"/>
    <n v="225"/>
    <x v="0"/>
    <x v="2"/>
    <s v="03"/>
    <s v="03/03"/>
    <d v="2021-02-12T00:00:00"/>
    <n v="9"/>
    <n v="43"/>
    <s v="2710"/>
    <s v="3"/>
    <s v="02"/>
    <s v="Schleswig-Holstein"/>
    <x v="0"/>
    <s v="KIEL"/>
    <s v="Germany"/>
    <s v="24113"/>
    <s v="80168"/>
    <s v="12"/>
    <s v="II-F03"/>
    <s v="500g Strawberry Muesli"/>
    <s v="Finished Product"/>
    <s v="F03"/>
    <s v="500g"/>
    <s v="Strawberry Muesli"/>
    <n v="2948"/>
    <n v="2948"/>
    <s v="ST"/>
    <n v="4.4400000000000004"/>
    <n v="13089.12"/>
    <n v="3626.04"/>
    <s v="EUR"/>
    <n v="9463.08"/>
    <n v="0.72"/>
  </r>
  <r>
    <s v=".1~226"/>
    <n v="226"/>
    <x v="0"/>
    <x v="2"/>
    <s v="03"/>
    <s v="03/03"/>
    <d v="2021-02-12T00:00:00"/>
    <n v="9"/>
    <n v="43"/>
    <s v="2707"/>
    <s v="1"/>
    <s v="02"/>
    <s v="Hamburg"/>
    <x v="0"/>
    <s v="BUXTEHUDE"/>
    <s v="Germany"/>
    <s v="21614"/>
    <s v="80134"/>
    <s v="12"/>
    <s v="II-F03"/>
    <s v="500g Strawberry Muesli"/>
    <s v="Finished Product"/>
    <s v="F03"/>
    <s v="500g"/>
    <s v="Strawberry Muesli"/>
    <n v="3279"/>
    <n v="3279"/>
    <s v="ST"/>
    <n v="4.4400000000000004"/>
    <n v="14558.76"/>
    <n v="4033.17"/>
    <s v="EUR"/>
    <n v="10525.59"/>
    <n v="0.72"/>
  </r>
  <r>
    <s v=".1~227"/>
    <n v="227"/>
    <x v="0"/>
    <x v="2"/>
    <s v="03"/>
    <s v="03/03"/>
    <d v="2021-02-12T00:00:00"/>
    <n v="9"/>
    <n v="43"/>
    <s v="2707"/>
    <s v="2"/>
    <s v="02"/>
    <s v="Hamburg"/>
    <x v="0"/>
    <s v="BUXTEHUDE"/>
    <s v="Germany"/>
    <s v="21614"/>
    <s v="80134"/>
    <s v="12"/>
    <s v="II-F12"/>
    <s v="1kg Blueberry Muesli"/>
    <s v="Finished Product"/>
    <s v="F12"/>
    <s v="1kg"/>
    <s v="Blueberry Muesli"/>
    <n v="2308"/>
    <n v="2308"/>
    <s v="ST"/>
    <n v="5.52"/>
    <n v="12740.16"/>
    <n v="5239.16"/>
    <s v="EUR"/>
    <n v="7501"/>
    <n v="0.59"/>
  </r>
  <r>
    <s v=".1~228"/>
    <n v="228"/>
    <x v="0"/>
    <x v="2"/>
    <s v="03"/>
    <s v="03/03"/>
    <d v="2021-02-12T00:00:00"/>
    <n v="9"/>
    <n v="43"/>
    <s v="2710"/>
    <s v="2"/>
    <s v="02"/>
    <s v="Schleswig-Holstein"/>
    <x v="0"/>
    <s v="KIEL"/>
    <s v="Germany"/>
    <s v="24113"/>
    <s v="80168"/>
    <s v="12"/>
    <s v="II-F12"/>
    <s v="1kg Blueberry Muesli"/>
    <s v="Finished Product"/>
    <s v="F12"/>
    <s v="1kg"/>
    <s v="Blueberry Muesli"/>
    <n v="2984"/>
    <n v="2984"/>
    <s v="ST"/>
    <n v="5.52"/>
    <n v="16471.68"/>
    <n v="6773.68"/>
    <s v="EUR"/>
    <n v="9698"/>
    <n v="0.59"/>
  </r>
  <r>
    <s v=".1~229"/>
    <n v="229"/>
    <x v="0"/>
    <x v="2"/>
    <s v="03"/>
    <s v="03/03"/>
    <d v="2021-02-12T00:00:00"/>
    <n v="9"/>
    <n v="43"/>
    <s v="2710"/>
    <s v="4"/>
    <s v="02"/>
    <s v="Schleswig-Holstein"/>
    <x v="0"/>
    <s v="KIEL"/>
    <s v="Germany"/>
    <s v="24113"/>
    <s v="80168"/>
    <s v="12"/>
    <s v="II-F12"/>
    <s v="1kg Blueberry Muesli"/>
    <s v="Finished Product"/>
    <s v="F12"/>
    <s v="1kg"/>
    <s v="Blueberry Muesli"/>
    <n v="2776"/>
    <n v="2776"/>
    <s v="ST"/>
    <n v="5.52"/>
    <n v="15323.52"/>
    <n v="6301.52"/>
    <s v="EUR"/>
    <n v="9022"/>
    <n v="0.59"/>
  </r>
  <r>
    <s v=".1~230"/>
    <n v="230"/>
    <x v="0"/>
    <x v="2"/>
    <s v="03"/>
    <s v="03/03"/>
    <d v="2021-02-12T00:00:00"/>
    <n v="9"/>
    <n v="43"/>
    <s v="2707"/>
    <s v="3"/>
    <s v="02"/>
    <s v="Hamburg"/>
    <x v="0"/>
    <s v="BUXTEHUDE"/>
    <s v="Germany"/>
    <s v="21614"/>
    <s v="80134"/>
    <s v="12"/>
    <s v="II-F12"/>
    <s v="1kg Blueberry Muesli"/>
    <s v="Finished Product"/>
    <s v="F12"/>
    <s v="1kg"/>
    <s v="Blueberry Muesli"/>
    <n v="3012"/>
    <n v="3012"/>
    <s v="ST"/>
    <n v="5.52"/>
    <n v="16626.240000000002"/>
    <n v="6837.24"/>
    <s v="EUR"/>
    <n v="9789"/>
    <n v="0.59"/>
  </r>
  <r>
    <s v=".1~231"/>
    <n v="231"/>
    <x v="0"/>
    <x v="2"/>
    <s v="03"/>
    <s v="03/03"/>
    <d v="2021-02-12T00:00:00"/>
    <n v="9"/>
    <n v="43"/>
    <s v="2707"/>
    <s v="4"/>
    <s v="02"/>
    <s v="Hamburg"/>
    <x v="0"/>
    <s v="BUXTEHUDE"/>
    <s v="Germany"/>
    <s v="21614"/>
    <s v="80134"/>
    <s v="12"/>
    <s v="II-F12"/>
    <s v="1kg Blueberry Muesli"/>
    <s v="Finished Product"/>
    <s v="F12"/>
    <s v="1kg"/>
    <s v="Blueberry Muesli"/>
    <n v="2748"/>
    <n v="2748"/>
    <s v="ST"/>
    <n v="5.52"/>
    <n v="15168.96"/>
    <n v="6237.96"/>
    <s v="EUR"/>
    <n v="8931"/>
    <n v="0.59"/>
  </r>
  <r>
    <s v=".1~232"/>
    <n v="232"/>
    <x v="0"/>
    <x v="2"/>
    <s v="03"/>
    <s v="03/03"/>
    <d v="2021-02-12T00:00:00"/>
    <n v="9"/>
    <n v="43"/>
    <s v="2716"/>
    <s v="1"/>
    <s v="02"/>
    <s v="Nrth Rhine Westfalia"/>
    <x v="2"/>
    <s v="BONN"/>
    <s v="Germany"/>
    <s v="53111"/>
    <s v="80233"/>
    <s v="14"/>
    <s v="II-F03"/>
    <s v="500g Strawberry Muesli"/>
    <s v="Finished Product"/>
    <s v="F03"/>
    <s v="500g"/>
    <s v="Strawberry Muesli"/>
    <n v="3579"/>
    <n v="3579"/>
    <s v="ST"/>
    <n v="4.6500000000000004"/>
    <n v="16642.349999999999"/>
    <n v="4402.17"/>
    <s v="EUR"/>
    <n v="12240.18"/>
    <n v="0.74"/>
  </r>
  <r>
    <s v=".1~233"/>
    <n v="233"/>
    <x v="0"/>
    <x v="2"/>
    <s v="03"/>
    <s v="03/03"/>
    <d v="2021-02-12T00:00:00"/>
    <n v="9"/>
    <n v="43"/>
    <s v="2715"/>
    <s v="1"/>
    <s v="02"/>
    <s v="Berlin"/>
    <x v="0"/>
    <s v="BERLIN"/>
    <s v="Germany"/>
    <s v="12043"/>
    <s v="80196"/>
    <s v="14"/>
    <s v="II-F03"/>
    <s v="500g Strawberry Muesli"/>
    <s v="Finished Product"/>
    <s v="F03"/>
    <s v="500g"/>
    <s v="Strawberry Muesli"/>
    <n v="3178"/>
    <n v="3178"/>
    <s v="ST"/>
    <n v="4.6500000000000004"/>
    <n v="14777.7"/>
    <n v="3908.94"/>
    <s v="EUR"/>
    <n v="10868.76"/>
    <n v="0.74"/>
  </r>
  <r>
    <s v=".1~234"/>
    <n v="234"/>
    <x v="0"/>
    <x v="2"/>
    <s v="04"/>
    <s v="03/04"/>
    <d v="2021-02-13T00:00:00"/>
    <n v="9"/>
    <n v="44"/>
    <s v="2731"/>
    <s v="2"/>
    <s v="02"/>
    <s v="Saxony"/>
    <x v="0"/>
    <s v="ZWICKAU"/>
    <s v="Germany"/>
    <s v="08058"/>
    <s v="80166"/>
    <s v="12"/>
    <s v="II-F03"/>
    <s v="500g Strawberry Muesli"/>
    <s v="Finished Product"/>
    <s v="F03"/>
    <s v="500g"/>
    <s v="Strawberry Muesli"/>
    <n v="1078"/>
    <n v="1078"/>
    <s v="ST"/>
    <n v="4.4400000000000004"/>
    <n v="4786.32"/>
    <n v="1325.94"/>
    <s v="EUR"/>
    <n v="3460.38"/>
    <n v="0.72"/>
  </r>
  <r>
    <s v=".1~235"/>
    <n v="235"/>
    <x v="0"/>
    <x v="2"/>
    <s v="04"/>
    <s v="03/04"/>
    <d v="2021-02-13T00:00:00"/>
    <n v="9"/>
    <n v="44"/>
    <s v="2725"/>
    <s v="2"/>
    <s v="02"/>
    <s v="Baden-Wurttemberg"/>
    <x v="1"/>
    <s v="ALBSTADT"/>
    <s v="Germany"/>
    <s v="72458"/>
    <s v="80170"/>
    <s v="12"/>
    <s v="II-F03"/>
    <s v="500g Strawberry Muesli"/>
    <s v="Finished Product"/>
    <s v="F03"/>
    <s v="500g"/>
    <s v="Strawberry Muesli"/>
    <n v="3234"/>
    <n v="3234"/>
    <s v="ST"/>
    <n v="4.4400000000000004"/>
    <n v="14358.96"/>
    <n v="3977.82"/>
    <s v="EUR"/>
    <n v="10381.14"/>
    <n v="0.72"/>
  </r>
  <r>
    <s v=".1~236"/>
    <n v="236"/>
    <x v="0"/>
    <x v="2"/>
    <s v="04"/>
    <s v="03/04"/>
    <d v="2021-02-13T00:00:00"/>
    <n v="9"/>
    <n v="44"/>
    <s v="2725"/>
    <s v="4"/>
    <s v="02"/>
    <s v="Baden-Wurttemberg"/>
    <x v="1"/>
    <s v="ALBSTADT"/>
    <s v="Germany"/>
    <s v="72458"/>
    <s v="80170"/>
    <s v="12"/>
    <s v="II-F03"/>
    <s v="500g Strawberry Muesli"/>
    <s v="Finished Product"/>
    <s v="F03"/>
    <s v="500g"/>
    <s v="Strawberry Muesli"/>
    <n v="3763"/>
    <n v="3763"/>
    <s v="ST"/>
    <n v="4.4400000000000004"/>
    <n v="16707.72"/>
    <n v="4628.49"/>
    <s v="EUR"/>
    <n v="12079.23"/>
    <n v="0.72"/>
  </r>
  <r>
    <s v=".1~237"/>
    <n v="237"/>
    <x v="0"/>
    <x v="2"/>
    <s v="04"/>
    <s v="03/04"/>
    <d v="2021-02-13T00:00:00"/>
    <n v="9"/>
    <n v="44"/>
    <s v="2737"/>
    <s v="4"/>
    <s v="02"/>
    <s v="Nrth Rhine Westfalia"/>
    <x v="2"/>
    <s v="PADERBORN"/>
    <s v="Germany"/>
    <s v="33100"/>
    <s v="80159"/>
    <s v="12"/>
    <s v="II-F04"/>
    <s v="500g Raisin Muesli"/>
    <s v="Finished Product"/>
    <s v="F04"/>
    <s v="500g"/>
    <s v="Raisin Muesli"/>
    <n v="3237"/>
    <n v="3237"/>
    <s v="ST"/>
    <n v="3.98"/>
    <n v="12883.26"/>
    <n v="2557.23"/>
    <s v="EUR"/>
    <n v="10326.030000000001"/>
    <n v="0.8"/>
  </r>
  <r>
    <s v=".1~238"/>
    <n v="238"/>
    <x v="0"/>
    <x v="2"/>
    <s v="04"/>
    <s v="03/04"/>
    <d v="2021-02-13T00:00:00"/>
    <n v="9"/>
    <n v="44"/>
    <s v="2737"/>
    <s v="3"/>
    <s v="02"/>
    <s v="Nrth Rhine Westfalia"/>
    <x v="2"/>
    <s v="PADERBORN"/>
    <s v="Germany"/>
    <s v="33100"/>
    <s v="80159"/>
    <s v="12"/>
    <s v="II-F11"/>
    <s v="1kg Nut Muesli"/>
    <s v="Finished Product"/>
    <s v="F11"/>
    <s v="1kg"/>
    <s v="Nut Muesli"/>
    <n v="2867"/>
    <n v="2867"/>
    <s v="ST"/>
    <n v="4.84"/>
    <n v="13876.28"/>
    <n v="4644.54"/>
    <s v="EUR"/>
    <n v="9231.74"/>
    <n v="0.67"/>
  </r>
  <r>
    <s v=".1~239"/>
    <n v="239"/>
    <x v="0"/>
    <x v="2"/>
    <s v="04"/>
    <s v="03/04"/>
    <d v="2021-02-13T00:00:00"/>
    <n v="9"/>
    <n v="44"/>
    <s v="2731"/>
    <s v="1"/>
    <s v="02"/>
    <s v="Saxony"/>
    <x v="0"/>
    <s v="ZWICKAU"/>
    <s v="Germany"/>
    <s v="08058"/>
    <s v="80166"/>
    <s v="12"/>
    <s v="II-F11"/>
    <s v="1kg Nut Muesli"/>
    <s v="Finished Product"/>
    <s v="F11"/>
    <s v="1kg"/>
    <s v="Nut Muesli"/>
    <n v="3288"/>
    <n v="3288"/>
    <s v="ST"/>
    <n v="4.84"/>
    <n v="15913.92"/>
    <n v="5326.56"/>
    <s v="EUR"/>
    <n v="10587.36"/>
    <n v="0.67"/>
  </r>
  <r>
    <s v=".1~240"/>
    <n v="240"/>
    <x v="0"/>
    <x v="2"/>
    <s v="04"/>
    <s v="03/04"/>
    <d v="2021-02-13T00:00:00"/>
    <n v="9"/>
    <n v="44"/>
    <s v="2731"/>
    <s v="4"/>
    <s v="02"/>
    <s v="Saxony"/>
    <x v="0"/>
    <s v="ZWICKAU"/>
    <s v="Germany"/>
    <s v="08058"/>
    <s v="80166"/>
    <s v="12"/>
    <s v="II-F11"/>
    <s v="1kg Nut Muesli"/>
    <s v="Finished Product"/>
    <s v="F11"/>
    <s v="1kg"/>
    <s v="Nut Muesli"/>
    <n v="2967"/>
    <n v="2967"/>
    <s v="ST"/>
    <n v="4.84"/>
    <n v="14360.28"/>
    <n v="4806.54"/>
    <s v="EUR"/>
    <n v="9553.74"/>
    <n v="0.67"/>
  </r>
  <r>
    <s v=".1~241"/>
    <n v="241"/>
    <x v="0"/>
    <x v="2"/>
    <s v="04"/>
    <s v="03/04"/>
    <d v="2021-02-13T00:00:00"/>
    <n v="9"/>
    <n v="44"/>
    <s v="2731"/>
    <s v="3"/>
    <s v="02"/>
    <s v="Saxony"/>
    <x v="0"/>
    <s v="ZWICKAU"/>
    <s v="Germany"/>
    <s v="08058"/>
    <s v="80166"/>
    <s v="12"/>
    <s v="II-F11"/>
    <s v="1kg Nut Muesli"/>
    <s v="Finished Product"/>
    <s v="F11"/>
    <s v="1kg"/>
    <s v="Nut Muesli"/>
    <n v="3280"/>
    <n v="3280"/>
    <s v="ST"/>
    <n v="4.84"/>
    <n v="15875.2"/>
    <n v="5313.6"/>
    <s v="EUR"/>
    <n v="10561.6"/>
    <n v="0.67"/>
  </r>
  <r>
    <s v=".1~242"/>
    <n v="242"/>
    <x v="0"/>
    <x v="2"/>
    <s v="04"/>
    <s v="03/04"/>
    <d v="2021-02-13T00:00:00"/>
    <n v="9"/>
    <n v="44"/>
    <s v="2725"/>
    <s v="3"/>
    <s v="02"/>
    <s v="Baden-Wurttemberg"/>
    <x v="1"/>
    <s v="ALBSTADT"/>
    <s v="Germany"/>
    <s v="72458"/>
    <s v="80170"/>
    <s v="12"/>
    <s v="II-F11"/>
    <s v="1kg Nut Muesli"/>
    <s v="Finished Product"/>
    <s v="F11"/>
    <s v="1kg"/>
    <s v="Nut Muesli"/>
    <n v="2958"/>
    <n v="2958"/>
    <s v="ST"/>
    <n v="4.84"/>
    <n v="14316.72"/>
    <n v="4791.96"/>
    <s v="EUR"/>
    <n v="9524.76"/>
    <n v="0.67"/>
  </r>
  <r>
    <s v=".1~243"/>
    <n v="243"/>
    <x v="0"/>
    <x v="2"/>
    <s v="04"/>
    <s v="03/04"/>
    <d v="2021-02-13T00:00:00"/>
    <n v="9"/>
    <n v="44"/>
    <s v="2737"/>
    <s v="1"/>
    <s v="02"/>
    <s v="Nrth Rhine Westfalia"/>
    <x v="2"/>
    <s v="PADERBORN"/>
    <s v="Germany"/>
    <s v="33100"/>
    <s v="80159"/>
    <s v="12"/>
    <s v="II-F11"/>
    <s v="1kg Nut Muesli"/>
    <s v="Finished Product"/>
    <s v="F11"/>
    <s v="1kg"/>
    <s v="Nut Muesli"/>
    <n v="2908"/>
    <n v="2908"/>
    <s v="ST"/>
    <n v="4.84"/>
    <n v="14074.72"/>
    <n v="4710.96"/>
    <s v="EUR"/>
    <n v="9363.76"/>
    <n v="0.67"/>
  </r>
  <r>
    <s v=".1~244"/>
    <n v="244"/>
    <x v="0"/>
    <x v="2"/>
    <s v="04"/>
    <s v="03/04"/>
    <d v="2021-02-13T00:00:00"/>
    <n v="9"/>
    <n v="44"/>
    <s v="2737"/>
    <s v="2"/>
    <s v="02"/>
    <s v="Nrth Rhine Westfalia"/>
    <x v="2"/>
    <s v="PADERBORN"/>
    <s v="Germany"/>
    <s v="33100"/>
    <s v="80159"/>
    <s v="12"/>
    <s v="II-F11"/>
    <s v="1kg Nut Muesli"/>
    <s v="Finished Product"/>
    <s v="F11"/>
    <s v="1kg"/>
    <s v="Nut Muesli"/>
    <n v="2698"/>
    <n v="2698"/>
    <s v="ST"/>
    <n v="4.84"/>
    <n v="13058.32"/>
    <n v="4370.76"/>
    <s v="EUR"/>
    <n v="8687.56"/>
    <n v="0.67"/>
  </r>
  <r>
    <s v=".1~245"/>
    <n v="245"/>
    <x v="0"/>
    <x v="2"/>
    <s v="04"/>
    <s v="03/04"/>
    <d v="2021-02-13T00:00:00"/>
    <n v="9"/>
    <n v="44"/>
    <s v="2725"/>
    <s v="1"/>
    <s v="02"/>
    <s v="Baden-Wurttemberg"/>
    <x v="1"/>
    <s v="ALBSTADT"/>
    <s v="Germany"/>
    <s v="72458"/>
    <s v="80170"/>
    <s v="12"/>
    <s v="II-F12"/>
    <s v="1kg Blueberry Muesli"/>
    <s v="Finished Product"/>
    <s v="F12"/>
    <s v="1kg"/>
    <s v="Blueberry Muesli"/>
    <n v="731"/>
    <n v="731"/>
    <s v="ST"/>
    <n v="5.52"/>
    <n v="4035.12"/>
    <n v="1659.37"/>
    <s v="EUR"/>
    <n v="2375.75"/>
    <n v="0.59"/>
  </r>
  <r>
    <s v=".1~246"/>
    <n v="246"/>
    <x v="0"/>
    <x v="2"/>
    <s v="04"/>
    <s v="03/04"/>
    <d v="2021-02-13T00:00:00"/>
    <n v="9"/>
    <n v="44"/>
    <s v="2739"/>
    <s v="1"/>
    <s v="02"/>
    <s v="Baden-Wurttemberg"/>
    <x v="1"/>
    <s v="DETTLINGEN/EMS"/>
    <s v="Germany"/>
    <s v="72581"/>
    <s v="80173"/>
    <s v="14"/>
    <s v="II-F04"/>
    <s v="500g Raisin Muesli"/>
    <s v="Finished Product"/>
    <s v="F04"/>
    <s v="500g"/>
    <s v="Raisin Muesli"/>
    <n v="3547"/>
    <n v="3547"/>
    <s v="ST"/>
    <n v="4.17"/>
    <n v="14790.99"/>
    <n v="2802.13"/>
    <s v="EUR"/>
    <n v="11988.86"/>
    <n v="0.81"/>
  </r>
  <r>
    <s v=".1~247"/>
    <n v="247"/>
    <x v="0"/>
    <x v="2"/>
    <s v="04"/>
    <s v="03/04"/>
    <d v="2021-02-13T00:00:00"/>
    <n v="9"/>
    <n v="44"/>
    <s v="2741"/>
    <s v="1"/>
    <s v="02"/>
    <s v="Baden-Wurttemberg"/>
    <x v="1"/>
    <s v="KIRCHENTELLINSFURT"/>
    <s v="Germany"/>
    <s v="72138"/>
    <s v="80176"/>
    <s v="14"/>
    <s v="II-F04"/>
    <s v="500g Raisin Muesli"/>
    <s v="Finished Product"/>
    <s v="F04"/>
    <s v="500g"/>
    <s v="Raisin Muesli"/>
    <n v="3183"/>
    <n v="3183"/>
    <s v="ST"/>
    <n v="4.17"/>
    <n v="13273.11"/>
    <n v="2514.5700000000002"/>
    <s v="EUR"/>
    <n v="10758.54"/>
    <n v="0.81"/>
  </r>
  <r>
    <s v=".1~248"/>
    <n v="248"/>
    <x v="0"/>
    <x v="2"/>
    <s v="05"/>
    <s v="03/05"/>
    <d v="2021-02-14T00:00:00"/>
    <n v="9"/>
    <n v="45"/>
    <s v="2761"/>
    <s v="2"/>
    <s v="02"/>
    <s v="Nrth Rhine Westfalia"/>
    <x v="2"/>
    <s v="VELBERT"/>
    <s v="Germany"/>
    <s v="42551"/>
    <s v="80161"/>
    <s v="12"/>
    <s v="II-F04"/>
    <s v="500g Raisin Muesli"/>
    <s v="Finished Product"/>
    <s v="F04"/>
    <s v="500g"/>
    <s v="Raisin Muesli"/>
    <n v="3521"/>
    <n v="3521"/>
    <s v="ST"/>
    <n v="3.98"/>
    <n v="14013.58"/>
    <n v="2781.59"/>
    <s v="EUR"/>
    <n v="11231.99"/>
    <n v="0.8"/>
  </r>
  <r>
    <s v=".1~249"/>
    <n v="249"/>
    <x v="0"/>
    <x v="2"/>
    <s v="05"/>
    <s v="03/05"/>
    <d v="2021-02-14T00:00:00"/>
    <n v="9"/>
    <n v="45"/>
    <s v="2749"/>
    <s v="1"/>
    <s v="02"/>
    <s v="Schleswig-Holstein"/>
    <x v="0"/>
    <s v="NEUMÜNSTER"/>
    <s v="Germany"/>
    <s v="24537"/>
    <s v="80169"/>
    <s v="12"/>
    <s v="II-F04"/>
    <s v="500g Raisin Muesli"/>
    <s v="Finished Product"/>
    <s v="F04"/>
    <s v="500g"/>
    <s v="Raisin Muesli"/>
    <n v="3474"/>
    <n v="3474"/>
    <s v="ST"/>
    <n v="3.98"/>
    <n v="13826.52"/>
    <n v="2744.46"/>
    <s v="EUR"/>
    <n v="11082.06"/>
    <n v="0.8"/>
  </r>
  <r>
    <s v=".1~250"/>
    <n v="250"/>
    <x v="0"/>
    <x v="2"/>
    <s v="05"/>
    <s v="03/05"/>
    <d v="2021-02-14T00:00:00"/>
    <n v="9"/>
    <n v="45"/>
    <s v="2749"/>
    <s v="3"/>
    <s v="02"/>
    <s v="Schleswig-Holstein"/>
    <x v="0"/>
    <s v="NEUMÜNSTER"/>
    <s v="Germany"/>
    <s v="24537"/>
    <s v="80169"/>
    <s v="12"/>
    <s v="II-F04"/>
    <s v="500g Raisin Muesli"/>
    <s v="Finished Product"/>
    <s v="F04"/>
    <s v="500g"/>
    <s v="Raisin Muesli"/>
    <n v="3631"/>
    <n v="3631"/>
    <s v="ST"/>
    <n v="3.98"/>
    <n v="14451.38"/>
    <n v="2868.49"/>
    <s v="EUR"/>
    <n v="11582.89"/>
    <n v="0.8"/>
  </r>
  <r>
    <s v=".1~251"/>
    <n v="251"/>
    <x v="0"/>
    <x v="2"/>
    <s v="05"/>
    <s v="03/05"/>
    <d v="2021-02-14T00:00:00"/>
    <n v="9"/>
    <n v="45"/>
    <s v="2759"/>
    <s v="3"/>
    <s v="02"/>
    <s v="Nrth Rhine Westfalia"/>
    <x v="2"/>
    <s v="KREFELD"/>
    <s v="Germany"/>
    <s v="47798"/>
    <s v="80157"/>
    <s v="12"/>
    <s v="II-F04"/>
    <s v="500g Raisin Muesli"/>
    <s v="Finished Product"/>
    <s v="F04"/>
    <s v="500g"/>
    <s v="Raisin Muesli"/>
    <n v="4065"/>
    <n v="4065"/>
    <s v="ST"/>
    <n v="3.98"/>
    <n v="16178.7"/>
    <n v="3211.35"/>
    <s v="EUR"/>
    <n v="12967.35"/>
    <n v="0.8"/>
  </r>
  <r>
    <s v=".1~252"/>
    <n v="252"/>
    <x v="0"/>
    <x v="2"/>
    <s v="05"/>
    <s v="03/05"/>
    <d v="2021-02-14T00:00:00"/>
    <n v="9"/>
    <n v="45"/>
    <s v="2759"/>
    <s v="1"/>
    <s v="02"/>
    <s v="Nrth Rhine Westfalia"/>
    <x v="2"/>
    <s v="KREFELD"/>
    <s v="Germany"/>
    <s v="47798"/>
    <s v="80157"/>
    <s v="12"/>
    <s v="II-F04"/>
    <s v="500g Raisin Muesli"/>
    <s v="Finished Product"/>
    <s v="F04"/>
    <s v="500g"/>
    <s v="Raisin Muesli"/>
    <n v="3961"/>
    <n v="3961"/>
    <s v="ST"/>
    <n v="3.98"/>
    <n v="15764.78"/>
    <n v="3129.19"/>
    <s v="EUR"/>
    <n v="12635.59"/>
    <n v="0.8"/>
  </r>
  <r>
    <s v=".1~253"/>
    <n v="253"/>
    <x v="0"/>
    <x v="2"/>
    <s v="05"/>
    <s v="03/05"/>
    <d v="2021-02-14T00:00:00"/>
    <n v="9"/>
    <n v="45"/>
    <s v="2749"/>
    <s v="2"/>
    <s v="02"/>
    <s v="Schleswig-Holstein"/>
    <x v="0"/>
    <s v="NEUMÜNSTER"/>
    <s v="Germany"/>
    <s v="24537"/>
    <s v="80169"/>
    <s v="12"/>
    <s v="II-F11"/>
    <s v="1kg Nut Muesli"/>
    <s v="Finished Product"/>
    <s v="F11"/>
    <s v="1kg"/>
    <s v="Nut Muesli"/>
    <n v="3453"/>
    <n v="3453"/>
    <s v="ST"/>
    <n v="4.84"/>
    <n v="16712.52"/>
    <n v="5593.86"/>
    <s v="EUR"/>
    <n v="11118.66"/>
    <n v="0.67"/>
  </r>
  <r>
    <s v=".1~254"/>
    <n v="254"/>
    <x v="0"/>
    <x v="2"/>
    <s v="05"/>
    <s v="03/05"/>
    <d v="2021-02-14T00:00:00"/>
    <n v="9"/>
    <n v="45"/>
    <s v="2749"/>
    <s v="4"/>
    <s v="02"/>
    <s v="Schleswig-Holstein"/>
    <x v="0"/>
    <s v="NEUMÜNSTER"/>
    <s v="Germany"/>
    <s v="24537"/>
    <s v="80169"/>
    <s v="12"/>
    <s v="II-F11"/>
    <s v="1kg Nut Muesli"/>
    <s v="Finished Product"/>
    <s v="F11"/>
    <s v="1kg"/>
    <s v="Nut Muesli"/>
    <n v="3410"/>
    <n v="3410"/>
    <s v="ST"/>
    <n v="4.84"/>
    <n v="16504.400000000001"/>
    <n v="5524.2"/>
    <s v="EUR"/>
    <n v="10980.2"/>
    <n v="0.67"/>
  </r>
  <r>
    <s v=".1~255"/>
    <n v="255"/>
    <x v="0"/>
    <x v="2"/>
    <s v="05"/>
    <s v="03/05"/>
    <d v="2021-02-14T00:00:00"/>
    <n v="9"/>
    <n v="45"/>
    <s v="2759"/>
    <s v="2"/>
    <s v="02"/>
    <s v="Nrth Rhine Westfalia"/>
    <x v="2"/>
    <s v="KREFELD"/>
    <s v="Germany"/>
    <s v="47798"/>
    <s v="80157"/>
    <s v="12"/>
    <s v="II-F11"/>
    <s v="1kg Nut Muesli"/>
    <s v="Finished Product"/>
    <s v="F11"/>
    <s v="1kg"/>
    <s v="Nut Muesli"/>
    <n v="3091"/>
    <n v="3091"/>
    <s v="ST"/>
    <n v="4.84"/>
    <n v="14960.44"/>
    <n v="5007.42"/>
    <s v="EUR"/>
    <n v="9953.02"/>
    <n v="0.67"/>
  </r>
  <r>
    <s v=".1~256"/>
    <n v="256"/>
    <x v="0"/>
    <x v="2"/>
    <s v="05"/>
    <s v="03/05"/>
    <d v="2021-02-14T00:00:00"/>
    <n v="9"/>
    <n v="45"/>
    <s v="2759"/>
    <s v="4"/>
    <s v="02"/>
    <s v="Nrth Rhine Westfalia"/>
    <x v="2"/>
    <s v="KREFELD"/>
    <s v="Germany"/>
    <s v="47798"/>
    <s v="80157"/>
    <s v="12"/>
    <s v="II-F11"/>
    <s v="1kg Nut Muesli"/>
    <s v="Finished Product"/>
    <s v="F11"/>
    <s v="1kg"/>
    <s v="Nut Muesli"/>
    <n v="3067"/>
    <n v="3067"/>
    <s v="ST"/>
    <n v="4.84"/>
    <n v="14844.28"/>
    <n v="4968.54"/>
    <s v="EUR"/>
    <n v="9875.74"/>
    <n v="0.67"/>
  </r>
  <r>
    <s v=".1~257"/>
    <n v="257"/>
    <x v="0"/>
    <x v="2"/>
    <s v="05"/>
    <s v="03/05"/>
    <d v="2021-02-14T00:00:00"/>
    <n v="9"/>
    <n v="45"/>
    <s v="2761"/>
    <s v="4"/>
    <s v="02"/>
    <s v="Nrth Rhine Westfalia"/>
    <x v="2"/>
    <s v="VELBERT"/>
    <s v="Germany"/>
    <s v="42551"/>
    <s v="80161"/>
    <s v="12"/>
    <s v="II-F11"/>
    <s v="1kg Nut Muesli"/>
    <s v="Finished Product"/>
    <s v="F11"/>
    <s v="1kg"/>
    <s v="Nut Muesli"/>
    <n v="3075"/>
    <n v="3075"/>
    <s v="ST"/>
    <n v="4.84"/>
    <n v="14883"/>
    <n v="4981.5"/>
    <s v="EUR"/>
    <n v="9901.5"/>
    <n v="0.67"/>
  </r>
  <r>
    <s v=".1~258"/>
    <n v="258"/>
    <x v="0"/>
    <x v="2"/>
    <s v="05"/>
    <s v="03/05"/>
    <d v="2021-02-14T00:00:00"/>
    <n v="9"/>
    <n v="45"/>
    <s v="2761"/>
    <s v="1"/>
    <s v="02"/>
    <s v="Nrth Rhine Westfalia"/>
    <x v="2"/>
    <s v="VELBERT"/>
    <s v="Germany"/>
    <s v="42551"/>
    <s v="80161"/>
    <s v="12"/>
    <s v="II-F11"/>
    <s v="1kg Nut Muesli"/>
    <s v="Finished Product"/>
    <s v="F11"/>
    <s v="1kg"/>
    <s v="Nut Muesli"/>
    <n v="2826"/>
    <n v="2826"/>
    <s v="ST"/>
    <n v="4.84"/>
    <n v="13677.84"/>
    <n v="4578.12"/>
    <s v="EUR"/>
    <n v="9099.7199999999993"/>
    <n v="0.67"/>
  </r>
  <r>
    <s v=".1~259"/>
    <n v="259"/>
    <x v="0"/>
    <x v="2"/>
    <s v="05"/>
    <s v="03/05"/>
    <d v="2021-02-14T00:00:00"/>
    <n v="9"/>
    <n v="45"/>
    <s v="2761"/>
    <s v="3"/>
    <s v="02"/>
    <s v="Nrth Rhine Westfalia"/>
    <x v="2"/>
    <s v="VELBERT"/>
    <s v="Germany"/>
    <s v="42551"/>
    <s v="80161"/>
    <s v="12"/>
    <s v="II-F11"/>
    <s v="1kg Nut Muesli"/>
    <s v="Finished Product"/>
    <s v="F11"/>
    <s v="1kg"/>
    <s v="Nut Muesli"/>
    <n v="2731"/>
    <n v="2731"/>
    <s v="ST"/>
    <n v="4.84"/>
    <n v="13218.04"/>
    <n v="4424.22"/>
    <s v="EUR"/>
    <n v="8793.82"/>
    <n v="0.67"/>
  </r>
  <r>
    <s v=".1~260"/>
    <n v="260"/>
    <x v="0"/>
    <x v="2"/>
    <s v="05"/>
    <s v="03/05"/>
    <d v="2021-02-14T00:00:00"/>
    <n v="9"/>
    <n v="45"/>
    <s v="2758"/>
    <s v="1"/>
    <s v="02"/>
    <s v="Saxony-Anhalt"/>
    <x v="0"/>
    <s v="LEIßLING"/>
    <s v="Germany"/>
    <s v="06667"/>
    <s v="80280"/>
    <s v="14"/>
    <s v="II-F04"/>
    <s v="500g Raisin Muesli"/>
    <s v="Finished Product"/>
    <s v="F04"/>
    <s v="500g"/>
    <s v="Raisin Muesli"/>
    <n v="3544"/>
    <n v="3544"/>
    <s v="ST"/>
    <n v="4.17"/>
    <n v="14778.48"/>
    <n v="2799.76"/>
    <s v="EUR"/>
    <n v="11978.72"/>
    <n v="0.81"/>
  </r>
  <r>
    <s v=".1~261"/>
    <n v="261"/>
    <x v="0"/>
    <x v="2"/>
    <s v="06"/>
    <s v="03/06"/>
    <d v="2021-02-15T00:00:00"/>
    <n v="10"/>
    <n v="46"/>
    <s v="2789"/>
    <s v="1"/>
    <s v="02"/>
    <s v="Nrth Rhine Westfalia"/>
    <x v="2"/>
    <s v="DÜREN"/>
    <s v="Germany"/>
    <s v="52349"/>
    <s v="80109"/>
    <s v="10"/>
    <s v="II-F11"/>
    <s v="1kg Nut Muesli"/>
    <s v="Finished Product"/>
    <s v="F11"/>
    <s v="1kg"/>
    <s v="Nut Muesli"/>
    <n v="2239"/>
    <n v="2239"/>
    <s v="ST"/>
    <n v="4.74"/>
    <n v="10612.86"/>
    <n v="3627.18"/>
    <s v="EUR"/>
    <n v="6985.68"/>
    <n v="0.66"/>
  </r>
  <r>
    <s v=".1~262"/>
    <n v="262"/>
    <x v="0"/>
    <x v="2"/>
    <s v="06"/>
    <s v="03/06"/>
    <d v="2021-02-15T00:00:00"/>
    <n v="10"/>
    <n v="46"/>
    <s v="2775"/>
    <s v="1"/>
    <s v="02"/>
    <s v="Bavaria"/>
    <x v="1"/>
    <s v="NÜRNBERG"/>
    <s v="Germany"/>
    <s v="90451"/>
    <s v="80125"/>
    <s v="12"/>
    <s v="II-F04"/>
    <s v="500g Raisin Muesli"/>
    <s v="Finished Product"/>
    <s v="F04"/>
    <s v="500g"/>
    <s v="Raisin Muesli"/>
    <n v="3420"/>
    <n v="3420"/>
    <s v="ST"/>
    <n v="3.98"/>
    <n v="13611.6"/>
    <n v="2701.8"/>
    <s v="EUR"/>
    <n v="10909.8"/>
    <n v="0.8"/>
  </r>
  <r>
    <s v=".1~263"/>
    <n v="263"/>
    <x v="0"/>
    <x v="2"/>
    <s v="06"/>
    <s v="03/06"/>
    <d v="2021-02-15T00:00:00"/>
    <n v="10"/>
    <n v="46"/>
    <s v="2775"/>
    <s v="2"/>
    <s v="02"/>
    <s v="Bavaria"/>
    <x v="1"/>
    <s v="NÜRNBERG"/>
    <s v="Germany"/>
    <s v="90451"/>
    <s v="80125"/>
    <s v="12"/>
    <s v="II-F04"/>
    <s v="500g Raisin Muesli"/>
    <s v="Finished Product"/>
    <s v="F04"/>
    <s v="500g"/>
    <s v="Raisin Muesli"/>
    <n v="4125"/>
    <n v="4125"/>
    <s v="ST"/>
    <n v="3.98"/>
    <n v="16417.5"/>
    <n v="3258.75"/>
    <s v="EUR"/>
    <n v="13158.75"/>
    <n v="0.8"/>
  </r>
  <r>
    <s v=".1~264"/>
    <n v="264"/>
    <x v="0"/>
    <x v="2"/>
    <s v="06"/>
    <s v="03/06"/>
    <d v="2021-02-15T00:00:00"/>
    <n v="10"/>
    <n v="46"/>
    <s v="2775"/>
    <s v="3"/>
    <s v="02"/>
    <s v="Bavaria"/>
    <x v="1"/>
    <s v="NÜRNBERG"/>
    <s v="Germany"/>
    <s v="90451"/>
    <s v="80125"/>
    <s v="12"/>
    <s v="II-F04"/>
    <s v="500g Raisin Muesli"/>
    <s v="Finished Product"/>
    <s v="F04"/>
    <s v="500g"/>
    <s v="Raisin Muesli"/>
    <n v="3413"/>
    <n v="3413"/>
    <s v="ST"/>
    <n v="3.98"/>
    <n v="13583.74"/>
    <n v="2696.27"/>
    <s v="EUR"/>
    <n v="10887.47"/>
    <n v="0.8"/>
  </r>
  <r>
    <s v=".1~265"/>
    <n v="265"/>
    <x v="0"/>
    <x v="2"/>
    <s v="06"/>
    <s v="03/06"/>
    <d v="2021-02-15T00:00:00"/>
    <n v="10"/>
    <n v="46"/>
    <s v="2775"/>
    <s v="4"/>
    <s v="02"/>
    <s v="Bavaria"/>
    <x v="1"/>
    <s v="NÜRNBERG"/>
    <s v="Germany"/>
    <s v="90451"/>
    <s v="80125"/>
    <s v="12"/>
    <s v="II-F11"/>
    <s v="1kg Nut Muesli"/>
    <s v="Finished Product"/>
    <s v="F11"/>
    <s v="1kg"/>
    <s v="Nut Muesli"/>
    <n v="3142"/>
    <n v="3142"/>
    <s v="ST"/>
    <n v="4.84"/>
    <n v="15207.28"/>
    <n v="5090.04"/>
    <s v="EUR"/>
    <n v="10117.24"/>
    <n v="0.67"/>
  </r>
  <r>
    <s v=".1~266"/>
    <n v="266"/>
    <x v="0"/>
    <x v="2"/>
    <s v="07"/>
    <s v="03/07"/>
    <d v="2021-02-16T00:00:00"/>
    <n v="10"/>
    <n v="47"/>
    <s v="2795"/>
    <s v="2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383"/>
    <n v="2383"/>
    <s v="ST"/>
    <n v="5.41"/>
    <n v="12892.03"/>
    <n v="5409.41"/>
    <s v="EUR"/>
    <n v="7482.62"/>
    <n v="0.57999999999999996"/>
  </r>
  <r>
    <s v=".1~267"/>
    <n v="267"/>
    <x v="0"/>
    <x v="2"/>
    <s v="07"/>
    <s v="03/07"/>
    <d v="2021-02-16T00:00:00"/>
    <n v="10"/>
    <n v="47"/>
    <s v="2795"/>
    <s v="3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601"/>
    <n v="2601"/>
    <s v="ST"/>
    <n v="5.41"/>
    <n v="14071.41"/>
    <n v="5904.27"/>
    <s v="EUR"/>
    <n v="8167.14"/>
    <n v="0.57999999999999996"/>
  </r>
  <r>
    <s v=".1~268"/>
    <n v="268"/>
    <x v="0"/>
    <x v="2"/>
    <s v="07"/>
    <s v="03/07"/>
    <d v="2021-02-16T00:00:00"/>
    <n v="10"/>
    <n v="47"/>
    <s v="2795"/>
    <s v="1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939"/>
    <n v="2939"/>
    <s v="ST"/>
    <n v="5.41"/>
    <n v="15899.99"/>
    <n v="6671.53"/>
    <s v="EUR"/>
    <n v="9228.4599999999991"/>
    <n v="0.57999999999999996"/>
  </r>
  <r>
    <s v=".1~269"/>
    <n v="269"/>
    <x v="0"/>
    <x v="2"/>
    <s v="07"/>
    <s v="03/07"/>
    <d v="2021-02-16T00:00:00"/>
    <n v="10"/>
    <n v="47"/>
    <s v="2799"/>
    <s v="4"/>
    <s v="02"/>
    <s v="Baden-Wurttemberg"/>
    <x v="1"/>
    <s v="KARLSRUHE"/>
    <s v="Germany"/>
    <s v="76133"/>
    <s v="80115"/>
    <s v="12"/>
    <s v="II-F12"/>
    <s v="1kg Blueberry Muesli"/>
    <s v="Finished Product"/>
    <s v="F12"/>
    <s v="1kg"/>
    <s v="Blueberry Muesli"/>
    <n v="2370"/>
    <n v="2370"/>
    <s v="ST"/>
    <n v="5.52"/>
    <n v="13082.4"/>
    <n v="5379.9"/>
    <s v="EUR"/>
    <n v="7702.5"/>
    <n v="0.59"/>
  </r>
  <r>
    <s v=".1~270"/>
    <n v="270"/>
    <x v="0"/>
    <x v="2"/>
    <s v="07"/>
    <s v="03/07"/>
    <d v="2021-02-16T00:00:00"/>
    <n v="10"/>
    <n v="47"/>
    <s v="2799"/>
    <s v="1"/>
    <s v="02"/>
    <s v="Baden-Wurttemberg"/>
    <x v="1"/>
    <s v="KARLSRUHE"/>
    <s v="Germany"/>
    <s v="76133"/>
    <s v="80115"/>
    <s v="12"/>
    <s v="II-F12"/>
    <s v="1kg Blueberry Muesli"/>
    <s v="Finished Product"/>
    <s v="F12"/>
    <s v="1kg"/>
    <s v="Blueberry Muesli"/>
    <n v="2851"/>
    <n v="2851"/>
    <s v="ST"/>
    <n v="5.52"/>
    <n v="15737.52"/>
    <n v="6471.77"/>
    <s v="EUR"/>
    <n v="9265.75"/>
    <n v="0.59"/>
  </r>
  <r>
    <s v=".1~271"/>
    <n v="271"/>
    <x v="0"/>
    <x v="2"/>
    <s v="07"/>
    <s v="03/07"/>
    <d v="2021-02-16T00:00:00"/>
    <n v="10"/>
    <n v="47"/>
    <s v="2799"/>
    <s v="3"/>
    <s v="02"/>
    <s v="Baden-Wurttemberg"/>
    <x v="1"/>
    <s v="KARLSRUHE"/>
    <s v="Germany"/>
    <s v="76133"/>
    <s v="80115"/>
    <s v="12"/>
    <s v="II-F12"/>
    <s v="1kg Blueberry Muesli"/>
    <s v="Finished Product"/>
    <s v="F12"/>
    <s v="1kg"/>
    <s v="Blueberry Muesli"/>
    <n v="2458"/>
    <n v="2458"/>
    <s v="ST"/>
    <n v="5.52"/>
    <n v="13568.16"/>
    <n v="5579.66"/>
    <s v="EUR"/>
    <n v="7988.5"/>
    <n v="0.59"/>
  </r>
  <r>
    <s v=".1~272"/>
    <n v="272"/>
    <x v="0"/>
    <x v="2"/>
    <s v="07"/>
    <s v="03/07"/>
    <d v="2021-02-16T00:00:00"/>
    <n v="10"/>
    <n v="47"/>
    <s v="2799"/>
    <s v="2"/>
    <s v="02"/>
    <s v="Baden-Wurttemberg"/>
    <x v="1"/>
    <s v="KARLSRUHE"/>
    <s v="Germany"/>
    <s v="76133"/>
    <s v="80115"/>
    <s v="12"/>
    <s v="II-F14"/>
    <s v="1kg Raisin Muesli"/>
    <s v="Finished Product"/>
    <s v="F14"/>
    <s v="1kg"/>
    <s v="Raisin Muesli"/>
    <n v="1750"/>
    <n v="1750"/>
    <s v="ST"/>
    <n v="4.5999999999999996"/>
    <n v="8050"/>
    <n v="2432.5"/>
    <s v="EUR"/>
    <n v="5617.5"/>
    <n v="0.7"/>
  </r>
  <r>
    <s v=".1~273"/>
    <n v="273"/>
    <x v="0"/>
    <x v="2"/>
    <s v="08"/>
    <s v="03/08"/>
    <d v="2021-02-17T00:00:00"/>
    <n v="10"/>
    <n v="48"/>
    <s v="2820"/>
    <s v="1"/>
    <s v="02"/>
    <s v="Bavaria"/>
    <x v="1"/>
    <s v="MÜNCHEN"/>
    <s v="Germany"/>
    <s v="81245"/>
    <s v="80123"/>
    <s v="12"/>
    <s v="II-F04"/>
    <s v="500g Raisin Muesli"/>
    <s v="Finished Product"/>
    <s v="F04"/>
    <s v="500g"/>
    <s v="Raisin Muesli"/>
    <n v="3977"/>
    <n v="3977"/>
    <s v="ST"/>
    <n v="3.98"/>
    <n v="15828.46"/>
    <n v="3141.83"/>
    <s v="EUR"/>
    <n v="12686.63"/>
    <n v="0.8"/>
  </r>
  <r>
    <s v=".1~274"/>
    <n v="274"/>
    <x v="0"/>
    <x v="2"/>
    <s v="08"/>
    <s v="03/08"/>
    <d v="2021-02-17T00:00:00"/>
    <n v="10"/>
    <n v="48"/>
    <s v="2820"/>
    <s v="2"/>
    <s v="02"/>
    <s v="Bavaria"/>
    <x v="1"/>
    <s v="MÜNCHEN"/>
    <s v="Germany"/>
    <s v="81245"/>
    <s v="80123"/>
    <s v="12"/>
    <s v="II-F04"/>
    <s v="500g Raisin Muesli"/>
    <s v="Finished Product"/>
    <s v="F04"/>
    <s v="500g"/>
    <s v="Raisin Muesli"/>
    <n v="1284"/>
    <n v="1284"/>
    <s v="ST"/>
    <n v="3.98"/>
    <n v="5110.32"/>
    <n v="1014.36"/>
    <s v="EUR"/>
    <n v="4095.96"/>
    <n v="0.8"/>
  </r>
  <r>
    <s v=".1~275"/>
    <n v="275"/>
    <x v="0"/>
    <x v="2"/>
    <s v="08"/>
    <s v="03/08"/>
    <d v="2021-02-17T00:00:00"/>
    <n v="10"/>
    <n v="48"/>
    <s v="2830"/>
    <s v="3"/>
    <s v="02"/>
    <s v="Lower Saxony"/>
    <x v="0"/>
    <s v="OLDENBURG"/>
    <s v="Germany"/>
    <s v="26121"/>
    <s v="80145"/>
    <s v="12"/>
    <s v="II-F12"/>
    <s v="1kg Blueberry Muesli"/>
    <s v="Finished Product"/>
    <s v="F12"/>
    <s v="1kg"/>
    <s v="Blueberry Muesli"/>
    <n v="398"/>
    <n v="398"/>
    <s v="ST"/>
    <n v="5.52"/>
    <n v="2196.96"/>
    <n v="903.46"/>
    <s v="EUR"/>
    <n v="1293.5"/>
    <n v="0.59"/>
  </r>
  <r>
    <s v=".1~276"/>
    <n v="276"/>
    <x v="0"/>
    <x v="2"/>
    <s v="08"/>
    <s v="03/08"/>
    <d v="2021-02-17T00:00:00"/>
    <n v="10"/>
    <n v="48"/>
    <s v="2820"/>
    <s v="4"/>
    <s v="02"/>
    <s v="Bavaria"/>
    <x v="1"/>
    <s v="MÜNCHEN"/>
    <s v="Germany"/>
    <s v="81245"/>
    <s v="80123"/>
    <s v="12"/>
    <s v="II-F14"/>
    <s v="1kg Raisin Muesli"/>
    <s v="Finished Product"/>
    <s v="F14"/>
    <s v="1kg"/>
    <s v="Raisin Muesli"/>
    <n v="3225"/>
    <n v="3225"/>
    <s v="ST"/>
    <n v="4.5999999999999996"/>
    <n v="14835"/>
    <n v="4482.75"/>
    <s v="EUR"/>
    <n v="10352.25"/>
    <n v="0.7"/>
  </r>
  <r>
    <s v=".1~277"/>
    <n v="277"/>
    <x v="0"/>
    <x v="2"/>
    <s v="08"/>
    <s v="03/08"/>
    <d v="2021-02-17T00:00:00"/>
    <n v="10"/>
    <n v="48"/>
    <s v="2820"/>
    <s v="3"/>
    <s v="02"/>
    <s v="Bavaria"/>
    <x v="1"/>
    <s v="MÜNCHEN"/>
    <s v="Germany"/>
    <s v="81245"/>
    <s v="80123"/>
    <s v="12"/>
    <s v="II-F14"/>
    <s v="1kg Raisin Muesli"/>
    <s v="Finished Product"/>
    <s v="F14"/>
    <s v="1kg"/>
    <s v="Raisin Muesli"/>
    <n v="3555"/>
    <n v="3555"/>
    <s v="ST"/>
    <n v="4.5999999999999996"/>
    <n v="16353"/>
    <n v="4941.45"/>
    <s v="EUR"/>
    <n v="11411.55"/>
    <n v="0.7"/>
  </r>
  <r>
    <s v=".1~278"/>
    <n v="278"/>
    <x v="0"/>
    <x v="2"/>
    <s v="08"/>
    <s v="03/08"/>
    <d v="2021-02-17T00:00:00"/>
    <n v="10"/>
    <n v="48"/>
    <s v="2826"/>
    <s v="2"/>
    <s v="02"/>
    <s v="Bavaria"/>
    <x v="1"/>
    <s v="NÜRNBERG-BUCH"/>
    <s v="Germany"/>
    <s v="90427"/>
    <s v="80126"/>
    <s v="12"/>
    <s v="II-F14"/>
    <s v="1kg Raisin Muesli"/>
    <s v="Finished Product"/>
    <s v="F14"/>
    <s v="1kg"/>
    <s v="Raisin Muesli"/>
    <n v="3538"/>
    <n v="3538"/>
    <s v="ST"/>
    <n v="4.5999999999999996"/>
    <n v="16274.8"/>
    <n v="4917.82"/>
    <s v="EUR"/>
    <n v="11356.98"/>
    <n v="0.7"/>
  </r>
  <r>
    <s v=".1~279"/>
    <n v="279"/>
    <x v="0"/>
    <x v="2"/>
    <s v="08"/>
    <s v="03/08"/>
    <d v="2021-02-17T00:00:00"/>
    <n v="10"/>
    <n v="48"/>
    <s v="2826"/>
    <s v="3"/>
    <s v="02"/>
    <s v="Bavaria"/>
    <x v="1"/>
    <s v="NÜRNBERG-BUCH"/>
    <s v="Germany"/>
    <s v="90427"/>
    <s v="80126"/>
    <s v="12"/>
    <s v="II-F14"/>
    <s v="1kg Raisin Muesli"/>
    <s v="Finished Product"/>
    <s v="F14"/>
    <s v="1kg"/>
    <s v="Raisin Muesli"/>
    <n v="3002"/>
    <n v="3002"/>
    <s v="ST"/>
    <n v="4.5999999999999996"/>
    <n v="13809.2"/>
    <n v="4172.78"/>
    <s v="EUR"/>
    <n v="9636.42"/>
    <n v="0.7"/>
  </r>
  <r>
    <s v=".1~280"/>
    <n v="280"/>
    <x v="0"/>
    <x v="2"/>
    <s v="08"/>
    <s v="03/08"/>
    <d v="2021-02-17T00:00:00"/>
    <n v="10"/>
    <n v="48"/>
    <s v="2826"/>
    <s v="1"/>
    <s v="02"/>
    <s v="Bavaria"/>
    <x v="1"/>
    <s v="NÜRNBERG-BUCH"/>
    <s v="Germany"/>
    <s v="90427"/>
    <s v="80126"/>
    <s v="12"/>
    <s v="II-F14"/>
    <s v="1kg Raisin Muesli"/>
    <s v="Finished Product"/>
    <s v="F14"/>
    <s v="1kg"/>
    <s v="Raisin Muesli"/>
    <n v="3429"/>
    <n v="3429"/>
    <s v="ST"/>
    <n v="4.5999999999999996"/>
    <n v="15773.4"/>
    <n v="4766.3100000000004"/>
    <s v="EUR"/>
    <n v="11007.09"/>
    <n v="0.7"/>
  </r>
  <r>
    <s v=".1~281"/>
    <n v="281"/>
    <x v="0"/>
    <x v="2"/>
    <s v="08"/>
    <s v="03/08"/>
    <d v="2021-02-17T00:00:00"/>
    <n v="10"/>
    <n v="48"/>
    <s v="2830"/>
    <s v="1"/>
    <s v="02"/>
    <s v="Lower Saxony"/>
    <x v="0"/>
    <s v="OLDENBURG"/>
    <s v="Germany"/>
    <s v="26121"/>
    <s v="80145"/>
    <s v="12"/>
    <s v="II-F14"/>
    <s v="1kg Raisin Muesli"/>
    <s v="Finished Product"/>
    <s v="F14"/>
    <s v="1kg"/>
    <s v="Raisin Muesli"/>
    <n v="3326"/>
    <n v="3326"/>
    <s v="ST"/>
    <n v="4.5999999999999996"/>
    <n v="15299.6"/>
    <n v="4623.1400000000003"/>
    <s v="EUR"/>
    <n v="10676.46"/>
    <n v="0.7"/>
  </r>
  <r>
    <s v=".1~282"/>
    <n v="282"/>
    <x v="0"/>
    <x v="2"/>
    <s v="08"/>
    <s v="03/08"/>
    <d v="2021-02-17T00:00:00"/>
    <n v="10"/>
    <n v="48"/>
    <s v="2830"/>
    <s v="2"/>
    <s v="02"/>
    <s v="Lower Saxony"/>
    <x v="0"/>
    <s v="OLDENBURG"/>
    <s v="Germany"/>
    <s v="26121"/>
    <s v="80145"/>
    <s v="12"/>
    <s v="II-F14"/>
    <s v="1kg Raisin Muesli"/>
    <s v="Finished Product"/>
    <s v="F14"/>
    <s v="1kg"/>
    <s v="Raisin Muesli"/>
    <n v="2823"/>
    <n v="2823"/>
    <s v="ST"/>
    <n v="4.5999999999999996"/>
    <n v="12985.8"/>
    <n v="3923.97"/>
    <s v="EUR"/>
    <n v="9061.83"/>
    <n v="0.7"/>
  </r>
  <r>
    <s v=".1~283"/>
    <n v="283"/>
    <x v="0"/>
    <x v="2"/>
    <s v="09"/>
    <s v="03/09"/>
    <d v="2021-02-18T00:00:00"/>
    <n v="10"/>
    <n v="49"/>
    <s v="2855"/>
    <s v="1"/>
    <s v="02"/>
    <s v="Saxony-Anhalt"/>
    <x v="0"/>
    <s v="GÜNTHERSDORF"/>
    <s v="Germany"/>
    <s v="06254"/>
    <s v="80167"/>
    <s v="12"/>
    <s v="II-F14"/>
    <s v="1kg Raisin Muesli"/>
    <s v="Finished Product"/>
    <s v="F14"/>
    <s v="1kg"/>
    <s v="Raisin Muesli"/>
    <n v="3022"/>
    <n v="3022"/>
    <s v="ST"/>
    <n v="4.5999999999999996"/>
    <n v="13901.2"/>
    <n v="4200.58"/>
    <s v="EUR"/>
    <n v="9700.6200000000008"/>
    <n v="0.7"/>
  </r>
  <r>
    <s v=".1~284"/>
    <n v="284"/>
    <x v="0"/>
    <x v="2"/>
    <s v="09"/>
    <s v="03/09"/>
    <d v="2021-02-18T00:00:00"/>
    <n v="10"/>
    <n v="49"/>
    <s v="2855"/>
    <s v="2"/>
    <s v="02"/>
    <s v="Saxony-Anhalt"/>
    <x v="0"/>
    <s v="GÜNTHERSDORF"/>
    <s v="Germany"/>
    <s v="06254"/>
    <s v="80167"/>
    <s v="12"/>
    <s v="II-F14"/>
    <s v="1kg Raisin Muesli"/>
    <s v="Finished Product"/>
    <s v="F14"/>
    <s v="1kg"/>
    <s v="Raisin Muesli"/>
    <n v="1003"/>
    <n v="1003"/>
    <s v="ST"/>
    <n v="4.5999999999999996"/>
    <n v="4613.8"/>
    <n v="1394.17"/>
    <s v="EUR"/>
    <n v="3219.63"/>
    <n v="0.7"/>
  </r>
  <r>
    <s v=".1~285"/>
    <n v="285"/>
    <x v="0"/>
    <x v="2"/>
    <s v="09"/>
    <s v="03/09"/>
    <d v="2021-02-18T00:00:00"/>
    <n v="10"/>
    <n v="49"/>
    <s v="2851"/>
    <s v="1"/>
    <s v="02"/>
    <s v="Lower Saxony"/>
    <x v="0"/>
    <s v="OLDENBURG"/>
    <s v="Germany"/>
    <s v="26121"/>
    <s v="80145"/>
    <s v="12"/>
    <s v="II-F14"/>
    <s v="1kg Raisin Muesli"/>
    <s v="Finished Product"/>
    <s v="F14"/>
    <s v="1kg"/>
    <s v="Raisin Muesli"/>
    <n v="3292"/>
    <n v="3292"/>
    <s v="ST"/>
    <n v="4.5999999999999996"/>
    <n v="15143.2"/>
    <n v="4575.88"/>
    <s v="EUR"/>
    <n v="10567.32"/>
    <n v="0.7"/>
  </r>
  <r>
    <s v=".1~286"/>
    <n v="286"/>
    <x v="0"/>
    <x v="2"/>
    <s v="09"/>
    <s v="03/09"/>
    <d v="2021-02-18T00:00:00"/>
    <n v="10"/>
    <n v="49"/>
    <s v="2851"/>
    <s v="2"/>
    <s v="02"/>
    <s v="Lower Saxony"/>
    <x v="0"/>
    <s v="OLDENBURG"/>
    <s v="Germany"/>
    <s v="26121"/>
    <s v="80145"/>
    <s v="12"/>
    <s v="II-F14"/>
    <s v="1kg Raisin Muesli"/>
    <s v="Finished Product"/>
    <s v="F14"/>
    <s v="1kg"/>
    <s v="Raisin Muesli"/>
    <n v="3122"/>
    <n v="3122"/>
    <s v="ST"/>
    <n v="4.5999999999999996"/>
    <n v="14361.2"/>
    <n v="4339.58"/>
    <s v="EUR"/>
    <n v="10021.620000000001"/>
    <n v="0.7"/>
  </r>
  <r>
    <s v=".1~287"/>
    <n v="287"/>
    <x v="0"/>
    <x v="2"/>
    <s v="09"/>
    <s v="03/09"/>
    <d v="2021-02-18T00:00:00"/>
    <n v="10"/>
    <n v="49"/>
    <s v="2844"/>
    <s v="2"/>
    <s v="02"/>
    <s v="Baden-Wurttemberg"/>
    <x v="1"/>
    <s v="STUTTGART"/>
    <s v="Germany"/>
    <s v="70173"/>
    <s v="80118"/>
    <s v="12"/>
    <s v="II-F14"/>
    <s v="1kg Raisin Muesli"/>
    <s v="Finished Product"/>
    <s v="F14"/>
    <s v="1kg"/>
    <s v="Raisin Muesli"/>
    <n v="3254"/>
    <n v="3254"/>
    <s v="ST"/>
    <n v="4.5999999999999996"/>
    <n v="14968.4"/>
    <n v="4523.0600000000004"/>
    <s v="EUR"/>
    <n v="10445.34"/>
    <n v="0.7"/>
  </r>
  <r>
    <s v=".1~288"/>
    <n v="288"/>
    <x v="0"/>
    <x v="2"/>
    <s v="09"/>
    <s v="03/09"/>
    <d v="2021-02-18T00:00:00"/>
    <n v="10"/>
    <n v="49"/>
    <s v="2844"/>
    <s v="3"/>
    <s v="02"/>
    <s v="Baden-Wurttemberg"/>
    <x v="1"/>
    <s v="STUTTGART"/>
    <s v="Germany"/>
    <s v="70173"/>
    <s v="80118"/>
    <s v="12"/>
    <s v="II-F14"/>
    <s v="1kg Raisin Muesli"/>
    <s v="Finished Product"/>
    <s v="F14"/>
    <s v="1kg"/>
    <s v="Raisin Muesli"/>
    <n v="3286"/>
    <n v="3286"/>
    <s v="ST"/>
    <n v="4.5999999999999996"/>
    <n v="15115.6"/>
    <n v="4567.54"/>
    <s v="EUR"/>
    <n v="10548.06"/>
    <n v="0.7"/>
  </r>
  <r>
    <s v=".1~289"/>
    <n v="289"/>
    <x v="0"/>
    <x v="2"/>
    <s v="09"/>
    <s v="03/09"/>
    <d v="2021-02-18T00:00:00"/>
    <n v="10"/>
    <n v="49"/>
    <s v="2844"/>
    <s v="4"/>
    <s v="02"/>
    <s v="Baden-Wurttemberg"/>
    <x v="1"/>
    <s v="STUTTGART"/>
    <s v="Germany"/>
    <s v="70173"/>
    <s v="80118"/>
    <s v="12"/>
    <s v="II-F14"/>
    <s v="1kg Raisin Muesli"/>
    <s v="Finished Product"/>
    <s v="F14"/>
    <s v="1kg"/>
    <s v="Raisin Muesli"/>
    <n v="2988"/>
    <n v="2988"/>
    <s v="ST"/>
    <n v="4.5999999999999996"/>
    <n v="13744.8"/>
    <n v="4153.32"/>
    <s v="EUR"/>
    <n v="9591.48"/>
    <n v="0.7"/>
  </r>
  <r>
    <s v=".1~290"/>
    <n v="290"/>
    <x v="0"/>
    <x v="2"/>
    <s v="09"/>
    <s v="03/09"/>
    <d v="2021-02-18T00:00:00"/>
    <n v="10"/>
    <n v="49"/>
    <s v="2844"/>
    <s v="1"/>
    <s v="02"/>
    <s v="Baden-Wurttemberg"/>
    <x v="1"/>
    <s v="STUTTGART"/>
    <s v="Germany"/>
    <s v="70173"/>
    <s v="80118"/>
    <s v="12"/>
    <s v="II-F14"/>
    <s v="1kg Raisin Muesli"/>
    <s v="Finished Product"/>
    <s v="F14"/>
    <s v="1kg"/>
    <s v="Raisin Muesli"/>
    <n v="3385"/>
    <n v="3385"/>
    <s v="ST"/>
    <n v="4.5999999999999996"/>
    <n v="15571"/>
    <n v="4705.1499999999996"/>
    <s v="EUR"/>
    <n v="10865.85"/>
    <n v="0.7"/>
  </r>
  <r>
    <s v=".1~291"/>
    <n v="291"/>
    <x v="0"/>
    <x v="2"/>
    <s v="10"/>
    <s v="03/10"/>
    <d v="2021-02-19T00:00:00"/>
    <n v="10"/>
    <n v="50"/>
    <s v="2866"/>
    <s v="2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3645"/>
    <n v="3645"/>
    <s v="ST"/>
    <n v="4.3899999999999997"/>
    <n v="16001.55"/>
    <n v="8310.6"/>
    <s v="EUR"/>
    <n v="7690.95"/>
    <n v="0.48"/>
  </r>
  <r>
    <s v=".1~292"/>
    <n v="292"/>
    <x v="0"/>
    <x v="2"/>
    <s v="10"/>
    <s v="03/10"/>
    <d v="2021-02-19T00:00:00"/>
    <n v="10"/>
    <n v="50"/>
    <s v="2866"/>
    <s v="3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3486"/>
    <n v="3486"/>
    <s v="ST"/>
    <n v="4.3899999999999997"/>
    <n v="15303.54"/>
    <n v="7948.08"/>
    <s v="EUR"/>
    <n v="7355.46"/>
    <n v="0.48"/>
  </r>
  <r>
    <s v=".1~293"/>
    <n v="293"/>
    <x v="0"/>
    <x v="2"/>
    <s v="10"/>
    <s v="03/10"/>
    <d v="2021-02-19T00:00:00"/>
    <n v="10"/>
    <n v="50"/>
    <s v="2866"/>
    <s v="1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3213"/>
    <n v="3213"/>
    <s v="ST"/>
    <n v="4.3899999999999997"/>
    <n v="14105.07"/>
    <n v="7325.64"/>
    <s v="EUR"/>
    <n v="6779.43"/>
    <n v="0.48"/>
  </r>
  <r>
    <s v=".1~294"/>
    <n v="294"/>
    <x v="0"/>
    <x v="2"/>
    <s v="10"/>
    <s v="03/10"/>
    <d v="2021-02-19T00:00:00"/>
    <n v="10"/>
    <n v="50"/>
    <s v="2883"/>
    <s v="1"/>
    <s v="02"/>
    <s v="Nrth Rhine Westfalia"/>
    <x v="2"/>
    <s v="DÜREN"/>
    <s v="Germany"/>
    <s v="52349"/>
    <s v="80109"/>
    <s v="10"/>
    <s v="II-F13"/>
    <s v="1kg Strawberry Muesli"/>
    <s v="Finished Product"/>
    <s v="F13"/>
    <s v="1kg"/>
    <s v="Strawberry Muesli"/>
    <n v="3771"/>
    <n v="3771"/>
    <s v="ST"/>
    <n v="4.3899999999999997"/>
    <n v="16554.689999999999"/>
    <n v="8597.8799999999992"/>
    <s v="EUR"/>
    <n v="7956.81"/>
    <n v="0.48"/>
  </r>
  <r>
    <s v=".1~295"/>
    <n v="295"/>
    <x v="0"/>
    <x v="2"/>
    <s v="10"/>
    <s v="03/10"/>
    <d v="2021-02-19T00:00:00"/>
    <n v="10"/>
    <n v="50"/>
    <s v="2883"/>
    <s v="2"/>
    <s v="02"/>
    <s v="Nrth Rhine Westfalia"/>
    <x v="2"/>
    <s v="DÜREN"/>
    <s v="Germany"/>
    <s v="52349"/>
    <s v="80109"/>
    <s v="10"/>
    <s v="II-F13"/>
    <s v="1kg Strawberry Muesli"/>
    <s v="Finished Product"/>
    <s v="F13"/>
    <s v="1kg"/>
    <s v="Strawberry Muesli"/>
    <n v="1418"/>
    <n v="1418"/>
    <s v="ST"/>
    <n v="4.3899999999999997"/>
    <n v="6225.02"/>
    <n v="3233.04"/>
    <s v="EUR"/>
    <n v="2991.98"/>
    <n v="0.48"/>
  </r>
  <r>
    <s v=".1~296"/>
    <n v="296"/>
    <x v="0"/>
    <x v="2"/>
    <s v="10"/>
    <s v="03/10"/>
    <d v="2021-02-19T00:00:00"/>
    <n v="10"/>
    <n v="50"/>
    <s v="2871"/>
    <s v="1"/>
    <s v="02"/>
    <s v="Bavaria"/>
    <x v="1"/>
    <s v="MÜNCHEN"/>
    <s v="Germany"/>
    <s v="80939"/>
    <s v="80124"/>
    <s v="12"/>
    <s v="II-F13"/>
    <s v="1kg Strawberry Muesli"/>
    <s v="Finished Product"/>
    <s v="F13"/>
    <s v="1kg"/>
    <s v="Strawberry Muesli"/>
    <n v="2876"/>
    <n v="2876"/>
    <s v="ST"/>
    <n v="4.4800000000000004"/>
    <n v="12884.48"/>
    <n v="6557.28"/>
    <s v="EUR"/>
    <n v="6327.2"/>
    <n v="0.49"/>
  </r>
  <r>
    <s v=".1~297"/>
    <n v="297"/>
    <x v="0"/>
    <x v="2"/>
    <s v="10"/>
    <s v="03/10"/>
    <d v="2021-02-19T00:00:00"/>
    <n v="10"/>
    <n v="50"/>
    <s v="2871"/>
    <s v="2"/>
    <s v="02"/>
    <s v="Bavaria"/>
    <x v="1"/>
    <s v="MÜNCHEN"/>
    <s v="Germany"/>
    <s v="80939"/>
    <s v="80124"/>
    <s v="12"/>
    <s v="II-F13"/>
    <s v="1kg Strawberry Muesli"/>
    <s v="Finished Product"/>
    <s v="F13"/>
    <s v="1kg"/>
    <s v="Strawberry Muesli"/>
    <n v="3466"/>
    <n v="3466"/>
    <s v="ST"/>
    <n v="4.4800000000000004"/>
    <n v="15527.68"/>
    <n v="7902.48"/>
    <s v="EUR"/>
    <n v="7625.2"/>
    <n v="0.49"/>
  </r>
  <r>
    <s v=".1~298"/>
    <n v="298"/>
    <x v="0"/>
    <x v="2"/>
    <s v="11"/>
    <s v="03/11"/>
    <d v="2021-02-20T00:00:00"/>
    <n v="11"/>
    <n v="51"/>
    <s v="2908"/>
    <s v="1"/>
    <s v="02"/>
    <s v="Nrth Rhine Westfalia"/>
    <x v="2"/>
    <s v="DÜSSELDORF"/>
    <s v="Germany"/>
    <s v="40235"/>
    <s v="80110"/>
    <s v="10"/>
    <s v="II-F13"/>
    <s v="1kg Strawberry Muesli"/>
    <s v="Finished Product"/>
    <s v="F13"/>
    <s v="1kg"/>
    <s v="Strawberry Muesli"/>
    <n v="1946"/>
    <n v="1946"/>
    <s v="ST"/>
    <n v="4.3899999999999997"/>
    <n v="8542.94"/>
    <n v="4436.88"/>
    <s v="EUR"/>
    <n v="4106.0600000000004"/>
    <n v="0.48"/>
  </r>
  <r>
    <s v=".1~299"/>
    <n v="299"/>
    <x v="0"/>
    <x v="2"/>
    <s v="11"/>
    <s v="03/11"/>
    <d v="2021-02-20T00:00:00"/>
    <n v="11"/>
    <n v="51"/>
    <s v="2898"/>
    <s v="1"/>
    <s v="02"/>
    <s v="Bavaria"/>
    <x v="1"/>
    <s v="WÜRZBURG"/>
    <s v="Germany"/>
    <s v="97070"/>
    <s v="80128"/>
    <s v="12"/>
    <s v="II-F13"/>
    <s v="1kg Strawberry Muesli"/>
    <s v="Finished Product"/>
    <s v="F13"/>
    <s v="1kg"/>
    <s v="Strawberry Muesli"/>
    <n v="3343"/>
    <n v="3343"/>
    <s v="ST"/>
    <n v="4.4800000000000004"/>
    <n v="14976.64"/>
    <n v="7622.04"/>
    <s v="EUR"/>
    <n v="7354.6"/>
    <n v="0.49"/>
  </r>
  <r>
    <s v=".1~300"/>
    <n v="300"/>
    <x v="0"/>
    <x v="2"/>
    <s v="11"/>
    <s v="03/11"/>
    <d v="2021-02-20T00:00:00"/>
    <n v="11"/>
    <n v="51"/>
    <s v="2898"/>
    <s v="3"/>
    <s v="02"/>
    <s v="Bavaria"/>
    <x v="1"/>
    <s v="WÜRZBURG"/>
    <s v="Germany"/>
    <s v="97070"/>
    <s v="80128"/>
    <s v="12"/>
    <s v="II-F13"/>
    <s v="1kg Strawberry Muesli"/>
    <s v="Finished Product"/>
    <s v="F13"/>
    <s v="1kg"/>
    <s v="Strawberry Muesli"/>
    <n v="3560"/>
    <n v="3560"/>
    <s v="ST"/>
    <n v="4.4800000000000004"/>
    <n v="15948.8"/>
    <n v="8116.8"/>
    <s v="EUR"/>
    <n v="7832"/>
    <n v="0.49"/>
  </r>
  <r>
    <s v=".1~301"/>
    <n v="301"/>
    <x v="0"/>
    <x v="2"/>
    <s v="11"/>
    <s v="03/11"/>
    <d v="2021-02-20T00:00:00"/>
    <n v="11"/>
    <n v="51"/>
    <s v="2898"/>
    <s v="2"/>
    <s v="02"/>
    <s v="Bavaria"/>
    <x v="1"/>
    <s v="WÜRZBURG"/>
    <s v="Germany"/>
    <s v="97070"/>
    <s v="80128"/>
    <s v="12"/>
    <s v="II-F13"/>
    <s v="1kg Strawberry Muesli"/>
    <s v="Finished Product"/>
    <s v="F13"/>
    <s v="1kg"/>
    <s v="Strawberry Muesli"/>
    <n v="3097"/>
    <n v="3097"/>
    <s v="ST"/>
    <n v="4.4800000000000004"/>
    <n v="13874.56"/>
    <n v="7061.16"/>
    <s v="EUR"/>
    <n v="6813.4"/>
    <n v="0.49"/>
  </r>
  <r>
    <s v=".1~302"/>
    <n v="302"/>
    <x v="0"/>
    <x v="2"/>
    <s v="11"/>
    <s v="03/11"/>
    <d v="2021-02-20T00:00:00"/>
    <n v="11"/>
    <n v="51"/>
    <s v="2891"/>
    <s v="1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3191"/>
    <n v="3191"/>
    <s v="ST"/>
    <n v="4.4800000000000004"/>
    <n v="14295.68"/>
    <n v="7275.48"/>
    <s v="EUR"/>
    <n v="7020.2"/>
    <n v="0.49"/>
  </r>
  <r>
    <s v=".1~303"/>
    <n v="303"/>
    <x v="0"/>
    <x v="2"/>
    <s v="11"/>
    <s v="03/11"/>
    <d v="2021-02-20T00:00:00"/>
    <n v="11"/>
    <n v="51"/>
    <s v="2891"/>
    <s v="2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2857"/>
    <n v="2857"/>
    <s v="ST"/>
    <n v="4.4800000000000004"/>
    <n v="12799.36"/>
    <n v="6513.96"/>
    <s v="EUR"/>
    <n v="6285.4"/>
    <n v="0.49"/>
  </r>
  <r>
    <s v=".1~304"/>
    <n v="304"/>
    <x v="0"/>
    <x v="2"/>
    <s v="11"/>
    <s v="03/11"/>
    <d v="2021-02-20T00:00:00"/>
    <n v="11"/>
    <n v="51"/>
    <s v="2891"/>
    <s v="3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3040"/>
    <n v="3040"/>
    <s v="ST"/>
    <n v="4.4800000000000004"/>
    <n v="13619.2"/>
    <n v="6931.2"/>
    <s v="EUR"/>
    <n v="6688"/>
    <n v="0.49"/>
  </r>
  <r>
    <s v=".1~305"/>
    <n v="305"/>
    <x v="0"/>
    <x v="2"/>
    <s v="11"/>
    <s v="03/11"/>
    <d v="2021-02-20T00:00:00"/>
    <n v="11"/>
    <n v="51"/>
    <s v="2891"/>
    <s v="4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2966"/>
    <n v="2966"/>
    <s v="ST"/>
    <n v="4.4800000000000004"/>
    <n v="13287.68"/>
    <n v="6762.48"/>
    <s v="EUR"/>
    <n v="6525.2"/>
    <n v="0.49"/>
  </r>
  <r>
    <s v=".1~306"/>
    <n v="306"/>
    <x v="0"/>
    <x v="2"/>
    <s v="12"/>
    <s v="03/12"/>
    <d v="2021-02-21T00:00:00"/>
    <n v="11"/>
    <n v="52"/>
    <s v="2918"/>
    <s v="2"/>
    <s v="02"/>
    <s v="Bavaria"/>
    <x v="1"/>
    <s v="MÜNCHEN"/>
    <s v="Germany"/>
    <s v="80993"/>
    <s v="80103"/>
    <s v="10"/>
    <s v="II-F13"/>
    <s v="1kg Strawberry Muesli"/>
    <s v="Finished Product"/>
    <s v="F13"/>
    <s v="1kg"/>
    <s v="Strawberry Muesli"/>
    <n v="3192"/>
    <n v="3192"/>
    <s v="ST"/>
    <n v="4.3899999999999997"/>
    <n v="14012.88"/>
    <n v="7277.76"/>
    <s v="EUR"/>
    <n v="6735.12"/>
    <n v="0.48"/>
  </r>
  <r>
    <s v=".1~307"/>
    <n v="307"/>
    <x v="0"/>
    <x v="2"/>
    <s v="12"/>
    <s v="03/12"/>
    <d v="2021-02-21T00:00:00"/>
    <n v="11"/>
    <n v="52"/>
    <s v="2918"/>
    <s v="1"/>
    <s v="02"/>
    <s v="Bavaria"/>
    <x v="1"/>
    <s v="MÜNCHEN"/>
    <s v="Germany"/>
    <s v="80993"/>
    <s v="80103"/>
    <s v="10"/>
    <s v="II-F13"/>
    <s v="1kg Strawberry Muesli"/>
    <s v="Finished Product"/>
    <s v="F13"/>
    <s v="1kg"/>
    <s v="Strawberry Muesli"/>
    <n v="3202"/>
    <n v="3202"/>
    <s v="ST"/>
    <n v="4.3899999999999997"/>
    <n v="14056.78"/>
    <n v="7300.56"/>
    <s v="EUR"/>
    <n v="6756.22"/>
    <n v="0.48"/>
  </r>
  <r>
    <s v=".1~308"/>
    <n v="308"/>
    <x v="0"/>
    <x v="2"/>
    <s v="12"/>
    <s v="03/12"/>
    <d v="2021-02-21T00:00:00"/>
    <n v="11"/>
    <n v="52"/>
    <s v="2918"/>
    <s v="3"/>
    <s v="02"/>
    <s v="Bavaria"/>
    <x v="1"/>
    <s v="MÜNCHEN"/>
    <s v="Germany"/>
    <s v="80993"/>
    <s v="80103"/>
    <s v="10"/>
    <s v="II-F14"/>
    <s v="1kg Raisin Muesli"/>
    <s v="Finished Product"/>
    <s v="F14"/>
    <s v="1kg"/>
    <s v="Raisin Muesli"/>
    <n v="2000"/>
    <n v="2000"/>
    <s v="ST"/>
    <n v="4.51"/>
    <n v="9020"/>
    <n v="2780"/>
    <s v="EUR"/>
    <n v="6240"/>
    <n v="0.69"/>
  </r>
  <r>
    <s v=".1~309"/>
    <n v="309"/>
    <x v="0"/>
    <x v="2"/>
    <s v="12"/>
    <s v="03/12"/>
    <d v="2021-02-21T00:00:00"/>
    <n v="11"/>
    <n v="52"/>
    <s v="2922"/>
    <s v="2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3681"/>
    <n v="3681"/>
    <s v="ST"/>
    <n v="4.4800000000000004"/>
    <n v="16490.88"/>
    <n v="8392.68"/>
    <s v="EUR"/>
    <n v="8098.2"/>
    <n v="0.49"/>
  </r>
  <r>
    <s v=".1~310"/>
    <n v="310"/>
    <x v="0"/>
    <x v="2"/>
    <s v="12"/>
    <s v="03/12"/>
    <d v="2021-02-21T00:00:00"/>
    <n v="11"/>
    <n v="52"/>
    <s v="2922"/>
    <s v="3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3061"/>
    <n v="3061"/>
    <s v="ST"/>
    <n v="4.4800000000000004"/>
    <n v="13713.28"/>
    <n v="6979.08"/>
    <s v="EUR"/>
    <n v="6734.2"/>
    <n v="0.49"/>
  </r>
  <r>
    <s v=".1~311"/>
    <n v="311"/>
    <x v="0"/>
    <x v="2"/>
    <s v="12"/>
    <s v="03/12"/>
    <d v="2021-02-21T00:00:00"/>
    <n v="11"/>
    <n v="52"/>
    <s v="2922"/>
    <s v="4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1602"/>
    <n v="1602"/>
    <s v="ST"/>
    <n v="4.4800000000000004"/>
    <n v="7176.96"/>
    <n v="3652.56"/>
    <s v="EUR"/>
    <n v="3524.4"/>
    <n v="0.49"/>
  </r>
  <r>
    <s v=".1~312"/>
    <n v="312"/>
    <x v="0"/>
    <x v="2"/>
    <s v="12"/>
    <s v="03/12"/>
    <d v="2021-02-21T00:00:00"/>
    <n v="11"/>
    <n v="52"/>
    <s v="2922"/>
    <s v="1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3387"/>
    <n v="3387"/>
    <s v="ST"/>
    <n v="4.4800000000000004"/>
    <n v="15173.76"/>
    <n v="7722.36"/>
    <s v="EUR"/>
    <n v="7451.4"/>
    <n v="0.49"/>
  </r>
  <r>
    <s v=".1~313"/>
    <n v="313"/>
    <x v="0"/>
    <x v="2"/>
    <s v="13"/>
    <s v="03/13"/>
    <d v="2021-02-22T00:00:00"/>
    <n v="11"/>
    <n v="53"/>
    <s v="2940"/>
    <s v="2"/>
    <s v="02"/>
    <s v="Mecklenburg-Vorpomm."/>
    <x v="0"/>
    <s v="ROSTOCK"/>
    <s v="Germany"/>
    <s v="18184"/>
    <s v="80141"/>
    <s v="12"/>
    <s v="II-F01"/>
    <s v="500g Nut Muesli"/>
    <s v="Finished Product"/>
    <s v="F01"/>
    <s v="500g"/>
    <s v="Nut Muesli"/>
    <n v="2094"/>
    <n v="2094"/>
    <s v="ST"/>
    <n v="4.0999999999999996"/>
    <n v="8585.4"/>
    <n v="1884.6"/>
    <s v="EUR"/>
    <n v="6700.8"/>
    <n v="0.78"/>
  </r>
  <r>
    <s v=".1~314"/>
    <n v="314"/>
    <x v="0"/>
    <x v="2"/>
    <s v="13"/>
    <s v="03/13"/>
    <d v="2021-02-22T00:00:00"/>
    <n v="11"/>
    <n v="53"/>
    <s v="2934"/>
    <s v="2"/>
    <s v="02"/>
    <s v="Bavaria"/>
    <x v="1"/>
    <s v="REGENSBURG"/>
    <s v="Germany"/>
    <s v="93053"/>
    <s v="80127"/>
    <s v="12"/>
    <s v="II-F01"/>
    <s v="500g Nut Muesli"/>
    <s v="Finished Product"/>
    <s v="F01"/>
    <s v="500g"/>
    <s v="Nut Muesli"/>
    <n v="4031"/>
    <n v="4031"/>
    <s v="ST"/>
    <n v="4.0999999999999996"/>
    <n v="16527.099999999999"/>
    <n v="3627.9"/>
    <s v="EUR"/>
    <n v="12899.2"/>
    <n v="0.78"/>
  </r>
  <r>
    <s v=".1~315"/>
    <n v="315"/>
    <x v="0"/>
    <x v="2"/>
    <s v="13"/>
    <s v="03/13"/>
    <d v="2021-02-22T00:00:00"/>
    <n v="11"/>
    <n v="53"/>
    <s v="2940"/>
    <s v="1"/>
    <s v="02"/>
    <s v="Mecklenburg-Vorpomm."/>
    <x v="0"/>
    <s v="ROSTOCK"/>
    <s v="Germany"/>
    <s v="18184"/>
    <s v="80141"/>
    <s v="12"/>
    <s v="II-F14"/>
    <s v="1kg Raisin Muesli"/>
    <s v="Finished Product"/>
    <s v="F14"/>
    <s v="1kg"/>
    <s v="Raisin Muesli"/>
    <n v="2959"/>
    <n v="2959"/>
    <s v="ST"/>
    <n v="4.5999999999999996"/>
    <n v="13611.4"/>
    <n v="4113.01"/>
    <s v="EUR"/>
    <n v="9498.39"/>
    <n v="0.7"/>
  </r>
  <r>
    <s v=".1~316"/>
    <n v="316"/>
    <x v="0"/>
    <x v="2"/>
    <s v="13"/>
    <s v="03/13"/>
    <d v="2021-02-22T00:00:00"/>
    <n v="11"/>
    <n v="53"/>
    <s v="2940"/>
    <s v="3"/>
    <s v="02"/>
    <s v="Mecklenburg-Vorpomm."/>
    <x v="0"/>
    <s v="ROSTOCK"/>
    <s v="Germany"/>
    <s v="18184"/>
    <s v="80141"/>
    <s v="12"/>
    <s v="II-F14"/>
    <s v="1kg Raisin Muesli"/>
    <s v="Finished Product"/>
    <s v="F14"/>
    <s v="1kg"/>
    <s v="Raisin Muesli"/>
    <n v="1464"/>
    <n v="1464"/>
    <s v="ST"/>
    <n v="4.5999999999999996"/>
    <n v="6734.4"/>
    <n v="2034.96"/>
    <s v="EUR"/>
    <n v="4699.4399999999996"/>
    <n v="0.7"/>
  </r>
  <r>
    <s v=".1~317"/>
    <n v="317"/>
    <x v="0"/>
    <x v="2"/>
    <s v="13"/>
    <s v="03/13"/>
    <d v="2021-02-22T00:00:00"/>
    <n v="11"/>
    <n v="53"/>
    <s v="2934"/>
    <s v="4"/>
    <s v="02"/>
    <s v="Bavaria"/>
    <x v="1"/>
    <s v="REGENSBURG"/>
    <s v="Germany"/>
    <s v="93053"/>
    <s v="80127"/>
    <s v="12"/>
    <s v="II-F14"/>
    <s v="1kg Raisin Muesli"/>
    <s v="Finished Product"/>
    <s v="F14"/>
    <s v="1kg"/>
    <s v="Raisin Muesli"/>
    <n v="3612"/>
    <n v="3612"/>
    <s v="ST"/>
    <n v="4.5999999999999996"/>
    <n v="16615.2"/>
    <n v="5020.68"/>
    <s v="EUR"/>
    <n v="11594.52"/>
    <n v="0.7"/>
  </r>
  <r>
    <s v=".1~318"/>
    <n v="318"/>
    <x v="0"/>
    <x v="2"/>
    <s v="13"/>
    <s v="03/13"/>
    <d v="2021-02-22T00:00:00"/>
    <n v="11"/>
    <n v="53"/>
    <s v="2934"/>
    <s v="3"/>
    <s v="02"/>
    <s v="Bavaria"/>
    <x v="1"/>
    <s v="REGENSBURG"/>
    <s v="Germany"/>
    <s v="93053"/>
    <s v="80127"/>
    <s v="12"/>
    <s v="II-F14"/>
    <s v="1kg Raisin Muesli"/>
    <s v="Finished Product"/>
    <s v="F14"/>
    <s v="1kg"/>
    <s v="Raisin Muesli"/>
    <n v="3002"/>
    <n v="3002"/>
    <s v="ST"/>
    <n v="4.5999999999999996"/>
    <n v="13809.2"/>
    <n v="4172.78"/>
    <s v="EUR"/>
    <n v="9636.42"/>
    <n v="0.7"/>
  </r>
  <r>
    <s v=".1~319"/>
    <n v="319"/>
    <x v="0"/>
    <x v="2"/>
    <s v="13"/>
    <s v="03/13"/>
    <d v="2021-02-22T00:00:00"/>
    <n v="11"/>
    <n v="53"/>
    <s v="2934"/>
    <s v="1"/>
    <s v="02"/>
    <s v="Bavaria"/>
    <x v="1"/>
    <s v="REGENSBURG"/>
    <s v="Germany"/>
    <s v="93053"/>
    <s v="80127"/>
    <s v="12"/>
    <s v="II-F14"/>
    <s v="1kg Raisin Muesli"/>
    <s v="Finished Product"/>
    <s v="F14"/>
    <s v="1kg"/>
    <s v="Raisin Muesli"/>
    <n v="2963"/>
    <n v="2963"/>
    <s v="ST"/>
    <n v="4.5999999999999996"/>
    <n v="13629.8"/>
    <n v="4118.57"/>
    <s v="EUR"/>
    <n v="9511.23"/>
    <n v="0.7"/>
  </r>
  <r>
    <s v=".1~320"/>
    <n v="320"/>
    <x v="0"/>
    <x v="2"/>
    <s v="14"/>
    <s v="03/14"/>
    <d v="2021-02-23T00:00:00"/>
    <n v="11"/>
    <n v="54"/>
    <s v="2955"/>
    <s v="1"/>
    <s v="02"/>
    <s v="Saxony"/>
    <x v="0"/>
    <s v="CHEMNITZ"/>
    <s v="Germany"/>
    <s v="09111"/>
    <s v="80165"/>
    <s v="12"/>
    <s v="II-F01"/>
    <s v="500g Nut Muesli"/>
    <s v="Finished Product"/>
    <s v="F01"/>
    <s v="500g"/>
    <s v="Nut Muesli"/>
    <n v="3481"/>
    <n v="3481"/>
    <s v="ST"/>
    <n v="4.0999999999999996"/>
    <n v="14272.1"/>
    <n v="3132.9"/>
    <s v="EUR"/>
    <n v="11139.2"/>
    <n v="0.78"/>
  </r>
  <r>
    <s v=".1~321"/>
    <n v="321"/>
    <x v="0"/>
    <x v="2"/>
    <s v="16"/>
    <s v="03/16"/>
    <d v="2021-02-25T00:00:00"/>
    <n v="12"/>
    <n v="56"/>
    <s v="3003"/>
    <s v="2"/>
    <s v="02"/>
    <s v="Schleswig-Holstein"/>
    <x v="0"/>
    <s v="KIEL"/>
    <s v="Germany"/>
    <s v="24113"/>
    <s v="80168"/>
    <s v="12"/>
    <s v="II-F01"/>
    <s v="500g Nut Muesli"/>
    <s v="Finished Product"/>
    <s v="F01"/>
    <s v="500g"/>
    <s v="Nut Muesli"/>
    <n v="3468"/>
    <n v="3468"/>
    <s v="ST"/>
    <n v="4.0999999999999996"/>
    <n v="14218.8"/>
    <n v="3121.2"/>
    <s v="EUR"/>
    <n v="11097.6"/>
    <n v="0.78"/>
  </r>
  <r>
    <s v=".1~322"/>
    <n v="322"/>
    <x v="0"/>
    <x v="2"/>
    <s v="16"/>
    <s v="03/16"/>
    <d v="2021-02-25T00:00:00"/>
    <n v="12"/>
    <n v="56"/>
    <s v="3003"/>
    <s v="1"/>
    <s v="02"/>
    <s v="Schleswig-Holstein"/>
    <x v="0"/>
    <s v="KIEL"/>
    <s v="Germany"/>
    <s v="24113"/>
    <s v="80168"/>
    <s v="12"/>
    <s v="II-F02"/>
    <s v="500g Blueberry Muesli"/>
    <s v="Finished Product"/>
    <s v="F02"/>
    <s v="500g"/>
    <s v="Blueberry Muesli"/>
    <n v="3604"/>
    <n v="3604"/>
    <s v="ST"/>
    <n v="4.4400000000000004"/>
    <n v="16001.76"/>
    <n v="4432.92"/>
    <s v="EUR"/>
    <n v="11568.84"/>
    <n v="0.72"/>
  </r>
  <r>
    <s v=".1~323"/>
    <n v="323"/>
    <x v="0"/>
    <x v="2"/>
    <s v="16"/>
    <s v="03/16"/>
    <d v="2021-02-25T00:00:00"/>
    <n v="12"/>
    <n v="56"/>
    <s v="3013"/>
    <s v="1"/>
    <s v="02"/>
    <s v="Saarland"/>
    <x v="2"/>
    <s v="DUDWEILER"/>
    <s v="Germany"/>
    <s v="66125"/>
    <s v="80268"/>
    <s v="14"/>
    <s v="II-F02"/>
    <s v="500g Blueberry Muesli"/>
    <s v="Finished Product"/>
    <s v="F02"/>
    <s v="500g"/>
    <s v="Blueberry Muesli"/>
    <n v="2609"/>
    <n v="2609"/>
    <s v="ST"/>
    <n v="4.8899999999999997"/>
    <n v="12758.01"/>
    <n v="3209.07"/>
    <s v="EUR"/>
    <n v="9548.94"/>
    <n v="0.75"/>
  </r>
  <r>
    <s v=".1~324"/>
    <n v="324"/>
    <x v="0"/>
    <x v="2"/>
    <s v="17"/>
    <s v="03/17"/>
    <d v="2021-02-26T00:00:00"/>
    <n v="12"/>
    <n v="57"/>
    <s v="3035"/>
    <s v="2"/>
    <s v="02"/>
    <s v="Nrth Rhine Westfalia"/>
    <x v="2"/>
    <s v="ESSEN"/>
    <s v="Germany"/>
    <s v="45127"/>
    <s v="80153"/>
    <s v="12"/>
    <s v="II-F01"/>
    <s v="500g Nut Muesli"/>
    <s v="Finished Product"/>
    <s v="F01"/>
    <s v="500g"/>
    <s v="Nut Muesli"/>
    <n v="3552"/>
    <n v="3552"/>
    <s v="ST"/>
    <n v="4.0999999999999996"/>
    <n v="14563.2"/>
    <n v="3196.8"/>
    <s v="EUR"/>
    <n v="11366.4"/>
    <n v="0.78"/>
  </r>
  <r>
    <s v=".1~325"/>
    <n v="325"/>
    <x v="0"/>
    <x v="2"/>
    <s v="17"/>
    <s v="03/17"/>
    <d v="2021-02-26T00:00:00"/>
    <n v="12"/>
    <n v="57"/>
    <s v="3035"/>
    <s v="1"/>
    <s v="02"/>
    <s v="Nrth Rhine Westfalia"/>
    <x v="2"/>
    <s v="ESSEN"/>
    <s v="Germany"/>
    <s v="45127"/>
    <s v="80153"/>
    <s v="12"/>
    <s v="II-F02"/>
    <s v="500g Blueberry Muesli"/>
    <s v="Finished Product"/>
    <s v="F02"/>
    <s v="500g"/>
    <s v="Blueberry Muesli"/>
    <n v="2840"/>
    <n v="2840"/>
    <s v="ST"/>
    <n v="4.4400000000000004"/>
    <n v="12609.6"/>
    <n v="3493.2"/>
    <s v="EUR"/>
    <n v="9116.4"/>
    <n v="0.72"/>
  </r>
  <r>
    <s v=".1~326"/>
    <n v="326"/>
    <x v="0"/>
    <x v="2"/>
    <s v="17"/>
    <s v="03/17"/>
    <d v="2021-02-26T00:00:00"/>
    <n v="12"/>
    <n v="57"/>
    <s v="3035"/>
    <s v="3"/>
    <s v="02"/>
    <s v="Nrth Rhine Westfalia"/>
    <x v="2"/>
    <s v="ESSEN"/>
    <s v="Germany"/>
    <s v="45127"/>
    <s v="80153"/>
    <s v="12"/>
    <s v="II-F02"/>
    <s v="500g Blueberry Muesli"/>
    <s v="Finished Product"/>
    <s v="F02"/>
    <s v="500g"/>
    <s v="Blueberry Muesli"/>
    <n v="3028"/>
    <n v="3028"/>
    <s v="ST"/>
    <n v="4.4400000000000004"/>
    <n v="13444.32"/>
    <n v="3724.44"/>
    <s v="EUR"/>
    <n v="9719.8799999999992"/>
    <n v="0.72"/>
  </r>
  <r>
    <s v=".1~327"/>
    <n v="327"/>
    <x v="0"/>
    <x v="2"/>
    <s v="17"/>
    <s v="03/17"/>
    <d v="2021-02-26T00:00:00"/>
    <n v="12"/>
    <n v="57"/>
    <s v="3031"/>
    <s v="3"/>
    <s v="02"/>
    <s v="Bavaria"/>
    <x v="1"/>
    <s v="MÜNCHEN"/>
    <s v="Germany"/>
    <s v="80804"/>
    <s v="80122"/>
    <s v="12"/>
    <s v="II-F11"/>
    <s v="1kg Nut Muesli"/>
    <s v="Finished Product"/>
    <s v="F11"/>
    <s v="1kg"/>
    <s v="Nut Muesli"/>
    <n v="2820"/>
    <n v="2820"/>
    <s v="ST"/>
    <n v="4.84"/>
    <n v="13648.8"/>
    <n v="4568.3999999999996"/>
    <s v="EUR"/>
    <n v="9080.4"/>
    <n v="0.67"/>
  </r>
  <r>
    <s v=".1~328"/>
    <n v="328"/>
    <x v="0"/>
    <x v="2"/>
    <s v="17"/>
    <s v="03/17"/>
    <d v="2021-02-26T00:00:00"/>
    <n v="12"/>
    <n v="57"/>
    <s v="3031"/>
    <s v="4"/>
    <s v="02"/>
    <s v="Bavaria"/>
    <x v="1"/>
    <s v="MÜNCHEN"/>
    <s v="Germany"/>
    <s v="80804"/>
    <s v="80122"/>
    <s v="12"/>
    <s v="II-F11"/>
    <s v="1kg Nut Muesli"/>
    <s v="Finished Product"/>
    <s v="F11"/>
    <s v="1kg"/>
    <s v="Nut Muesli"/>
    <n v="1671"/>
    <n v="1671"/>
    <s v="ST"/>
    <n v="4.84"/>
    <n v="8087.64"/>
    <n v="2707.02"/>
    <s v="EUR"/>
    <n v="5380.62"/>
    <n v="0.67"/>
  </r>
  <r>
    <s v=".1~329"/>
    <n v="329"/>
    <x v="0"/>
    <x v="2"/>
    <s v="17"/>
    <s v="03/17"/>
    <d v="2021-02-26T00:00:00"/>
    <n v="12"/>
    <n v="57"/>
    <s v="3031"/>
    <s v="2"/>
    <s v="02"/>
    <s v="Bavaria"/>
    <x v="1"/>
    <s v="MÜNCHEN"/>
    <s v="Germany"/>
    <s v="80804"/>
    <s v="80122"/>
    <s v="12"/>
    <s v="II-F11"/>
    <s v="1kg Nut Muesli"/>
    <s v="Finished Product"/>
    <s v="F11"/>
    <s v="1kg"/>
    <s v="Nut Muesli"/>
    <n v="3012"/>
    <n v="3012"/>
    <s v="ST"/>
    <n v="4.84"/>
    <n v="14578.08"/>
    <n v="4879.4399999999996"/>
    <s v="EUR"/>
    <n v="9698.64"/>
    <n v="0.67"/>
  </r>
  <r>
    <s v=".1~330"/>
    <n v="330"/>
    <x v="0"/>
    <x v="2"/>
    <s v="17"/>
    <s v="03/17"/>
    <d v="2021-02-26T00:00:00"/>
    <n v="12"/>
    <n v="57"/>
    <s v="3031"/>
    <s v="1"/>
    <s v="02"/>
    <s v="Bavaria"/>
    <x v="1"/>
    <s v="MÜNCHEN"/>
    <s v="Germany"/>
    <s v="80804"/>
    <s v="80122"/>
    <s v="12"/>
    <s v="II-F11"/>
    <s v="1kg Nut Muesli"/>
    <s v="Finished Product"/>
    <s v="F11"/>
    <s v="1kg"/>
    <s v="Nut Muesli"/>
    <n v="2872"/>
    <n v="2872"/>
    <s v="ST"/>
    <n v="4.84"/>
    <n v="13900.48"/>
    <n v="4652.6400000000003"/>
    <s v="EUR"/>
    <n v="9247.84"/>
    <n v="0.67"/>
  </r>
  <r>
    <s v=".1~331"/>
    <n v="331"/>
    <x v="0"/>
    <x v="2"/>
    <s v="17"/>
    <s v="03/17"/>
    <d v="2021-02-26T00:00:00"/>
    <n v="12"/>
    <n v="57"/>
    <s v="3038"/>
    <s v="1"/>
    <s v="02"/>
    <s v="Bavaria"/>
    <x v="1"/>
    <s v="MÜNCHEN"/>
    <s v="Germany"/>
    <s v="80804"/>
    <s v="80188"/>
    <s v="14"/>
    <s v="II-F02"/>
    <s v="500g Blueberry Muesli"/>
    <s v="Finished Product"/>
    <s v="F02"/>
    <s v="500g"/>
    <s v="Blueberry Muesli"/>
    <n v="2631"/>
    <n v="2631"/>
    <s v="ST"/>
    <n v="4.8899999999999997"/>
    <n v="12865.59"/>
    <n v="3236.13"/>
    <s v="EUR"/>
    <n v="9629.4599999999991"/>
    <n v="0.75"/>
  </r>
  <r>
    <s v=".1~332"/>
    <n v="332"/>
    <x v="0"/>
    <x v="2"/>
    <s v="17"/>
    <s v="03/17"/>
    <d v="2021-02-26T00:00:00"/>
    <n v="12"/>
    <n v="57"/>
    <s v="3037"/>
    <s v="1"/>
    <s v="02"/>
    <s v="Hessen"/>
    <x v="1"/>
    <s v="FULDA"/>
    <s v="Germany"/>
    <s v="36043"/>
    <s v="80209"/>
    <s v="14"/>
    <s v="II-F02"/>
    <s v="500g Blueberry Muesli"/>
    <s v="Finished Product"/>
    <s v="F02"/>
    <s v="500g"/>
    <s v="Blueberry Muesli"/>
    <n v="2630"/>
    <n v="2630"/>
    <s v="ST"/>
    <n v="4.8899999999999997"/>
    <n v="12860.7"/>
    <n v="3234.9"/>
    <s v="EUR"/>
    <n v="9625.7999999999993"/>
    <n v="0.75"/>
  </r>
  <r>
    <s v=".1~333"/>
    <n v="333"/>
    <x v="0"/>
    <x v="2"/>
    <s v="17"/>
    <s v="03/17"/>
    <d v="2021-02-26T00:00:00"/>
    <n v="12"/>
    <n v="57"/>
    <s v="3036"/>
    <s v="1"/>
    <s v="02"/>
    <s v="Nrth Rhine Westfalia"/>
    <x v="2"/>
    <s v="WUPPERTAL"/>
    <s v="Germany"/>
    <s v="42389"/>
    <s v="80261"/>
    <s v="14"/>
    <s v="II-F02"/>
    <s v="500g Blueberry Muesli"/>
    <s v="Finished Product"/>
    <s v="F02"/>
    <s v="500g"/>
    <s v="Blueberry Muesli"/>
    <n v="2658"/>
    <n v="2658"/>
    <s v="ST"/>
    <n v="4.8899999999999997"/>
    <n v="12997.62"/>
    <n v="3269.34"/>
    <s v="EUR"/>
    <n v="9728.2800000000007"/>
    <n v="0.75"/>
  </r>
  <r>
    <s v=".1~334"/>
    <n v="334"/>
    <x v="0"/>
    <x v="2"/>
    <s v="18"/>
    <s v="03/18"/>
    <d v="2021-02-27T00:00:00"/>
    <n v="12"/>
    <n v="58"/>
    <s v="3052"/>
    <s v="4"/>
    <s v="02"/>
    <s v="Bavaria"/>
    <x v="1"/>
    <s v="MÜNCHEN"/>
    <s v="Germany"/>
    <s v="81245"/>
    <s v="80123"/>
    <s v="12"/>
    <s v="II-F02"/>
    <s v="500g Blueberry Muesli"/>
    <s v="Finished Product"/>
    <s v="F02"/>
    <s v="500g"/>
    <s v="Blueberry Muesli"/>
    <n v="2876"/>
    <n v="2876"/>
    <s v="ST"/>
    <n v="4.4400000000000004"/>
    <n v="12769.44"/>
    <n v="3537.48"/>
    <s v="EUR"/>
    <n v="9231.9599999999991"/>
    <n v="0.72"/>
  </r>
  <r>
    <s v=".1~335"/>
    <n v="335"/>
    <x v="0"/>
    <x v="2"/>
    <s v="18"/>
    <s v="03/18"/>
    <d v="2021-02-27T00:00:00"/>
    <n v="12"/>
    <n v="58"/>
    <s v="3052"/>
    <s v="2"/>
    <s v="02"/>
    <s v="Bavaria"/>
    <x v="1"/>
    <s v="MÜNCHEN"/>
    <s v="Germany"/>
    <s v="81245"/>
    <s v="80123"/>
    <s v="12"/>
    <s v="II-F02"/>
    <s v="500g Blueberry Muesli"/>
    <s v="Finished Product"/>
    <s v="F02"/>
    <s v="500g"/>
    <s v="Blueberry Muesli"/>
    <n v="3290"/>
    <n v="3290"/>
    <s v="ST"/>
    <n v="4.4400000000000004"/>
    <n v="14607.6"/>
    <n v="4046.7"/>
    <s v="EUR"/>
    <n v="10560.9"/>
    <n v="0.72"/>
  </r>
  <r>
    <s v=".1~336"/>
    <n v="336"/>
    <x v="0"/>
    <x v="2"/>
    <s v="18"/>
    <s v="03/18"/>
    <d v="2021-02-27T00:00:00"/>
    <n v="12"/>
    <n v="58"/>
    <s v="3052"/>
    <s v="3"/>
    <s v="02"/>
    <s v="Bavaria"/>
    <x v="1"/>
    <s v="MÜNCHEN"/>
    <s v="Germany"/>
    <s v="81245"/>
    <s v="80123"/>
    <s v="12"/>
    <s v="II-F11"/>
    <s v="1kg Nut Muesli"/>
    <s v="Finished Product"/>
    <s v="F11"/>
    <s v="1kg"/>
    <s v="Nut Muesli"/>
    <n v="2687"/>
    <n v="2687"/>
    <s v="ST"/>
    <n v="4.84"/>
    <n v="13005.08"/>
    <n v="4352.9399999999996"/>
    <s v="EUR"/>
    <n v="8652.14"/>
    <n v="0.67"/>
  </r>
  <r>
    <s v=".1~337"/>
    <n v="337"/>
    <x v="0"/>
    <x v="2"/>
    <s v="18"/>
    <s v="03/18"/>
    <d v="2021-02-27T00:00:00"/>
    <n v="12"/>
    <n v="58"/>
    <s v="3052"/>
    <s v="1"/>
    <s v="02"/>
    <s v="Bavaria"/>
    <x v="1"/>
    <s v="MÜNCHEN"/>
    <s v="Germany"/>
    <s v="81245"/>
    <s v="80123"/>
    <s v="12"/>
    <s v="II-F11"/>
    <s v="1kg Nut Muesli"/>
    <s v="Finished Product"/>
    <s v="F11"/>
    <s v="1kg"/>
    <s v="Nut Muesli"/>
    <n v="2938"/>
    <n v="2938"/>
    <s v="ST"/>
    <n v="4.84"/>
    <n v="14219.92"/>
    <n v="4759.5600000000004"/>
    <s v="EUR"/>
    <n v="9460.36"/>
    <n v="0.67"/>
  </r>
  <r>
    <s v=".1~338"/>
    <n v="338"/>
    <x v="0"/>
    <x v="2"/>
    <s v="18"/>
    <s v="03/18"/>
    <d v="2021-02-27T00:00:00"/>
    <n v="12"/>
    <n v="58"/>
    <s v="3058"/>
    <s v="1"/>
    <s v="02"/>
    <s v="Saxony"/>
    <x v="0"/>
    <s v="WERDAU"/>
    <s v="Germany"/>
    <s v="08412"/>
    <s v="80276"/>
    <s v="14"/>
    <s v="II-F02"/>
    <s v="500g Blueberry Muesli"/>
    <s v="Finished Product"/>
    <s v="F02"/>
    <s v="500g"/>
    <s v="Blueberry Muesli"/>
    <n v="2917"/>
    <n v="2917"/>
    <s v="ST"/>
    <n v="4.8899999999999997"/>
    <n v="14264.13"/>
    <n v="3587.91"/>
    <s v="EUR"/>
    <n v="10676.22"/>
    <n v="0.75"/>
  </r>
  <r>
    <s v=".1~339"/>
    <n v="339"/>
    <x v="0"/>
    <x v="2"/>
    <s v="18"/>
    <s v="03/18"/>
    <d v="2021-02-27T00:00:00"/>
    <n v="12"/>
    <n v="58"/>
    <s v="3059"/>
    <s v="1"/>
    <s v="02"/>
    <s v="Rhineland Palatinate"/>
    <x v="2"/>
    <s v="LUDWIGSHAFEN"/>
    <s v="Germany"/>
    <s v="67071"/>
    <s v="80264"/>
    <s v="14"/>
    <s v="II-F02"/>
    <s v="500g Blueberry Muesli"/>
    <s v="Finished Product"/>
    <s v="F02"/>
    <s v="500g"/>
    <s v="Blueberry Muesli"/>
    <n v="2649"/>
    <n v="2649"/>
    <s v="ST"/>
    <n v="4.8899999999999997"/>
    <n v="12953.61"/>
    <n v="3258.27"/>
    <s v="EUR"/>
    <n v="9695.34"/>
    <n v="0.75"/>
  </r>
  <r>
    <s v=".1~340"/>
    <n v="340"/>
    <x v="0"/>
    <x v="2"/>
    <s v="18"/>
    <s v="03/18"/>
    <d v="2021-02-27T00:00:00"/>
    <n v="12"/>
    <n v="58"/>
    <s v="3062"/>
    <s v="1"/>
    <s v="02"/>
    <s v="Baden-Wurttemberg"/>
    <x v="1"/>
    <s v="REUTLINGEN"/>
    <s v="Germany"/>
    <s v="72770"/>
    <s v="80180"/>
    <s v="14"/>
    <s v="II-F02"/>
    <s v="500g Blueberry Muesli"/>
    <s v="Finished Product"/>
    <s v="F02"/>
    <s v="500g"/>
    <s v="Blueberry Muesli"/>
    <n v="2628"/>
    <n v="2628"/>
    <s v="ST"/>
    <n v="4.8899999999999997"/>
    <n v="12850.92"/>
    <n v="3232.44"/>
    <s v="EUR"/>
    <n v="9618.48"/>
    <n v="0.75"/>
  </r>
  <r>
    <s v=".1~341"/>
    <n v="341"/>
    <x v="0"/>
    <x v="2"/>
    <s v="19"/>
    <s v="03/19"/>
    <d v="2021-02-28T00:00:00"/>
    <n v="12"/>
    <n v="59"/>
    <s v="3079"/>
    <s v="1"/>
    <s v="02"/>
    <s v="Nrth Rhine Westfalia"/>
    <x v="2"/>
    <s v="HERFORD"/>
    <s v="Germany"/>
    <s v="32052"/>
    <s v="80155"/>
    <s v="12"/>
    <s v="II-F02"/>
    <s v="500g Blueberry Muesli"/>
    <s v="Finished Product"/>
    <s v="F02"/>
    <s v="500g"/>
    <s v="Blueberry Muesli"/>
    <n v="3234"/>
    <n v="3234"/>
    <s v="ST"/>
    <n v="4.4400000000000004"/>
    <n v="14358.96"/>
    <n v="3977.82"/>
    <s v="EUR"/>
    <n v="10381.14"/>
    <n v="0.72"/>
  </r>
  <r>
    <s v=".1~342"/>
    <n v="342"/>
    <x v="0"/>
    <x v="2"/>
    <s v="19"/>
    <s v="03/19"/>
    <d v="2021-02-28T00:00:00"/>
    <n v="12"/>
    <n v="59"/>
    <s v="3083"/>
    <s v="1"/>
    <s v="02"/>
    <s v="Nrth Rhine Westfalia"/>
    <x v="2"/>
    <s v="EUSKIRCHEN"/>
    <s v="Germany"/>
    <s v="53879"/>
    <s v="80242"/>
    <s v="14"/>
    <s v="II-F01"/>
    <s v="500g Nut Muesli"/>
    <s v="Finished Product"/>
    <s v="F01"/>
    <s v="500g"/>
    <s v="Nut Muesli"/>
    <n v="3124"/>
    <n v="3124"/>
    <s v="ST"/>
    <n v="4.5"/>
    <n v="14058"/>
    <n v="2811.6"/>
    <s v="EUR"/>
    <n v="11246.4"/>
    <n v="0.8"/>
  </r>
  <r>
    <s v=".1~343"/>
    <n v="343"/>
    <x v="0"/>
    <x v="2"/>
    <s v="19"/>
    <s v="03/19"/>
    <d v="2021-02-28T00:00:00"/>
    <n v="12"/>
    <n v="59"/>
    <s v="3081"/>
    <s v="1"/>
    <s v="02"/>
    <s v="Rhineland Palatinate"/>
    <x v="2"/>
    <s v="MAINZ"/>
    <s v="Germany"/>
    <s v="55252"/>
    <s v="80265"/>
    <s v="14"/>
    <s v="II-F02"/>
    <s v="500g Blueberry Muesli"/>
    <s v="Finished Product"/>
    <s v="F02"/>
    <s v="500g"/>
    <s v="Blueberry Muesli"/>
    <n v="3323"/>
    <n v="3323"/>
    <s v="ST"/>
    <n v="4.8899999999999997"/>
    <n v="16249.47"/>
    <n v="4087.29"/>
    <s v="EUR"/>
    <n v="12162.18"/>
    <n v="0.75"/>
  </r>
  <r>
    <s v=".1~344"/>
    <n v="344"/>
    <x v="0"/>
    <x v="2"/>
    <s v="19"/>
    <s v="03/19"/>
    <d v="2021-02-28T00:00:00"/>
    <n v="12"/>
    <n v="59"/>
    <s v="3084"/>
    <s v="1"/>
    <s v="02"/>
    <s v="Hessen"/>
    <x v="1"/>
    <s v="WETZLAR"/>
    <s v="Germany"/>
    <s v="35576"/>
    <s v="80217"/>
    <s v="14"/>
    <s v="II-F02"/>
    <s v="500g Blueberry Muesli"/>
    <s v="Finished Product"/>
    <s v="F02"/>
    <s v="500g"/>
    <s v="Blueberry Muesli"/>
    <n v="3143"/>
    <n v="3143"/>
    <s v="ST"/>
    <n v="4.8899999999999997"/>
    <n v="15369.27"/>
    <n v="3865.89"/>
    <s v="EUR"/>
    <n v="11503.38"/>
    <n v="0.75"/>
  </r>
  <r>
    <s v=".1~345"/>
    <n v="345"/>
    <x v="0"/>
    <x v="2"/>
    <s v="20"/>
    <s v="03/20"/>
    <d v="2021-03-01T00:00:00"/>
    <n v="12"/>
    <n v="60"/>
    <s v="3101"/>
    <s v="1"/>
    <s v="02"/>
    <s v="Saxony"/>
    <x v="0"/>
    <s v="BANNEWITZ"/>
    <s v="Germany"/>
    <s v="01728"/>
    <s v="80269"/>
    <s v="14"/>
    <s v="II-F02"/>
    <s v="500g Blueberry Muesli"/>
    <s v="Finished Product"/>
    <s v="F02"/>
    <s v="500g"/>
    <s v="Blueberry Muesli"/>
    <n v="2708"/>
    <n v="2708"/>
    <s v="ST"/>
    <n v="4.8899999999999997"/>
    <n v="13242.12"/>
    <n v="3330.84"/>
    <s v="EUR"/>
    <n v="9911.2800000000007"/>
    <n v="0.75"/>
  </r>
  <r>
    <s v=".1~346"/>
    <n v="346"/>
    <x v="0"/>
    <x v="3"/>
    <s v="01"/>
    <s v="04/01"/>
    <d v="2021-03-02T00:00:00"/>
    <n v="13"/>
    <n v="61"/>
    <s v="3124"/>
    <s v="2"/>
    <s v="02"/>
    <s v="Nrth Rhine Westfalia"/>
    <x v="2"/>
    <s v="DÜSSELDORF"/>
    <s v="Germany"/>
    <s v="40213"/>
    <s v="80152"/>
    <s v="12"/>
    <s v="II-F01"/>
    <s v="500g Nut Muesli"/>
    <s v="Finished Product"/>
    <s v="F01"/>
    <s v="500g"/>
    <s v="Nut Muesli"/>
    <n v="3159"/>
    <n v="3159"/>
    <s v="ST"/>
    <n v="4.3"/>
    <n v="13583.7"/>
    <n v="2843.1"/>
    <s v="EUR"/>
    <n v="10740.6"/>
    <n v="0.79"/>
  </r>
  <r>
    <s v=".1~347"/>
    <n v="347"/>
    <x v="0"/>
    <x v="3"/>
    <s v="01"/>
    <s v="04/01"/>
    <d v="2021-03-02T00:00:00"/>
    <n v="13"/>
    <n v="61"/>
    <s v="3120"/>
    <s v="2"/>
    <s v="02"/>
    <s v="Lower Saxony"/>
    <x v="0"/>
    <s v="OLDENBURG"/>
    <s v="Germany"/>
    <s v="26121"/>
    <s v="80145"/>
    <s v="12"/>
    <s v="II-F02"/>
    <s v="500g Blueberry Muesli"/>
    <s v="Finished Product"/>
    <s v="F02"/>
    <s v="500g"/>
    <s v="Blueberry Muesli"/>
    <n v="3339"/>
    <n v="3339"/>
    <s v="ST"/>
    <n v="4.66"/>
    <n v="15559.74"/>
    <n v="4106.97"/>
    <s v="EUR"/>
    <n v="11452.77"/>
    <n v="0.74"/>
  </r>
  <r>
    <s v=".1~348"/>
    <n v="348"/>
    <x v="0"/>
    <x v="3"/>
    <s v="01"/>
    <s v="04/01"/>
    <d v="2021-03-02T00:00:00"/>
    <n v="13"/>
    <n v="61"/>
    <s v="3115"/>
    <s v="1"/>
    <s v="02"/>
    <s v="Bavaria"/>
    <x v="1"/>
    <s v="NÜRNBERG"/>
    <s v="Germany"/>
    <s v="90451"/>
    <s v="80125"/>
    <s v="12"/>
    <s v="II-F02"/>
    <s v="500g Blueberry Muesli"/>
    <s v="Finished Product"/>
    <s v="F02"/>
    <s v="500g"/>
    <s v="Blueberry Muesli"/>
    <n v="2738"/>
    <n v="2738"/>
    <s v="ST"/>
    <n v="4.66"/>
    <n v="12759.08"/>
    <n v="3367.74"/>
    <s v="EUR"/>
    <n v="9391.34"/>
    <n v="0.74"/>
  </r>
  <r>
    <s v=".1~349"/>
    <n v="349"/>
    <x v="0"/>
    <x v="3"/>
    <s v="01"/>
    <s v="04/01"/>
    <d v="2021-03-02T00:00:00"/>
    <n v="13"/>
    <n v="61"/>
    <s v="3115"/>
    <s v="2"/>
    <s v="02"/>
    <s v="Bavaria"/>
    <x v="1"/>
    <s v="NÜRNBERG"/>
    <s v="Germany"/>
    <s v="90451"/>
    <s v="80125"/>
    <s v="12"/>
    <s v="II-F02"/>
    <s v="500g Blueberry Muesli"/>
    <s v="Finished Product"/>
    <s v="F02"/>
    <s v="500g"/>
    <s v="Blueberry Muesli"/>
    <n v="3537"/>
    <n v="3537"/>
    <s v="ST"/>
    <n v="4.66"/>
    <n v="16482.419999999998"/>
    <n v="4350.51"/>
    <s v="EUR"/>
    <n v="12131.91"/>
    <n v="0.74"/>
  </r>
  <r>
    <s v=".1~350"/>
    <n v="350"/>
    <x v="0"/>
    <x v="3"/>
    <s v="01"/>
    <s v="04/01"/>
    <d v="2021-03-02T00:00:00"/>
    <n v="13"/>
    <n v="61"/>
    <s v="3118"/>
    <s v="2"/>
    <s v="02"/>
    <s v="Bavaria"/>
    <x v="1"/>
    <s v="INGOLSTADT"/>
    <s v="Germany"/>
    <s v="85055"/>
    <s v="80120"/>
    <s v="12"/>
    <s v="II-F03"/>
    <s v="500g Strawberry Muesli"/>
    <s v="Finished Product"/>
    <s v="F03"/>
    <s v="500g"/>
    <s v="Strawberry Muesli"/>
    <n v="2724"/>
    <n v="2724"/>
    <s v="ST"/>
    <n v="4.66"/>
    <n v="12693.84"/>
    <n v="3350.52"/>
    <s v="EUR"/>
    <n v="9343.32"/>
    <n v="0.74"/>
  </r>
  <r>
    <s v=".1~351"/>
    <n v="351"/>
    <x v="0"/>
    <x v="3"/>
    <s v="01"/>
    <s v="04/01"/>
    <d v="2021-03-02T00:00:00"/>
    <n v="13"/>
    <n v="61"/>
    <s v="3121"/>
    <s v="1"/>
    <s v="02"/>
    <s v="Nrth Rhine Westfalia"/>
    <x v="2"/>
    <s v="WÜRSELEN"/>
    <s v="Germany"/>
    <s v="52146"/>
    <s v="80162"/>
    <s v="12"/>
    <s v="II-F03"/>
    <s v="500g Strawberry Muesli"/>
    <s v="Finished Product"/>
    <s v="F03"/>
    <s v="500g"/>
    <s v="Strawberry Muesli"/>
    <n v="2735"/>
    <n v="2735"/>
    <s v="ST"/>
    <n v="4.66"/>
    <n v="12745.1"/>
    <n v="3364.05"/>
    <s v="EUR"/>
    <n v="9381.0499999999993"/>
    <n v="0.74"/>
  </r>
  <r>
    <s v=".1~352"/>
    <n v="352"/>
    <x v="0"/>
    <x v="3"/>
    <s v="01"/>
    <s v="04/01"/>
    <d v="2021-03-02T00:00:00"/>
    <n v="13"/>
    <n v="61"/>
    <s v="3124"/>
    <s v="1"/>
    <s v="02"/>
    <s v="Nrth Rhine Westfalia"/>
    <x v="2"/>
    <s v="DÜSSELDORF"/>
    <s v="Germany"/>
    <s v="40213"/>
    <s v="80152"/>
    <s v="12"/>
    <s v="II-F03"/>
    <s v="500g Strawberry Muesli"/>
    <s v="Finished Product"/>
    <s v="F03"/>
    <s v="500g"/>
    <s v="Strawberry Muesli"/>
    <n v="3382"/>
    <n v="3382"/>
    <s v="ST"/>
    <n v="4.66"/>
    <n v="15760.12"/>
    <n v="4159.8599999999997"/>
    <s v="EUR"/>
    <n v="11600.26"/>
    <n v="0.74"/>
  </r>
  <r>
    <s v=".1~353"/>
    <n v="353"/>
    <x v="0"/>
    <x v="3"/>
    <s v="01"/>
    <s v="04/01"/>
    <d v="2021-03-02T00:00:00"/>
    <n v="13"/>
    <n v="61"/>
    <s v="3115"/>
    <s v="3"/>
    <s v="02"/>
    <s v="Bavaria"/>
    <x v="1"/>
    <s v="NÜRNBERG"/>
    <s v="Germany"/>
    <s v="90451"/>
    <s v="80125"/>
    <s v="12"/>
    <s v="II-F03"/>
    <s v="500g Strawberry Muesli"/>
    <s v="Finished Product"/>
    <s v="F03"/>
    <s v="500g"/>
    <s v="Strawberry Muesli"/>
    <n v="3286"/>
    <n v="3286"/>
    <s v="ST"/>
    <n v="4.66"/>
    <n v="15312.76"/>
    <n v="4041.78"/>
    <s v="EUR"/>
    <n v="11270.98"/>
    <n v="0.74"/>
  </r>
  <r>
    <s v=".1~354"/>
    <n v="354"/>
    <x v="0"/>
    <x v="3"/>
    <s v="01"/>
    <s v="04/01"/>
    <d v="2021-03-02T00:00:00"/>
    <n v="13"/>
    <n v="61"/>
    <s v="3118"/>
    <s v="1"/>
    <s v="02"/>
    <s v="Bavaria"/>
    <x v="1"/>
    <s v="INGOLSTADT"/>
    <s v="Germany"/>
    <s v="85055"/>
    <s v="80120"/>
    <s v="12"/>
    <s v="II-F04"/>
    <s v="500g Raisin Muesli"/>
    <s v="Finished Product"/>
    <s v="F04"/>
    <s v="500g"/>
    <s v="Raisin Muesli"/>
    <n v="3578"/>
    <n v="3578"/>
    <s v="ST"/>
    <n v="4.18"/>
    <n v="14956.04"/>
    <n v="2826.62"/>
    <s v="EUR"/>
    <n v="12129.42"/>
    <n v="0.81"/>
  </r>
  <r>
    <s v=".1~355"/>
    <n v="355"/>
    <x v="0"/>
    <x v="3"/>
    <s v="01"/>
    <s v="04/01"/>
    <d v="2021-03-02T00:00:00"/>
    <n v="13"/>
    <n v="61"/>
    <s v="3120"/>
    <s v="1"/>
    <s v="02"/>
    <s v="Lower Saxony"/>
    <x v="0"/>
    <s v="OLDENBURG"/>
    <s v="Germany"/>
    <s v="26121"/>
    <s v="80145"/>
    <s v="12"/>
    <s v="II-F04"/>
    <s v="500g Raisin Muesli"/>
    <s v="Finished Product"/>
    <s v="F04"/>
    <s v="500g"/>
    <s v="Raisin Muesli"/>
    <n v="3891"/>
    <n v="3891"/>
    <s v="ST"/>
    <n v="4.18"/>
    <n v="16264.38"/>
    <n v="3073.89"/>
    <s v="EUR"/>
    <n v="13190.49"/>
    <n v="0.81"/>
  </r>
  <r>
    <s v=".1~356"/>
    <n v="356"/>
    <x v="0"/>
    <x v="3"/>
    <s v="01"/>
    <s v="04/01"/>
    <d v="2021-03-02T00:00:00"/>
    <n v="13"/>
    <n v="61"/>
    <s v="3128"/>
    <s v="1"/>
    <s v="02"/>
    <s v="Baden-Wurttemberg"/>
    <x v="1"/>
    <s v="HORB (AM NECKAR)"/>
    <s v="Germany"/>
    <s v="72160"/>
    <s v="80174"/>
    <s v="14"/>
    <s v="II-F03"/>
    <s v="500g Strawberry Muesli"/>
    <s v="Finished Product"/>
    <s v="F03"/>
    <s v="500g"/>
    <s v="Strawberry Muesli"/>
    <n v="3106"/>
    <n v="3106"/>
    <s v="ST"/>
    <n v="4.8899999999999997"/>
    <n v="15188.34"/>
    <n v="3820.38"/>
    <s v="EUR"/>
    <n v="11367.96"/>
    <n v="0.75"/>
  </r>
  <r>
    <s v=".1~357"/>
    <n v="357"/>
    <x v="0"/>
    <x v="3"/>
    <s v="02"/>
    <s v="04/02"/>
    <d v="2021-03-03T00:00:00"/>
    <n v="13"/>
    <n v="62"/>
    <s v="3138"/>
    <s v="2"/>
    <s v="02"/>
    <s v="Berlin"/>
    <x v="0"/>
    <s v="BERLIN"/>
    <s v="Germany"/>
    <s v="13349"/>
    <s v="80129"/>
    <s v="12"/>
    <s v="II-F01"/>
    <s v="500g Nut Muesli"/>
    <s v="Finished Product"/>
    <s v="F01"/>
    <s v="500g"/>
    <s v="Nut Muesli"/>
    <n v="3600"/>
    <n v="3600"/>
    <s v="ST"/>
    <n v="4.3"/>
    <n v="15480"/>
    <n v="3240"/>
    <s v="EUR"/>
    <n v="12240"/>
    <n v="0.79"/>
  </r>
  <r>
    <s v=".1~358"/>
    <n v="358"/>
    <x v="0"/>
    <x v="3"/>
    <s v="02"/>
    <s v="04/02"/>
    <d v="2021-03-03T00:00:00"/>
    <n v="13"/>
    <n v="62"/>
    <s v="3138"/>
    <s v="1"/>
    <s v="02"/>
    <s v="Berlin"/>
    <x v="0"/>
    <s v="BERLIN"/>
    <s v="Germany"/>
    <s v="13349"/>
    <s v="80129"/>
    <s v="12"/>
    <s v="II-F03"/>
    <s v="500g Strawberry Muesli"/>
    <s v="Finished Product"/>
    <s v="F03"/>
    <s v="500g"/>
    <s v="Strawberry Muesli"/>
    <n v="3202"/>
    <n v="3202"/>
    <s v="ST"/>
    <n v="4.66"/>
    <n v="14921.32"/>
    <n v="3938.46"/>
    <s v="EUR"/>
    <n v="10982.86"/>
    <n v="0.74"/>
  </r>
  <r>
    <s v=".1~359"/>
    <n v="359"/>
    <x v="0"/>
    <x v="3"/>
    <s v="03"/>
    <s v="04/03"/>
    <d v="2021-03-04T00:00:00"/>
    <n v="13"/>
    <n v="63"/>
    <s v="3155"/>
    <s v="1"/>
    <s v="02"/>
    <s v="Nrth Rhine Westfalia"/>
    <x v="2"/>
    <s v="WÜRSELEN"/>
    <s v="Germany"/>
    <s v="52146"/>
    <s v="80162"/>
    <s v="12"/>
    <s v="II-F01"/>
    <s v="500g Nut Muesli"/>
    <s v="Finished Product"/>
    <s v="F01"/>
    <s v="500g"/>
    <s v="Nut Muesli"/>
    <n v="3889"/>
    <n v="3889"/>
    <s v="ST"/>
    <n v="4.3"/>
    <n v="16722.7"/>
    <n v="3500.1"/>
    <s v="EUR"/>
    <n v="13222.6"/>
    <n v="0.79"/>
  </r>
  <r>
    <s v=".1~360"/>
    <n v="360"/>
    <x v="0"/>
    <x v="3"/>
    <s v="03"/>
    <s v="04/03"/>
    <d v="2021-03-04T00:00:00"/>
    <n v="13"/>
    <n v="63"/>
    <s v="3155"/>
    <s v="2"/>
    <s v="02"/>
    <s v="Nrth Rhine Westfalia"/>
    <x v="2"/>
    <s v="WÜRSELEN"/>
    <s v="Germany"/>
    <s v="52146"/>
    <s v="80162"/>
    <s v="12"/>
    <s v="II-F04"/>
    <s v="500g Raisin Muesli"/>
    <s v="Finished Product"/>
    <s v="F04"/>
    <s v="500g"/>
    <s v="Raisin Muesli"/>
    <n v="3593"/>
    <n v="3593"/>
    <s v="ST"/>
    <n v="4.18"/>
    <n v="15018.74"/>
    <n v="2838.47"/>
    <s v="EUR"/>
    <n v="12180.27"/>
    <n v="0.81"/>
  </r>
  <r>
    <s v=".1~361"/>
    <n v="361"/>
    <x v="0"/>
    <x v="3"/>
    <s v="03"/>
    <s v="04/03"/>
    <d v="2021-03-04T00:00:00"/>
    <n v="13"/>
    <n v="63"/>
    <s v="3151"/>
    <s v="1"/>
    <s v="02"/>
    <s v="Nrth Rhine Westfalia"/>
    <x v="2"/>
    <s v="MÜNSTER"/>
    <s v="Germany"/>
    <s v="48159"/>
    <s v="80158"/>
    <s v="12"/>
    <s v="II-F04"/>
    <s v="500g Raisin Muesli"/>
    <s v="Finished Product"/>
    <s v="F04"/>
    <s v="500g"/>
    <s v="Raisin Muesli"/>
    <n v="3767"/>
    <n v="3767"/>
    <s v="ST"/>
    <n v="4.18"/>
    <n v="15746.06"/>
    <n v="2975.93"/>
    <s v="EUR"/>
    <n v="12770.13"/>
    <n v="0.81"/>
  </r>
  <r>
    <s v=".1~362"/>
    <n v="362"/>
    <x v="0"/>
    <x v="3"/>
    <s v="03"/>
    <s v="04/03"/>
    <d v="2021-03-04T00:00:00"/>
    <n v="13"/>
    <n v="63"/>
    <s v="3165"/>
    <s v="1"/>
    <s v="02"/>
    <s v="Hessen"/>
    <x v="1"/>
    <s v="KASSEL"/>
    <s v="Germany"/>
    <s v="34134"/>
    <s v="80212"/>
    <s v="14"/>
    <s v="II-F01"/>
    <s v="500g Nut Muesli"/>
    <s v="Finished Product"/>
    <s v="F01"/>
    <s v="500g"/>
    <s v="Nut Muesli"/>
    <n v="3170"/>
    <n v="3170"/>
    <s v="ST"/>
    <n v="4.5"/>
    <n v="14265"/>
    <n v="2853"/>
    <s v="EUR"/>
    <n v="11412"/>
    <n v="0.8"/>
  </r>
  <r>
    <s v=".1~363"/>
    <n v="363"/>
    <x v="0"/>
    <x v="3"/>
    <s v="03"/>
    <s v="04/03"/>
    <d v="2021-03-04T00:00:00"/>
    <n v="13"/>
    <n v="63"/>
    <s v="3159"/>
    <s v="1"/>
    <s v="02"/>
    <s v="Nrth Rhine Westfalia"/>
    <x v="2"/>
    <s v="REMSCHEID"/>
    <s v="Germany"/>
    <s v="42853"/>
    <s v="80256"/>
    <s v="14"/>
    <s v="II-F03"/>
    <s v="500g Strawberry Muesli"/>
    <s v="Finished Product"/>
    <s v="F03"/>
    <s v="500g"/>
    <s v="Strawberry Muesli"/>
    <n v="2887"/>
    <n v="2887"/>
    <s v="ST"/>
    <n v="4.8899999999999997"/>
    <n v="14117.43"/>
    <n v="3551.01"/>
    <s v="EUR"/>
    <n v="10566.42"/>
    <n v="0.75"/>
  </r>
  <r>
    <s v=".1~364"/>
    <n v="364"/>
    <x v="0"/>
    <x v="3"/>
    <s v="04"/>
    <s v="04/04"/>
    <d v="2021-03-05T00:00:00"/>
    <n v="13"/>
    <n v="64"/>
    <s v="3177"/>
    <s v="1"/>
    <s v="02"/>
    <s v="Lower Saxony"/>
    <x v="0"/>
    <s v="GÖTTINGEN"/>
    <s v="Germany"/>
    <s v="37073"/>
    <s v="80142"/>
    <s v="12"/>
    <s v="II-F01"/>
    <s v="500g Nut Muesli"/>
    <s v="Finished Product"/>
    <s v="F01"/>
    <s v="500g"/>
    <s v="Nut Muesli"/>
    <n v="3404"/>
    <n v="3404"/>
    <s v="ST"/>
    <n v="4.3"/>
    <n v="14637.2"/>
    <n v="3063.6"/>
    <s v="EUR"/>
    <n v="11573.6"/>
    <n v="0.79"/>
  </r>
  <r>
    <s v=".1~365"/>
    <n v="365"/>
    <x v="0"/>
    <x v="3"/>
    <s v="04"/>
    <s v="04/04"/>
    <d v="2021-03-05T00:00:00"/>
    <n v="13"/>
    <n v="64"/>
    <s v="3177"/>
    <s v="3"/>
    <s v="02"/>
    <s v="Lower Saxony"/>
    <x v="0"/>
    <s v="GÖTTINGEN"/>
    <s v="Germany"/>
    <s v="37073"/>
    <s v="80142"/>
    <s v="12"/>
    <s v="II-F03"/>
    <s v="500g Strawberry Muesli"/>
    <s v="Finished Product"/>
    <s v="F03"/>
    <s v="500g"/>
    <s v="Strawberry Muesli"/>
    <n v="3129"/>
    <n v="3129"/>
    <s v="ST"/>
    <n v="4.66"/>
    <n v="14581.14"/>
    <n v="3848.67"/>
    <s v="EUR"/>
    <n v="10732.47"/>
    <n v="0.74"/>
  </r>
  <r>
    <s v=".1~366"/>
    <n v="366"/>
    <x v="0"/>
    <x v="3"/>
    <s v="04"/>
    <s v="04/04"/>
    <d v="2021-03-05T00:00:00"/>
    <n v="13"/>
    <n v="64"/>
    <s v="3177"/>
    <s v="2"/>
    <s v="02"/>
    <s v="Lower Saxony"/>
    <x v="0"/>
    <s v="GÖTTINGEN"/>
    <s v="Germany"/>
    <s v="37073"/>
    <s v="80142"/>
    <s v="12"/>
    <s v="II-F03"/>
    <s v="500g Strawberry Muesli"/>
    <s v="Finished Product"/>
    <s v="F03"/>
    <s v="500g"/>
    <s v="Strawberry Muesli"/>
    <n v="3571"/>
    <n v="3571"/>
    <s v="ST"/>
    <n v="4.66"/>
    <n v="16640.86"/>
    <n v="4392.33"/>
    <s v="EUR"/>
    <n v="12248.53"/>
    <n v="0.74"/>
  </r>
  <r>
    <s v=".1~367"/>
    <n v="367"/>
    <x v="0"/>
    <x v="3"/>
    <s v="04"/>
    <s v="04/04"/>
    <d v="2021-03-05T00:00:00"/>
    <n v="13"/>
    <n v="64"/>
    <s v="3189"/>
    <s v="1"/>
    <s v="02"/>
    <s v="Nrth Rhine Westfalia"/>
    <x v="2"/>
    <s v="WUPPERTAL"/>
    <s v="Germany"/>
    <s v="42103"/>
    <s v="80260"/>
    <s v="14"/>
    <s v="II-F03"/>
    <s v="500g Strawberry Muesli"/>
    <s v="Finished Product"/>
    <s v="F03"/>
    <s v="500g"/>
    <s v="Strawberry Muesli"/>
    <n v="3276"/>
    <n v="3276"/>
    <s v="ST"/>
    <n v="4.8899999999999997"/>
    <n v="16019.64"/>
    <n v="4029.48"/>
    <s v="EUR"/>
    <n v="11990.16"/>
    <n v="0.75"/>
  </r>
  <r>
    <s v=".1~368"/>
    <n v="368"/>
    <x v="0"/>
    <x v="3"/>
    <s v="05"/>
    <s v="04/05"/>
    <d v="2021-03-06T00:00:00"/>
    <n v="13"/>
    <n v="65"/>
    <s v="3206"/>
    <s v="1"/>
    <s v="02"/>
    <s v="Rhineland Palatinate"/>
    <x v="2"/>
    <s v="TRIER"/>
    <s v="Germany"/>
    <s v="54290"/>
    <s v="80164"/>
    <s v="12"/>
    <s v="II-F01"/>
    <s v="500g Nut Muesli"/>
    <s v="Finished Product"/>
    <s v="F01"/>
    <s v="500g"/>
    <s v="Nut Muesli"/>
    <n v="3823"/>
    <n v="3823"/>
    <s v="ST"/>
    <n v="4.3"/>
    <n v="16438.900000000001"/>
    <n v="3440.7"/>
    <s v="EUR"/>
    <n v="12998.2"/>
    <n v="0.79"/>
  </r>
  <r>
    <s v=".1~369"/>
    <n v="369"/>
    <x v="0"/>
    <x v="3"/>
    <s v="05"/>
    <s v="04/05"/>
    <d v="2021-03-06T00:00:00"/>
    <n v="13"/>
    <n v="65"/>
    <s v="3206"/>
    <s v="2"/>
    <s v="02"/>
    <s v="Rhineland Palatinate"/>
    <x v="2"/>
    <s v="TRIER"/>
    <s v="Germany"/>
    <s v="54290"/>
    <s v="80164"/>
    <s v="12"/>
    <s v="II-F01"/>
    <s v="500g Nut Muesli"/>
    <s v="Finished Product"/>
    <s v="F01"/>
    <s v="500g"/>
    <s v="Nut Muesli"/>
    <n v="3897"/>
    <n v="3897"/>
    <s v="ST"/>
    <n v="4.3"/>
    <n v="16757.099999999999"/>
    <n v="3507.3"/>
    <s v="EUR"/>
    <n v="13249.8"/>
    <n v="0.79"/>
  </r>
  <r>
    <s v=".1~370"/>
    <n v="370"/>
    <x v="0"/>
    <x v="3"/>
    <s v="05"/>
    <s v="04/05"/>
    <d v="2021-03-06T00:00:00"/>
    <n v="13"/>
    <n v="65"/>
    <s v="3206"/>
    <s v="3"/>
    <s v="02"/>
    <s v="Rhineland Palatinate"/>
    <x v="2"/>
    <s v="TRIER"/>
    <s v="Germany"/>
    <s v="54290"/>
    <s v="80164"/>
    <s v="12"/>
    <s v="II-F03"/>
    <s v="500g Strawberry Muesli"/>
    <s v="Finished Product"/>
    <s v="F03"/>
    <s v="500g"/>
    <s v="Strawberry Muesli"/>
    <n v="3440"/>
    <n v="3440"/>
    <s v="ST"/>
    <n v="4.66"/>
    <n v="16030.4"/>
    <n v="4231.2"/>
    <s v="EUR"/>
    <n v="11799.2"/>
    <n v="0.74"/>
  </r>
  <r>
    <s v=".1~371"/>
    <n v="371"/>
    <x v="0"/>
    <x v="3"/>
    <s v="05"/>
    <s v="04/05"/>
    <d v="2021-03-06T00:00:00"/>
    <n v="13"/>
    <n v="65"/>
    <s v="3213"/>
    <s v="1"/>
    <s v="02"/>
    <s v="Bavaria"/>
    <x v="1"/>
    <s v="MÜNCHEN"/>
    <s v="Germany"/>
    <s v="80939"/>
    <s v="80189"/>
    <s v="14"/>
    <s v="II-F01"/>
    <s v="500g Nut Muesli"/>
    <s v="Finished Product"/>
    <s v="F01"/>
    <s v="500g"/>
    <s v="Nut Muesli"/>
    <n v="3388"/>
    <n v="3388"/>
    <s v="ST"/>
    <n v="4.7300000000000004"/>
    <n v="16025.24"/>
    <n v="3049.2"/>
    <s v="EUR"/>
    <n v="12976.04"/>
    <n v="0.81"/>
  </r>
  <r>
    <s v=".1~372"/>
    <n v="372"/>
    <x v="0"/>
    <x v="3"/>
    <s v="05"/>
    <s v="04/05"/>
    <d v="2021-03-06T00:00:00"/>
    <n v="13"/>
    <n v="65"/>
    <s v="3209"/>
    <s v="1"/>
    <s v="02"/>
    <s v="Schleswig-Holstein"/>
    <x v="0"/>
    <s v="LÜBECK"/>
    <s v="Germany"/>
    <s v="23558"/>
    <s v="80286"/>
    <s v="14"/>
    <s v="II-F01"/>
    <s v="500g Nut Muesli"/>
    <s v="Finished Product"/>
    <s v="F01"/>
    <s v="500g"/>
    <s v="Nut Muesli"/>
    <n v="2767"/>
    <n v="2767"/>
    <s v="ST"/>
    <n v="4.7300000000000004"/>
    <n v="13087.91"/>
    <n v="2490.3000000000002"/>
    <s v="EUR"/>
    <n v="10597.61"/>
    <n v="0.81"/>
  </r>
  <r>
    <s v=".1~373"/>
    <n v="373"/>
    <x v="0"/>
    <x v="3"/>
    <s v="05"/>
    <s v="04/05"/>
    <d v="2021-03-06T00:00:00"/>
    <n v="13"/>
    <n v="65"/>
    <s v="3212"/>
    <s v="1"/>
    <s v="02"/>
    <s v="Bavaria"/>
    <x v="1"/>
    <s v="MÜNCHEN"/>
    <s v="Germany"/>
    <s v="80339"/>
    <s v="80194"/>
    <s v="14"/>
    <s v="II-F03"/>
    <s v="500g Strawberry Muesli"/>
    <s v="Finished Product"/>
    <s v="F03"/>
    <s v="500g"/>
    <s v="Strawberry Muesli"/>
    <n v="3022"/>
    <n v="3022"/>
    <s v="ST"/>
    <n v="5.13"/>
    <n v="15502.86"/>
    <n v="3717.06"/>
    <s v="EUR"/>
    <n v="11785.8"/>
    <n v="0.76"/>
  </r>
  <r>
    <s v=".1~374"/>
    <n v="374"/>
    <x v="0"/>
    <x v="3"/>
    <s v="06"/>
    <s v="04/06"/>
    <d v="2021-03-07T00:00:00"/>
    <n v="14"/>
    <n v="66"/>
    <s v="3222"/>
    <s v="3"/>
    <s v="02"/>
    <s v="Nrth Rhine Westfalia"/>
    <x v="2"/>
    <s v="SIEGEN"/>
    <s v="Germany"/>
    <s v="57076"/>
    <s v="80160"/>
    <s v="12"/>
    <s v="II-F01"/>
    <s v="500g Nut Muesli"/>
    <s v="Finished Product"/>
    <s v="F01"/>
    <s v="500g"/>
    <s v="Nut Muesli"/>
    <n v="2973"/>
    <n v="2973"/>
    <s v="ST"/>
    <n v="4.3"/>
    <n v="12783.9"/>
    <n v="2675.7"/>
    <s v="EUR"/>
    <n v="10108.200000000001"/>
    <n v="0.79"/>
  </r>
  <r>
    <s v=".1~375"/>
    <n v="375"/>
    <x v="0"/>
    <x v="3"/>
    <s v="06"/>
    <s v="04/06"/>
    <d v="2021-03-07T00:00:00"/>
    <n v="14"/>
    <n v="66"/>
    <s v="3222"/>
    <s v="1"/>
    <s v="02"/>
    <s v="Nrth Rhine Westfalia"/>
    <x v="2"/>
    <s v="SIEGEN"/>
    <s v="Germany"/>
    <s v="57076"/>
    <s v="80160"/>
    <s v="12"/>
    <s v="II-F02"/>
    <s v="500g Blueberry Muesli"/>
    <s v="Finished Product"/>
    <s v="F02"/>
    <s v="500g"/>
    <s v="Blueberry Muesli"/>
    <n v="2716"/>
    <n v="2716"/>
    <s v="ST"/>
    <n v="4.66"/>
    <n v="12656.56"/>
    <n v="3340.68"/>
    <s v="EUR"/>
    <n v="9315.8799999999992"/>
    <n v="0.74"/>
  </r>
  <r>
    <s v=".1~376"/>
    <n v="376"/>
    <x v="0"/>
    <x v="3"/>
    <s v="06"/>
    <s v="04/06"/>
    <d v="2021-03-07T00:00:00"/>
    <n v="14"/>
    <n v="66"/>
    <s v="3222"/>
    <s v="2"/>
    <s v="02"/>
    <s v="Nrth Rhine Westfalia"/>
    <x v="2"/>
    <s v="SIEGEN"/>
    <s v="Germany"/>
    <s v="57076"/>
    <s v="80160"/>
    <s v="12"/>
    <s v="II-F03"/>
    <s v="500g Strawberry Muesli"/>
    <s v="Finished Product"/>
    <s v="F03"/>
    <s v="500g"/>
    <s v="Strawberry Muesli"/>
    <n v="3564"/>
    <n v="3564"/>
    <s v="ST"/>
    <n v="4.66"/>
    <n v="16608.240000000002"/>
    <n v="4383.72"/>
    <s v="EUR"/>
    <n v="12224.52"/>
    <n v="0.74"/>
  </r>
  <r>
    <s v=".1~377"/>
    <n v="377"/>
    <x v="0"/>
    <x v="3"/>
    <s v="06"/>
    <s v="04/06"/>
    <d v="2021-03-07T00:00:00"/>
    <n v="14"/>
    <n v="66"/>
    <s v="3225"/>
    <s v="1"/>
    <s v="02"/>
    <s v="Saxony"/>
    <x v="0"/>
    <s v="LEIPZIG"/>
    <s v="Germany"/>
    <s v="04209"/>
    <s v="80273"/>
    <s v="14"/>
    <s v="II-F02"/>
    <s v="500g Blueberry Muesli"/>
    <s v="Finished Product"/>
    <s v="F02"/>
    <s v="500g"/>
    <s v="Blueberry Muesli"/>
    <n v="3174"/>
    <n v="3174"/>
    <s v="ST"/>
    <n v="5.13"/>
    <n v="16282.62"/>
    <n v="3904.02"/>
    <s v="EUR"/>
    <n v="12378.6"/>
    <n v="0.76"/>
  </r>
  <r>
    <s v=".1~378"/>
    <n v="378"/>
    <x v="0"/>
    <x v="3"/>
    <s v="06"/>
    <s v="04/06"/>
    <d v="2021-03-07T00:00:00"/>
    <n v="14"/>
    <n v="66"/>
    <s v="3235"/>
    <s v="1"/>
    <s v="02"/>
    <s v="Bavaria"/>
    <x v="1"/>
    <s v="MÜNCHEN"/>
    <s v="Germany"/>
    <s v="80804"/>
    <s v="80188"/>
    <s v="14"/>
    <s v="II-F02"/>
    <s v="500g Blueberry Muesli"/>
    <s v="Finished Product"/>
    <s v="F02"/>
    <s v="500g"/>
    <s v="Blueberry Muesli"/>
    <n v="2489"/>
    <n v="2489"/>
    <s v="ST"/>
    <n v="5.13"/>
    <n v="12768.57"/>
    <n v="3061.47"/>
    <s v="EUR"/>
    <n v="9707.1"/>
    <n v="0.76"/>
  </r>
  <r>
    <s v=".1~379"/>
    <n v="379"/>
    <x v="0"/>
    <x v="3"/>
    <s v="06"/>
    <s v="04/06"/>
    <d v="2021-03-07T00:00:00"/>
    <n v="14"/>
    <n v="66"/>
    <s v="3233"/>
    <s v="1"/>
    <s v="02"/>
    <s v="Hessen"/>
    <x v="1"/>
    <s v="WEITERSTADT"/>
    <s v="Germany"/>
    <s v="64331"/>
    <s v="80216"/>
    <s v="14"/>
    <s v="II-F03"/>
    <s v="500g Strawberry Muesli"/>
    <s v="Finished Product"/>
    <s v="F03"/>
    <s v="500g"/>
    <s v="Strawberry Muesli"/>
    <n v="2972"/>
    <n v="2972"/>
    <s v="ST"/>
    <n v="5.13"/>
    <n v="15246.36"/>
    <n v="3655.56"/>
    <s v="EUR"/>
    <n v="11590.8"/>
    <n v="0.76"/>
  </r>
  <r>
    <s v=".1~380"/>
    <n v="380"/>
    <x v="0"/>
    <x v="3"/>
    <s v="06"/>
    <s v="04/06"/>
    <d v="2021-03-07T00:00:00"/>
    <n v="14"/>
    <n v="66"/>
    <s v="3232"/>
    <s v="1"/>
    <s v="02"/>
    <s v="Nrth Rhine Westfalia"/>
    <x v="2"/>
    <s v="BERGISCH GLADBACH"/>
    <s v="Germany"/>
    <s v="51465"/>
    <s v="80229"/>
    <s v="14"/>
    <s v="II-F03"/>
    <s v="500g Strawberry Muesli"/>
    <s v="Finished Product"/>
    <s v="F03"/>
    <s v="500g"/>
    <s v="Strawberry Muesli"/>
    <n v="3170"/>
    <n v="3170"/>
    <s v="ST"/>
    <n v="5.13"/>
    <n v="16262.1"/>
    <n v="3899.1"/>
    <s v="EUR"/>
    <n v="12363"/>
    <n v="0.76"/>
  </r>
  <r>
    <s v=".1~381"/>
    <n v="381"/>
    <x v="0"/>
    <x v="3"/>
    <s v="06"/>
    <s v="04/06"/>
    <d v="2021-03-07T00:00:00"/>
    <n v="14"/>
    <n v="66"/>
    <s v="3218"/>
    <s v="1"/>
    <s v="02"/>
    <s v="Berlin"/>
    <x v="0"/>
    <s v="BERLIN"/>
    <s v="Germany"/>
    <s v="12043"/>
    <s v="80196"/>
    <s v="14"/>
    <s v="II-F03"/>
    <s v="500g Strawberry Muesli"/>
    <s v="Finished Product"/>
    <s v="F03"/>
    <s v="500g"/>
    <s v="Strawberry Muesli"/>
    <n v="2792"/>
    <n v="2792"/>
    <s v="ST"/>
    <n v="5.13"/>
    <n v="14322.96"/>
    <n v="3434.16"/>
    <s v="EUR"/>
    <n v="10888.8"/>
    <n v="0.76"/>
  </r>
  <r>
    <s v=".1~382"/>
    <n v="382"/>
    <x v="0"/>
    <x v="3"/>
    <s v="06"/>
    <s v="04/06"/>
    <d v="2021-03-07T00:00:00"/>
    <n v="14"/>
    <n v="66"/>
    <s v="3234"/>
    <s v="1"/>
    <s v="02"/>
    <s v="Hessen"/>
    <x v="1"/>
    <s v="KASSEL"/>
    <s v="Germany"/>
    <s v="34117"/>
    <s v="80211"/>
    <s v="14"/>
    <s v="II-F03"/>
    <s v="500g Strawberry Muesli"/>
    <s v="Finished Product"/>
    <s v="F03"/>
    <s v="500g"/>
    <s v="Strawberry Muesli"/>
    <n v="2580"/>
    <n v="2580"/>
    <s v="ST"/>
    <n v="5.13"/>
    <n v="13235.4"/>
    <n v="3173.4"/>
    <s v="EUR"/>
    <n v="10062"/>
    <n v="0.76"/>
  </r>
  <r>
    <s v=".1~383"/>
    <n v="383"/>
    <x v="0"/>
    <x v="3"/>
    <s v="07"/>
    <s v="04/07"/>
    <d v="2021-03-08T00:00:00"/>
    <n v="14"/>
    <n v="67"/>
    <s v="3245"/>
    <s v="2"/>
    <s v="02"/>
    <s v="Nrth Rhine Westfalia"/>
    <x v="2"/>
    <s v="VELBERT"/>
    <s v="Germany"/>
    <s v="42551"/>
    <s v="80161"/>
    <s v="12"/>
    <s v="II-F02"/>
    <s v="500g Blueberry Muesli"/>
    <s v="Finished Product"/>
    <s v="F02"/>
    <s v="500g"/>
    <s v="Blueberry Muesli"/>
    <n v="3448"/>
    <n v="3448"/>
    <s v="ST"/>
    <n v="4.66"/>
    <n v="16067.68"/>
    <n v="4241.04"/>
    <s v="EUR"/>
    <n v="11826.64"/>
    <n v="0.74"/>
  </r>
  <r>
    <s v=".1~384"/>
    <n v="384"/>
    <x v="0"/>
    <x v="3"/>
    <s v="07"/>
    <s v="04/07"/>
    <d v="2021-03-08T00:00:00"/>
    <n v="14"/>
    <n v="67"/>
    <s v="3245"/>
    <s v="1"/>
    <s v="02"/>
    <s v="Nrth Rhine Westfalia"/>
    <x v="2"/>
    <s v="VELBERT"/>
    <s v="Germany"/>
    <s v="42551"/>
    <s v="80161"/>
    <s v="12"/>
    <s v="II-F03"/>
    <s v="500g Strawberry Muesli"/>
    <s v="Finished Product"/>
    <s v="F03"/>
    <s v="500g"/>
    <s v="Strawberry Muesli"/>
    <n v="2802"/>
    <n v="2802"/>
    <s v="ST"/>
    <n v="4.66"/>
    <n v="13057.32"/>
    <n v="3446.46"/>
    <s v="EUR"/>
    <n v="9610.86"/>
    <n v="0.74"/>
  </r>
  <r>
    <s v=".1~385"/>
    <n v="385"/>
    <x v="0"/>
    <x v="3"/>
    <s v="07"/>
    <s v="04/07"/>
    <d v="2021-03-08T00:00:00"/>
    <n v="14"/>
    <n v="67"/>
    <s v="3253"/>
    <s v="1"/>
    <s v="02"/>
    <s v="Nrth Rhine Westfalia"/>
    <x v="2"/>
    <s v="WUPPERTAL"/>
    <s v="Germany"/>
    <s v="42389"/>
    <s v="80261"/>
    <s v="14"/>
    <s v="II-F02"/>
    <s v="500g Blueberry Muesli"/>
    <s v="Finished Product"/>
    <s v="F02"/>
    <s v="500g"/>
    <s v="Blueberry Muesli"/>
    <n v="3156"/>
    <n v="3156"/>
    <s v="ST"/>
    <n v="5.13"/>
    <n v="16190.28"/>
    <n v="3881.88"/>
    <s v="EUR"/>
    <n v="12308.4"/>
    <n v="0.76"/>
  </r>
  <r>
    <s v=".1~386"/>
    <n v="386"/>
    <x v="0"/>
    <x v="3"/>
    <s v="07"/>
    <s v="04/07"/>
    <d v="2021-03-08T00:00:00"/>
    <n v="14"/>
    <n v="67"/>
    <s v="3257"/>
    <s v="1"/>
    <s v="02"/>
    <s v="Baden-Wurttemberg"/>
    <x v="1"/>
    <s v="REUTLINGEN"/>
    <s v="Germany"/>
    <s v="72764"/>
    <s v="80181"/>
    <s v="14"/>
    <s v="II-F02"/>
    <s v="500g Blueberry Muesli"/>
    <s v="Finished Product"/>
    <s v="F02"/>
    <s v="500g"/>
    <s v="Blueberry Muesli"/>
    <n v="2566"/>
    <n v="2566"/>
    <s v="ST"/>
    <n v="5.13"/>
    <n v="13163.58"/>
    <n v="3156.18"/>
    <s v="EUR"/>
    <n v="10007.4"/>
    <n v="0.76"/>
  </r>
  <r>
    <s v=".1~387"/>
    <n v="387"/>
    <x v="0"/>
    <x v="3"/>
    <s v="07"/>
    <s v="04/07"/>
    <d v="2021-03-08T00:00:00"/>
    <n v="14"/>
    <n v="67"/>
    <s v="3258"/>
    <s v="1"/>
    <s v="02"/>
    <s v="Baden-Wurttemberg"/>
    <x v="1"/>
    <s v="REUTLINGEN"/>
    <s v="Germany"/>
    <s v="72770"/>
    <s v="80180"/>
    <s v="14"/>
    <s v="II-F02"/>
    <s v="500g Blueberry Muesli"/>
    <s v="Finished Product"/>
    <s v="F02"/>
    <s v="500g"/>
    <s v="Blueberry Muesli"/>
    <n v="2712"/>
    <n v="2712"/>
    <s v="ST"/>
    <n v="5.13"/>
    <n v="13912.56"/>
    <n v="3335.76"/>
    <s v="EUR"/>
    <n v="10576.8"/>
    <n v="0.76"/>
  </r>
  <r>
    <s v=".1~388"/>
    <n v="388"/>
    <x v="0"/>
    <x v="3"/>
    <s v="07"/>
    <s v="04/07"/>
    <d v="2021-03-08T00:00:00"/>
    <n v="14"/>
    <n v="67"/>
    <s v="3247"/>
    <s v="1"/>
    <s v="02"/>
    <s v="Saxony-Anhalt"/>
    <x v="0"/>
    <s v="DESSAU"/>
    <s v="Germany"/>
    <s v="06842"/>
    <s v="80278"/>
    <s v="14"/>
    <s v="II-F03"/>
    <s v="500g Strawberry Muesli"/>
    <s v="Finished Product"/>
    <s v="F03"/>
    <s v="500g"/>
    <s v="Strawberry Muesli"/>
    <n v="2661"/>
    <n v="2661"/>
    <s v="ST"/>
    <n v="5.13"/>
    <n v="13650.93"/>
    <n v="3273.03"/>
    <s v="EUR"/>
    <n v="10377.9"/>
    <n v="0.76"/>
  </r>
  <r>
    <s v=".1~389"/>
    <n v="389"/>
    <x v="0"/>
    <x v="3"/>
    <s v="07"/>
    <s v="04/07"/>
    <d v="2021-03-08T00:00:00"/>
    <n v="14"/>
    <n v="67"/>
    <s v="3250"/>
    <s v="1"/>
    <s v="02"/>
    <s v="Hamburg"/>
    <x v="0"/>
    <s v="HAMBURG"/>
    <s v="Germany"/>
    <s v="20095"/>
    <s v="80203"/>
    <s v="14"/>
    <s v="II-F03"/>
    <s v="500g Strawberry Muesli"/>
    <s v="Finished Product"/>
    <s v="F03"/>
    <s v="500g"/>
    <s v="Strawberry Muesli"/>
    <n v="2628"/>
    <n v="2628"/>
    <s v="ST"/>
    <n v="5.13"/>
    <n v="13481.64"/>
    <n v="3232.44"/>
    <s v="EUR"/>
    <n v="10249.200000000001"/>
    <n v="0.76"/>
  </r>
  <r>
    <s v=".1~390"/>
    <n v="390"/>
    <x v="0"/>
    <x v="3"/>
    <s v="07"/>
    <s v="04/07"/>
    <d v="2021-03-08T00:00:00"/>
    <n v="14"/>
    <n v="67"/>
    <s v="3252"/>
    <s v="1"/>
    <s v="02"/>
    <s v="Saxony-Anhalt"/>
    <x v="0"/>
    <s v="LEIßLING"/>
    <s v="Germany"/>
    <s v="06667"/>
    <s v="80280"/>
    <s v="14"/>
    <s v="II-F03"/>
    <s v="500g Strawberry Muesli"/>
    <s v="Finished Product"/>
    <s v="F03"/>
    <s v="500g"/>
    <s v="Strawberry Muesli"/>
    <n v="2508"/>
    <n v="2508"/>
    <s v="ST"/>
    <n v="5.13"/>
    <n v="12866.04"/>
    <n v="3084.84"/>
    <s v="EUR"/>
    <n v="9781.2000000000007"/>
    <n v="0.76"/>
  </r>
  <r>
    <s v=".1~391"/>
    <n v="391"/>
    <x v="0"/>
    <x v="3"/>
    <s v="07"/>
    <s v="04/07"/>
    <d v="2021-03-08T00:00:00"/>
    <n v="14"/>
    <n v="67"/>
    <s v="3256"/>
    <s v="1"/>
    <s v="02"/>
    <s v="Baden-Wurttemberg"/>
    <x v="1"/>
    <s v="TÜBINGEN"/>
    <s v="Germany"/>
    <s v="72070"/>
    <s v="80184"/>
    <s v="14"/>
    <s v="II-F03"/>
    <s v="500g Strawberry Muesli"/>
    <s v="Finished Product"/>
    <s v="F03"/>
    <s v="500g"/>
    <s v="Strawberry Muesli"/>
    <n v="3203"/>
    <n v="3203"/>
    <s v="ST"/>
    <n v="5.13"/>
    <n v="16431.39"/>
    <n v="3939.69"/>
    <s v="EUR"/>
    <n v="12491.7"/>
    <n v="0.76"/>
  </r>
  <r>
    <s v=".1~392"/>
    <n v="392"/>
    <x v="0"/>
    <x v="3"/>
    <s v="07"/>
    <s v="04/07"/>
    <d v="2021-03-08T00:00:00"/>
    <n v="14"/>
    <n v="67"/>
    <s v="3259"/>
    <s v="1"/>
    <s v="02"/>
    <s v="Bavaria"/>
    <x v="1"/>
    <s v="MÜNCHEN"/>
    <s v="Germany"/>
    <s v="80335"/>
    <s v="80186"/>
    <s v="14"/>
    <s v="II-F03"/>
    <s v="500g Strawberry Muesli"/>
    <s v="Finished Product"/>
    <s v="F03"/>
    <s v="500g"/>
    <s v="Strawberry Muesli"/>
    <n v="2885"/>
    <n v="2885"/>
    <s v="ST"/>
    <n v="5.13"/>
    <n v="14800.05"/>
    <n v="3548.55"/>
    <s v="EUR"/>
    <n v="11251.5"/>
    <n v="0.76"/>
  </r>
  <r>
    <s v=".1~393"/>
    <n v="393"/>
    <x v="0"/>
    <x v="3"/>
    <s v="08"/>
    <s v="04/08"/>
    <d v="2021-03-09T00:00:00"/>
    <n v="14"/>
    <n v="68"/>
    <s v="3265"/>
    <s v="1"/>
    <s v="02"/>
    <s v="Saxony"/>
    <x v="0"/>
    <s v="DRESDEN"/>
    <s v="Germany"/>
    <s v="01219"/>
    <s v="80271"/>
    <s v="14"/>
    <s v="II-F01"/>
    <s v="500g Nut Muesli"/>
    <s v="Finished Product"/>
    <s v="F01"/>
    <s v="500g"/>
    <s v="Nut Muesli"/>
    <n v="3097"/>
    <n v="3097"/>
    <s v="ST"/>
    <n v="4.7300000000000004"/>
    <n v="14648.81"/>
    <n v="2787.3"/>
    <s v="EUR"/>
    <n v="11861.51"/>
    <n v="0.81"/>
  </r>
  <r>
    <s v=".1~394"/>
    <n v="394"/>
    <x v="0"/>
    <x v="3"/>
    <s v="08"/>
    <s v="04/08"/>
    <d v="2021-03-09T00:00:00"/>
    <n v="14"/>
    <n v="68"/>
    <s v="3273"/>
    <s v="1"/>
    <s v="02"/>
    <s v="Hamburg"/>
    <x v="0"/>
    <s v="HAMBURG"/>
    <s v="Germany"/>
    <s v="22453"/>
    <s v="80202"/>
    <s v="14"/>
    <s v="II-F01"/>
    <s v="500g Nut Muesli"/>
    <s v="Finished Product"/>
    <s v="F01"/>
    <s v="500g"/>
    <s v="Nut Muesli"/>
    <n v="3327"/>
    <n v="3327"/>
    <s v="ST"/>
    <n v="4.7300000000000004"/>
    <n v="15736.71"/>
    <n v="2994.3"/>
    <s v="EUR"/>
    <n v="12742.41"/>
    <n v="0.81"/>
  </r>
  <r>
    <s v=".1~395"/>
    <n v="395"/>
    <x v="0"/>
    <x v="3"/>
    <s v="08"/>
    <s v="04/08"/>
    <d v="2021-03-09T00:00:00"/>
    <n v="14"/>
    <n v="68"/>
    <s v="3264"/>
    <s v="1"/>
    <s v="02"/>
    <s v="Schleswig-Holstein"/>
    <x v="0"/>
    <s v="SCHLESWIG"/>
    <s v="Germany"/>
    <s v="24837"/>
    <s v="80288"/>
    <s v="14"/>
    <s v="II-F02"/>
    <s v="500g Blueberry Muesli"/>
    <s v="Finished Product"/>
    <s v="F02"/>
    <s v="500g"/>
    <s v="Blueberry Muesli"/>
    <n v="2962"/>
    <n v="2962"/>
    <s v="ST"/>
    <n v="5.13"/>
    <n v="15195.06"/>
    <n v="3643.26"/>
    <s v="EUR"/>
    <n v="11551.8"/>
    <n v="0.76"/>
  </r>
  <r>
    <s v=".1~396"/>
    <n v="396"/>
    <x v="0"/>
    <x v="3"/>
    <s v="08"/>
    <s v="04/08"/>
    <d v="2021-03-09T00:00:00"/>
    <n v="14"/>
    <n v="68"/>
    <s v="3276"/>
    <s v="1"/>
    <s v="02"/>
    <s v="Rhineland Palatinate"/>
    <x v="2"/>
    <s v="LUDWIGSHAFEN"/>
    <s v="Germany"/>
    <s v="67071"/>
    <s v="80264"/>
    <s v="14"/>
    <s v="II-F02"/>
    <s v="500g Blueberry Muesli"/>
    <s v="Finished Product"/>
    <s v="F02"/>
    <s v="500g"/>
    <s v="Blueberry Muesli"/>
    <n v="3040"/>
    <n v="3040"/>
    <s v="ST"/>
    <n v="5.13"/>
    <n v="15595.2"/>
    <n v="3739.2"/>
    <s v="EUR"/>
    <n v="11856"/>
    <n v="0.76"/>
  </r>
  <r>
    <s v=".1~397"/>
    <n v="397"/>
    <x v="0"/>
    <x v="3"/>
    <s v="08"/>
    <s v="04/08"/>
    <d v="2021-03-09T00:00:00"/>
    <n v="14"/>
    <n v="68"/>
    <s v="3279"/>
    <s v="1"/>
    <s v="02"/>
    <s v="Bavaria"/>
    <x v="1"/>
    <s v="MÜNCHEN"/>
    <s v="Germany"/>
    <s v="80634"/>
    <s v="80193"/>
    <s v="14"/>
    <s v="II-F02"/>
    <s v="500g Blueberry Muesli"/>
    <s v="Finished Product"/>
    <s v="F02"/>
    <s v="500g"/>
    <s v="Blueberry Muesli"/>
    <n v="3131"/>
    <n v="3131"/>
    <s v="ST"/>
    <n v="5.13"/>
    <n v="16062.03"/>
    <n v="3851.13"/>
    <s v="EUR"/>
    <n v="12210.9"/>
    <n v="0.76"/>
  </r>
  <r>
    <s v=".1~398"/>
    <n v="398"/>
    <x v="0"/>
    <x v="3"/>
    <s v="08"/>
    <s v="04/08"/>
    <d v="2021-03-09T00:00:00"/>
    <n v="14"/>
    <n v="68"/>
    <s v="3277"/>
    <s v="1"/>
    <s v="02"/>
    <s v="Nrth Rhine Westfalia"/>
    <x v="2"/>
    <s v="DORTMUND"/>
    <s v="Germany"/>
    <s v="44149"/>
    <s v="80237"/>
    <s v="14"/>
    <s v="II-F03"/>
    <s v="500g Strawberry Muesli"/>
    <s v="Finished Product"/>
    <s v="F03"/>
    <s v="500g"/>
    <s v="Strawberry Muesli"/>
    <n v="2513"/>
    <n v="2513"/>
    <s v="ST"/>
    <n v="5.13"/>
    <n v="12891.69"/>
    <n v="3090.99"/>
    <s v="EUR"/>
    <n v="9800.7000000000007"/>
    <n v="0.76"/>
  </r>
  <r>
    <s v=".1~399"/>
    <n v="399"/>
    <x v="0"/>
    <x v="3"/>
    <s v="08"/>
    <s v="04/08"/>
    <d v="2021-03-09T00:00:00"/>
    <n v="14"/>
    <n v="68"/>
    <s v="3278"/>
    <s v="1"/>
    <s v="02"/>
    <s v="Nrth Rhine Westfalia"/>
    <x v="2"/>
    <s v="CASTROP-RAUXEL"/>
    <s v="Germany"/>
    <s v="44579"/>
    <s v="80234"/>
    <s v="14"/>
    <s v="II-F03"/>
    <s v="500g Strawberry Muesli"/>
    <s v="Finished Product"/>
    <s v="F03"/>
    <s v="500g"/>
    <s v="Strawberry Muesli"/>
    <n v="1962"/>
    <n v="1962"/>
    <s v="ST"/>
    <n v="5.13"/>
    <n v="10065.06"/>
    <n v="2413.2600000000002"/>
    <s v="EUR"/>
    <n v="7651.8"/>
    <n v="0.76"/>
  </r>
  <r>
    <s v=".1~400"/>
    <n v="400"/>
    <x v="0"/>
    <x v="3"/>
    <s v="09"/>
    <s v="04/09"/>
    <d v="2021-03-10T00:00:00"/>
    <n v="14"/>
    <n v="69"/>
    <s v="3289"/>
    <s v="2"/>
    <s v="02"/>
    <s v="Bavaria"/>
    <x v="1"/>
    <s v="NÜRNBERG-BUCH"/>
    <s v="Germany"/>
    <s v="90427"/>
    <s v="80126"/>
    <s v="12"/>
    <s v="II-F02"/>
    <s v="500g Blueberry Muesli"/>
    <s v="Finished Product"/>
    <s v="F02"/>
    <s v="500g"/>
    <s v="Blueberry Muesli"/>
    <n v="3436"/>
    <n v="3436"/>
    <s v="ST"/>
    <n v="4.66"/>
    <n v="16011.76"/>
    <n v="4226.28"/>
    <s v="EUR"/>
    <n v="11785.48"/>
    <n v="0.74"/>
  </r>
  <r>
    <s v=".1~401"/>
    <n v="401"/>
    <x v="0"/>
    <x v="3"/>
    <s v="09"/>
    <s v="04/09"/>
    <d v="2021-03-10T00:00:00"/>
    <n v="14"/>
    <n v="69"/>
    <s v="3289"/>
    <s v="1"/>
    <s v="02"/>
    <s v="Bavaria"/>
    <x v="1"/>
    <s v="NÜRNBERG-BUCH"/>
    <s v="Germany"/>
    <s v="90427"/>
    <s v="80126"/>
    <s v="12"/>
    <s v="II-F02"/>
    <s v="500g Blueberry Muesli"/>
    <s v="Finished Product"/>
    <s v="F02"/>
    <s v="500g"/>
    <s v="Blueberry Muesli"/>
    <n v="3075"/>
    <n v="3075"/>
    <s v="ST"/>
    <n v="4.66"/>
    <n v="14329.5"/>
    <n v="3782.25"/>
    <s v="EUR"/>
    <n v="10547.25"/>
    <n v="0.74"/>
  </r>
  <r>
    <s v=".1~402"/>
    <n v="402"/>
    <x v="0"/>
    <x v="3"/>
    <s v="09"/>
    <s v="04/09"/>
    <d v="2021-03-10T00:00:00"/>
    <n v="14"/>
    <n v="69"/>
    <s v="3294"/>
    <s v="1"/>
    <s v="02"/>
    <s v="Lower Saxony"/>
    <x v="0"/>
    <s v="HILDESHEIM"/>
    <s v="Germany"/>
    <s v="31137"/>
    <s v="80223"/>
    <s v="14"/>
    <s v="II-F01"/>
    <s v="500g Nut Muesli"/>
    <s v="Finished Product"/>
    <s v="F01"/>
    <s v="500g"/>
    <s v="Nut Muesli"/>
    <n v="2949"/>
    <n v="2949"/>
    <s v="ST"/>
    <n v="4.7300000000000004"/>
    <n v="13948.77"/>
    <n v="2654.1"/>
    <s v="EUR"/>
    <n v="11294.67"/>
    <n v="0.81"/>
  </r>
  <r>
    <s v=".1~403"/>
    <n v="403"/>
    <x v="0"/>
    <x v="3"/>
    <s v="09"/>
    <s v="04/09"/>
    <d v="2021-03-10T00:00:00"/>
    <n v="14"/>
    <n v="69"/>
    <s v="3303"/>
    <s v="1"/>
    <s v="02"/>
    <s v="Hessen"/>
    <x v="1"/>
    <s v="FRANKFURT/MAIN"/>
    <s v="Germany"/>
    <s v="60488"/>
    <s v="80208"/>
    <s v="14"/>
    <s v="II-F01"/>
    <s v="500g Nut Muesli"/>
    <s v="Finished Product"/>
    <s v="F01"/>
    <s v="500g"/>
    <s v="Nut Muesli"/>
    <n v="2692"/>
    <n v="2692"/>
    <s v="ST"/>
    <n v="4.7300000000000004"/>
    <n v="12733.16"/>
    <n v="2422.8000000000002"/>
    <s v="EUR"/>
    <n v="10310.36"/>
    <n v="0.81"/>
  </r>
  <r>
    <s v=".1~404"/>
    <n v="404"/>
    <x v="0"/>
    <x v="3"/>
    <s v="09"/>
    <s v="04/09"/>
    <d v="2021-03-10T00:00:00"/>
    <n v="14"/>
    <n v="69"/>
    <s v="3299"/>
    <s v="1"/>
    <s v="02"/>
    <s v="Berlin"/>
    <x v="0"/>
    <s v="BERLIN"/>
    <s v="Germany"/>
    <s v="13156"/>
    <s v="80293"/>
    <s v="14"/>
    <s v="II-F01"/>
    <s v="500g Nut Muesli"/>
    <s v="Finished Product"/>
    <s v="F01"/>
    <s v="500g"/>
    <s v="Nut Muesli"/>
    <n v="3386"/>
    <n v="3386"/>
    <s v="ST"/>
    <n v="4.7300000000000004"/>
    <n v="16015.78"/>
    <n v="3047.4"/>
    <s v="EUR"/>
    <n v="12968.38"/>
    <n v="0.81"/>
  </r>
  <r>
    <s v=".1~405"/>
    <n v="405"/>
    <x v="0"/>
    <x v="3"/>
    <s v="09"/>
    <s v="04/09"/>
    <d v="2021-03-10T00:00:00"/>
    <n v="14"/>
    <n v="69"/>
    <s v="3301"/>
    <s v="1"/>
    <s v="02"/>
    <s v="Nrth Rhine Westfalia"/>
    <x v="2"/>
    <s v="EUSKIRCHEN"/>
    <s v="Germany"/>
    <s v="53879"/>
    <s v="80242"/>
    <s v="14"/>
    <s v="II-F01"/>
    <s v="500g Nut Muesli"/>
    <s v="Finished Product"/>
    <s v="F01"/>
    <s v="500g"/>
    <s v="Nut Muesli"/>
    <n v="3403"/>
    <n v="3403"/>
    <s v="ST"/>
    <n v="4.7300000000000004"/>
    <n v="16096.19"/>
    <n v="3062.7"/>
    <s v="EUR"/>
    <n v="13033.49"/>
    <n v="0.81"/>
  </r>
  <r>
    <s v=".1~406"/>
    <n v="406"/>
    <x v="0"/>
    <x v="3"/>
    <s v="09"/>
    <s v="04/09"/>
    <d v="2021-03-10T00:00:00"/>
    <n v="14"/>
    <n v="69"/>
    <s v="3300"/>
    <s v="1"/>
    <s v="02"/>
    <s v="Rhineland Palatinate"/>
    <x v="2"/>
    <s v="MAINZ"/>
    <s v="Germany"/>
    <s v="55252"/>
    <s v="80265"/>
    <s v="14"/>
    <s v="II-F02"/>
    <s v="500g Blueberry Muesli"/>
    <s v="Finished Product"/>
    <s v="F02"/>
    <s v="500g"/>
    <s v="Blueberry Muesli"/>
    <n v="2724"/>
    <n v="2724"/>
    <s v="ST"/>
    <n v="5.13"/>
    <n v="13974.12"/>
    <n v="3350.52"/>
    <s v="EUR"/>
    <n v="10623.6"/>
    <n v="0.76"/>
  </r>
  <r>
    <s v=".1~407"/>
    <n v="407"/>
    <x v="0"/>
    <x v="3"/>
    <s v="09"/>
    <s v="04/09"/>
    <d v="2021-03-10T00:00:00"/>
    <n v="14"/>
    <n v="69"/>
    <s v="3297"/>
    <s v="1"/>
    <s v="02"/>
    <s v="Saxony"/>
    <x v="0"/>
    <s v="WERDAU"/>
    <s v="Germany"/>
    <s v="08412"/>
    <s v="80276"/>
    <s v="14"/>
    <s v="II-F02"/>
    <s v="500g Blueberry Muesli"/>
    <s v="Finished Product"/>
    <s v="F02"/>
    <s v="500g"/>
    <s v="Blueberry Muesli"/>
    <n v="3227"/>
    <n v="3227"/>
    <s v="ST"/>
    <n v="5.13"/>
    <n v="16554.509999999998"/>
    <n v="3969.21"/>
    <s v="EUR"/>
    <n v="12585.3"/>
    <n v="0.76"/>
  </r>
  <r>
    <s v=".1~408"/>
    <n v="408"/>
    <x v="0"/>
    <x v="3"/>
    <s v="11"/>
    <s v="04/11"/>
    <d v="2021-03-12T00:00:00"/>
    <n v="15"/>
    <n v="71"/>
    <s v="3337"/>
    <s v="1"/>
    <s v="02"/>
    <s v="Nrth Rhine Westfalia"/>
    <x v="2"/>
    <s v="HERFORD"/>
    <s v="Germany"/>
    <s v="32052"/>
    <s v="80155"/>
    <s v="12"/>
    <s v="II-F02"/>
    <s v="500g Blueberry Muesli"/>
    <s v="Finished Product"/>
    <s v="F02"/>
    <s v="500g"/>
    <s v="Blueberry Muesli"/>
    <n v="2945"/>
    <n v="2945"/>
    <s v="ST"/>
    <n v="4.66"/>
    <n v="13723.7"/>
    <n v="3622.35"/>
    <s v="EUR"/>
    <n v="10101.35"/>
    <n v="0.74"/>
  </r>
  <r>
    <s v=".1~409"/>
    <n v="409"/>
    <x v="0"/>
    <x v="3"/>
    <s v="11"/>
    <s v="04/11"/>
    <d v="2021-03-12T00:00:00"/>
    <n v="15"/>
    <n v="71"/>
    <s v="3344"/>
    <s v="1"/>
    <s v="02"/>
    <s v="Nrth Rhine Westfalia"/>
    <x v="2"/>
    <s v="DÜSSELDORF"/>
    <s v="Germany"/>
    <s v="40212"/>
    <s v="80151"/>
    <s v="12"/>
    <s v="II-F02"/>
    <s v="500g Blueberry Muesli"/>
    <s v="Finished Product"/>
    <s v="F02"/>
    <s v="500g"/>
    <s v="Blueberry Muesli"/>
    <n v="2746"/>
    <n v="2746"/>
    <s v="ST"/>
    <n v="4.66"/>
    <n v="12796.36"/>
    <n v="3377.58"/>
    <s v="EUR"/>
    <n v="9418.7800000000007"/>
    <n v="0.74"/>
  </r>
  <r>
    <s v=".1~410"/>
    <n v="410"/>
    <x v="0"/>
    <x v="3"/>
    <s v="11"/>
    <s v="04/11"/>
    <d v="2021-03-12T00:00:00"/>
    <n v="15"/>
    <n v="71"/>
    <s v="3349"/>
    <s v="1"/>
    <s v="02"/>
    <s v="Nrth Rhine Westfalia"/>
    <x v="2"/>
    <s v="BIELEFELD"/>
    <s v="Germany"/>
    <s v="33611"/>
    <s v="80231"/>
    <s v="14"/>
    <s v="II-F02"/>
    <s v="500g Blueberry Muesli"/>
    <s v="Finished Product"/>
    <s v="F02"/>
    <s v="500g"/>
    <s v="Blueberry Muesli"/>
    <n v="3204"/>
    <n v="3204"/>
    <s v="ST"/>
    <n v="5.13"/>
    <n v="16436.52"/>
    <n v="3940.92"/>
    <s v="EUR"/>
    <n v="12495.6"/>
    <n v="0.76"/>
  </r>
  <r>
    <s v=".1~411"/>
    <n v="411"/>
    <x v="0"/>
    <x v="3"/>
    <s v="12"/>
    <s v="04/12"/>
    <d v="2021-03-13T00:00:00"/>
    <n v="15"/>
    <n v="72"/>
    <s v="3366"/>
    <s v="1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276"/>
    <n v="3276"/>
    <s v="ST"/>
    <n v="4.0999999999999996"/>
    <n v="13431.6"/>
    <n v="2948.4"/>
    <s v="EUR"/>
    <n v="10483.200000000001"/>
    <n v="0.78"/>
  </r>
  <r>
    <s v=".1~412"/>
    <n v="412"/>
    <x v="0"/>
    <x v="3"/>
    <s v="12"/>
    <s v="04/12"/>
    <d v="2021-03-13T00:00:00"/>
    <n v="15"/>
    <n v="72"/>
    <s v="3366"/>
    <s v="2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744"/>
    <n v="3744"/>
    <s v="ST"/>
    <n v="4.0999999999999996"/>
    <n v="15350.4"/>
    <n v="3369.6"/>
    <s v="EUR"/>
    <n v="11980.8"/>
    <n v="0.78"/>
  </r>
  <r>
    <s v=".1~413"/>
    <n v="413"/>
    <x v="0"/>
    <x v="3"/>
    <s v="12"/>
    <s v="04/12"/>
    <d v="2021-03-13T00:00:00"/>
    <n v="15"/>
    <n v="72"/>
    <s v="3366"/>
    <s v="4"/>
    <s v="02"/>
    <s v="Nrth Rhine Westfalia"/>
    <x v="2"/>
    <s v="MÜNSTER"/>
    <s v="Germany"/>
    <s v="48159"/>
    <s v="80158"/>
    <s v="12"/>
    <s v="II-F01"/>
    <s v="500g Nut Muesli"/>
    <s v="Finished Product"/>
    <s v="F01"/>
    <s v="500g"/>
    <s v="Nut Muesli"/>
    <n v="3506"/>
    <n v="3506"/>
    <s v="ST"/>
    <n v="4.0999999999999996"/>
    <n v="14374.6"/>
    <n v="3155.4"/>
    <s v="EUR"/>
    <n v="11219.2"/>
    <n v="0.78"/>
  </r>
  <r>
    <s v=".1~414"/>
    <n v="414"/>
    <x v="0"/>
    <x v="3"/>
    <s v="12"/>
    <s v="04/12"/>
    <d v="2021-03-13T00:00:00"/>
    <n v="15"/>
    <n v="72"/>
    <s v="3354"/>
    <s v="3"/>
    <s v="02"/>
    <s v="Bavaria"/>
    <x v="1"/>
    <s v="WÜRZBURG"/>
    <s v="Germany"/>
    <s v="97070"/>
    <s v="80128"/>
    <s v="12"/>
    <s v="II-F01"/>
    <s v="500g Nut Muesli"/>
    <s v="Finished Product"/>
    <s v="F01"/>
    <s v="500g"/>
    <s v="Nut Muesli"/>
    <n v="3859"/>
    <n v="3859"/>
    <s v="ST"/>
    <n v="4.0999999999999996"/>
    <n v="15821.9"/>
    <n v="3473.1"/>
    <s v="EUR"/>
    <n v="12348.8"/>
    <n v="0.78"/>
  </r>
  <r>
    <s v=".1~415"/>
    <n v="415"/>
    <x v="0"/>
    <x v="3"/>
    <s v="12"/>
    <s v="04/12"/>
    <d v="2021-03-13T00:00:00"/>
    <n v="15"/>
    <n v="72"/>
    <s v="3361"/>
    <s v="2"/>
    <s v="02"/>
    <s v="Brandenburg"/>
    <x v="0"/>
    <s v="COTTBUS"/>
    <s v="Germany"/>
    <s v="03046"/>
    <s v="80132"/>
    <s v="12"/>
    <s v="II-F01"/>
    <s v="500g Nut Muesli"/>
    <s v="Finished Product"/>
    <s v="F01"/>
    <s v="500g"/>
    <s v="Nut Muesli"/>
    <n v="3294"/>
    <n v="3294"/>
    <s v="ST"/>
    <n v="4.0999999999999996"/>
    <n v="13505.4"/>
    <n v="2964.6"/>
    <s v="EUR"/>
    <n v="10540.8"/>
    <n v="0.78"/>
  </r>
  <r>
    <s v=".1~416"/>
    <n v="416"/>
    <x v="0"/>
    <x v="3"/>
    <s v="12"/>
    <s v="04/12"/>
    <d v="2021-03-13T00:00:00"/>
    <n v="15"/>
    <n v="72"/>
    <s v="3354"/>
    <s v="2"/>
    <s v="02"/>
    <s v="Bavaria"/>
    <x v="1"/>
    <s v="WÜRZBURG"/>
    <s v="Germany"/>
    <s v="97070"/>
    <s v="80128"/>
    <s v="12"/>
    <s v="II-F01"/>
    <s v="500g Nut Muesli"/>
    <s v="Finished Product"/>
    <s v="F01"/>
    <s v="500g"/>
    <s v="Nut Muesli"/>
    <n v="3756"/>
    <n v="3756"/>
    <s v="ST"/>
    <n v="4.0999999999999996"/>
    <n v="15399.6"/>
    <n v="3380.4"/>
    <s v="EUR"/>
    <n v="12019.2"/>
    <n v="0.78"/>
  </r>
  <r>
    <s v=".1~417"/>
    <n v="417"/>
    <x v="0"/>
    <x v="3"/>
    <s v="12"/>
    <s v="04/12"/>
    <d v="2021-03-13T00:00:00"/>
    <n v="15"/>
    <n v="72"/>
    <s v="3354"/>
    <s v="4"/>
    <s v="02"/>
    <s v="Bavaria"/>
    <x v="1"/>
    <s v="WÜRZBURG"/>
    <s v="Germany"/>
    <s v="97070"/>
    <s v="80128"/>
    <s v="12"/>
    <s v="II-F02"/>
    <s v="500g Blueberry Muesli"/>
    <s v="Finished Product"/>
    <s v="F02"/>
    <s v="500g"/>
    <s v="Blueberry Muesli"/>
    <n v="2976"/>
    <n v="2976"/>
    <s v="ST"/>
    <n v="4.66"/>
    <n v="13868.16"/>
    <n v="3660.48"/>
    <s v="EUR"/>
    <n v="10207.68"/>
    <n v="0.74"/>
  </r>
  <r>
    <s v=".1~418"/>
    <n v="418"/>
    <x v="0"/>
    <x v="3"/>
    <s v="12"/>
    <s v="04/12"/>
    <d v="2021-03-13T00:00:00"/>
    <n v="15"/>
    <n v="72"/>
    <s v="3354"/>
    <s v="1"/>
    <s v="02"/>
    <s v="Bavaria"/>
    <x v="1"/>
    <s v="WÜRZBURG"/>
    <s v="Germany"/>
    <s v="97070"/>
    <s v="80128"/>
    <s v="12"/>
    <s v="II-F02"/>
    <s v="500g Blueberry Muesli"/>
    <s v="Finished Product"/>
    <s v="F02"/>
    <s v="500g"/>
    <s v="Blueberry Muesli"/>
    <n v="2718"/>
    <n v="2718"/>
    <s v="ST"/>
    <n v="4.66"/>
    <n v="12665.88"/>
    <n v="3343.14"/>
    <s v="EUR"/>
    <n v="9322.74"/>
    <n v="0.74"/>
  </r>
  <r>
    <s v=".1~419"/>
    <n v="419"/>
    <x v="0"/>
    <x v="3"/>
    <s v="12"/>
    <s v="04/12"/>
    <d v="2021-03-13T00:00:00"/>
    <n v="15"/>
    <n v="72"/>
    <s v="3356"/>
    <s v="2"/>
    <s v="02"/>
    <s v="Lower Saxony"/>
    <x v="0"/>
    <s v="NIENBURG"/>
    <s v="Germany"/>
    <s v="31582"/>
    <s v="80143"/>
    <s v="12"/>
    <s v="II-F02"/>
    <s v="500g Blueberry Muesli"/>
    <s v="Finished Product"/>
    <s v="F02"/>
    <s v="500g"/>
    <s v="Blueberry Muesli"/>
    <n v="3127"/>
    <n v="3127"/>
    <s v="ST"/>
    <n v="4.66"/>
    <n v="14571.82"/>
    <n v="3846.21"/>
    <s v="EUR"/>
    <n v="10725.61"/>
    <n v="0.74"/>
  </r>
  <r>
    <s v=".1~420"/>
    <n v="420"/>
    <x v="0"/>
    <x v="3"/>
    <s v="12"/>
    <s v="04/12"/>
    <d v="2021-03-13T00:00:00"/>
    <n v="15"/>
    <n v="72"/>
    <s v="3366"/>
    <s v="3"/>
    <s v="02"/>
    <s v="Nrth Rhine Westfalia"/>
    <x v="2"/>
    <s v="MÜNSTER"/>
    <s v="Germany"/>
    <s v="48159"/>
    <s v="80158"/>
    <s v="12"/>
    <s v="II-F02"/>
    <s v="500g Blueberry Muesli"/>
    <s v="Finished Product"/>
    <s v="F02"/>
    <s v="500g"/>
    <s v="Blueberry Muesli"/>
    <n v="3105"/>
    <n v="3105"/>
    <s v="ST"/>
    <n v="4.66"/>
    <n v="14469.3"/>
    <n v="3819.15"/>
    <s v="EUR"/>
    <n v="10650.15"/>
    <n v="0.74"/>
  </r>
  <r>
    <s v=".1~421"/>
    <n v="421"/>
    <x v="0"/>
    <x v="3"/>
    <s v="12"/>
    <s v="04/12"/>
    <d v="2021-03-13T00:00:00"/>
    <n v="15"/>
    <n v="72"/>
    <s v="3356"/>
    <s v="1"/>
    <s v="02"/>
    <s v="Lower Saxony"/>
    <x v="0"/>
    <s v="NIENBURG"/>
    <s v="Germany"/>
    <s v="31582"/>
    <s v="80143"/>
    <s v="12"/>
    <s v="II-F03"/>
    <s v="500g Strawberry Muesli"/>
    <s v="Finished Product"/>
    <s v="F03"/>
    <s v="500g"/>
    <s v="Strawberry Muesli"/>
    <n v="3453"/>
    <n v="3453"/>
    <s v="ST"/>
    <n v="4.66"/>
    <n v="16090.98"/>
    <n v="4247.1899999999996"/>
    <s v="EUR"/>
    <n v="11843.79"/>
    <n v="0.74"/>
  </r>
  <r>
    <s v=".1~422"/>
    <n v="422"/>
    <x v="0"/>
    <x v="3"/>
    <s v="12"/>
    <s v="04/12"/>
    <d v="2021-03-13T00:00:00"/>
    <n v="15"/>
    <n v="72"/>
    <s v="3361"/>
    <s v="1"/>
    <s v="02"/>
    <s v="Brandenburg"/>
    <x v="0"/>
    <s v="COTTBUS"/>
    <s v="Germany"/>
    <s v="03046"/>
    <s v="80132"/>
    <s v="12"/>
    <s v="II-F03"/>
    <s v="500g Strawberry Muesli"/>
    <s v="Finished Product"/>
    <s v="F03"/>
    <s v="500g"/>
    <s v="Strawberry Muesli"/>
    <n v="2778"/>
    <n v="2778"/>
    <s v="ST"/>
    <n v="4.66"/>
    <n v="12945.48"/>
    <n v="3416.94"/>
    <s v="EUR"/>
    <n v="9528.5400000000009"/>
    <n v="0.74"/>
  </r>
  <r>
    <s v=".1~423"/>
    <n v="423"/>
    <x v="0"/>
    <x v="3"/>
    <s v="12"/>
    <s v="04/12"/>
    <d v="2021-03-13T00:00:00"/>
    <n v="15"/>
    <n v="72"/>
    <s v="3362"/>
    <s v="1"/>
    <s v="02"/>
    <s v="Nrth Rhine Westfalia"/>
    <x v="2"/>
    <s v="ESSEN"/>
    <s v="Germany"/>
    <s v="45127"/>
    <s v="80153"/>
    <s v="12"/>
    <s v="II-F03"/>
    <s v="500g Strawberry Muesli"/>
    <s v="Finished Product"/>
    <s v="F03"/>
    <s v="500g"/>
    <s v="Strawberry Muesli"/>
    <n v="3205"/>
    <n v="3205"/>
    <s v="ST"/>
    <n v="4.66"/>
    <n v="14935.3"/>
    <n v="3942.15"/>
    <s v="EUR"/>
    <n v="10993.15"/>
    <n v="0.74"/>
  </r>
  <r>
    <s v=".1~424"/>
    <n v="424"/>
    <x v="0"/>
    <x v="3"/>
    <s v="12"/>
    <s v="04/12"/>
    <d v="2021-03-13T00:00:00"/>
    <n v="15"/>
    <n v="72"/>
    <s v="3364"/>
    <s v="1"/>
    <s v="02"/>
    <s v="Nrth Rhine Westfalia"/>
    <x v="2"/>
    <s v="WÜRSELEN"/>
    <s v="Germany"/>
    <s v="52146"/>
    <s v="80162"/>
    <s v="12"/>
    <s v="II-F03"/>
    <s v="500g Strawberry Muesli"/>
    <s v="Finished Product"/>
    <s v="F03"/>
    <s v="500g"/>
    <s v="Strawberry Muesli"/>
    <n v="3433"/>
    <n v="3433"/>
    <s v="ST"/>
    <n v="4.66"/>
    <n v="15997.78"/>
    <n v="4222.59"/>
    <s v="EUR"/>
    <n v="11775.19"/>
    <n v="0.74"/>
  </r>
  <r>
    <s v=".1~425"/>
    <n v="425"/>
    <x v="0"/>
    <x v="3"/>
    <s v="12"/>
    <s v="04/12"/>
    <d v="2021-03-13T00:00:00"/>
    <n v="15"/>
    <n v="72"/>
    <s v="3368"/>
    <s v="1"/>
    <s v="02"/>
    <s v="Rhineland Palatinate"/>
    <x v="2"/>
    <s v="TRIER"/>
    <s v="Germany"/>
    <s v="54294"/>
    <s v="80267"/>
    <s v="14"/>
    <s v="II-F02"/>
    <s v="500g Blueberry Muesli"/>
    <s v="Finished Product"/>
    <s v="F02"/>
    <s v="500g"/>
    <s v="Blueberry Muesli"/>
    <n v="3132"/>
    <n v="3132"/>
    <s v="ST"/>
    <n v="5.13"/>
    <n v="16067.16"/>
    <n v="3852.36"/>
    <s v="EUR"/>
    <n v="12214.8"/>
    <n v="0.76"/>
  </r>
  <r>
    <s v=".1~426"/>
    <n v="426"/>
    <x v="0"/>
    <x v="3"/>
    <s v="12"/>
    <s v="04/12"/>
    <d v="2021-03-13T00:00:00"/>
    <n v="15"/>
    <n v="72"/>
    <s v="3369"/>
    <s v="1"/>
    <s v="02"/>
    <s v="Nrth Rhine Westfalia"/>
    <x v="2"/>
    <s v="SIEGEN"/>
    <s v="Germany"/>
    <s v="57072"/>
    <s v="80257"/>
    <s v="14"/>
    <s v="II-F02"/>
    <s v="500g Blueberry Muesli"/>
    <s v="Finished Product"/>
    <s v="F02"/>
    <s v="500g"/>
    <s v="Blueberry Muesli"/>
    <n v="3244"/>
    <n v="3244"/>
    <s v="ST"/>
    <n v="5.13"/>
    <n v="16641.72"/>
    <n v="3990.12"/>
    <s v="EUR"/>
    <n v="12651.6"/>
    <n v="0.76"/>
  </r>
  <r>
    <s v=".1~427"/>
    <n v="427"/>
    <x v="0"/>
    <x v="3"/>
    <s v="12"/>
    <s v="04/12"/>
    <d v="2021-03-13T00:00:00"/>
    <n v="15"/>
    <n v="72"/>
    <s v="3371"/>
    <s v="1"/>
    <s v="02"/>
    <s v="Thuringia"/>
    <x v="1"/>
    <s v="JENA"/>
    <s v="Germany"/>
    <s v="07747"/>
    <s v="80291"/>
    <s v="14"/>
    <s v="II-F02"/>
    <s v="500g Blueberry Muesli"/>
    <s v="Finished Product"/>
    <s v="F02"/>
    <s v="500g"/>
    <s v="Blueberry Muesli"/>
    <n v="3128"/>
    <n v="3128"/>
    <s v="ST"/>
    <n v="5.13"/>
    <n v="16046.64"/>
    <n v="3847.44"/>
    <s v="EUR"/>
    <n v="12199.2"/>
    <n v="0.76"/>
  </r>
  <r>
    <s v=".1~428"/>
    <n v="428"/>
    <x v="0"/>
    <x v="3"/>
    <s v="12"/>
    <s v="04/12"/>
    <d v="2021-03-13T00:00:00"/>
    <n v="15"/>
    <n v="72"/>
    <s v="3367"/>
    <s v="1"/>
    <s v="02"/>
    <s v="Nrth Rhine Westfalia"/>
    <x v="2"/>
    <s v="OBERHAUSEN"/>
    <s v="Germany"/>
    <s v="46067"/>
    <s v="80254"/>
    <s v="14"/>
    <s v="II-F03"/>
    <s v="500g Strawberry Muesli"/>
    <s v="Finished Product"/>
    <s v="F03"/>
    <s v="500g"/>
    <s v="Strawberry Muesli"/>
    <n v="2829"/>
    <n v="2829"/>
    <s v="ST"/>
    <n v="5.13"/>
    <n v="14512.77"/>
    <n v="3479.67"/>
    <s v="EUR"/>
    <n v="11033.1"/>
    <n v="0.76"/>
  </r>
  <r>
    <s v=".1~429"/>
    <n v="429"/>
    <x v="0"/>
    <x v="3"/>
    <s v="13"/>
    <s v="04/13"/>
    <d v="2021-03-14T00:00:00"/>
    <n v="15"/>
    <n v="73"/>
    <s v="3376"/>
    <s v="1"/>
    <s v="02"/>
    <s v="Bavaria"/>
    <x v="1"/>
    <s v="MÜNCHEN"/>
    <s v="Germany"/>
    <s v="81245"/>
    <s v="80123"/>
    <s v="12"/>
    <s v="II-F02"/>
    <s v="500g Blueberry Muesli"/>
    <s v="Finished Product"/>
    <s v="F02"/>
    <s v="500g"/>
    <s v="Blueberry Muesli"/>
    <n v="2967"/>
    <n v="2967"/>
    <s v="ST"/>
    <n v="4.66"/>
    <n v="13826.22"/>
    <n v="3649.41"/>
    <s v="EUR"/>
    <n v="10176.81"/>
    <n v="0.74"/>
  </r>
  <r>
    <s v=".1~430"/>
    <n v="430"/>
    <x v="0"/>
    <x v="3"/>
    <s v="13"/>
    <s v="04/13"/>
    <d v="2021-03-14T00:00:00"/>
    <n v="15"/>
    <n v="73"/>
    <s v="3380"/>
    <s v="2"/>
    <s v="02"/>
    <s v="Nrth Rhine Westfalia"/>
    <x v="2"/>
    <s v="DÜSSELDORF"/>
    <s v="Germany"/>
    <s v="40213"/>
    <s v="80152"/>
    <s v="12"/>
    <s v="II-F03"/>
    <s v="500g Strawberry Muesli"/>
    <s v="Finished Product"/>
    <s v="F03"/>
    <s v="500g"/>
    <s v="Strawberry Muesli"/>
    <n v="2727"/>
    <n v="2727"/>
    <s v="ST"/>
    <n v="4.66"/>
    <n v="12707.82"/>
    <n v="3354.21"/>
    <s v="EUR"/>
    <n v="9353.61"/>
    <n v="0.74"/>
  </r>
  <r>
    <s v=".1~431"/>
    <n v="431"/>
    <x v="0"/>
    <x v="3"/>
    <s v="13"/>
    <s v="04/13"/>
    <d v="2021-03-14T00:00:00"/>
    <n v="15"/>
    <n v="73"/>
    <s v="3380"/>
    <s v="1"/>
    <s v="02"/>
    <s v="Nrth Rhine Westfalia"/>
    <x v="2"/>
    <s v="DÜSSELDORF"/>
    <s v="Germany"/>
    <s v="40213"/>
    <s v="80152"/>
    <s v="12"/>
    <s v="II-F03"/>
    <s v="500g Strawberry Muesli"/>
    <s v="Finished Product"/>
    <s v="F03"/>
    <s v="500g"/>
    <s v="Strawberry Muesli"/>
    <n v="3007"/>
    <n v="3007"/>
    <s v="ST"/>
    <n v="4.66"/>
    <n v="14012.62"/>
    <n v="3698.61"/>
    <s v="EUR"/>
    <n v="10314.01"/>
    <n v="0.74"/>
  </r>
  <r>
    <s v=".1~432"/>
    <n v="432"/>
    <x v="0"/>
    <x v="3"/>
    <s v="13"/>
    <s v="04/13"/>
    <d v="2021-03-14T00:00:00"/>
    <n v="15"/>
    <n v="73"/>
    <s v="3376"/>
    <s v="2"/>
    <s v="02"/>
    <s v="Bavaria"/>
    <x v="1"/>
    <s v="MÜNCHEN"/>
    <s v="Germany"/>
    <s v="81245"/>
    <s v="80123"/>
    <s v="12"/>
    <s v="II-F03"/>
    <s v="500g Strawberry Muesli"/>
    <s v="Finished Product"/>
    <s v="F03"/>
    <s v="500g"/>
    <s v="Strawberry Muesli"/>
    <n v="3344"/>
    <n v="3344"/>
    <s v="ST"/>
    <n v="4.66"/>
    <n v="15583.04"/>
    <n v="4113.12"/>
    <s v="EUR"/>
    <n v="11469.92"/>
    <n v="0.74"/>
  </r>
  <r>
    <s v=".1~433"/>
    <n v="433"/>
    <x v="0"/>
    <x v="3"/>
    <s v="13"/>
    <s v="04/13"/>
    <d v="2021-03-14T00:00:00"/>
    <n v="15"/>
    <n v="73"/>
    <s v="3390"/>
    <s v="1"/>
    <s v="02"/>
    <s v="Hessen"/>
    <x v="1"/>
    <s v="KASSEL"/>
    <s v="Germany"/>
    <s v="34134"/>
    <s v="80212"/>
    <s v="14"/>
    <s v="II-F01"/>
    <s v="500g Nut Muesli"/>
    <s v="Finished Product"/>
    <s v="F01"/>
    <s v="500g"/>
    <s v="Nut Muesli"/>
    <n v="2740"/>
    <n v="2740"/>
    <s v="ST"/>
    <n v="4.7300000000000004"/>
    <n v="12960.2"/>
    <n v="2466"/>
    <s v="EUR"/>
    <n v="10494.2"/>
    <n v="0.81"/>
  </r>
  <r>
    <s v=".1~434"/>
    <n v="434"/>
    <x v="0"/>
    <x v="3"/>
    <s v="13"/>
    <s v="04/13"/>
    <d v="2021-03-14T00:00:00"/>
    <n v="15"/>
    <n v="73"/>
    <s v="3384"/>
    <s v="1"/>
    <s v="02"/>
    <s v="Lower Saxony"/>
    <x v="0"/>
    <s v="OLDENBURG"/>
    <s v="Germany"/>
    <s v="26133"/>
    <s v="80226"/>
    <s v="14"/>
    <s v="II-F03"/>
    <s v="500g Strawberry Muesli"/>
    <s v="Finished Product"/>
    <s v="F03"/>
    <s v="500g"/>
    <s v="Strawberry Muesli"/>
    <n v="2572"/>
    <n v="2572"/>
    <s v="ST"/>
    <n v="5.13"/>
    <n v="13194.36"/>
    <n v="3163.56"/>
    <s v="EUR"/>
    <n v="10030.799999999999"/>
    <n v="0.76"/>
  </r>
  <r>
    <s v=".1~435"/>
    <n v="435"/>
    <x v="0"/>
    <x v="3"/>
    <s v="13"/>
    <s v="04/13"/>
    <d v="2021-03-14T00:00:00"/>
    <n v="15"/>
    <n v="73"/>
    <s v="3385"/>
    <s v="1"/>
    <s v="02"/>
    <s v="Mecklenburg-Vorpomm."/>
    <x v="0"/>
    <s v="GREIFSWALD"/>
    <s v="Germany"/>
    <s v="17491"/>
    <s v="80218"/>
    <s v="14"/>
    <s v="II-F03"/>
    <s v="500g Strawberry Muesli"/>
    <s v="Finished Product"/>
    <s v="F03"/>
    <s v="500g"/>
    <s v="Strawberry Muesli"/>
    <n v="2953"/>
    <n v="2953"/>
    <s v="ST"/>
    <n v="5.13"/>
    <n v="15148.89"/>
    <n v="3632.19"/>
    <s v="EUR"/>
    <n v="11516.7"/>
    <n v="0.76"/>
  </r>
  <r>
    <s v=".1~436"/>
    <n v="436"/>
    <x v="0"/>
    <x v="3"/>
    <s v="13"/>
    <s v="04/13"/>
    <d v="2021-03-14T00:00:00"/>
    <n v="15"/>
    <n v="73"/>
    <s v="3386"/>
    <s v="1"/>
    <s v="02"/>
    <s v="Nrth Rhine Westfalia"/>
    <x v="2"/>
    <s v="BONN"/>
    <s v="Germany"/>
    <s v="53111"/>
    <s v="80233"/>
    <s v="14"/>
    <s v="II-F03"/>
    <s v="500g Strawberry Muesli"/>
    <s v="Finished Product"/>
    <s v="F03"/>
    <s v="500g"/>
    <s v="Strawberry Muesli"/>
    <n v="2606"/>
    <n v="2606"/>
    <s v="ST"/>
    <n v="5.13"/>
    <n v="13368.78"/>
    <n v="3205.38"/>
    <s v="EUR"/>
    <n v="10163.4"/>
    <n v="0.76"/>
  </r>
  <r>
    <s v=".1~437"/>
    <n v="437"/>
    <x v="0"/>
    <x v="3"/>
    <s v="13"/>
    <s v="04/13"/>
    <d v="2021-03-14T00:00:00"/>
    <n v="15"/>
    <n v="73"/>
    <s v="3387"/>
    <s v="1"/>
    <s v="02"/>
    <s v="Nrth Rhine Westfalia"/>
    <x v="2"/>
    <s v="REMSCHEID"/>
    <s v="Germany"/>
    <s v="42853"/>
    <s v="80256"/>
    <s v="14"/>
    <s v="II-F03"/>
    <s v="500g Strawberry Muesli"/>
    <s v="Finished Product"/>
    <s v="F03"/>
    <s v="500g"/>
    <s v="Strawberry Muesli"/>
    <n v="2957"/>
    <n v="2957"/>
    <s v="ST"/>
    <n v="5.13"/>
    <n v="15169.41"/>
    <n v="3637.11"/>
    <s v="EUR"/>
    <n v="11532.3"/>
    <n v="0.76"/>
  </r>
  <r>
    <s v=".1~438"/>
    <n v="438"/>
    <x v="0"/>
    <x v="3"/>
    <s v="13"/>
    <s v="04/13"/>
    <d v="2021-03-14T00:00:00"/>
    <n v="15"/>
    <n v="73"/>
    <s v="3389"/>
    <s v="1"/>
    <s v="02"/>
    <s v="Nrth Rhine Westfalia"/>
    <x v="2"/>
    <s v="KÖLN"/>
    <s v="Germany"/>
    <s v="50997"/>
    <s v="80247"/>
    <s v="14"/>
    <s v="II-F03"/>
    <s v="500g Strawberry Muesli"/>
    <s v="Finished Product"/>
    <s v="F03"/>
    <s v="500g"/>
    <s v="Strawberry Muesli"/>
    <n v="2747"/>
    <n v="2747"/>
    <s v="ST"/>
    <n v="5.13"/>
    <n v="14092.11"/>
    <n v="3378.81"/>
    <s v="EUR"/>
    <n v="10713.3"/>
    <n v="0.76"/>
  </r>
  <r>
    <s v=".1~439"/>
    <n v="439"/>
    <x v="0"/>
    <x v="3"/>
    <s v="13"/>
    <s v="04/13"/>
    <d v="2021-03-14T00:00:00"/>
    <n v="15"/>
    <n v="73"/>
    <s v="3391"/>
    <s v="1"/>
    <s v="02"/>
    <s v="Baden-Wurttemberg"/>
    <x v="1"/>
    <s v="KIRCHENTELLINSFURT"/>
    <s v="Germany"/>
    <s v="72138"/>
    <s v="80176"/>
    <s v="14"/>
    <s v="II-F03"/>
    <s v="500g Strawberry Muesli"/>
    <s v="Finished Product"/>
    <s v="F03"/>
    <s v="500g"/>
    <s v="Strawberry Muesli"/>
    <n v="3222"/>
    <n v="3222"/>
    <s v="ST"/>
    <n v="5.13"/>
    <n v="16528.86"/>
    <n v="3963.06"/>
    <s v="EUR"/>
    <n v="12565.8"/>
    <n v="0.76"/>
  </r>
  <r>
    <s v=".1~440"/>
    <n v="440"/>
    <x v="0"/>
    <x v="3"/>
    <s v="14"/>
    <s v="04/14"/>
    <d v="2021-03-15T00:00:00"/>
    <n v="15"/>
    <n v="74"/>
    <s v="3404"/>
    <s v="1"/>
    <s v="02"/>
    <s v="Nrth Rhine Westfalia"/>
    <x v="2"/>
    <s v="WÜRSELEN"/>
    <s v="Germany"/>
    <s v="52146"/>
    <s v="80162"/>
    <s v="12"/>
    <s v="II-F01"/>
    <s v="500g Nut Muesli"/>
    <s v="Finished Product"/>
    <s v="F01"/>
    <s v="500g"/>
    <s v="Nut Muesli"/>
    <n v="3491"/>
    <n v="3491"/>
    <s v="ST"/>
    <n v="4.0999999999999996"/>
    <n v="14313.1"/>
    <n v="3141.9"/>
    <s v="EUR"/>
    <n v="11171.2"/>
    <n v="0.78"/>
  </r>
  <r>
    <s v=".1~441"/>
    <n v="441"/>
    <x v="0"/>
    <x v="3"/>
    <s v="14"/>
    <s v="04/14"/>
    <d v="2021-03-15T00:00:00"/>
    <n v="15"/>
    <n v="74"/>
    <s v="3402"/>
    <s v="2"/>
    <s v="02"/>
    <s v="Berlin"/>
    <x v="0"/>
    <s v="WALTERSDORF"/>
    <s v="Germany"/>
    <s v="12529"/>
    <s v="80130"/>
    <s v="12"/>
    <s v="II-F01"/>
    <s v="500g Nut Muesli"/>
    <s v="Finished Product"/>
    <s v="F01"/>
    <s v="500g"/>
    <s v="Nut Muesli"/>
    <n v="4057"/>
    <n v="4057"/>
    <s v="ST"/>
    <n v="4.0999999999999996"/>
    <n v="16633.7"/>
    <n v="3651.3"/>
    <s v="EUR"/>
    <n v="12982.4"/>
    <n v="0.78"/>
  </r>
  <r>
    <s v=".1~442"/>
    <n v="442"/>
    <x v="0"/>
    <x v="3"/>
    <s v="14"/>
    <s v="04/14"/>
    <d v="2021-03-15T00:00:00"/>
    <n v="15"/>
    <n v="74"/>
    <s v="3402"/>
    <s v="1"/>
    <s v="02"/>
    <s v="Berlin"/>
    <x v="0"/>
    <s v="WALTERSDORF"/>
    <s v="Germany"/>
    <s v="12529"/>
    <s v="80130"/>
    <s v="12"/>
    <s v="II-F01"/>
    <s v="500g Nut Muesli"/>
    <s v="Finished Product"/>
    <s v="F01"/>
    <s v="500g"/>
    <s v="Nut Muesli"/>
    <n v="4062"/>
    <n v="4062"/>
    <s v="ST"/>
    <n v="4.0999999999999996"/>
    <n v="16654.2"/>
    <n v="3655.8"/>
    <s v="EUR"/>
    <n v="12998.4"/>
    <n v="0.78"/>
  </r>
  <r>
    <s v=".1~443"/>
    <n v="443"/>
    <x v="0"/>
    <x v="3"/>
    <s v="14"/>
    <s v="04/14"/>
    <d v="2021-03-15T00:00:00"/>
    <n v="15"/>
    <n v="74"/>
    <s v="3399"/>
    <s v="2"/>
    <s v="02"/>
    <s v="Lower Saxony"/>
    <x v="0"/>
    <s v="OLDENBURG"/>
    <s v="Germany"/>
    <s v="26121"/>
    <s v="80145"/>
    <s v="12"/>
    <s v="II-F02"/>
    <s v="500g Blueberry Muesli"/>
    <s v="Finished Product"/>
    <s v="F02"/>
    <s v="500g"/>
    <s v="Blueberry Muesli"/>
    <n v="3485"/>
    <n v="3485"/>
    <s v="ST"/>
    <n v="4.66"/>
    <n v="16240.1"/>
    <n v="4286.55"/>
    <s v="EUR"/>
    <n v="11953.55"/>
    <n v="0.74"/>
  </r>
  <r>
    <s v=".1~444"/>
    <n v="444"/>
    <x v="0"/>
    <x v="3"/>
    <s v="14"/>
    <s v="04/14"/>
    <d v="2021-03-15T00:00:00"/>
    <n v="15"/>
    <n v="74"/>
    <s v="3404"/>
    <s v="2"/>
    <s v="02"/>
    <s v="Nrth Rhine Westfalia"/>
    <x v="2"/>
    <s v="WÜRSELEN"/>
    <s v="Germany"/>
    <s v="52146"/>
    <s v="80162"/>
    <s v="12"/>
    <s v="II-F04"/>
    <s v="500g Raisin Muesli"/>
    <s v="Finished Product"/>
    <s v="F04"/>
    <s v="500g"/>
    <s v="Raisin Muesli"/>
    <n v="3622"/>
    <n v="3622"/>
    <s v="ST"/>
    <n v="4.18"/>
    <n v="15139.96"/>
    <n v="2861.38"/>
    <s v="EUR"/>
    <n v="12278.58"/>
    <n v="0.81"/>
  </r>
  <r>
    <s v=".1~445"/>
    <n v="445"/>
    <x v="0"/>
    <x v="3"/>
    <s v="14"/>
    <s v="04/14"/>
    <d v="2021-03-15T00:00:00"/>
    <n v="15"/>
    <n v="74"/>
    <s v="3399"/>
    <s v="1"/>
    <s v="02"/>
    <s v="Lower Saxony"/>
    <x v="0"/>
    <s v="OLDENBURG"/>
    <s v="Germany"/>
    <s v="26121"/>
    <s v="80145"/>
    <s v="12"/>
    <s v="II-F04"/>
    <s v="500g Raisin Muesli"/>
    <s v="Finished Product"/>
    <s v="F04"/>
    <s v="500g"/>
    <s v="Raisin Muesli"/>
    <n v="3403"/>
    <n v="3403"/>
    <s v="ST"/>
    <n v="4.18"/>
    <n v="14224.54"/>
    <n v="2688.37"/>
    <s v="EUR"/>
    <n v="11536.17"/>
    <n v="0.81"/>
  </r>
  <r>
    <s v=".1~446"/>
    <n v="446"/>
    <x v="0"/>
    <x v="3"/>
    <s v="15"/>
    <s v="04/15"/>
    <d v="2021-03-16T00:00:00"/>
    <n v="15"/>
    <n v="75"/>
    <s v="3421"/>
    <s v="3"/>
    <s v="02"/>
    <s v="Baden-Wurttemberg"/>
    <x v="1"/>
    <s v="Heidelberg"/>
    <s v="Germany"/>
    <s v="69117"/>
    <s v="80100"/>
    <s v="10"/>
    <s v="II-F11"/>
    <s v="1kg Nut Muesli"/>
    <s v="Finished Product"/>
    <s v="F11"/>
    <s v="1kg"/>
    <s v="Nut Muesli"/>
    <n v="1675"/>
    <n v="1675"/>
    <s v="ST"/>
    <n v="4.9800000000000004"/>
    <n v="8341.5"/>
    <n v="2713.5"/>
    <s v="EUR"/>
    <n v="5628"/>
    <n v="0.67"/>
  </r>
  <r>
    <s v=".1~447"/>
    <n v="447"/>
    <x v="0"/>
    <x v="3"/>
    <s v="15"/>
    <s v="04/15"/>
    <d v="2021-03-16T00:00:00"/>
    <n v="15"/>
    <n v="75"/>
    <s v="3421"/>
    <s v="1"/>
    <s v="02"/>
    <s v="Baden-Wurttemberg"/>
    <x v="1"/>
    <s v="Heidelberg"/>
    <s v="Germany"/>
    <s v="69117"/>
    <s v="80100"/>
    <s v="10"/>
    <s v="II-F11"/>
    <s v="1kg Nut Muesli"/>
    <s v="Finished Product"/>
    <s v="F11"/>
    <s v="1kg"/>
    <s v="Nut Muesli"/>
    <n v="3238"/>
    <n v="3238"/>
    <s v="ST"/>
    <n v="4.9800000000000004"/>
    <n v="16125.24"/>
    <n v="5245.56"/>
    <s v="EUR"/>
    <n v="10879.68"/>
    <n v="0.67"/>
  </r>
  <r>
    <s v=".1~448"/>
    <n v="448"/>
    <x v="0"/>
    <x v="3"/>
    <s v="15"/>
    <s v="04/15"/>
    <d v="2021-03-16T00:00:00"/>
    <n v="15"/>
    <n v="75"/>
    <s v="3421"/>
    <s v="2"/>
    <s v="02"/>
    <s v="Baden-Wurttemberg"/>
    <x v="1"/>
    <s v="Heidelberg"/>
    <s v="Germany"/>
    <s v="69117"/>
    <s v="80100"/>
    <s v="10"/>
    <s v="II-F11"/>
    <s v="1kg Nut Muesli"/>
    <s v="Finished Product"/>
    <s v="F11"/>
    <s v="1kg"/>
    <s v="Nut Muesli"/>
    <n v="2712"/>
    <n v="2712"/>
    <s v="ST"/>
    <n v="4.9800000000000004"/>
    <n v="13505.76"/>
    <n v="4393.4399999999996"/>
    <s v="EUR"/>
    <n v="9112.32"/>
    <n v="0.67"/>
  </r>
  <r>
    <s v=".1~449"/>
    <n v="449"/>
    <x v="0"/>
    <x v="3"/>
    <s v="15"/>
    <s v="04/15"/>
    <d v="2021-03-16T00:00:00"/>
    <n v="15"/>
    <n v="75"/>
    <s v="3434"/>
    <s v="1"/>
    <s v="02"/>
    <s v="Baden-Wurttemberg"/>
    <x v="1"/>
    <s v="KARLSRUHE"/>
    <s v="Germany"/>
    <s v="76185"/>
    <s v="80175"/>
    <s v="14"/>
    <s v="II-F04"/>
    <s v="500g Raisin Muesli"/>
    <s v="Finished Product"/>
    <s v="F04"/>
    <s v="500g"/>
    <s v="Raisin Muesli"/>
    <n v="3329"/>
    <n v="3329"/>
    <s v="ST"/>
    <n v="4.5999999999999996"/>
    <n v="15313.4"/>
    <n v="2629.91"/>
    <s v="EUR"/>
    <n v="12683.49"/>
    <n v="0.83"/>
  </r>
  <r>
    <s v=".1~450"/>
    <n v="450"/>
    <x v="0"/>
    <x v="3"/>
    <s v="15"/>
    <s v="04/15"/>
    <d v="2021-03-16T00:00:00"/>
    <n v="15"/>
    <n v="75"/>
    <s v="3432"/>
    <s v="1"/>
    <s v="02"/>
    <s v="Nrth Rhine Westfalia"/>
    <x v="2"/>
    <s v="DORTMUND"/>
    <s v="Germany"/>
    <s v="44145"/>
    <s v="80235"/>
    <s v="14"/>
    <s v="II-F04"/>
    <s v="500g Raisin Muesli"/>
    <s v="Finished Product"/>
    <s v="F04"/>
    <s v="500g"/>
    <s v="Raisin Muesli"/>
    <n v="3129"/>
    <n v="3129"/>
    <s v="ST"/>
    <n v="4.5999999999999996"/>
    <n v="14393.4"/>
    <n v="2471.91"/>
    <s v="EUR"/>
    <n v="11921.49"/>
    <n v="0.83"/>
  </r>
  <r>
    <s v=".1~451"/>
    <n v="451"/>
    <x v="0"/>
    <x v="3"/>
    <s v="16"/>
    <s v="04/16"/>
    <d v="2021-03-17T00:00:00"/>
    <n v="16"/>
    <n v="76"/>
    <s v="3441"/>
    <s v="1"/>
    <s v="02"/>
    <s v="Hessen"/>
    <x v="1"/>
    <s v="MAGDEBURG"/>
    <s v="Germany"/>
    <s v="39118"/>
    <s v="80106"/>
    <s v="10"/>
    <s v="II-F11"/>
    <s v="1kg Nut Muesli"/>
    <s v="Finished Product"/>
    <s v="F11"/>
    <s v="1kg"/>
    <s v="Nut Muesli"/>
    <n v="3153"/>
    <n v="3153"/>
    <s v="ST"/>
    <n v="4.9800000000000004"/>
    <n v="15701.94"/>
    <n v="5107.8599999999997"/>
    <s v="EUR"/>
    <n v="10594.08"/>
    <n v="0.67"/>
  </r>
  <r>
    <s v=".1~452"/>
    <n v="452"/>
    <x v="0"/>
    <x v="3"/>
    <s v="16"/>
    <s v="04/16"/>
    <d v="2021-03-17T00:00:00"/>
    <n v="16"/>
    <n v="76"/>
    <s v="3441"/>
    <s v="2"/>
    <s v="02"/>
    <s v="Hessen"/>
    <x v="1"/>
    <s v="MAGDEBURG"/>
    <s v="Germany"/>
    <s v="39118"/>
    <s v="80106"/>
    <s v="10"/>
    <s v="II-F11"/>
    <s v="1kg Nut Muesli"/>
    <s v="Finished Product"/>
    <s v="F11"/>
    <s v="1kg"/>
    <s v="Nut Muesli"/>
    <n v="3217"/>
    <n v="3217"/>
    <s v="ST"/>
    <n v="4.9800000000000004"/>
    <n v="16020.66"/>
    <n v="5211.54"/>
    <s v="EUR"/>
    <n v="10809.12"/>
    <n v="0.67"/>
  </r>
  <r>
    <s v=".1~453"/>
    <n v="453"/>
    <x v="0"/>
    <x v="3"/>
    <s v="16"/>
    <s v="04/16"/>
    <d v="2021-03-17T00:00:00"/>
    <n v="16"/>
    <n v="76"/>
    <s v="3441"/>
    <s v="3"/>
    <s v="02"/>
    <s v="Hessen"/>
    <x v="1"/>
    <s v="MAGDEBURG"/>
    <s v="Germany"/>
    <s v="39118"/>
    <s v="80106"/>
    <s v="10"/>
    <s v="II-F11"/>
    <s v="1kg Nut Muesli"/>
    <s v="Finished Product"/>
    <s v="F11"/>
    <s v="1kg"/>
    <s v="Nut Muesli"/>
    <n v="3088"/>
    <n v="3088"/>
    <s v="ST"/>
    <n v="4.9800000000000004"/>
    <n v="15378.24"/>
    <n v="5002.5600000000004"/>
    <s v="EUR"/>
    <n v="10375.68"/>
    <n v="0.67"/>
  </r>
  <r>
    <s v=".1~454"/>
    <n v="454"/>
    <x v="0"/>
    <x v="3"/>
    <s v="16"/>
    <s v="04/16"/>
    <d v="2021-03-17T00:00:00"/>
    <n v="16"/>
    <n v="76"/>
    <s v="3448"/>
    <s v="3"/>
    <s v="02"/>
    <s v="Bavaria"/>
    <x v="1"/>
    <s v="NÜRNBERG"/>
    <s v="Germany"/>
    <s v="90451"/>
    <s v="80125"/>
    <s v="12"/>
    <s v="II-F01"/>
    <s v="500g Nut Muesli"/>
    <s v="Finished Product"/>
    <s v="F01"/>
    <s v="500g"/>
    <s v="Nut Muesli"/>
    <n v="3643"/>
    <n v="3643"/>
    <s v="ST"/>
    <n v="4.0999999999999996"/>
    <n v="14936.3"/>
    <n v="3278.7"/>
    <s v="EUR"/>
    <n v="11657.6"/>
    <n v="0.78"/>
  </r>
  <r>
    <s v=".1~455"/>
    <n v="455"/>
    <x v="0"/>
    <x v="3"/>
    <s v="16"/>
    <s v="04/16"/>
    <d v="2021-03-17T00:00:00"/>
    <n v="16"/>
    <n v="76"/>
    <s v="3446"/>
    <s v="2"/>
    <s v="02"/>
    <s v="Baden-Wurttemberg"/>
    <x v="1"/>
    <s v="ESSLINGEN"/>
    <s v="Germany"/>
    <s v="73730"/>
    <s v="80112"/>
    <s v="12"/>
    <s v="II-F02"/>
    <s v="500g Blueberry Muesli"/>
    <s v="Finished Product"/>
    <s v="F02"/>
    <s v="500g"/>
    <s v="Blueberry Muesli"/>
    <n v="2999"/>
    <n v="2999"/>
    <s v="ST"/>
    <n v="4.66"/>
    <n v="13975.34"/>
    <n v="3688.77"/>
    <s v="EUR"/>
    <n v="10286.57"/>
    <n v="0.74"/>
  </r>
  <r>
    <s v=".1~456"/>
    <n v="456"/>
    <x v="0"/>
    <x v="3"/>
    <s v="16"/>
    <s v="04/16"/>
    <d v="2021-03-17T00:00:00"/>
    <n v="16"/>
    <n v="76"/>
    <s v="3446"/>
    <s v="4"/>
    <s v="02"/>
    <s v="Baden-Wurttemberg"/>
    <x v="1"/>
    <s v="ESSLINGEN"/>
    <s v="Germany"/>
    <s v="73730"/>
    <s v="80112"/>
    <s v="12"/>
    <s v="II-F02"/>
    <s v="500g Blueberry Muesli"/>
    <s v="Finished Product"/>
    <s v="F02"/>
    <s v="500g"/>
    <s v="Blueberry Muesli"/>
    <n v="3006"/>
    <n v="3006"/>
    <s v="ST"/>
    <n v="4.66"/>
    <n v="14007.96"/>
    <n v="3697.38"/>
    <s v="EUR"/>
    <n v="10310.58"/>
    <n v="0.74"/>
  </r>
  <r>
    <s v=".1~457"/>
    <n v="457"/>
    <x v="0"/>
    <x v="3"/>
    <s v="16"/>
    <s v="04/16"/>
    <d v="2021-03-17T00:00:00"/>
    <n v="16"/>
    <n v="76"/>
    <s v="3448"/>
    <s v="1"/>
    <s v="02"/>
    <s v="Bavaria"/>
    <x v="1"/>
    <s v="NÜRNBERG"/>
    <s v="Germany"/>
    <s v="90451"/>
    <s v="80125"/>
    <s v="12"/>
    <s v="II-F02"/>
    <s v="500g Blueberry Muesli"/>
    <s v="Finished Product"/>
    <s v="F02"/>
    <s v="500g"/>
    <s v="Blueberry Muesli"/>
    <n v="3270"/>
    <n v="3270"/>
    <s v="ST"/>
    <n v="4.66"/>
    <n v="15238.2"/>
    <n v="4022.1"/>
    <s v="EUR"/>
    <n v="11216.1"/>
    <n v="0.74"/>
  </r>
  <r>
    <s v=".1~458"/>
    <n v="458"/>
    <x v="0"/>
    <x v="3"/>
    <s v="16"/>
    <s v="04/16"/>
    <d v="2021-03-17T00:00:00"/>
    <n v="16"/>
    <n v="76"/>
    <s v="3448"/>
    <s v="2"/>
    <s v="02"/>
    <s v="Bavaria"/>
    <x v="1"/>
    <s v="NÜRNBERG"/>
    <s v="Germany"/>
    <s v="90451"/>
    <s v="80125"/>
    <s v="12"/>
    <s v="II-F02"/>
    <s v="500g Blueberry Muesli"/>
    <s v="Finished Product"/>
    <s v="F02"/>
    <s v="500g"/>
    <s v="Blueberry Muesli"/>
    <n v="2868"/>
    <n v="2868"/>
    <s v="ST"/>
    <n v="4.66"/>
    <n v="13364.88"/>
    <n v="3527.64"/>
    <s v="EUR"/>
    <n v="9837.24"/>
    <n v="0.74"/>
  </r>
  <r>
    <s v=".1~459"/>
    <n v="459"/>
    <x v="0"/>
    <x v="3"/>
    <s v="16"/>
    <s v="04/16"/>
    <d v="2021-03-17T00:00:00"/>
    <n v="16"/>
    <n v="76"/>
    <s v="3448"/>
    <s v="4"/>
    <s v="02"/>
    <s v="Bavaria"/>
    <x v="1"/>
    <s v="NÜRNBERG"/>
    <s v="Germany"/>
    <s v="90451"/>
    <s v="80125"/>
    <s v="12"/>
    <s v="II-F11"/>
    <s v="1kg Nut Muesli"/>
    <s v="Finished Product"/>
    <s v="F11"/>
    <s v="1kg"/>
    <s v="Nut Muesli"/>
    <n v="2688"/>
    <n v="2688"/>
    <s v="ST"/>
    <n v="5.08"/>
    <n v="13655.04"/>
    <n v="4354.5600000000004"/>
    <s v="EUR"/>
    <n v="9300.48"/>
    <n v="0.68"/>
  </r>
  <r>
    <s v=".1~460"/>
    <n v="460"/>
    <x v="0"/>
    <x v="3"/>
    <s v="16"/>
    <s v="04/16"/>
    <d v="2021-03-17T00:00:00"/>
    <n v="16"/>
    <n v="76"/>
    <s v="3449"/>
    <s v="3"/>
    <s v="02"/>
    <s v="Lower Saxony"/>
    <x v="0"/>
    <s v="WOLFSBURG"/>
    <s v="Germany"/>
    <s v="38444"/>
    <s v="80147"/>
    <s v="12"/>
    <s v="II-F11"/>
    <s v="1kg Nut Muesli"/>
    <s v="Finished Product"/>
    <s v="F11"/>
    <s v="1kg"/>
    <s v="Nut Muesli"/>
    <n v="57"/>
    <n v="57"/>
    <s v="ST"/>
    <n v="5.08"/>
    <n v="289.56"/>
    <n v="92.34"/>
    <s v="EUR"/>
    <n v="197.22"/>
    <n v="0.68"/>
  </r>
  <r>
    <s v=".1~461"/>
    <n v="461"/>
    <x v="0"/>
    <x v="3"/>
    <s v="16"/>
    <s v="04/16"/>
    <d v="2021-03-17T00:00:00"/>
    <n v="16"/>
    <n v="76"/>
    <s v="3449"/>
    <s v="1"/>
    <s v="02"/>
    <s v="Lower Saxony"/>
    <x v="0"/>
    <s v="WOLFSBURG"/>
    <s v="Germany"/>
    <s v="38444"/>
    <s v="80147"/>
    <s v="12"/>
    <s v="II-F11"/>
    <s v="1kg Nut Muesli"/>
    <s v="Finished Product"/>
    <s v="F11"/>
    <s v="1kg"/>
    <s v="Nut Muesli"/>
    <n v="2794"/>
    <n v="2794"/>
    <s v="ST"/>
    <n v="5.08"/>
    <n v="14193.52"/>
    <n v="4526.28"/>
    <s v="EUR"/>
    <n v="9667.24"/>
    <n v="0.68"/>
  </r>
  <r>
    <s v=".1~462"/>
    <n v="462"/>
    <x v="0"/>
    <x v="3"/>
    <s v="16"/>
    <s v="04/16"/>
    <d v="2021-03-17T00:00:00"/>
    <n v="16"/>
    <n v="76"/>
    <s v="3449"/>
    <s v="2"/>
    <s v="02"/>
    <s v="Lower Saxony"/>
    <x v="0"/>
    <s v="WOLFSBURG"/>
    <s v="Germany"/>
    <s v="38444"/>
    <s v="80147"/>
    <s v="12"/>
    <s v="II-F11"/>
    <s v="1kg Nut Muesli"/>
    <s v="Finished Product"/>
    <s v="F11"/>
    <s v="1kg"/>
    <s v="Nut Muesli"/>
    <n v="3279"/>
    <n v="3279"/>
    <s v="ST"/>
    <n v="5.08"/>
    <n v="16657.32"/>
    <n v="5311.98"/>
    <s v="EUR"/>
    <n v="11345.34"/>
    <n v="0.68"/>
  </r>
  <r>
    <s v=".1~463"/>
    <n v="463"/>
    <x v="0"/>
    <x v="3"/>
    <s v="16"/>
    <s v="04/16"/>
    <d v="2021-03-17T00:00:00"/>
    <n v="16"/>
    <n v="76"/>
    <s v="3446"/>
    <s v="1"/>
    <s v="02"/>
    <s v="Baden-Wurttemberg"/>
    <x v="1"/>
    <s v="ESSLINGEN"/>
    <s v="Germany"/>
    <s v="73730"/>
    <s v="80112"/>
    <s v="12"/>
    <s v="II-F11"/>
    <s v="1kg Nut Muesli"/>
    <s v="Finished Product"/>
    <s v="F11"/>
    <s v="1kg"/>
    <s v="Nut Muesli"/>
    <n v="2753"/>
    <n v="2753"/>
    <s v="ST"/>
    <n v="5.08"/>
    <n v="13985.24"/>
    <n v="4459.8599999999997"/>
    <s v="EUR"/>
    <n v="9525.3799999999992"/>
    <n v="0.68"/>
  </r>
  <r>
    <s v=".1~464"/>
    <n v="464"/>
    <x v="0"/>
    <x v="3"/>
    <s v="16"/>
    <s v="04/16"/>
    <d v="2021-03-17T00:00:00"/>
    <n v="16"/>
    <n v="76"/>
    <s v="3446"/>
    <s v="3"/>
    <s v="02"/>
    <s v="Baden-Wurttemberg"/>
    <x v="1"/>
    <s v="ESSLINGEN"/>
    <s v="Germany"/>
    <s v="73730"/>
    <s v="80112"/>
    <s v="12"/>
    <s v="II-F11"/>
    <s v="1kg Nut Muesli"/>
    <s v="Finished Product"/>
    <s v="F11"/>
    <s v="1kg"/>
    <s v="Nut Muesli"/>
    <n v="2971"/>
    <n v="2971"/>
    <s v="ST"/>
    <n v="5.08"/>
    <n v="15092.68"/>
    <n v="4813.0200000000004"/>
    <s v="EUR"/>
    <n v="10279.66"/>
    <n v="0.68"/>
  </r>
  <r>
    <s v=".1~465"/>
    <n v="465"/>
    <x v="0"/>
    <x v="3"/>
    <s v="16"/>
    <s v="04/16"/>
    <d v="2021-03-17T00:00:00"/>
    <n v="16"/>
    <n v="76"/>
    <s v="3452"/>
    <s v="1"/>
    <s v="02"/>
    <s v="Nrth Rhine Westfalia"/>
    <x v="2"/>
    <s v="KÖLN"/>
    <s v="Germany"/>
    <s v="51143"/>
    <s v="80248"/>
    <s v="14"/>
    <s v="II-F04"/>
    <s v="500g Raisin Muesli"/>
    <s v="Finished Product"/>
    <s v="F04"/>
    <s v="500g"/>
    <s v="Raisin Muesli"/>
    <n v="2904"/>
    <n v="2904"/>
    <s v="ST"/>
    <n v="4.5999999999999996"/>
    <n v="13358.4"/>
    <n v="2294.16"/>
    <s v="EUR"/>
    <n v="11064.24"/>
    <n v="0.83"/>
  </r>
  <r>
    <s v=".1~466"/>
    <n v="466"/>
    <x v="0"/>
    <x v="3"/>
    <s v="16"/>
    <s v="04/16"/>
    <d v="2021-03-17T00:00:00"/>
    <n v="16"/>
    <n v="76"/>
    <s v="3454"/>
    <s v="1"/>
    <s v="02"/>
    <s v="Nrth Rhine Westfalia"/>
    <x v="2"/>
    <s v="KÖLN"/>
    <s v="Germany"/>
    <s v="50667"/>
    <s v="80246"/>
    <s v="14"/>
    <s v="II-F04"/>
    <s v="500g Raisin Muesli"/>
    <s v="Finished Product"/>
    <s v="F04"/>
    <s v="500g"/>
    <s v="Raisin Muesli"/>
    <n v="2784"/>
    <n v="2784"/>
    <s v="ST"/>
    <n v="4.5999999999999996"/>
    <n v="12806.4"/>
    <n v="2199.36"/>
    <s v="EUR"/>
    <n v="10607.04"/>
    <n v="0.83"/>
  </r>
  <r>
    <s v=".1~467"/>
    <n v="467"/>
    <x v="0"/>
    <x v="3"/>
    <s v="16"/>
    <s v="04/16"/>
    <d v="2021-03-17T00:00:00"/>
    <n v="16"/>
    <n v="76"/>
    <s v="3457"/>
    <s v="1"/>
    <s v="02"/>
    <s v="Baden-Wurttemberg"/>
    <x v="1"/>
    <s v="TÜBINGEN"/>
    <s v="Germany"/>
    <s v="72070"/>
    <s v="80184"/>
    <s v="14"/>
    <s v="II-F04"/>
    <s v="500g Raisin Muesli"/>
    <s v="Finished Product"/>
    <s v="F04"/>
    <s v="500g"/>
    <s v="Raisin Muesli"/>
    <n v="3389"/>
    <n v="3389"/>
    <s v="ST"/>
    <n v="4.5999999999999996"/>
    <n v="15589.4"/>
    <n v="2677.31"/>
    <s v="EUR"/>
    <n v="12912.09"/>
    <n v="0.83"/>
  </r>
  <r>
    <s v=".1~468"/>
    <n v="468"/>
    <x v="0"/>
    <x v="3"/>
    <s v="17"/>
    <s v="04/17"/>
    <d v="2021-03-18T00:00:00"/>
    <n v="16"/>
    <n v="77"/>
    <s v="3470"/>
    <s v="4"/>
    <s v="02"/>
    <s v="Bavaria"/>
    <x v="1"/>
    <s v="MÜNCHEN"/>
    <s v="Germany"/>
    <s v="80939"/>
    <s v="80124"/>
    <s v="12"/>
    <s v="II-F01"/>
    <s v="500g Nut Muesli"/>
    <s v="Finished Product"/>
    <s v="F01"/>
    <s v="500g"/>
    <s v="Nut Muesli"/>
    <n v="3464"/>
    <n v="3464"/>
    <s v="ST"/>
    <n v="4.0999999999999996"/>
    <n v="14202.4"/>
    <n v="3117.6"/>
    <s v="EUR"/>
    <n v="11084.8"/>
    <n v="0.78"/>
  </r>
  <r>
    <s v=".1~469"/>
    <n v="469"/>
    <x v="0"/>
    <x v="3"/>
    <s v="17"/>
    <s v="04/17"/>
    <d v="2021-03-18T00:00:00"/>
    <n v="16"/>
    <n v="77"/>
    <s v="3464"/>
    <s v="4"/>
    <s v="02"/>
    <s v="Bavaria"/>
    <x v="1"/>
    <s v="INGOLSTADT"/>
    <s v="Germany"/>
    <s v="85055"/>
    <s v="80120"/>
    <s v="12"/>
    <s v="II-F04"/>
    <s v="500g Raisin Muesli"/>
    <s v="Finished Product"/>
    <s v="F04"/>
    <s v="500g"/>
    <s v="Raisin Muesli"/>
    <n v="3391"/>
    <n v="3391"/>
    <s v="ST"/>
    <n v="4.18"/>
    <n v="14174.38"/>
    <n v="2678.89"/>
    <s v="EUR"/>
    <n v="11495.49"/>
    <n v="0.81"/>
  </r>
  <r>
    <s v=".1~470"/>
    <n v="470"/>
    <x v="0"/>
    <x v="3"/>
    <s v="17"/>
    <s v="04/17"/>
    <d v="2021-03-18T00:00:00"/>
    <n v="16"/>
    <n v="77"/>
    <s v="3464"/>
    <s v="1"/>
    <s v="02"/>
    <s v="Bavaria"/>
    <x v="1"/>
    <s v="INGOLSTADT"/>
    <s v="Germany"/>
    <s v="85055"/>
    <s v="80120"/>
    <s v="12"/>
    <s v="II-F04"/>
    <s v="500g Raisin Muesli"/>
    <s v="Finished Product"/>
    <s v="F04"/>
    <s v="500g"/>
    <s v="Raisin Muesli"/>
    <n v="3324"/>
    <n v="3324"/>
    <s v="ST"/>
    <n v="4.18"/>
    <n v="13894.32"/>
    <n v="2625.96"/>
    <s v="EUR"/>
    <n v="11268.36"/>
    <n v="0.81"/>
  </r>
  <r>
    <s v=".1~471"/>
    <n v="471"/>
    <x v="0"/>
    <x v="3"/>
    <s v="17"/>
    <s v="04/17"/>
    <d v="2021-03-18T00:00:00"/>
    <n v="16"/>
    <n v="77"/>
    <s v="3472"/>
    <s v="1"/>
    <s v="02"/>
    <s v="Nrth Rhine Westfalia"/>
    <x v="2"/>
    <s v="SIEGEN"/>
    <s v="Germany"/>
    <s v="57076"/>
    <s v="80160"/>
    <s v="12"/>
    <s v="II-F11"/>
    <s v="1kg Nut Muesli"/>
    <s v="Finished Product"/>
    <s v="F11"/>
    <s v="1kg"/>
    <s v="Nut Muesli"/>
    <n v="1896"/>
    <n v="1896"/>
    <s v="ST"/>
    <n v="5.08"/>
    <n v="9631.68"/>
    <n v="3071.52"/>
    <s v="EUR"/>
    <n v="6560.16"/>
    <n v="0.68"/>
  </r>
  <r>
    <s v=".1~472"/>
    <n v="472"/>
    <x v="0"/>
    <x v="3"/>
    <s v="17"/>
    <s v="04/17"/>
    <d v="2021-03-18T00:00:00"/>
    <n v="16"/>
    <n v="77"/>
    <s v="3470"/>
    <s v="1"/>
    <s v="02"/>
    <s v="Bavaria"/>
    <x v="1"/>
    <s v="MÜNCHEN"/>
    <s v="Germany"/>
    <s v="80939"/>
    <s v="80124"/>
    <s v="12"/>
    <s v="II-F11"/>
    <s v="1kg Nut Muesli"/>
    <s v="Finished Product"/>
    <s v="F11"/>
    <s v="1kg"/>
    <s v="Nut Muesli"/>
    <n v="2481"/>
    <n v="2481"/>
    <s v="ST"/>
    <n v="5.08"/>
    <n v="12603.48"/>
    <n v="4019.22"/>
    <s v="EUR"/>
    <n v="8584.26"/>
    <n v="0.68"/>
  </r>
  <r>
    <s v=".1~473"/>
    <n v="473"/>
    <x v="0"/>
    <x v="3"/>
    <s v="17"/>
    <s v="04/17"/>
    <d v="2021-03-18T00:00:00"/>
    <n v="16"/>
    <n v="77"/>
    <s v="3470"/>
    <s v="3"/>
    <s v="02"/>
    <s v="Bavaria"/>
    <x v="1"/>
    <s v="MÜNCHEN"/>
    <s v="Germany"/>
    <s v="80939"/>
    <s v="80124"/>
    <s v="12"/>
    <s v="II-F11"/>
    <s v="1kg Nut Muesli"/>
    <s v="Finished Product"/>
    <s v="F11"/>
    <s v="1kg"/>
    <s v="Nut Muesli"/>
    <n v="2880"/>
    <n v="2880"/>
    <s v="ST"/>
    <n v="5.08"/>
    <n v="14630.4"/>
    <n v="4665.6000000000004"/>
    <s v="EUR"/>
    <n v="9964.7999999999993"/>
    <n v="0.68"/>
  </r>
  <r>
    <s v=".1~474"/>
    <n v="474"/>
    <x v="0"/>
    <x v="3"/>
    <s v="17"/>
    <s v="04/17"/>
    <d v="2021-03-18T00:00:00"/>
    <n v="16"/>
    <n v="77"/>
    <s v="3470"/>
    <s v="2"/>
    <s v="02"/>
    <s v="Bavaria"/>
    <x v="1"/>
    <s v="MÜNCHEN"/>
    <s v="Germany"/>
    <s v="80939"/>
    <s v="80124"/>
    <s v="12"/>
    <s v="II-F11"/>
    <s v="1kg Nut Muesli"/>
    <s v="Finished Product"/>
    <s v="F11"/>
    <s v="1kg"/>
    <s v="Nut Muesli"/>
    <n v="2776"/>
    <n v="2776"/>
    <s v="ST"/>
    <n v="5.08"/>
    <n v="14102.08"/>
    <n v="4497.12"/>
    <s v="EUR"/>
    <n v="9604.9599999999991"/>
    <n v="0.68"/>
  </r>
  <r>
    <s v=".1~475"/>
    <n v="475"/>
    <x v="0"/>
    <x v="3"/>
    <s v="17"/>
    <s v="04/17"/>
    <d v="2021-03-18T00:00:00"/>
    <n v="16"/>
    <n v="77"/>
    <s v="3464"/>
    <s v="3"/>
    <s v="02"/>
    <s v="Bavaria"/>
    <x v="1"/>
    <s v="INGOLSTADT"/>
    <s v="Germany"/>
    <s v="85055"/>
    <s v="80120"/>
    <s v="12"/>
    <s v="II-F11"/>
    <s v="1kg Nut Muesli"/>
    <s v="Finished Product"/>
    <s v="F11"/>
    <s v="1kg"/>
    <s v="Nut Muesli"/>
    <n v="3067"/>
    <n v="3067"/>
    <s v="ST"/>
    <n v="5.08"/>
    <n v="15580.36"/>
    <n v="4968.54"/>
    <s v="EUR"/>
    <n v="10611.82"/>
    <n v="0.68"/>
  </r>
  <r>
    <s v=".1~476"/>
    <n v="476"/>
    <x v="0"/>
    <x v="3"/>
    <s v="17"/>
    <s v="04/17"/>
    <d v="2021-03-18T00:00:00"/>
    <n v="16"/>
    <n v="77"/>
    <s v="3464"/>
    <s v="2"/>
    <s v="02"/>
    <s v="Bavaria"/>
    <x v="1"/>
    <s v="INGOLSTADT"/>
    <s v="Germany"/>
    <s v="85055"/>
    <s v="80120"/>
    <s v="12"/>
    <s v="II-F11"/>
    <s v="1kg Nut Muesli"/>
    <s v="Finished Product"/>
    <s v="F11"/>
    <s v="1kg"/>
    <s v="Nut Muesli"/>
    <n v="3275"/>
    <n v="3275"/>
    <s v="ST"/>
    <n v="5.08"/>
    <n v="16637"/>
    <n v="5305.5"/>
    <s v="EUR"/>
    <n v="11331.5"/>
    <n v="0.68"/>
  </r>
  <r>
    <s v=".1~477"/>
    <n v="477"/>
    <x v="0"/>
    <x v="3"/>
    <s v="17"/>
    <s v="04/17"/>
    <d v="2021-03-18T00:00:00"/>
    <n v="16"/>
    <n v="77"/>
    <s v="3476"/>
    <s v="1"/>
    <s v="02"/>
    <s v="Nrth Rhine Westfalia"/>
    <x v="2"/>
    <s v="LEVERKUSEN"/>
    <s v="Germany"/>
    <s v="51373"/>
    <s v="80250"/>
    <s v="14"/>
    <s v="II-F04"/>
    <s v="500g Raisin Muesli"/>
    <s v="Finished Product"/>
    <s v="F04"/>
    <s v="500g"/>
    <s v="Raisin Muesli"/>
    <n v="3052"/>
    <n v="3052"/>
    <s v="ST"/>
    <n v="4.5999999999999996"/>
    <n v="14039.2"/>
    <n v="2411.08"/>
    <s v="EUR"/>
    <n v="11628.12"/>
    <n v="0.83"/>
  </r>
  <r>
    <s v=".1~478"/>
    <n v="478"/>
    <x v="0"/>
    <x v="3"/>
    <s v="17"/>
    <s v="04/17"/>
    <d v="2021-03-18T00:00:00"/>
    <n v="16"/>
    <n v="77"/>
    <s v="3477"/>
    <s v="1"/>
    <s v="02"/>
    <s v="Rhineland Palatinate"/>
    <x v="2"/>
    <s v="KOBLENZ"/>
    <s v="Germany"/>
    <s v="56070"/>
    <s v="80263"/>
    <s v="14"/>
    <s v="II-F04"/>
    <s v="500g Raisin Muesli"/>
    <s v="Finished Product"/>
    <s v="F04"/>
    <s v="500g"/>
    <s v="Raisin Muesli"/>
    <n v="3038"/>
    <n v="3038"/>
    <s v="ST"/>
    <n v="4.5999999999999996"/>
    <n v="13974.8"/>
    <n v="2400.02"/>
    <s v="EUR"/>
    <n v="11574.78"/>
    <n v="0.83"/>
  </r>
  <r>
    <s v=".1~479"/>
    <n v="479"/>
    <x v="0"/>
    <x v="3"/>
    <s v="18"/>
    <s v="04/18"/>
    <d v="2021-03-19T00:00:00"/>
    <n v="16"/>
    <n v="78"/>
    <s v="3482"/>
    <s v="1"/>
    <s v="02"/>
    <s v="Nrth Rhine Westfalia"/>
    <x v="2"/>
    <s v="BRÜHL"/>
    <s v="Germany"/>
    <s v="50321"/>
    <s v="80149"/>
    <s v="12"/>
    <s v="II-F04"/>
    <s v="500g Raisin Muesli"/>
    <s v="Finished Product"/>
    <s v="F04"/>
    <s v="500g"/>
    <s v="Raisin Muesli"/>
    <n v="3092"/>
    <n v="3092"/>
    <s v="ST"/>
    <n v="4.18"/>
    <n v="12924.56"/>
    <n v="2442.6799999999998"/>
    <s v="EUR"/>
    <n v="10481.879999999999"/>
    <n v="0.81"/>
  </r>
  <r>
    <s v=".1~480"/>
    <n v="480"/>
    <x v="0"/>
    <x v="3"/>
    <s v="19"/>
    <s v="04/19"/>
    <d v="2021-03-20T00:00:00"/>
    <n v="16"/>
    <n v="79"/>
    <s v="3502"/>
    <s v="1"/>
    <s v="02"/>
    <s v="Nrth Rhine Westfalia"/>
    <x v="2"/>
    <s v="HERFORD"/>
    <s v="Germany"/>
    <s v="32052"/>
    <s v="80155"/>
    <s v="12"/>
    <s v="II-F04"/>
    <s v="500g Raisin Muesli"/>
    <s v="Finished Product"/>
    <s v="F04"/>
    <s v="500g"/>
    <s v="Raisin Muesli"/>
    <n v="3764"/>
    <n v="3764"/>
    <s v="ST"/>
    <n v="4.18"/>
    <n v="15733.52"/>
    <n v="2973.56"/>
    <s v="EUR"/>
    <n v="12759.96"/>
    <n v="0.81"/>
  </r>
  <r>
    <s v=".1~481"/>
    <n v="481"/>
    <x v="0"/>
    <x v="3"/>
    <s v="19"/>
    <s v="04/19"/>
    <d v="2021-03-20T00:00:00"/>
    <n v="16"/>
    <n v="79"/>
    <s v="3513"/>
    <s v="1"/>
    <s v="02"/>
    <s v="Hamburg"/>
    <x v="0"/>
    <s v="HAMBURG"/>
    <s v="Germany"/>
    <s v="22145"/>
    <s v="80205"/>
    <s v="14"/>
    <s v="II-F04"/>
    <s v="500g Raisin Muesli"/>
    <s v="Finished Product"/>
    <s v="F04"/>
    <s v="500g"/>
    <s v="Raisin Muesli"/>
    <n v="3278"/>
    <n v="3278"/>
    <s v="ST"/>
    <n v="4.5999999999999996"/>
    <n v="15078.8"/>
    <n v="2589.62"/>
    <s v="EUR"/>
    <n v="12489.18"/>
    <n v="0.83"/>
  </r>
  <r>
    <s v=".1~482"/>
    <n v="482"/>
    <x v="0"/>
    <x v="3"/>
    <s v="20"/>
    <s v="04/20"/>
    <d v="2021-03-21T00:00:00"/>
    <n v="16"/>
    <n v="80"/>
    <s v="3547"/>
    <s v="1"/>
    <s v="02"/>
    <s v="Berlin"/>
    <x v="0"/>
    <s v="BERLIN"/>
    <s v="Germany"/>
    <s v="13051"/>
    <s v="80105"/>
    <s v="10"/>
    <s v="II-F11"/>
    <s v="1kg Nut Muesli"/>
    <s v="Finished Product"/>
    <s v="F11"/>
    <s v="1kg"/>
    <s v="Nut Muesli"/>
    <n v="2552"/>
    <n v="2552"/>
    <s v="ST"/>
    <n v="4.9800000000000004"/>
    <n v="12708.96"/>
    <n v="4134.24"/>
    <s v="EUR"/>
    <n v="8574.7199999999993"/>
    <n v="0.67"/>
  </r>
  <r>
    <s v=".1~483"/>
    <n v="483"/>
    <x v="0"/>
    <x v="3"/>
    <s v="20"/>
    <s v="04/20"/>
    <d v="2021-03-21T00:00:00"/>
    <n v="16"/>
    <n v="80"/>
    <s v="3547"/>
    <s v="2"/>
    <s v="02"/>
    <s v="Berlin"/>
    <x v="0"/>
    <s v="BERLIN"/>
    <s v="Germany"/>
    <s v="13051"/>
    <s v="80105"/>
    <s v="10"/>
    <s v="II-F11"/>
    <s v="1kg Nut Muesli"/>
    <s v="Finished Product"/>
    <s v="F11"/>
    <s v="1kg"/>
    <s v="Nut Muesli"/>
    <n v="2658"/>
    <n v="2658"/>
    <s v="ST"/>
    <n v="4.9800000000000004"/>
    <n v="13236.84"/>
    <n v="4305.96"/>
    <s v="EUR"/>
    <n v="8930.8799999999992"/>
    <n v="0.67"/>
  </r>
  <r>
    <s v=".1~484"/>
    <n v="484"/>
    <x v="0"/>
    <x v="3"/>
    <s v="20"/>
    <s v="04/20"/>
    <d v="2021-03-21T00:00:00"/>
    <n v="16"/>
    <n v="80"/>
    <s v="3547"/>
    <s v="3"/>
    <s v="02"/>
    <s v="Berlin"/>
    <x v="0"/>
    <s v="BERLIN"/>
    <s v="Germany"/>
    <s v="13051"/>
    <s v="80105"/>
    <s v="10"/>
    <s v="II-F11"/>
    <s v="1kg Nut Muesli"/>
    <s v="Finished Product"/>
    <s v="F11"/>
    <s v="1kg"/>
    <s v="Nut Muesli"/>
    <n v="668"/>
    <n v="668"/>
    <s v="ST"/>
    <n v="4.9800000000000004"/>
    <n v="3326.64"/>
    <n v="1082.1600000000001"/>
    <s v="EUR"/>
    <n v="2244.48"/>
    <n v="0.67"/>
  </r>
  <r>
    <s v=".1~485"/>
    <n v="485"/>
    <x v="0"/>
    <x v="3"/>
    <s v="20"/>
    <s v="04/20"/>
    <d v="2021-03-21T00:00:00"/>
    <n v="16"/>
    <n v="80"/>
    <s v="3534"/>
    <s v="4"/>
    <s v="02"/>
    <s v="Mecklenburg-Vorpomm."/>
    <x v="0"/>
    <s v="ROSTOCK"/>
    <s v="Germany"/>
    <s v="18184"/>
    <s v="80141"/>
    <s v="12"/>
    <s v="II-F01"/>
    <s v="500g Nut Muesli"/>
    <s v="Finished Product"/>
    <s v="F01"/>
    <s v="500g"/>
    <s v="Nut Muesli"/>
    <n v="3505"/>
    <n v="3505"/>
    <s v="ST"/>
    <n v="4.0999999999999996"/>
    <n v="14370.5"/>
    <n v="3154.5"/>
    <s v="EUR"/>
    <n v="11216"/>
    <n v="0.78"/>
  </r>
  <r>
    <s v=".1~486"/>
    <n v="486"/>
    <x v="0"/>
    <x v="3"/>
    <s v="20"/>
    <s v="04/20"/>
    <d v="2021-03-21T00:00:00"/>
    <n v="16"/>
    <n v="80"/>
    <s v="3534"/>
    <s v="2"/>
    <s v="02"/>
    <s v="Mecklenburg-Vorpomm."/>
    <x v="0"/>
    <s v="ROSTOCK"/>
    <s v="Germany"/>
    <s v="18184"/>
    <s v="80141"/>
    <s v="12"/>
    <s v="II-F01"/>
    <s v="500g Nut Muesli"/>
    <s v="Finished Product"/>
    <s v="F01"/>
    <s v="500g"/>
    <s v="Nut Muesli"/>
    <n v="3279"/>
    <n v="3279"/>
    <s v="ST"/>
    <n v="4.0999999999999996"/>
    <n v="13443.9"/>
    <n v="2951.1"/>
    <s v="EUR"/>
    <n v="10492.8"/>
    <n v="0.78"/>
  </r>
  <r>
    <s v=".1~487"/>
    <n v="487"/>
    <x v="0"/>
    <x v="3"/>
    <s v="20"/>
    <s v="04/20"/>
    <d v="2021-03-21T00:00:00"/>
    <n v="16"/>
    <n v="80"/>
    <s v="3537"/>
    <s v="2"/>
    <s v="02"/>
    <s v="Rhineland Palatinate"/>
    <x v="2"/>
    <s v="BAD KREUZNACH"/>
    <s v="Germany"/>
    <s v="55543"/>
    <s v="80163"/>
    <s v="12"/>
    <s v="II-F02"/>
    <s v="500g Blueberry Muesli"/>
    <s v="Finished Product"/>
    <s v="F02"/>
    <s v="500g"/>
    <s v="Blueberry Muesli"/>
    <n v="842"/>
    <n v="842"/>
    <s v="ST"/>
    <n v="4.66"/>
    <n v="3923.72"/>
    <n v="1035.6600000000001"/>
    <s v="EUR"/>
    <n v="2888.06"/>
    <n v="0.74"/>
  </r>
  <r>
    <s v=".1~488"/>
    <n v="488"/>
    <x v="0"/>
    <x v="3"/>
    <s v="20"/>
    <s v="04/20"/>
    <d v="2021-03-21T00:00:00"/>
    <n v="16"/>
    <n v="80"/>
    <s v="3534"/>
    <s v="1"/>
    <s v="02"/>
    <s v="Mecklenburg-Vorpomm."/>
    <x v="0"/>
    <s v="ROSTOCK"/>
    <s v="Germany"/>
    <s v="18184"/>
    <s v="80141"/>
    <s v="12"/>
    <s v="II-F04"/>
    <s v="500g Raisin Muesli"/>
    <s v="Finished Product"/>
    <s v="F04"/>
    <s v="500g"/>
    <s v="Raisin Muesli"/>
    <n v="3458"/>
    <n v="3458"/>
    <s v="ST"/>
    <n v="4.18"/>
    <n v="14454.44"/>
    <n v="2731.82"/>
    <s v="EUR"/>
    <n v="11722.62"/>
    <n v="0.81"/>
  </r>
  <r>
    <s v=".1~489"/>
    <n v="489"/>
    <x v="0"/>
    <x v="3"/>
    <s v="20"/>
    <s v="04/20"/>
    <d v="2021-03-21T00:00:00"/>
    <n v="16"/>
    <n v="80"/>
    <s v="3532"/>
    <s v="1"/>
    <s v="02"/>
    <s v="Hamburg"/>
    <x v="0"/>
    <s v="HAMBURG"/>
    <s v="Germany"/>
    <s v="22765"/>
    <s v="80135"/>
    <s v="12"/>
    <s v="II-F04"/>
    <s v="500g Raisin Muesli"/>
    <s v="Finished Product"/>
    <s v="F04"/>
    <s v="500g"/>
    <s v="Raisin Muesli"/>
    <n v="3976"/>
    <n v="3976"/>
    <s v="ST"/>
    <n v="4.18"/>
    <n v="16619.68"/>
    <n v="3141.04"/>
    <s v="EUR"/>
    <n v="13478.64"/>
    <n v="0.81"/>
  </r>
  <r>
    <s v=".1~490"/>
    <n v="490"/>
    <x v="0"/>
    <x v="3"/>
    <s v="20"/>
    <s v="04/20"/>
    <d v="2021-03-21T00:00:00"/>
    <n v="16"/>
    <n v="80"/>
    <s v="3532"/>
    <s v="3"/>
    <s v="02"/>
    <s v="Hamburg"/>
    <x v="0"/>
    <s v="HAMBURG"/>
    <s v="Germany"/>
    <s v="22765"/>
    <s v="80135"/>
    <s v="12"/>
    <s v="II-F04"/>
    <s v="500g Raisin Muesli"/>
    <s v="Finished Product"/>
    <s v="F04"/>
    <s v="500g"/>
    <s v="Raisin Muesli"/>
    <n v="3660"/>
    <n v="3660"/>
    <s v="ST"/>
    <n v="4.18"/>
    <n v="15298.8"/>
    <n v="2891.4"/>
    <s v="EUR"/>
    <n v="12407.4"/>
    <n v="0.81"/>
  </r>
  <r>
    <s v=".1~491"/>
    <n v="491"/>
    <x v="0"/>
    <x v="3"/>
    <s v="20"/>
    <s v="04/20"/>
    <d v="2021-03-21T00:00:00"/>
    <n v="16"/>
    <n v="80"/>
    <s v="3532"/>
    <s v="4"/>
    <s v="02"/>
    <s v="Hamburg"/>
    <x v="0"/>
    <s v="HAMBURG"/>
    <s v="Germany"/>
    <s v="22765"/>
    <s v="80135"/>
    <s v="12"/>
    <s v="II-F11"/>
    <s v="1kg Nut Muesli"/>
    <s v="Finished Product"/>
    <s v="F11"/>
    <s v="1kg"/>
    <s v="Nut Muesli"/>
    <n v="3206"/>
    <n v="3206"/>
    <s v="ST"/>
    <n v="5.08"/>
    <n v="16286.48"/>
    <n v="5193.72"/>
    <s v="EUR"/>
    <n v="11092.76"/>
    <n v="0.68"/>
  </r>
  <r>
    <s v=".1~492"/>
    <n v="492"/>
    <x v="0"/>
    <x v="3"/>
    <s v="20"/>
    <s v="04/20"/>
    <d v="2021-03-21T00:00:00"/>
    <n v="16"/>
    <n v="80"/>
    <s v="3537"/>
    <s v="1"/>
    <s v="02"/>
    <s v="Rhineland Palatinate"/>
    <x v="2"/>
    <s v="BAD KREUZNACH"/>
    <s v="Germany"/>
    <s v="55543"/>
    <s v="80163"/>
    <s v="12"/>
    <s v="II-F11"/>
    <s v="1kg Nut Muesli"/>
    <s v="Finished Product"/>
    <s v="F11"/>
    <s v="1kg"/>
    <s v="Nut Muesli"/>
    <n v="3161"/>
    <n v="3161"/>
    <s v="ST"/>
    <n v="5.08"/>
    <n v="16057.88"/>
    <n v="5120.82"/>
    <s v="EUR"/>
    <n v="10937.06"/>
    <n v="0.68"/>
  </r>
  <r>
    <s v=".1~493"/>
    <n v="493"/>
    <x v="0"/>
    <x v="3"/>
    <s v="20"/>
    <s v="04/20"/>
    <d v="2021-03-21T00:00:00"/>
    <n v="16"/>
    <n v="80"/>
    <s v="3537"/>
    <s v="3"/>
    <s v="02"/>
    <s v="Rhineland Palatinate"/>
    <x v="2"/>
    <s v="BAD KREUZNACH"/>
    <s v="Germany"/>
    <s v="55543"/>
    <s v="80163"/>
    <s v="12"/>
    <s v="II-F11"/>
    <s v="1kg Nut Muesli"/>
    <s v="Finished Product"/>
    <s v="F11"/>
    <s v="1kg"/>
    <s v="Nut Muesli"/>
    <n v="2782"/>
    <n v="2782"/>
    <s v="ST"/>
    <n v="5.08"/>
    <n v="14132.56"/>
    <n v="4506.84"/>
    <s v="EUR"/>
    <n v="9625.7199999999993"/>
    <n v="0.68"/>
  </r>
  <r>
    <s v=".1~494"/>
    <n v="494"/>
    <x v="0"/>
    <x v="3"/>
    <s v="20"/>
    <s v="04/20"/>
    <d v="2021-03-21T00:00:00"/>
    <n v="16"/>
    <n v="80"/>
    <s v="3537"/>
    <s v="4"/>
    <s v="02"/>
    <s v="Rhineland Palatinate"/>
    <x v="2"/>
    <s v="BAD KREUZNACH"/>
    <s v="Germany"/>
    <s v="55543"/>
    <s v="80163"/>
    <s v="12"/>
    <s v="II-F11"/>
    <s v="1kg Nut Muesli"/>
    <s v="Finished Product"/>
    <s v="F11"/>
    <s v="1kg"/>
    <s v="Nut Muesli"/>
    <n v="3105"/>
    <n v="3105"/>
    <s v="ST"/>
    <n v="5.08"/>
    <n v="15773.4"/>
    <n v="5030.1000000000004"/>
    <s v="EUR"/>
    <n v="10743.3"/>
    <n v="0.68"/>
  </r>
  <r>
    <s v=".1~495"/>
    <n v="495"/>
    <x v="0"/>
    <x v="3"/>
    <s v="20"/>
    <s v="04/20"/>
    <d v="2021-03-21T00:00:00"/>
    <n v="16"/>
    <n v="80"/>
    <s v="3534"/>
    <s v="3"/>
    <s v="02"/>
    <s v="Mecklenburg-Vorpomm."/>
    <x v="0"/>
    <s v="ROSTOCK"/>
    <s v="Germany"/>
    <s v="18184"/>
    <s v="80141"/>
    <s v="12"/>
    <s v="II-F11"/>
    <s v="1kg Nut Muesli"/>
    <s v="Finished Product"/>
    <s v="F11"/>
    <s v="1kg"/>
    <s v="Nut Muesli"/>
    <n v="3241"/>
    <n v="3241"/>
    <s v="ST"/>
    <n v="5.08"/>
    <n v="16464.28"/>
    <n v="5250.42"/>
    <s v="EUR"/>
    <n v="11213.86"/>
    <n v="0.68"/>
  </r>
  <r>
    <s v=".1~496"/>
    <n v="496"/>
    <x v="0"/>
    <x v="3"/>
    <s v="20"/>
    <s v="04/20"/>
    <d v="2021-03-21T00:00:00"/>
    <n v="16"/>
    <n v="80"/>
    <s v="3532"/>
    <s v="2"/>
    <s v="02"/>
    <s v="Hamburg"/>
    <x v="0"/>
    <s v="HAMBURG"/>
    <s v="Germany"/>
    <s v="22765"/>
    <s v="80135"/>
    <s v="12"/>
    <s v="II-F11"/>
    <s v="1kg Nut Muesli"/>
    <s v="Finished Product"/>
    <s v="F11"/>
    <s v="1kg"/>
    <s v="Nut Muesli"/>
    <n v="2502"/>
    <n v="2502"/>
    <s v="ST"/>
    <n v="5.08"/>
    <n v="12710.16"/>
    <n v="4053.24"/>
    <s v="EUR"/>
    <n v="8656.92"/>
    <n v="0.68"/>
  </r>
  <r>
    <s v=".1~497"/>
    <n v="497"/>
    <x v="0"/>
    <x v="3"/>
    <s v="20"/>
    <s v="04/20"/>
    <d v="2021-03-21T00:00:00"/>
    <n v="16"/>
    <n v="80"/>
    <s v="3535"/>
    <s v="1"/>
    <s v="02"/>
    <s v="Hamburg"/>
    <x v="0"/>
    <s v="HAMBURG"/>
    <s v="Germany"/>
    <s v="22453"/>
    <s v="80202"/>
    <s v="14"/>
    <s v="II-F01"/>
    <s v="500g Nut Muesli"/>
    <s v="Finished Product"/>
    <s v="F01"/>
    <s v="500g"/>
    <s v="Nut Muesli"/>
    <n v="2722"/>
    <n v="2722"/>
    <s v="ST"/>
    <n v="4.7300000000000004"/>
    <n v="12875.06"/>
    <n v="2449.8000000000002"/>
    <s v="EUR"/>
    <n v="10425.26"/>
    <n v="0.81"/>
  </r>
  <r>
    <s v=".1~498"/>
    <n v="498"/>
    <x v="0"/>
    <x v="3"/>
    <s v="20"/>
    <s v="04/20"/>
    <d v="2021-03-21T00:00:00"/>
    <n v="16"/>
    <n v="80"/>
    <s v="3538"/>
    <s v="1"/>
    <s v="02"/>
    <s v="Lower Saxony"/>
    <x v="0"/>
    <s v="HILDESHEIM"/>
    <s v="Germany"/>
    <s v="31137"/>
    <s v="80223"/>
    <s v="14"/>
    <s v="II-F01"/>
    <s v="500g Nut Muesli"/>
    <s v="Finished Product"/>
    <s v="F01"/>
    <s v="500g"/>
    <s v="Nut Muesli"/>
    <n v="2670"/>
    <n v="2670"/>
    <s v="ST"/>
    <n v="4.7300000000000004"/>
    <n v="12629.1"/>
    <n v="2403"/>
    <s v="EUR"/>
    <n v="10226.1"/>
    <n v="0.81"/>
  </r>
  <r>
    <s v=".1~499"/>
    <n v="499"/>
    <x v="0"/>
    <x v="3"/>
    <s v="20"/>
    <s v="04/20"/>
    <d v="2021-03-21T00:00:00"/>
    <n v="16"/>
    <n v="80"/>
    <s v="3544"/>
    <s v="1"/>
    <s v="02"/>
    <s v="Hessen"/>
    <x v="1"/>
    <s v="MAGDEBURG"/>
    <s v="Germany"/>
    <s v="39104"/>
    <s v="80215"/>
    <s v="14"/>
    <s v="II-F01"/>
    <s v="500g Nut Muesli"/>
    <s v="Finished Product"/>
    <s v="F01"/>
    <s v="500g"/>
    <s v="Nut Muesli"/>
    <n v="3215"/>
    <n v="3215"/>
    <s v="ST"/>
    <n v="4.7300000000000004"/>
    <n v="15206.95"/>
    <n v="2893.5"/>
    <s v="EUR"/>
    <n v="12313.45"/>
    <n v="0.81"/>
  </r>
  <r>
    <s v=".1~500"/>
    <n v="500"/>
    <x v="0"/>
    <x v="3"/>
    <s v="20"/>
    <s v="04/20"/>
    <d v="2021-03-21T00:00:00"/>
    <n v="16"/>
    <n v="80"/>
    <s v="3545"/>
    <s v="1"/>
    <s v="02"/>
    <s v="Baden-Wurttemberg"/>
    <x v="1"/>
    <s v="NÜRTINGEN"/>
    <s v="Germany"/>
    <s v="72622"/>
    <s v="80178"/>
    <s v="14"/>
    <s v="II-F01"/>
    <s v="500g Nut Muesli"/>
    <s v="Finished Product"/>
    <s v="F01"/>
    <s v="500g"/>
    <s v="Nut Muesli"/>
    <n v="2769"/>
    <n v="2769"/>
    <s v="ST"/>
    <n v="4.7300000000000004"/>
    <n v="13097.37"/>
    <n v="2492.1"/>
    <s v="EUR"/>
    <n v="10605.27"/>
    <n v="0.81"/>
  </r>
  <r>
    <s v=".1~501"/>
    <n v="501"/>
    <x v="0"/>
    <x v="3"/>
    <s v="20"/>
    <s v="04/20"/>
    <d v="2021-03-21T00:00:00"/>
    <n v="16"/>
    <n v="80"/>
    <s v="3543"/>
    <s v="1"/>
    <s v="02"/>
    <s v="Hessen"/>
    <x v="1"/>
    <s v="KASSEL"/>
    <s v="Germany"/>
    <s v="34123"/>
    <s v="80213"/>
    <s v="14"/>
    <s v="II-F04"/>
    <s v="500g Raisin Muesli"/>
    <s v="Finished Product"/>
    <s v="F04"/>
    <s v="500g"/>
    <s v="Raisin Muesli"/>
    <n v="3022"/>
    <n v="3022"/>
    <s v="ST"/>
    <n v="4.5999999999999996"/>
    <n v="13901.2"/>
    <n v="2387.38"/>
    <s v="EUR"/>
    <n v="11513.82"/>
    <n v="0.83"/>
  </r>
  <r>
    <s v=".1~502"/>
    <n v="502"/>
    <x v="0"/>
    <x v="4"/>
    <s v="01"/>
    <s v="05/01"/>
    <d v="2021-03-22T00:00:00"/>
    <n v="17"/>
    <n v="81"/>
    <s v="3560"/>
    <s v="1"/>
    <s v="02"/>
    <s v="Hessen"/>
    <x v="1"/>
    <s v="MAGDEBURG"/>
    <s v="Germany"/>
    <s v="39116"/>
    <s v="80107"/>
    <s v="10"/>
    <s v="II-F11"/>
    <s v="1kg Nut Muesli"/>
    <s v="Finished Product"/>
    <s v="F11"/>
    <s v="1kg"/>
    <s v="Nut Muesli"/>
    <n v="2923"/>
    <n v="2923"/>
    <s v="ST"/>
    <n v="4.9800000000000004"/>
    <n v="14556.54"/>
    <n v="4735.26"/>
    <s v="EUR"/>
    <n v="9821.2800000000007"/>
    <n v="0.67"/>
  </r>
  <r>
    <s v=".1~503"/>
    <n v="503"/>
    <x v="0"/>
    <x v="4"/>
    <s v="01"/>
    <s v="05/01"/>
    <d v="2021-03-22T00:00:00"/>
    <n v="17"/>
    <n v="81"/>
    <s v="3560"/>
    <s v="3"/>
    <s v="02"/>
    <s v="Hessen"/>
    <x v="1"/>
    <s v="MAGDEBURG"/>
    <s v="Germany"/>
    <s v="39116"/>
    <s v="80107"/>
    <s v="10"/>
    <s v="II-F13"/>
    <s v="1kg Strawberry Muesli"/>
    <s v="Finished Product"/>
    <s v="F13"/>
    <s v="1kg"/>
    <s v="Strawberry Muesli"/>
    <n v="2369"/>
    <n v="2369"/>
    <s v="ST"/>
    <n v="4.6100000000000003"/>
    <n v="10921.09"/>
    <n v="5401.32"/>
    <s v="EUR"/>
    <n v="5519.77"/>
    <n v="0.51"/>
  </r>
  <r>
    <s v=".1~504"/>
    <n v="504"/>
    <x v="0"/>
    <x v="4"/>
    <s v="01"/>
    <s v="05/01"/>
    <d v="2021-03-22T00:00:00"/>
    <n v="17"/>
    <n v="81"/>
    <s v="3560"/>
    <s v="2"/>
    <s v="02"/>
    <s v="Hessen"/>
    <x v="1"/>
    <s v="MAGDEBURG"/>
    <s v="Germany"/>
    <s v="39116"/>
    <s v="80107"/>
    <s v="10"/>
    <s v="II-F13"/>
    <s v="1kg Strawberry Muesli"/>
    <s v="Finished Product"/>
    <s v="F13"/>
    <s v="1kg"/>
    <s v="Strawberry Muesli"/>
    <n v="3631"/>
    <n v="3631"/>
    <s v="ST"/>
    <n v="4.6100000000000003"/>
    <n v="16738.91"/>
    <n v="8278.68"/>
    <s v="EUR"/>
    <n v="8460.23"/>
    <n v="0.51"/>
  </r>
  <r>
    <s v=".1~505"/>
    <n v="505"/>
    <x v="0"/>
    <x v="4"/>
    <s v="01"/>
    <s v="05/01"/>
    <d v="2021-03-22T00:00:00"/>
    <n v="17"/>
    <n v="81"/>
    <s v="3563"/>
    <s v="1"/>
    <s v="02"/>
    <s v="Bavaria"/>
    <x v="1"/>
    <s v="MÜNCHEN"/>
    <s v="Germany"/>
    <s v="80939"/>
    <s v="80124"/>
    <s v="12"/>
    <s v="II-F01"/>
    <s v="500g Nut Muesli"/>
    <s v="Finished Product"/>
    <s v="F01"/>
    <s v="500g"/>
    <s v="Nut Muesli"/>
    <n v="3689"/>
    <n v="3689"/>
    <s v="ST"/>
    <n v="4.0999999999999996"/>
    <n v="15124.9"/>
    <n v="3320.1"/>
    <s v="EUR"/>
    <n v="11804.8"/>
    <n v="0.78"/>
  </r>
  <r>
    <s v=".1~506"/>
    <n v="506"/>
    <x v="0"/>
    <x v="4"/>
    <s v="01"/>
    <s v="05/01"/>
    <d v="2021-03-22T00:00:00"/>
    <n v="17"/>
    <n v="81"/>
    <s v="3564"/>
    <s v="2"/>
    <s v="02"/>
    <s v="Hamburg"/>
    <x v="0"/>
    <s v="BUXTEHUDE"/>
    <s v="Germany"/>
    <s v="21614"/>
    <s v="80134"/>
    <s v="12"/>
    <s v="II-F01"/>
    <s v="500g Nut Muesli"/>
    <s v="Finished Product"/>
    <s v="F01"/>
    <s v="500g"/>
    <s v="Nut Muesli"/>
    <n v="3684"/>
    <n v="3684"/>
    <s v="ST"/>
    <n v="4.0999999999999996"/>
    <n v="15104.4"/>
    <n v="3315.6"/>
    <s v="EUR"/>
    <n v="11788.8"/>
    <n v="0.78"/>
  </r>
  <r>
    <s v=".1~507"/>
    <n v="507"/>
    <x v="0"/>
    <x v="4"/>
    <s v="01"/>
    <s v="05/01"/>
    <d v="2021-03-22T00:00:00"/>
    <n v="17"/>
    <n v="81"/>
    <s v="3564"/>
    <s v="4"/>
    <s v="02"/>
    <s v="Hamburg"/>
    <x v="0"/>
    <s v="BUXTEHUDE"/>
    <s v="Germany"/>
    <s v="21614"/>
    <s v="80134"/>
    <s v="12"/>
    <s v="II-F01"/>
    <s v="500g Nut Muesli"/>
    <s v="Finished Product"/>
    <s v="F01"/>
    <s v="500g"/>
    <s v="Nut Muesli"/>
    <n v="3316"/>
    <n v="3316"/>
    <s v="ST"/>
    <n v="4.0999999999999996"/>
    <n v="13595.6"/>
    <n v="2984.4"/>
    <s v="EUR"/>
    <n v="10611.2"/>
    <n v="0.78"/>
  </r>
  <r>
    <s v=".1~508"/>
    <n v="508"/>
    <x v="0"/>
    <x v="4"/>
    <s v="01"/>
    <s v="05/01"/>
    <d v="2021-03-22T00:00:00"/>
    <n v="17"/>
    <n v="81"/>
    <s v="3563"/>
    <s v="3"/>
    <s v="02"/>
    <s v="Bavaria"/>
    <x v="1"/>
    <s v="MÜNCHEN"/>
    <s v="Germany"/>
    <s v="80939"/>
    <s v="80124"/>
    <s v="12"/>
    <s v="II-F04"/>
    <s v="500g Raisin Muesli"/>
    <s v="Finished Product"/>
    <s v="F04"/>
    <s v="500g"/>
    <s v="Raisin Muesli"/>
    <n v="3704"/>
    <n v="3704"/>
    <s v="ST"/>
    <n v="4.18"/>
    <n v="15482.72"/>
    <n v="2926.16"/>
    <s v="EUR"/>
    <n v="12556.56"/>
    <n v="0.81"/>
  </r>
  <r>
    <s v=".1~509"/>
    <n v="509"/>
    <x v="0"/>
    <x v="4"/>
    <s v="01"/>
    <s v="05/01"/>
    <d v="2021-03-22T00:00:00"/>
    <n v="17"/>
    <n v="81"/>
    <s v="3567"/>
    <s v="2"/>
    <s v="02"/>
    <s v="Rhineland Palatinate"/>
    <x v="2"/>
    <s v="BAD KREUZNACH"/>
    <s v="Germany"/>
    <s v="55543"/>
    <s v="80163"/>
    <s v="12"/>
    <s v="II-F04"/>
    <s v="500g Raisin Muesli"/>
    <s v="Finished Product"/>
    <s v="F04"/>
    <s v="500g"/>
    <s v="Raisin Muesli"/>
    <n v="3652"/>
    <n v="3652"/>
    <s v="ST"/>
    <n v="4.18"/>
    <n v="15265.36"/>
    <n v="2885.08"/>
    <s v="EUR"/>
    <n v="12380.28"/>
    <n v="0.81"/>
  </r>
  <r>
    <s v=".1~510"/>
    <n v="510"/>
    <x v="0"/>
    <x v="4"/>
    <s v="01"/>
    <s v="05/01"/>
    <d v="2021-03-22T00:00:00"/>
    <n v="17"/>
    <n v="81"/>
    <s v="3567"/>
    <s v="1"/>
    <s v="02"/>
    <s v="Rhineland Palatinate"/>
    <x v="2"/>
    <s v="BAD KREUZNACH"/>
    <s v="Germany"/>
    <s v="55543"/>
    <s v="80163"/>
    <s v="12"/>
    <s v="II-F11"/>
    <s v="1kg Nut Muesli"/>
    <s v="Finished Product"/>
    <s v="F11"/>
    <s v="1kg"/>
    <s v="Nut Muesli"/>
    <n v="225"/>
    <n v="225"/>
    <s v="ST"/>
    <n v="5.08"/>
    <n v="1143"/>
    <n v="364.5"/>
    <s v="EUR"/>
    <n v="778.5"/>
    <n v="0.68"/>
  </r>
  <r>
    <s v=".1~511"/>
    <n v="511"/>
    <x v="0"/>
    <x v="4"/>
    <s v="01"/>
    <s v="05/01"/>
    <d v="2021-03-22T00:00:00"/>
    <n v="17"/>
    <n v="81"/>
    <s v="3564"/>
    <s v="3"/>
    <s v="02"/>
    <s v="Hamburg"/>
    <x v="0"/>
    <s v="BUXTEHUDE"/>
    <s v="Germany"/>
    <s v="21614"/>
    <s v="80134"/>
    <s v="12"/>
    <s v="II-F11"/>
    <s v="1kg Nut Muesli"/>
    <s v="Finished Product"/>
    <s v="F11"/>
    <s v="1kg"/>
    <s v="Nut Muesli"/>
    <n v="2642"/>
    <n v="2642"/>
    <s v="ST"/>
    <n v="5.08"/>
    <n v="13421.36"/>
    <n v="4280.04"/>
    <s v="EUR"/>
    <n v="9141.32"/>
    <n v="0.68"/>
  </r>
  <r>
    <s v=".1~512"/>
    <n v="512"/>
    <x v="0"/>
    <x v="4"/>
    <s v="01"/>
    <s v="05/01"/>
    <d v="2021-03-22T00:00:00"/>
    <n v="17"/>
    <n v="81"/>
    <s v="3564"/>
    <s v="1"/>
    <s v="02"/>
    <s v="Hamburg"/>
    <x v="0"/>
    <s v="BUXTEHUDE"/>
    <s v="Germany"/>
    <s v="21614"/>
    <s v="80134"/>
    <s v="12"/>
    <s v="II-F11"/>
    <s v="1kg Nut Muesli"/>
    <s v="Finished Product"/>
    <s v="F11"/>
    <s v="1kg"/>
    <s v="Nut Muesli"/>
    <n v="2577"/>
    <n v="2577"/>
    <s v="ST"/>
    <n v="5.08"/>
    <n v="13091.16"/>
    <n v="4174.74"/>
    <s v="EUR"/>
    <n v="8916.42"/>
    <n v="0.68"/>
  </r>
  <r>
    <s v=".1~513"/>
    <n v="513"/>
    <x v="0"/>
    <x v="4"/>
    <s v="01"/>
    <s v="05/01"/>
    <d v="2021-03-22T00:00:00"/>
    <n v="17"/>
    <n v="81"/>
    <s v="3563"/>
    <s v="2"/>
    <s v="02"/>
    <s v="Bavaria"/>
    <x v="1"/>
    <s v="MÜNCHEN"/>
    <s v="Germany"/>
    <s v="80939"/>
    <s v="80124"/>
    <s v="12"/>
    <s v="II-F11"/>
    <s v="1kg Nut Muesli"/>
    <s v="Finished Product"/>
    <s v="F11"/>
    <s v="1kg"/>
    <s v="Nut Muesli"/>
    <n v="2887"/>
    <n v="2887"/>
    <s v="ST"/>
    <n v="5.08"/>
    <n v="14665.96"/>
    <n v="4676.9399999999996"/>
    <s v="EUR"/>
    <n v="9989.02"/>
    <n v="0.68"/>
  </r>
  <r>
    <s v=".1~514"/>
    <n v="514"/>
    <x v="0"/>
    <x v="4"/>
    <s v="01"/>
    <s v="05/01"/>
    <d v="2021-03-22T00:00:00"/>
    <n v="17"/>
    <n v="81"/>
    <s v="3563"/>
    <s v="4"/>
    <s v="02"/>
    <s v="Bavaria"/>
    <x v="1"/>
    <s v="MÜNCHEN"/>
    <s v="Germany"/>
    <s v="80939"/>
    <s v="80124"/>
    <s v="12"/>
    <s v="II-F11"/>
    <s v="1kg Nut Muesli"/>
    <s v="Finished Product"/>
    <s v="F11"/>
    <s v="1kg"/>
    <s v="Nut Muesli"/>
    <n v="2871"/>
    <n v="2871"/>
    <s v="ST"/>
    <n v="5.08"/>
    <n v="14584.68"/>
    <n v="4651.0200000000004"/>
    <s v="EUR"/>
    <n v="9933.66"/>
    <n v="0.68"/>
  </r>
  <r>
    <s v=".1~515"/>
    <n v="515"/>
    <x v="0"/>
    <x v="4"/>
    <s v="01"/>
    <s v="05/01"/>
    <d v="2021-03-22T00:00:00"/>
    <n v="17"/>
    <n v="81"/>
    <s v="3566"/>
    <s v="1"/>
    <s v="02"/>
    <s v="Berlin"/>
    <x v="0"/>
    <s v="BERLIN"/>
    <s v="Germany"/>
    <s v="13156"/>
    <s v="80293"/>
    <s v="14"/>
    <s v="II-F01"/>
    <s v="500g Nut Muesli"/>
    <s v="Finished Product"/>
    <s v="F01"/>
    <s v="500g"/>
    <s v="Nut Muesli"/>
    <n v="3241"/>
    <n v="3241"/>
    <s v="ST"/>
    <n v="4.7300000000000004"/>
    <n v="15329.93"/>
    <n v="2916.9"/>
    <s v="EUR"/>
    <n v="12413.03"/>
    <n v="0.81"/>
  </r>
  <r>
    <s v=".1~516"/>
    <n v="516"/>
    <x v="0"/>
    <x v="4"/>
    <s v="02"/>
    <s v="05/02"/>
    <d v="2021-03-23T00:00:00"/>
    <n v="17"/>
    <n v="82"/>
    <s v="3577"/>
    <s v="3"/>
    <s v="02"/>
    <s v="Bavaria"/>
    <x v="1"/>
    <s v="FREISING"/>
    <s v="Germany"/>
    <s v="85356"/>
    <s v="80102"/>
    <s v="10"/>
    <s v="II-F13"/>
    <s v="1kg Strawberry Muesli"/>
    <s v="Finished Product"/>
    <s v="F13"/>
    <s v="1kg"/>
    <s v="Strawberry Muesli"/>
    <n v="3417"/>
    <n v="3417"/>
    <s v="ST"/>
    <n v="4.6100000000000003"/>
    <n v="15752.37"/>
    <n v="7790.76"/>
    <s v="EUR"/>
    <n v="7961.61"/>
    <n v="0.51"/>
  </r>
  <r>
    <s v=".1~517"/>
    <n v="517"/>
    <x v="0"/>
    <x v="4"/>
    <s v="02"/>
    <s v="05/02"/>
    <d v="2021-03-23T00:00:00"/>
    <n v="17"/>
    <n v="82"/>
    <s v="3577"/>
    <s v="2"/>
    <s v="02"/>
    <s v="Bavaria"/>
    <x v="1"/>
    <s v="FREISING"/>
    <s v="Germany"/>
    <s v="85356"/>
    <s v="80102"/>
    <s v="10"/>
    <s v="II-F13"/>
    <s v="1kg Strawberry Muesli"/>
    <s v="Finished Product"/>
    <s v="F13"/>
    <s v="1kg"/>
    <s v="Strawberry Muesli"/>
    <n v="3614"/>
    <n v="3614"/>
    <s v="ST"/>
    <n v="4.6100000000000003"/>
    <n v="16660.54"/>
    <n v="8239.92"/>
    <s v="EUR"/>
    <n v="8420.6200000000008"/>
    <n v="0.51"/>
  </r>
  <r>
    <s v=".1~518"/>
    <n v="518"/>
    <x v="0"/>
    <x v="4"/>
    <s v="02"/>
    <s v="05/02"/>
    <d v="2021-03-23T00:00:00"/>
    <n v="17"/>
    <n v="82"/>
    <s v="3577"/>
    <s v="1"/>
    <s v="02"/>
    <s v="Bavaria"/>
    <x v="1"/>
    <s v="FREISING"/>
    <s v="Germany"/>
    <s v="85356"/>
    <s v="80102"/>
    <s v="10"/>
    <s v="II-F13"/>
    <s v="1kg Strawberry Muesli"/>
    <s v="Finished Product"/>
    <s v="F13"/>
    <s v="1kg"/>
    <s v="Strawberry Muesli"/>
    <n v="3371"/>
    <n v="3371"/>
    <s v="ST"/>
    <n v="4.6100000000000003"/>
    <n v="15540.31"/>
    <n v="7685.88"/>
    <s v="EUR"/>
    <n v="7854.43"/>
    <n v="0.51"/>
  </r>
  <r>
    <s v=".1~519"/>
    <n v="519"/>
    <x v="0"/>
    <x v="4"/>
    <s v="02"/>
    <s v="05/02"/>
    <d v="2021-03-23T00:00:00"/>
    <n v="17"/>
    <n v="82"/>
    <s v="3586"/>
    <s v="4"/>
    <s v="02"/>
    <s v="Brandenburg"/>
    <x v="0"/>
    <s v="BRANDENBURG"/>
    <s v="Germany"/>
    <s v="14772"/>
    <s v="80131"/>
    <s v="12"/>
    <s v="II-F03"/>
    <s v="500g Strawberry Muesli"/>
    <s v="Finished Product"/>
    <s v="F03"/>
    <s v="500g"/>
    <s v="Strawberry Muesli"/>
    <n v="167"/>
    <n v="167"/>
    <s v="ST"/>
    <n v="4.66"/>
    <n v="778.22"/>
    <n v="205.41"/>
    <s v="EUR"/>
    <n v="572.80999999999995"/>
    <n v="0.74"/>
  </r>
  <r>
    <s v=".1~520"/>
    <n v="520"/>
    <x v="0"/>
    <x v="4"/>
    <s v="02"/>
    <s v="05/02"/>
    <d v="2021-03-23T00:00:00"/>
    <n v="17"/>
    <n v="82"/>
    <s v="3581"/>
    <s v="3"/>
    <s v="02"/>
    <s v="Bavaria"/>
    <x v="1"/>
    <s v="WÜRZBURG"/>
    <s v="Germany"/>
    <s v="97070"/>
    <s v="80128"/>
    <s v="12"/>
    <s v="II-F04"/>
    <s v="500g Raisin Muesli"/>
    <s v="Finished Product"/>
    <s v="F04"/>
    <s v="500g"/>
    <s v="Raisin Muesli"/>
    <n v="3717"/>
    <n v="3717"/>
    <s v="ST"/>
    <n v="4.18"/>
    <n v="15537.06"/>
    <n v="2936.43"/>
    <s v="EUR"/>
    <n v="12600.63"/>
    <n v="0.81"/>
  </r>
  <r>
    <s v=".1~521"/>
    <n v="521"/>
    <x v="0"/>
    <x v="4"/>
    <s v="02"/>
    <s v="05/02"/>
    <d v="2021-03-23T00:00:00"/>
    <n v="17"/>
    <n v="82"/>
    <s v="3586"/>
    <s v="3"/>
    <s v="02"/>
    <s v="Brandenburg"/>
    <x v="0"/>
    <s v="BRANDENBURG"/>
    <s v="Germany"/>
    <s v="14772"/>
    <s v="80131"/>
    <s v="12"/>
    <s v="II-F04"/>
    <s v="500g Raisin Muesli"/>
    <s v="Finished Product"/>
    <s v="F04"/>
    <s v="500g"/>
    <s v="Raisin Muesli"/>
    <n v="3038"/>
    <n v="3038"/>
    <s v="ST"/>
    <n v="4.18"/>
    <n v="12698.84"/>
    <n v="2400.02"/>
    <s v="EUR"/>
    <n v="10298.82"/>
    <n v="0.81"/>
  </r>
  <r>
    <s v=".1~522"/>
    <n v="522"/>
    <x v="0"/>
    <x v="4"/>
    <s v="02"/>
    <s v="05/02"/>
    <d v="2021-03-23T00:00:00"/>
    <n v="17"/>
    <n v="82"/>
    <s v="3586"/>
    <s v="2"/>
    <s v="02"/>
    <s v="Brandenburg"/>
    <x v="0"/>
    <s v="BRANDENBURG"/>
    <s v="Germany"/>
    <s v="14772"/>
    <s v="80131"/>
    <s v="12"/>
    <s v="II-F13"/>
    <s v="1kg Strawberry Muesli"/>
    <s v="Finished Product"/>
    <s v="F13"/>
    <s v="1kg"/>
    <s v="Strawberry Muesli"/>
    <n v="610"/>
    <n v="610"/>
    <s v="ST"/>
    <n v="4.71"/>
    <n v="2873.1"/>
    <n v="1390.8"/>
    <s v="EUR"/>
    <n v="1482.3"/>
    <n v="0.52"/>
  </r>
  <r>
    <s v=".1~523"/>
    <n v="523"/>
    <x v="0"/>
    <x v="4"/>
    <s v="02"/>
    <s v="05/02"/>
    <d v="2021-03-23T00:00:00"/>
    <n v="17"/>
    <n v="82"/>
    <s v="3586"/>
    <s v="1"/>
    <s v="02"/>
    <s v="Brandenburg"/>
    <x v="0"/>
    <s v="BRANDENBURG"/>
    <s v="Germany"/>
    <s v="14772"/>
    <s v="80131"/>
    <s v="12"/>
    <s v="II-F13"/>
    <s v="1kg Strawberry Muesli"/>
    <s v="Finished Product"/>
    <s v="F13"/>
    <s v="1kg"/>
    <s v="Strawberry Muesli"/>
    <n v="3298"/>
    <n v="3298"/>
    <s v="ST"/>
    <n v="4.71"/>
    <n v="15533.58"/>
    <n v="7519.44"/>
    <s v="EUR"/>
    <n v="8014.14"/>
    <n v="0.52"/>
  </r>
  <r>
    <s v=".1~524"/>
    <n v="524"/>
    <x v="0"/>
    <x v="4"/>
    <s v="02"/>
    <s v="05/02"/>
    <d v="2021-03-23T00:00:00"/>
    <n v="17"/>
    <n v="82"/>
    <s v="3581"/>
    <s v="1"/>
    <s v="02"/>
    <s v="Bavaria"/>
    <x v="1"/>
    <s v="WÜRZBURG"/>
    <s v="Germany"/>
    <s v="97070"/>
    <s v="80128"/>
    <s v="12"/>
    <s v="II-F13"/>
    <s v="1kg Strawberry Muesli"/>
    <s v="Finished Product"/>
    <s v="F13"/>
    <s v="1kg"/>
    <s v="Strawberry Muesli"/>
    <n v="3374"/>
    <n v="3374"/>
    <s v="ST"/>
    <n v="4.71"/>
    <n v="15891.54"/>
    <n v="7692.72"/>
    <s v="EUR"/>
    <n v="8198.82"/>
    <n v="0.52"/>
  </r>
  <r>
    <s v=".1~525"/>
    <n v="525"/>
    <x v="0"/>
    <x v="4"/>
    <s v="02"/>
    <s v="05/02"/>
    <d v="2021-03-23T00:00:00"/>
    <n v="17"/>
    <n v="82"/>
    <s v="3581"/>
    <s v="2"/>
    <s v="02"/>
    <s v="Bavaria"/>
    <x v="1"/>
    <s v="WÜRZBURG"/>
    <s v="Germany"/>
    <s v="97070"/>
    <s v="80128"/>
    <s v="12"/>
    <s v="II-F13"/>
    <s v="1kg Strawberry Muesli"/>
    <s v="Finished Product"/>
    <s v="F13"/>
    <s v="1kg"/>
    <s v="Strawberry Muesli"/>
    <n v="2800"/>
    <n v="2800"/>
    <s v="ST"/>
    <n v="4.71"/>
    <n v="13188"/>
    <n v="6384"/>
    <s v="EUR"/>
    <n v="6804"/>
    <n v="0.52"/>
  </r>
  <r>
    <s v=".1~526"/>
    <n v="526"/>
    <x v="0"/>
    <x v="4"/>
    <s v="02"/>
    <s v="05/02"/>
    <d v="2021-03-23T00:00:00"/>
    <n v="17"/>
    <n v="82"/>
    <s v="3581"/>
    <s v="4"/>
    <s v="02"/>
    <s v="Bavaria"/>
    <x v="1"/>
    <s v="WÜRZBURG"/>
    <s v="Germany"/>
    <s v="97070"/>
    <s v="80128"/>
    <s v="12"/>
    <s v="II-F13"/>
    <s v="1kg Strawberry Muesli"/>
    <s v="Finished Product"/>
    <s v="F13"/>
    <s v="1kg"/>
    <s v="Strawberry Muesli"/>
    <n v="3516"/>
    <n v="3516"/>
    <s v="ST"/>
    <n v="4.71"/>
    <n v="16560.36"/>
    <n v="8016.48"/>
    <s v="EUR"/>
    <n v="8543.8799999999992"/>
    <n v="0.52"/>
  </r>
  <r>
    <s v=".1~527"/>
    <n v="527"/>
    <x v="0"/>
    <x v="4"/>
    <s v="03"/>
    <s v="05/03"/>
    <d v="2021-03-24T00:00:00"/>
    <n v="17"/>
    <n v="83"/>
    <s v="3601"/>
    <s v="2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336"/>
    <n v="2336"/>
    <s v="ST"/>
    <n v="5.68"/>
    <n v="13268.48"/>
    <n v="5302.72"/>
    <s v="EUR"/>
    <n v="7965.76"/>
    <n v="0.6"/>
  </r>
  <r>
    <s v=".1~528"/>
    <n v="528"/>
    <x v="0"/>
    <x v="4"/>
    <s v="03"/>
    <s v="05/03"/>
    <d v="2021-03-24T00:00:00"/>
    <n v="17"/>
    <n v="83"/>
    <s v="3601"/>
    <s v="1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337"/>
    <n v="2337"/>
    <s v="ST"/>
    <n v="5.68"/>
    <n v="13274.16"/>
    <n v="5304.99"/>
    <s v="EUR"/>
    <n v="7969.17"/>
    <n v="0.6"/>
  </r>
  <r>
    <s v=".1~529"/>
    <n v="529"/>
    <x v="0"/>
    <x v="4"/>
    <s v="03"/>
    <s v="05/03"/>
    <d v="2021-03-24T00:00:00"/>
    <n v="17"/>
    <n v="83"/>
    <s v="3601"/>
    <s v="3"/>
    <s v="02"/>
    <s v="Baden-Wurttemberg"/>
    <x v="1"/>
    <s v="NEU-ULM"/>
    <s v="Germany"/>
    <s v="89231"/>
    <s v="80101"/>
    <s v="10"/>
    <s v="II-F13"/>
    <s v="1kg Strawberry Muesli"/>
    <s v="Finished Product"/>
    <s v="F13"/>
    <s v="1kg"/>
    <s v="Strawberry Muesli"/>
    <n v="2797"/>
    <n v="2797"/>
    <s v="ST"/>
    <n v="4.6100000000000003"/>
    <n v="12894.17"/>
    <n v="6377.16"/>
    <s v="EUR"/>
    <n v="6517.01"/>
    <n v="0.51"/>
  </r>
  <r>
    <s v=".1~530"/>
    <n v="530"/>
    <x v="0"/>
    <x v="4"/>
    <s v="03"/>
    <s v="05/03"/>
    <d v="2021-03-24T00:00:00"/>
    <n v="17"/>
    <n v="83"/>
    <s v="3605"/>
    <s v="1"/>
    <s v="02"/>
    <s v="Schleswig-Holstein"/>
    <x v="0"/>
    <s v="NEUMÜNSTER"/>
    <s v="Germany"/>
    <s v="24537"/>
    <s v="80169"/>
    <s v="12"/>
    <s v="II-F01"/>
    <s v="500g Nut Muesli"/>
    <s v="Finished Product"/>
    <s v="F01"/>
    <s v="500g"/>
    <s v="Nut Muesli"/>
    <n v="2344"/>
    <n v="2344"/>
    <s v="ST"/>
    <n v="4.51"/>
    <n v="10571.44"/>
    <n v="2109.6"/>
    <s v="EUR"/>
    <n v="8461.84"/>
    <n v="0.8"/>
  </r>
  <r>
    <s v=".1~531"/>
    <n v="531"/>
    <x v="0"/>
    <x v="4"/>
    <s v="03"/>
    <s v="05/03"/>
    <d v="2021-03-24T00:00:00"/>
    <n v="17"/>
    <n v="83"/>
    <s v="3605"/>
    <s v="3"/>
    <s v="02"/>
    <s v="Schleswig-Holstein"/>
    <x v="0"/>
    <s v="NEUMÜNSTER"/>
    <s v="Germany"/>
    <s v="24537"/>
    <s v="80169"/>
    <s v="12"/>
    <s v="II-F04"/>
    <s v="500g Raisin Muesli"/>
    <s v="Finished Product"/>
    <s v="F04"/>
    <s v="500g"/>
    <s v="Raisin Muesli"/>
    <n v="3033"/>
    <n v="3033"/>
    <s v="ST"/>
    <n v="4.3899999999999997"/>
    <n v="13314.87"/>
    <n v="2396.0700000000002"/>
    <s v="EUR"/>
    <n v="10918.8"/>
    <n v="0.82"/>
  </r>
  <r>
    <s v=".1~532"/>
    <n v="532"/>
    <x v="0"/>
    <x v="4"/>
    <s v="03"/>
    <s v="05/03"/>
    <d v="2021-03-24T00:00:00"/>
    <n v="17"/>
    <n v="83"/>
    <s v="3605"/>
    <s v="4"/>
    <s v="02"/>
    <s v="Schleswig-Holstein"/>
    <x v="0"/>
    <s v="NEUMÜNSTER"/>
    <s v="Germany"/>
    <s v="24537"/>
    <s v="80169"/>
    <s v="12"/>
    <s v="II-F12"/>
    <s v="1kg Blueberry Muesli"/>
    <s v="Finished Product"/>
    <s v="F12"/>
    <s v="1kg"/>
    <s v="Blueberry Muesli"/>
    <n v="340"/>
    <n v="340"/>
    <s v="ST"/>
    <n v="6.09"/>
    <n v="2070.6"/>
    <n v="771.8"/>
    <s v="EUR"/>
    <n v="1298.8"/>
    <n v="0.63"/>
  </r>
  <r>
    <s v=".1~533"/>
    <n v="533"/>
    <x v="0"/>
    <x v="4"/>
    <s v="03"/>
    <s v="05/03"/>
    <d v="2021-03-24T00:00:00"/>
    <n v="17"/>
    <n v="83"/>
    <s v="3602"/>
    <s v="1"/>
    <s v="02"/>
    <s v="Hessen"/>
    <x v="1"/>
    <s v="FRANKFURT/MAIN"/>
    <s v="Germany"/>
    <s v="60386"/>
    <s v="80136"/>
    <s v="12"/>
    <s v="II-F12"/>
    <s v="1kg Blueberry Muesli"/>
    <s v="Finished Product"/>
    <s v="F12"/>
    <s v="1kg"/>
    <s v="Blueberry Muesli"/>
    <n v="2693"/>
    <n v="2693"/>
    <s v="ST"/>
    <n v="6.09"/>
    <n v="16400.37"/>
    <n v="6113.11"/>
    <s v="EUR"/>
    <n v="10287.26"/>
    <n v="0.63"/>
  </r>
  <r>
    <s v=".1~534"/>
    <n v="534"/>
    <x v="0"/>
    <x v="4"/>
    <s v="03"/>
    <s v="05/03"/>
    <d v="2021-03-24T00:00:00"/>
    <n v="17"/>
    <n v="83"/>
    <s v="3602"/>
    <s v="4"/>
    <s v="02"/>
    <s v="Hessen"/>
    <x v="1"/>
    <s v="FRANKFURT/MAIN"/>
    <s v="Germany"/>
    <s v="60386"/>
    <s v="80136"/>
    <s v="12"/>
    <s v="II-F12"/>
    <s v="1kg Blueberry Muesli"/>
    <s v="Finished Product"/>
    <s v="F12"/>
    <s v="1kg"/>
    <s v="Blueberry Muesli"/>
    <n v="2323"/>
    <n v="2323"/>
    <s v="ST"/>
    <n v="6.09"/>
    <n v="14147.07"/>
    <n v="5273.21"/>
    <s v="EUR"/>
    <n v="8873.86"/>
    <n v="0.63"/>
  </r>
  <r>
    <s v=".1~535"/>
    <n v="535"/>
    <x v="0"/>
    <x v="4"/>
    <s v="03"/>
    <s v="05/03"/>
    <d v="2021-03-24T00:00:00"/>
    <n v="17"/>
    <n v="83"/>
    <s v="3605"/>
    <s v="2"/>
    <s v="02"/>
    <s v="Schleswig-Holstein"/>
    <x v="0"/>
    <s v="NEUMÜNSTER"/>
    <s v="Germany"/>
    <s v="24537"/>
    <s v="80169"/>
    <s v="12"/>
    <s v="II-F12"/>
    <s v="1kg Blueberry Muesli"/>
    <s v="Finished Product"/>
    <s v="F12"/>
    <s v="1kg"/>
    <s v="Blueberry Muesli"/>
    <n v="2096"/>
    <n v="2096"/>
    <s v="ST"/>
    <n v="6.09"/>
    <n v="12764.64"/>
    <n v="4757.92"/>
    <s v="EUR"/>
    <n v="8006.72"/>
    <n v="0.63"/>
  </r>
  <r>
    <s v=".1~536"/>
    <n v="536"/>
    <x v="0"/>
    <x v="4"/>
    <s v="03"/>
    <s v="05/03"/>
    <d v="2021-03-24T00:00:00"/>
    <n v="17"/>
    <n v="83"/>
    <s v="3602"/>
    <s v="2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3022"/>
    <n v="3022"/>
    <s v="ST"/>
    <n v="4.9400000000000004"/>
    <n v="14928.68"/>
    <n v="6890.16"/>
    <s v="EUR"/>
    <n v="8038.52"/>
    <n v="0.54"/>
  </r>
  <r>
    <s v=".1~537"/>
    <n v="537"/>
    <x v="0"/>
    <x v="4"/>
    <s v="03"/>
    <s v="05/03"/>
    <d v="2021-03-24T00:00:00"/>
    <n v="17"/>
    <n v="83"/>
    <s v="3602"/>
    <s v="3"/>
    <s v="02"/>
    <s v="Hessen"/>
    <x v="1"/>
    <s v="FRANKFURT/MAIN"/>
    <s v="Germany"/>
    <s v="60386"/>
    <s v="80136"/>
    <s v="12"/>
    <s v="II-F13"/>
    <s v="1kg Strawberry Muesli"/>
    <s v="Finished Product"/>
    <s v="F13"/>
    <s v="1kg"/>
    <s v="Strawberry Muesli"/>
    <n v="2181"/>
    <n v="2181"/>
    <s v="ST"/>
    <n v="4.9400000000000004"/>
    <n v="10774.14"/>
    <n v="4972.68"/>
    <s v="EUR"/>
    <n v="5801.46"/>
    <n v="0.54"/>
  </r>
  <r>
    <s v=".1~538"/>
    <n v="538"/>
    <x v="0"/>
    <x v="4"/>
    <s v="04"/>
    <s v="05/04"/>
    <d v="2021-03-25T00:00:00"/>
    <n v="17"/>
    <n v="84"/>
    <s v="3627"/>
    <s v="1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704"/>
    <n v="2704"/>
    <s v="ST"/>
    <n v="5.97"/>
    <n v="16142.88"/>
    <n v="6138.08"/>
    <s v="EUR"/>
    <n v="10004.799999999999"/>
    <n v="0.62"/>
  </r>
  <r>
    <s v=".1~539"/>
    <n v="539"/>
    <x v="0"/>
    <x v="4"/>
    <s v="04"/>
    <s v="05/04"/>
    <d v="2021-03-25T00:00:00"/>
    <n v="17"/>
    <n v="84"/>
    <s v="3627"/>
    <s v="2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731"/>
    <n v="2731"/>
    <s v="ST"/>
    <n v="5.97"/>
    <n v="16304.07"/>
    <n v="6199.37"/>
    <s v="EUR"/>
    <n v="10104.700000000001"/>
    <n v="0.62"/>
  </r>
  <r>
    <s v=".1~540"/>
    <n v="540"/>
    <x v="0"/>
    <x v="4"/>
    <s v="04"/>
    <s v="05/04"/>
    <d v="2021-03-25T00:00:00"/>
    <n v="17"/>
    <n v="84"/>
    <s v="3627"/>
    <s v="3"/>
    <s v="02"/>
    <s v="Baden-Wurttemberg"/>
    <x v="1"/>
    <s v="NEU-ULM"/>
    <s v="Germany"/>
    <s v="89231"/>
    <s v="80101"/>
    <s v="10"/>
    <s v="II-F12"/>
    <s v="1kg Blueberry Muesli"/>
    <s v="Finished Product"/>
    <s v="F12"/>
    <s v="1kg"/>
    <s v="Blueberry Muesli"/>
    <n v="2260"/>
    <n v="2260"/>
    <s v="ST"/>
    <n v="5.97"/>
    <n v="13492.2"/>
    <n v="5130.2"/>
    <s v="EUR"/>
    <n v="8362"/>
    <n v="0.62"/>
  </r>
  <r>
    <s v=".1~541"/>
    <n v="541"/>
    <x v="0"/>
    <x v="4"/>
    <s v="04"/>
    <s v="05/04"/>
    <d v="2021-03-25T00:00:00"/>
    <n v="17"/>
    <n v="84"/>
    <s v="3629"/>
    <s v="4"/>
    <s v="02"/>
    <s v="Hessen"/>
    <x v="1"/>
    <s v="MARBURG"/>
    <s v="Germany"/>
    <s v="35037"/>
    <s v="80139"/>
    <s v="12"/>
    <s v="II-F04"/>
    <s v="500g Raisin Muesli"/>
    <s v="Finished Product"/>
    <s v="F04"/>
    <s v="500g"/>
    <s v="Raisin Muesli"/>
    <n v="3083"/>
    <n v="3083"/>
    <s v="ST"/>
    <n v="4.3899999999999997"/>
    <n v="13534.37"/>
    <n v="2435.5700000000002"/>
    <s v="EUR"/>
    <n v="11098.8"/>
    <n v="0.82"/>
  </r>
  <r>
    <s v=".1~542"/>
    <n v="542"/>
    <x v="0"/>
    <x v="4"/>
    <s v="04"/>
    <s v="05/04"/>
    <d v="2021-03-25T00:00:00"/>
    <n v="17"/>
    <n v="84"/>
    <s v="3630"/>
    <s v="1"/>
    <s v="02"/>
    <s v="Lower Saxony"/>
    <x v="0"/>
    <s v="UELZEN"/>
    <s v="Germany"/>
    <s v="29525"/>
    <s v="80146"/>
    <s v="12"/>
    <s v="II-F04"/>
    <s v="500g Raisin Muesli"/>
    <s v="Finished Product"/>
    <s v="F04"/>
    <s v="500g"/>
    <s v="Raisin Muesli"/>
    <n v="3329"/>
    <n v="3329"/>
    <s v="ST"/>
    <n v="4.3899999999999997"/>
    <n v="14614.31"/>
    <n v="2629.91"/>
    <s v="EUR"/>
    <n v="11984.4"/>
    <n v="0.82"/>
  </r>
  <r>
    <s v=".1~543"/>
    <n v="543"/>
    <x v="0"/>
    <x v="4"/>
    <s v="04"/>
    <s v="05/04"/>
    <d v="2021-03-25T00:00:00"/>
    <n v="17"/>
    <n v="84"/>
    <s v="3629"/>
    <s v="1"/>
    <s v="02"/>
    <s v="Hessen"/>
    <x v="1"/>
    <s v="MARBURG"/>
    <s v="Germany"/>
    <s v="35037"/>
    <s v="80139"/>
    <s v="12"/>
    <s v="II-F12"/>
    <s v="1kg Blueberry Muesli"/>
    <s v="Finished Product"/>
    <s v="F12"/>
    <s v="1kg"/>
    <s v="Blueberry Muesli"/>
    <n v="2696"/>
    <n v="2696"/>
    <s v="ST"/>
    <n v="6.09"/>
    <n v="16418.64"/>
    <n v="6119.92"/>
    <s v="EUR"/>
    <n v="10298.719999999999"/>
    <n v="0.63"/>
  </r>
  <r>
    <s v=".1~544"/>
    <n v="544"/>
    <x v="0"/>
    <x v="4"/>
    <s v="04"/>
    <s v="05/04"/>
    <d v="2021-03-25T00:00:00"/>
    <n v="17"/>
    <n v="84"/>
    <s v="3629"/>
    <s v="2"/>
    <s v="02"/>
    <s v="Hessen"/>
    <x v="1"/>
    <s v="MARBURG"/>
    <s v="Germany"/>
    <s v="35037"/>
    <s v="80139"/>
    <s v="12"/>
    <s v="II-F12"/>
    <s v="1kg Blueberry Muesli"/>
    <s v="Finished Product"/>
    <s v="F12"/>
    <s v="1kg"/>
    <s v="Blueberry Muesli"/>
    <n v="2102"/>
    <n v="2102"/>
    <s v="ST"/>
    <n v="6.09"/>
    <n v="12801.18"/>
    <n v="4771.54"/>
    <s v="EUR"/>
    <n v="8029.64"/>
    <n v="0.63"/>
  </r>
  <r>
    <s v=".1~545"/>
    <n v="545"/>
    <x v="0"/>
    <x v="4"/>
    <s v="04"/>
    <s v="05/04"/>
    <d v="2021-03-25T00:00:00"/>
    <n v="17"/>
    <n v="84"/>
    <s v="3629"/>
    <s v="3"/>
    <s v="02"/>
    <s v="Hessen"/>
    <x v="1"/>
    <s v="MARBURG"/>
    <s v="Germany"/>
    <s v="35037"/>
    <s v="80139"/>
    <s v="12"/>
    <s v="II-F12"/>
    <s v="1kg Blueberry Muesli"/>
    <s v="Finished Product"/>
    <s v="F12"/>
    <s v="1kg"/>
    <s v="Blueberry Muesli"/>
    <n v="2140"/>
    <n v="2140"/>
    <s v="ST"/>
    <n v="6.09"/>
    <n v="13032.6"/>
    <n v="4857.8"/>
    <s v="EUR"/>
    <n v="8174.8"/>
    <n v="0.63"/>
  </r>
  <r>
    <s v=".1~546"/>
    <n v="546"/>
    <x v="0"/>
    <x v="4"/>
    <s v="04"/>
    <s v="05/04"/>
    <d v="2021-03-25T00:00:00"/>
    <n v="17"/>
    <n v="84"/>
    <s v="3630"/>
    <s v="2"/>
    <s v="02"/>
    <s v="Lower Saxony"/>
    <x v="0"/>
    <s v="UELZEN"/>
    <s v="Germany"/>
    <s v="29525"/>
    <s v="80146"/>
    <s v="12"/>
    <s v="II-F12"/>
    <s v="1kg Blueberry Muesli"/>
    <s v="Finished Product"/>
    <s v="F12"/>
    <s v="1kg"/>
    <s v="Blueberry Muesli"/>
    <n v="2230"/>
    <n v="2230"/>
    <s v="ST"/>
    <n v="6.09"/>
    <n v="13580.7"/>
    <n v="5062.1000000000004"/>
    <s v="EUR"/>
    <n v="8518.6"/>
    <n v="0.63"/>
  </r>
  <r>
    <s v=".1~547"/>
    <n v="547"/>
    <x v="0"/>
    <x v="4"/>
    <s v="04"/>
    <s v="05/04"/>
    <d v="2021-03-25T00:00:00"/>
    <n v="17"/>
    <n v="84"/>
    <s v="3630"/>
    <s v="3"/>
    <s v="02"/>
    <s v="Lower Saxony"/>
    <x v="0"/>
    <s v="UELZEN"/>
    <s v="Germany"/>
    <s v="29525"/>
    <s v="80146"/>
    <s v="12"/>
    <s v="II-F12"/>
    <s v="1kg Blueberry Muesli"/>
    <s v="Finished Product"/>
    <s v="F12"/>
    <s v="1kg"/>
    <s v="Blueberry Muesli"/>
    <n v="2657"/>
    <n v="2657"/>
    <s v="ST"/>
    <n v="6.09"/>
    <n v="16181.13"/>
    <n v="6031.39"/>
    <s v="EUR"/>
    <n v="10149.74"/>
    <n v="0.63"/>
  </r>
  <r>
    <s v=".1~548"/>
    <n v="548"/>
    <x v="0"/>
    <x v="4"/>
    <s v="04"/>
    <s v="05/04"/>
    <d v="2021-03-25T00:00:00"/>
    <n v="17"/>
    <n v="84"/>
    <s v="3630"/>
    <s v="4"/>
    <s v="02"/>
    <s v="Lower Saxony"/>
    <x v="0"/>
    <s v="UELZEN"/>
    <s v="Germany"/>
    <s v="29525"/>
    <s v="80146"/>
    <s v="12"/>
    <s v="II-F12"/>
    <s v="1kg Blueberry Muesli"/>
    <s v="Finished Product"/>
    <s v="F12"/>
    <s v="1kg"/>
    <s v="Blueberry Muesli"/>
    <n v="2609"/>
    <n v="2609"/>
    <s v="ST"/>
    <n v="6.09"/>
    <n v="15888.81"/>
    <n v="5922.43"/>
    <s v="EUR"/>
    <n v="9966.3799999999992"/>
    <n v="0.63"/>
  </r>
  <r>
    <s v=".1~549"/>
    <n v="549"/>
    <x v="0"/>
    <x v="4"/>
    <s v="05"/>
    <s v="05/05"/>
    <d v="2021-03-26T00:00:00"/>
    <n v="17"/>
    <n v="85"/>
    <s v="3657"/>
    <s v="4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383"/>
    <n v="2383"/>
    <s v="ST"/>
    <n v="6.09"/>
    <n v="14512.47"/>
    <n v="5409.41"/>
    <s v="EUR"/>
    <n v="9103.06"/>
    <n v="0.63"/>
  </r>
  <r>
    <s v=".1~550"/>
    <n v="550"/>
    <x v="0"/>
    <x v="4"/>
    <s v="05"/>
    <s v="05/05"/>
    <d v="2021-03-26T00:00:00"/>
    <n v="17"/>
    <n v="85"/>
    <s v="3650"/>
    <s v="3"/>
    <s v="02"/>
    <s v="Baden-Wurttemberg"/>
    <x v="1"/>
    <s v="FREIBURG"/>
    <s v="Germany"/>
    <s v="79098"/>
    <s v="80113"/>
    <s v="12"/>
    <s v="II-F13"/>
    <s v="1kg Strawberry Muesli"/>
    <s v="Finished Product"/>
    <s v="F13"/>
    <s v="1kg"/>
    <s v="Strawberry Muesli"/>
    <n v="2989"/>
    <n v="2989"/>
    <s v="ST"/>
    <n v="4.9400000000000004"/>
    <n v="14765.66"/>
    <n v="6814.92"/>
    <s v="EUR"/>
    <n v="7950.74"/>
    <n v="0.54"/>
  </r>
  <r>
    <s v=".1~551"/>
    <n v="551"/>
    <x v="0"/>
    <x v="4"/>
    <s v="05"/>
    <s v="05/05"/>
    <d v="2021-03-26T00:00:00"/>
    <n v="17"/>
    <n v="85"/>
    <s v="3650"/>
    <s v="2"/>
    <s v="02"/>
    <s v="Baden-Wurttemberg"/>
    <x v="1"/>
    <s v="FREIBURG"/>
    <s v="Germany"/>
    <s v="79098"/>
    <s v="80113"/>
    <s v="12"/>
    <s v="II-F13"/>
    <s v="1kg Strawberry Muesli"/>
    <s v="Finished Product"/>
    <s v="F13"/>
    <s v="1kg"/>
    <s v="Strawberry Muesli"/>
    <n v="3097"/>
    <n v="3097"/>
    <s v="ST"/>
    <n v="4.9400000000000004"/>
    <n v="15299.18"/>
    <n v="7061.16"/>
    <s v="EUR"/>
    <n v="8238.02"/>
    <n v="0.54"/>
  </r>
  <r>
    <s v=".1~552"/>
    <n v="552"/>
    <x v="0"/>
    <x v="4"/>
    <s v="05"/>
    <s v="05/05"/>
    <d v="2021-03-26T00:00:00"/>
    <n v="17"/>
    <n v="85"/>
    <s v="3650"/>
    <s v="1"/>
    <s v="02"/>
    <s v="Baden-Wurttemberg"/>
    <x v="1"/>
    <s v="FREIBURG"/>
    <s v="Germany"/>
    <s v="79098"/>
    <s v="80113"/>
    <s v="12"/>
    <s v="II-F13"/>
    <s v="1kg Strawberry Muesli"/>
    <s v="Finished Product"/>
    <s v="F13"/>
    <s v="1kg"/>
    <s v="Strawberry Muesli"/>
    <n v="3391"/>
    <n v="3391"/>
    <s v="ST"/>
    <n v="4.9400000000000004"/>
    <n v="16751.54"/>
    <n v="7731.48"/>
    <s v="EUR"/>
    <n v="9020.06"/>
    <n v="0.54"/>
  </r>
  <r>
    <s v=".1~553"/>
    <n v="553"/>
    <x v="0"/>
    <x v="4"/>
    <s v="05"/>
    <s v="05/05"/>
    <d v="2021-03-26T00:00:00"/>
    <n v="17"/>
    <n v="85"/>
    <s v="3657"/>
    <s v="3"/>
    <s v="02"/>
    <s v="Berlin"/>
    <x v="0"/>
    <s v="BERLIN"/>
    <s v="Germany"/>
    <s v="13349"/>
    <s v="80129"/>
    <s v="12"/>
    <s v="II-F13"/>
    <s v="1kg Strawberry Muesli"/>
    <s v="Finished Product"/>
    <s v="F13"/>
    <s v="1kg"/>
    <s v="Strawberry Muesli"/>
    <n v="2915"/>
    <n v="2915"/>
    <s v="ST"/>
    <n v="4.9400000000000004"/>
    <n v="14400.1"/>
    <n v="6646.2"/>
    <s v="EUR"/>
    <n v="7753.9"/>
    <n v="0.54"/>
  </r>
  <r>
    <s v=".1~554"/>
    <n v="554"/>
    <x v="0"/>
    <x v="4"/>
    <s v="05"/>
    <s v="05/05"/>
    <d v="2021-03-26T00:00:00"/>
    <n v="17"/>
    <n v="85"/>
    <s v="3657"/>
    <s v="2"/>
    <s v="02"/>
    <s v="Berlin"/>
    <x v="0"/>
    <s v="BERLIN"/>
    <s v="Germany"/>
    <s v="13349"/>
    <s v="80129"/>
    <s v="12"/>
    <s v="II-F13"/>
    <s v="1kg Strawberry Muesli"/>
    <s v="Finished Product"/>
    <s v="F13"/>
    <s v="1kg"/>
    <s v="Strawberry Muesli"/>
    <n v="3160"/>
    <n v="3160"/>
    <s v="ST"/>
    <n v="4.9400000000000004"/>
    <n v="15610.4"/>
    <n v="7204.8"/>
    <s v="EUR"/>
    <n v="8405.6"/>
    <n v="0.54"/>
  </r>
  <r>
    <s v=".1~555"/>
    <n v="555"/>
    <x v="0"/>
    <x v="4"/>
    <s v="05"/>
    <s v="05/05"/>
    <d v="2021-03-26T00:00:00"/>
    <n v="17"/>
    <n v="85"/>
    <s v="3657"/>
    <s v="1"/>
    <s v="02"/>
    <s v="Berlin"/>
    <x v="0"/>
    <s v="BERLIN"/>
    <s v="Germany"/>
    <s v="13349"/>
    <s v="80129"/>
    <s v="12"/>
    <s v="II-F13"/>
    <s v="1kg Strawberry Muesli"/>
    <s v="Finished Product"/>
    <s v="F13"/>
    <s v="1kg"/>
    <s v="Strawberry Muesli"/>
    <n v="2698"/>
    <n v="2698"/>
    <s v="ST"/>
    <n v="4.9400000000000004"/>
    <n v="13328.12"/>
    <n v="6151.44"/>
    <s v="EUR"/>
    <n v="7176.68"/>
    <n v="0.54"/>
  </r>
  <r>
    <s v=".1~556"/>
    <n v="556"/>
    <x v="0"/>
    <x v="4"/>
    <s v="06"/>
    <s v="05/06"/>
    <d v="2021-03-27T00:00:00"/>
    <n v="18"/>
    <n v="86"/>
    <s v="3669"/>
    <s v="1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2873"/>
    <n v="2873"/>
    <s v="ST"/>
    <n v="4.84"/>
    <n v="13905.32"/>
    <n v="6550.44"/>
    <s v="EUR"/>
    <n v="7354.88"/>
    <n v="0.53"/>
  </r>
  <r>
    <s v=".1~557"/>
    <n v="557"/>
    <x v="0"/>
    <x v="4"/>
    <s v="06"/>
    <s v="05/06"/>
    <d v="2021-03-27T00:00:00"/>
    <n v="18"/>
    <n v="86"/>
    <s v="3669"/>
    <s v="2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2835"/>
    <n v="2835"/>
    <s v="ST"/>
    <n v="4.84"/>
    <n v="13721.4"/>
    <n v="6463.8"/>
    <s v="EUR"/>
    <n v="7257.6"/>
    <n v="0.53"/>
  </r>
  <r>
    <s v=".1~558"/>
    <n v="558"/>
    <x v="0"/>
    <x v="4"/>
    <s v="06"/>
    <s v="05/06"/>
    <d v="2021-03-27T00:00:00"/>
    <n v="18"/>
    <n v="86"/>
    <s v="3669"/>
    <s v="3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3340"/>
    <n v="3340"/>
    <s v="ST"/>
    <n v="4.84"/>
    <n v="16165.6"/>
    <n v="7615.2"/>
    <s v="EUR"/>
    <n v="8550.4"/>
    <n v="0.53"/>
  </r>
  <r>
    <s v=".1~559"/>
    <n v="559"/>
    <x v="0"/>
    <x v="4"/>
    <s v="06"/>
    <s v="05/06"/>
    <d v="2021-03-27T00:00:00"/>
    <n v="18"/>
    <n v="86"/>
    <s v="3678"/>
    <s v="1"/>
    <s v="02"/>
    <s v="Lower Saxony"/>
    <x v="0"/>
    <s v="WOLFSBURG"/>
    <s v="Germany"/>
    <s v="38444"/>
    <s v="80147"/>
    <s v="12"/>
    <s v="II-F12"/>
    <s v="1kg Blueberry Muesli"/>
    <s v="Finished Product"/>
    <s v="F12"/>
    <s v="1kg"/>
    <s v="Blueberry Muesli"/>
    <n v="1363"/>
    <n v="1363"/>
    <s v="ST"/>
    <n v="6.09"/>
    <n v="8300.67"/>
    <n v="3094.01"/>
    <s v="EUR"/>
    <n v="5206.66"/>
    <n v="0.63"/>
  </r>
  <r>
    <s v=".1~560"/>
    <n v="560"/>
    <x v="0"/>
    <x v="4"/>
    <s v="06"/>
    <s v="05/06"/>
    <d v="2021-03-27T00:00:00"/>
    <n v="18"/>
    <n v="86"/>
    <s v="3678"/>
    <s v="2"/>
    <s v="02"/>
    <s v="Lower Saxony"/>
    <x v="0"/>
    <s v="WOLFSBURG"/>
    <s v="Germany"/>
    <s v="38444"/>
    <s v="80147"/>
    <s v="12"/>
    <s v="II-F13"/>
    <s v="1kg Strawberry Muesli"/>
    <s v="Finished Product"/>
    <s v="F13"/>
    <s v="1kg"/>
    <s v="Strawberry Muesli"/>
    <n v="2635"/>
    <n v="2635"/>
    <s v="ST"/>
    <n v="4.9400000000000004"/>
    <n v="13016.9"/>
    <n v="6007.8"/>
    <s v="EUR"/>
    <n v="7009.1"/>
    <n v="0.54"/>
  </r>
  <r>
    <s v=".1~561"/>
    <n v="561"/>
    <x v="0"/>
    <x v="4"/>
    <s v="06"/>
    <s v="05/06"/>
    <d v="2021-03-27T00:00:00"/>
    <n v="18"/>
    <n v="86"/>
    <s v="3682"/>
    <s v="3"/>
    <s v="02"/>
    <s v="Lower Saxony"/>
    <x v="0"/>
    <s v="OLDENBURG"/>
    <s v="Germany"/>
    <s v="26121"/>
    <s v="80145"/>
    <s v="12"/>
    <s v="II-F13"/>
    <s v="1kg Strawberry Muesli"/>
    <s v="Finished Product"/>
    <s v="F13"/>
    <s v="1kg"/>
    <s v="Strawberry Muesli"/>
    <n v="2670"/>
    <n v="2670"/>
    <s v="ST"/>
    <n v="4.9400000000000004"/>
    <n v="13189.8"/>
    <n v="6087.6"/>
    <s v="EUR"/>
    <n v="7102.2"/>
    <n v="0.54"/>
  </r>
  <r>
    <s v=".1~562"/>
    <n v="562"/>
    <x v="0"/>
    <x v="4"/>
    <s v="06"/>
    <s v="05/06"/>
    <d v="2021-03-27T00:00:00"/>
    <n v="18"/>
    <n v="86"/>
    <s v="3682"/>
    <s v="2"/>
    <s v="02"/>
    <s v="Lower Saxony"/>
    <x v="0"/>
    <s v="OLDENBURG"/>
    <s v="Germany"/>
    <s v="26121"/>
    <s v="80145"/>
    <s v="12"/>
    <s v="II-F13"/>
    <s v="1kg Strawberry Muesli"/>
    <s v="Finished Product"/>
    <s v="F13"/>
    <s v="1kg"/>
    <s v="Strawberry Muesli"/>
    <n v="3218"/>
    <n v="3218"/>
    <s v="ST"/>
    <n v="4.9400000000000004"/>
    <n v="15896.92"/>
    <n v="7337.04"/>
    <s v="EUR"/>
    <n v="8559.8799999999992"/>
    <n v="0.54"/>
  </r>
  <r>
    <s v=".1~563"/>
    <n v="563"/>
    <x v="0"/>
    <x v="4"/>
    <s v="06"/>
    <s v="05/06"/>
    <d v="2021-03-27T00:00:00"/>
    <n v="18"/>
    <n v="86"/>
    <s v="3682"/>
    <s v="1"/>
    <s v="02"/>
    <s v="Lower Saxony"/>
    <x v="0"/>
    <s v="OLDENBURG"/>
    <s v="Germany"/>
    <s v="26121"/>
    <s v="80145"/>
    <s v="12"/>
    <s v="II-F13"/>
    <s v="1kg Strawberry Muesli"/>
    <s v="Finished Product"/>
    <s v="F13"/>
    <s v="1kg"/>
    <s v="Strawberry Muesli"/>
    <n v="3102"/>
    <n v="3102"/>
    <s v="ST"/>
    <n v="4.9400000000000004"/>
    <n v="15323.88"/>
    <n v="7072.56"/>
    <s v="EUR"/>
    <n v="8251.32"/>
    <n v="0.54"/>
  </r>
  <r>
    <s v=".1~564"/>
    <n v="564"/>
    <x v="0"/>
    <x v="4"/>
    <s v="06"/>
    <s v="05/06"/>
    <d v="2021-03-27T00:00:00"/>
    <n v="18"/>
    <n v="86"/>
    <s v="3678"/>
    <s v="3"/>
    <s v="02"/>
    <s v="Lower Saxony"/>
    <x v="0"/>
    <s v="WOLFSBURG"/>
    <s v="Germany"/>
    <s v="38444"/>
    <s v="80147"/>
    <s v="12"/>
    <s v="II-F13"/>
    <s v="1kg Strawberry Muesli"/>
    <s v="Finished Product"/>
    <s v="F13"/>
    <s v="1kg"/>
    <s v="Strawberry Muesli"/>
    <n v="3327"/>
    <n v="3327"/>
    <s v="ST"/>
    <n v="4.9400000000000004"/>
    <n v="16435.38"/>
    <n v="7585.56"/>
    <s v="EUR"/>
    <n v="8849.82"/>
    <n v="0.54"/>
  </r>
  <r>
    <s v=".1~565"/>
    <n v="565"/>
    <x v="0"/>
    <x v="4"/>
    <s v="07"/>
    <s v="05/07"/>
    <d v="2021-03-28T00:00:00"/>
    <n v="18"/>
    <n v="87"/>
    <s v="3691"/>
    <s v="3"/>
    <s v="02"/>
    <s v="Bavaria"/>
    <x v="1"/>
    <s v="MÜNCHEN"/>
    <s v="Germany"/>
    <s v="80939"/>
    <s v="80104"/>
    <s v="10"/>
    <s v="II-F12"/>
    <s v="1kg Blueberry Muesli"/>
    <s v="Finished Product"/>
    <s v="F12"/>
    <s v="1kg"/>
    <s v="Blueberry Muesli"/>
    <n v="2778"/>
    <n v="2778"/>
    <s v="ST"/>
    <n v="5.97"/>
    <n v="16584.66"/>
    <n v="6306.06"/>
    <s v="EUR"/>
    <n v="10278.6"/>
    <n v="0.62"/>
  </r>
  <r>
    <s v=".1~566"/>
    <n v="566"/>
    <x v="0"/>
    <x v="4"/>
    <s v="07"/>
    <s v="05/07"/>
    <d v="2021-03-28T00:00:00"/>
    <n v="18"/>
    <n v="87"/>
    <s v="3691"/>
    <s v="2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2693"/>
    <n v="2693"/>
    <s v="ST"/>
    <n v="4.84"/>
    <n v="13034.12"/>
    <n v="6140.04"/>
    <s v="EUR"/>
    <n v="6894.08"/>
    <n v="0.53"/>
  </r>
  <r>
    <s v=".1~567"/>
    <n v="567"/>
    <x v="0"/>
    <x v="4"/>
    <s v="07"/>
    <s v="05/07"/>
    <d v="2021-03-28T00:00:00"/>
    <n v="18"/>
    <n v="87"/>
    <s v="3691"/>
    <s v="1"/>
    <s v="02"/>
    <s v="Bavaria"/>
    <x v="1"/>
    <s v="MÜNCHEN"/>
    <s v="Germany"/>
    <s v="80939"/>
    <s v="80104"/>
    <s v="10"/>
    <s v="II-F13"/>
    <s v="1kg Strawberry Muesli"/>
    <s v="Finished Product"/>
    <s v="F13"/>
    <s v="1kg"/>
    <s v="Strawberry Muesli"/>
    <n v="3057"/>
    <n v="3057"/>
    <s v="ST"/>
    <n v="4.84"/>
    <n v="14795.88"/>
    <n v="6969.96"/>
    <s v="EUR"/>
    <n v="7825.92"/>
    <n v="0.53"/>
  </r>
  <r>
    <s v=".1~568"/>
    <n v="568"/>
    <x v="0"/>
    <x v="4"/>
    <s v="07"/>
    <s v="05/07"/>
    <d v="2021-03-28T00:00:00"/>
    <n v="18"/>
    <n v="87"/>
    <s v="3698"/>
    <s v="1"/>
    <s v="02"/>
    <s v="Berlin"/>
    <x v="0"/>
    <s v="WALTERSDORF"/>
    <s v="Germany"/>
    <s v="12529"/>
    <s v="80130"/>
    <s v="12"/>
    <s v="II-F12"/>
    <s v="1kg Blueberry Muesli"/>
    <s v="Finished Product"/>
    <s v="F12"/>
    <s v="1kg"/>
    <s v="Blueberry Muesli"/>
    <n v="2371"/>
    <n v="2371"/>
    <s v="ST"/>
    <n v="6.09"/>
    <n v="14439.39"/>
    <n v="5382.17"/>
    <s v="EUR"/>
    <n v="9057.2199999999993"/>
    <n v="0.63"/>
  </r>
  <r>
    <s v=".1~569"/>
    <n v="569"/>
    <x v="0"/>
    <x v="4"/>
    <s v="07"/>
    <s v="05/07"/>
    <d v="2021-03-28T00:00:00"/>
    <n v="18"/>
    <n v="87"/>
    <s v="3698"/>
    <s v="2"/>
    <s v="02"/>
    <s v="Berlin"/>
    <x v="0"/>
    <s v="WALTERSDORF"/>
    <s v="Germany"/>
    <s v="12529"/>
    <s v="80130"/>
    <s v="12"/>
    <s v="II-F12"/>
    <s v="1kg Blueberry Muesli"/>
    <s v="Finished Product"/>
    <s v="F12"/>
    <s v="1kg"/>
    <s v="Blueberry Muesli"/>
    <n v="2058"/>
    <n v="2058"/>
    <s v="ST"/>
    <n v="6.09"/>
    <n v="12533.22"/>
    <n v="4671.66"/>
    <s v="EUR"/>
    <n v="7861.56"/>
    <n v="0.63"/>
  </r>
  <r>
    <s v=".1~570"/>
    <n v="570"/>
    <x v="0"/>
    <x v="4"/>
    <s v="07"/>
    <s v="05/07"/>
    <d v="2021-03-28T00:00:00"/>
    <n v="18"/>
    <n v="87"/>
    <s v="3695"/>
    <s v="3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193"/>
    <n v="2193"/>
    <s v="ST"/>
    <n v="6.09"/>
    <n v="13355.37"/>
    <n v="4978.1099999999997"/>
    <s v="EUR"/>
    <n v="8377.26"/>
    <n v="0.63"/>
  </r>
  <r>
    <s v=".1~571"/>
    <n v="571"/>
    <x v="0"/>
    <x v="4"/>
    <s v="07"/>
    <s v="05/07"/>
    <d v="2021-03-28T00:00:00"/>
    <n v="18"/>
    <n v="87"/>
    <s v="3695"/>
    <s v="2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273"/>
    <n v="2273"/>
    <s v="ST"/>
    <n v="6.09"/>
    <n v="13842.57"/>
    <n v="5159.71"/>
    <s v="EUR"/>
    <n v="8682.86"/>
    <n v="0.63"/>
  </r>
  <r>
    <s v=".1~572"/>
    <n v="572"/>
    <x v="0"/>
    <x v="4"/>
    <s v="07"/>
    <s v="05/07"/>
    <d v="2021-03-28T00:00:00"/>
    <n v="18"/>
    <n v="87"/>
    <s v="3695"/>
    <s v="1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702"/>
    <n v="2702"/>
    <s v="ST"/>
    <n v="6.09"/>
    <n v="16455.18"/>
    <n v="6133.54"/>
    <s v="EUR"/>
    <n v="10321.64"/>
    <n v="0.63"/>
  </r>
  <r>
    <s v=".1~573"/>
    <n v="573"/>
    <x v="0"/>
    <x v="4"/>
    <s v="08"/>
    <s v="05/08"/>
    <d v="2021-03-29T00:00:00"/>
    <n v="18"/>
    <n v="88"/>
    <s v="3714"/>
    <s v="3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632"/>
    <n v="2632"/>
    <s v="ST"/>
    <n v="6.09"/>
    <n v="16028.88"/>
    <n v="5974.64"/>
    <s v="EUR"/>
    <n v="10054.24"/>
    <n v="0.63"/>
  </r>
  <r>
    <s v=".1~574"/>
    <n v="574"/>
    <x v="0"/>
    <x v="4"/>
    <s v="08"/>
    <s v="05/08"/>
    <d v="2021-03-29T00:00:00"/>
    <n v="18"/>
    <n v="88"/>
    <s v="3714"/>
    <s v="2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076"/>
    <n v="2076"/>
    <s v="ST"/>
    <n v="6.09"/>
    <n v="12642.84"/>
    <n v="4712.5200000000004"/>
    <s v="EUR"/>
    <n v="7930.32"/>
    <n v="0.63"/>
  </r>
  <r>
    <s v=".1~575"/>
    <n v="575"/>
    <x v="0"/>
    <x v="4"/>
    <s v="08"/>
    <s v="05/08"/>
    <d v="2021-03-29T00:00:00"/>
    <n v="18"/>
    <n v="88"/>
    <s v="3714"/>
    <s v="1"/>
    <s v="02"/>
    <s v="Hessen"/>
    <x v="1"/>
    <s v="MAGDEBURG"/>
    <s v="Germany"/>
    <s v="39128"/>
    <s v="80138"/>
    <s v="12"/>
    <s v="II-F12"/>
    <s v="1kg Blueberry Muesli"/>
    <s v="Finished Product"/>
    <s v="F12"/>
    <s v="1kg"/>
    <s v="Blueberry Muesli"/>
    <n v="2667"/>
    <n v="2667"/>
    <s v="ST"/>
    <n v="6.09"/>
    <n v="16242.03"/>
    <n v="6054.09"/>
    <s v="EUR"/>
    <n v="10187.94"/>
    <n v="0.63"/>
  </r>
  <r>
    <s v=".1~576"/>
    <n v="576"/>
    <x v="0"/>
    <x v="4"/>
    <s v="08"/>
    <s v="05/08"/>
    <d v="2021-03-29T00:00:00"/>
    <n v="18"/>
    <n v="88"/>
    <s v="3718"/>
    <s v="1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548"/>
    <n v="2548"/>
    <s v="ST"/>
    <n v="6.09"/>
    <n v="15517.32"/>
    <n v="5783.96"/>
    <s v="EUR"/>
    <n v="9733.36"/>
    <n v="0.63"/>
  </r>
  <r>
    <s v=".1~577"/>
    <n v="577"/>
    <x v="0"/>
    <x v="4"/>
    <s v="08"/>
    <s v="05/08"/>
    <d v="2021-03-29T00:00:00"/>
    <n v="18"/>
    <n v="88"/>
    <s v="3718"/>
    <s v="2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221"/>
    <n v="2221"/>
    <s v="ST"/>
    <n v="6.09"/>
    <n v="13525.89"/>
    <n v="5041.67"/>
    <s v="EUR"/>
    <n v="8484.2199999999993"/>
    <n v="0.63"/>
  </r>
  <r>
    <s v=".1~578"/>
    <n v="578"/>
    <x v="0"/>
    <x v="4"/>
    <s v="08"/>
    <s v="05/08"/>
    <d v="2021-03-29T00:00:00"/>
    <n v="18"/>
    <n v="88"/>
    <s v="3720"/>
    <s v="4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743"/>
    <n v="2743"/>
    <s v="ST"/>
    <n v="6.09"/>
    <n v="16704.87"/>
    <n v="6226.61"/>
    <s v="EUR"/>
    <n v="10478.26"/>
    <n v="0.63"/>
  </r>
  <r>
    <s v=".1~579"/>
    <n v="579"/>
    <x v="0"/>
    <x v="4"/>
    <s v="08"/>
    <s v="05/08"/>
    <d v="2021-03-29T00:00:00"/>
    <n v="18"/>
    <n v="88"/>
    <s v="3720"/>
    <s v="3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374"/>
    <n v="2374"/>
    <s v="ST"/>
    <n v="6.09"/>
    <n v="14457.66"/>
    <n v="5388.98"/>
    <s v="EUR"/>
    <n v="9068.68"/>
    <n v="0.63"/>
  </r>
  <r>
    <s v=".1~580"/>
    <n v="580"/>
    <x v="0"/>
    <x v="4"/>
    <s v="08"/>
    <s v="05/08"/>
    <d v="2021-03-29T00:00:00"/>
    <n v="18"/>
    <n v="88"/>
    <s v="3720"/>
    <s v="2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129"/>
    <n v="2129"/>
    <s v="ST"/>
    <n v="6.09"/>
    <n v="12965.61"/>
    <n v="4832.83"/>
    <s v="EUR"/>
    <n v="8132.78"/>
    <n v="0.63"/>
  </r>
  <r>
    <s v=".1~581"/>
    <n v="581"/>
    <x v="0"/>
    <x v="4"/>
    <s v="08"/>
    <s v="05/08"/>
    <d v="2021-03-29T00:00:00"/>
    <n v="18"/>
    <n v="88"/>
    <s v="3720"/>
    <s v="1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733"/>
    <n v="2733"/>
    <s v="ST"/>
    <n v="6.09"/>
    <n v="16643.97"/>
    <n v="6203.91"/>
    <s v="EUR"/>
    <n v="10440.06"/>
    <n v="0.63"/>
  </r>
  <r>
    <s v=".1~582"/>
    <n v="582"/>
    <x v="0"/>
    <x v="4"/>
    <s v="08"/>
    <s v="05/08"/>
    <d v="2021-03-29T00:00:00"/>
    <n v="18"/>
    <n v="88"/>
    <s v="3722"/>
    <s v="1"/>
    <s v="02"/>
    <s v="Brandenburg"/>
    <x v="0"/>
    <s v="BRANDENBURG"/>
    <s v="Germany"/>
    <s v="14772"/>
    <s v="80131"/>
    <s v="12"/>
    <s v="II-F12"/>
    <s v="1kg Blueberry Muesli"/>
    <s v="Finished Product"/>
    <s v="F12"/>
    <s v="1kg"/>
    <s v="Blueberry Muesli"/>
    <n v="1877"/>
    <n v="1877"/>
    <s v="ST"/>
    <n v="6.09"/>
    <n v="11430.93"/>
    <n v="4260.79"/>
    <s v="EUR"/>
    <n v="7170.14"/>
    <n v="0.63"/>
  </r>
  <r>
    <s v=".1~583"/>
    <n v="583"/>
    <x v="0"/>
    <x v="4"/>
    <s v="09"/>
    <s v="05/09"/>
    <d v="2021-03-30T00:00:00"/>
    <n v="18"/>
    <n v="89"/>
    <s v="3738"/>
    <s v="4"/>
    <s v="02"/>
    <s v="Lower Saxony"/>
    <x v="0"/>
    <s v="WOLFSBURG"/>
    <s v="Germany"/>
    <s v="38444"/>
    <s v="80147"/>
    <s v="12"/>
    <s v="II-F12"/>
    <s v="1kg Blueberry Muesli"/>
    <s v="Finished Product"/>
    <s v="F12"/>
    <s v="1kg"/>
    <s v="Blueberry Muesli"/>
    <n v="2546"/>
    <n v="2546"/>
    <s v="ST"/>
    <n v="6.09"/>
    <n v="15505.14"/>
    <n v="5779.42"/>
    <s v="EUR"/>
    <n v="9725.7199999999993"/>
    <n v="0.63"/>
  </r>
  <r>
    <s v=".1~584"/>
    <n v="584"/>
    <x v="0"/>
    <x v="4"/>
    <s v="09"/>
    <s v="05/09"/>
    <d v="2021-03-30T00:00:00"/>
    <n v="18"/>
    <n v="89"/>
    <s v="3748"/>
    <s v="3"/>
    <s v="02"/>
    <s v="Nrth Rhine Westfalia"/>
    <x v="2"/>
    <s v="BRÜHL"/>
    <s v="Germany"/>
    <s v="50321"/>
    <s v="80149"/>
    <s v="12"/>
    <s v="II-F12"/>
    <s v="1kg Blueberry Muesli"/>
    <s v="Finished Product"/>
    <s v="F12"/>
    <s v="1kg"/>
    <s v="Blueberry Muesli"/>
    <n v="2241"/>
    <n v="2241"/>
    <s v="ST"/>
    <n v="6.09"/>
    <n v="13647.69"/>
    <n v="5087.07"/>
    <s v="EUR"/>
    <n v="8560.6200000000008"/>
    <n v="0.63"/>
  </r>
  <r>
    <s v=".1~585"/>
    <n v="585"/>
    <x v="0"/>
    <x v="4"/>
    <s v="09"/>
    <s v="05/09"/>
    <d v="2021-03-30T00:00:00"/>
    <n v="18"/>
    <n v="89"/>
    <s v="3748"/>
    <s v="1"/>
    <s v="02"/>
    <s v="Nrth Rhine Westfalia"/>
    <x v="2"/>
    <s v="BRÜHL"/>
    <s v="Germany"/>
    <s v="50321"/>
    <s v="80149"/>
    <s v="12"/>
    <s v="II-F12"/>
    <s v="1kg Blueberry Muesli"/>
    <s v="Finished Product"/>
    <s v="F12"/>
    <s v="1kg"/>
    <s v="Blueberry Muesli"/>
    <n v="2489"/>
    <n v="2489"/>
    <s v="ST"/>
    <n v="6.09"/>
    <n v="15158.01"/>
    <n v="5650.03"/>
    <s v="EUR"/>
    <n v="9507.98"/>
    <n v="0.63"/>
  </r>
  <r>
    <s v=".1~586"/>
    <n v="586"/>
    <x v="0"/>
    <x v="4"/>
    <s v="09"/>
    <s v="05/09"/>
    <d v="2021-03-30T00:00:00"/>
    <n v="18"/>
    <n v="89"/>
    <s v="3748"/>
    <s v="2"/>
    <s v="02"/>
    <s v="Nrth Rhine Westfalia"/>
    <x v="2"/>
    <s v="BRÜHL"/>
    <s v="Germany"/>
    <s v="50321"/>
    <s v="80149"/>
    <s v="12"/>
    <s v="II-F14"/>
    <s v="1kg Raisin Muesli"/>
    <s v="Finished Product"/>
    <s v="F14"/>
    <s v="1kg"/>
    <s v="Raisin Muesli"/>
    <n v="1337"/>
    <n v="1337"/>
    <s v="ST"/>
    <n v="5.07"/>
    <n v="6778.59"/>
    <n v="1858.43"/>
    <s v="EUR"/>
    <n v="4920.16"/>
    <n v="0.73"/>
  </r>
  <r>
    <s v=".1~587"/>
    <n v="587"/>
    <x v="0"/>
    <x v="4"/>
    <s v="09"/>
    <s v="05/09"/>
    <d v="2021-03-30T00:00:00"/>
    <n v="18"/>
    <n v="89"/>
    <s v="3738"/>
    <s v="3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018"/>
    <n v="3018"/>
    <s v="ST"/>
    <n v="5.07"/>
    <n v="15301.26"/>
    <n v="4195.0200000000004"/>
    <s v="EUR"/>
    <n v="11106.24"/>
    <n v="0.73"/>
  </r>
  <r>
    <s v=".1~588"/>
    <n v="588"/>
    <x v="0"/>
    <x v="4"/>
    <s v="09"/>
    <s v="05/09"/>
    <d v="2021-03-30T00:00:00"/>
    <n v="18"/>
    <n v="89"/>
    <s v="3738"/>
    <s v="2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090"/>
    <n v="3090"/>
    <s v="ST"/>
    <n v="5.07"/>
    <n v="15666.3"/>
    <n v="4295.1000000000004"/>
    <s v="EUR"/>
    <n v="11371.2"/>
    <n v="0.73"/>
  </r>
  <r>
    <s v=".1~589"/>
    <n v="589"/>
    <x v="0"/>
    <x v="4"/>
    <s v="09"/>
    <s v="05/09"/>
    <d v="2021-03-30T00:00:00"/>
    <n v="18"/>
    <n v="89"/>
    <s v="3738"/>
    <s v="1"/>
    <s v="02"/>
    <s v="Lower Saxony"/>
    <x v="0"/>
    <s v="WOLFSBURG"/>
    <s v="Germany"/>
    <s v="38444"/>
    <s v="80147"/>
    <s v="12"/>
    <s v="II-F14"/>
    <s v="1kg Raisin Muesli"/>
    <s v="Finished Product"/>
    <s v="F14"/>
    <s v="1kg"/>
    <s v="Raisin Muesli"/>
    <n v="3055"/>
    <n v="3055"/>
    <s v="ST"/>
    <n v="5.07"/>
    <n v="15488.85"/>
    <n v="4246.45"/>
    <s v="EUR"/>
    <n v="11242.4"/>
    <n v="0.73"/>
  </r>
  <r>
    <s v=".1~590"/>
    <n v="590"/>
    <x v="0"/>
    <x v="4"/>
    <s v="10"/>
    <s v="05/10"/>
    <d v="2021-03-31T00:00:00"/>
    <n v="18"/>
    <n v="90"/>
    <s v="3778"/>
    <s v="1"/>
    <s v="02"/>
    <s v="Nrth Rhine Westfalia"/>
    <x v="2"/>
    <s v="WITTEN"/>
    <s v="Germany"/>
    <s v="58452"/>
    <s v="80111"/>
    <s v="10"/>
    <s v="II-F14"/>
    <s v="1kg Raisin Muesli"/>
    <s v="Finished Product"/>
    <s v="F14"/>
    <s v="1kg"/>
    <s v="Raisin Muesli"/>
    <n v="2564"/>
    <n v="2564"/>
    <s v="ST"/>
    <n v="4.97"/>
    <n v="12743.08"/>
    <n v="3563.96"/>
    <s v="EUR"/>
    <n v="9179.1200000000008"/>
    <n v="0.72"/>
  </r>
  <r>
    <s v=".1~591"/>
    <n v="591"/>
    <x v="0"/>
    <x v="4"/>
    <s v="10"/>
    <s v="05/10"/>
    <d v="2021-03-31T00:00:00"/>
    <n v="18"/>
    <n v="90"/>
    <s v="3778"/>
    <s v="2"/>
    <s v="02"/>
    <s v="Nrth Rhine Westfalia"/>
    <x v="2"/>
    <s v="WITTEN"/>
    <s v="Germany"/>
    <s v="58452"/>
    <s v="80111"/>
    <s v="10"/>
    <s v="II-F14"/>
    <s v="1kg Raisin Muesli"/>
    <s v="Finished Product"/>
    <s v="F14"/>
    <s v="1kg"/>
    <s v="Raisin Muesli"/>
    <n v="2669"/>
    <n v="2669"/>
    <s v="ST"/>
    <n v="4.97"/>
    <n v="13264.93"/>
    <n v="3709.91"/>
    <s v="EUR"/>
    <n v="9555.02"/>
    <n v="0.72"/>
  </r>
  <r>
    <s v=".1~592"/>
    <n v="592"/>
    <x v="0"/>
    <x v="4"/>
    <s v="10"/>
    <s v="05/10"/>
    <d v="2021-03-31T00:00:00"/>
    <n v="18"/>
    <n v="90"/>
    <s v="3778"/>
    <s v="3"/>
    <s v="02"/>
    <s v="Nrth Rhine Westfalia"/>
    <x v="2"/>
    <s v="WITTEN"/>
    <s v="Germany"/>
    <s v="58452"/>
    <s v="80111"/>
    <s v="10"/>
    <s v="II-F14"/>
    <s v="1kg Raisin Muesli"/>
    <s v="Finished Product"/>
    <s v="F14"/>
    <s v="1kg"/>
    <s v="Raisin Muesli"/>
    <n v="2945"/>
    <n v="2945"/>
    <s v="ST"/>
    <n v="4.97"/>
    <n v="14636.65"/>
    <n v="4093.55"/>
    <s v="EUR"/>
    <n v="10543.1"/>
    <n v="0.72"/>
  </r>
  <r>
    <s v=".1~593"/>
    <n v="593"/>
    <x v="0"/>
    <x v="4"/>
    <s v="10"/>
    <s v="05/10"/>
    <d v="2021-03-31T00:00:00"/>
    <n v="18"/>
    <n v="90"/>
    <s v="3779"/>
    <s v="3"/>
    <s v="02"/>
    <s v="Lower Saxony"/>
    <x v="0"/>
    <s v="GÖTTINGEN"/>
    <s v="Germany"/>
    <s v="37075"/>
    <s v="80108"/>
    <s v="10"/>
    <s v="II-F14"/>
    <s v="1kg Raisin Muesli"/>
    <s v="Finished Product"/>
    <s v="F14"/>
    <s v="1kg"/>
    <s v="Raisin Muesli"/>
    <n v="2566"/>
    <n v="2566"/>
    <s v="ST"/>
    <n v="4.97"/>
    <n v="12753.02"/>
    <n v="3566.74"/>
    <s v="EUR"/>
    <n v="9186.2800000000007"/>
    <n v="0.72"/>
  </r>
  <r>
    <s v=".1~594"/>
    <n v="594"/>
    <x v="0"/>
    <x v="4"/>
    <s v="10"/>
    <s v="05/10"/>
    <d v="2021-03-31T00:00:00"/>
    <n v="18"/>
    <n v="90"/>
    <s v="3779"/>
    <s v="2"/>
    <s v="02"/>
    <s v="Lower Saxony"/>
    <x v="0"/>
    <s v="GÖTTINGEN"/>
    <s v="Germany"/>
    <s v="37075"/>
    <s v="80108"/>
    <s v="10"/>
    <s v="II-F14"/>
    <s v="1kg Raisin Muesli"/>
    <s v="Finished Product"/>
    <s v="F14"/>
    <s v="1kg"/>
    <s v="Raisin Muesli"/>
    <n v="2930"/>
    <n v="2930"/>
    <s v="ST"/>
    <n v="4.97"/>
    <n v="14562.1"/>
    <n v="4072.7"/>
    <s v="EUR"/>
    <n v="10489.4"/>
    <n v="0.72"/>
  </r>
  <r>
    <s v=".1~595"/>
    <n v="595"/>
    <x v="0"/>
    <x v="4"/>
    <s v="10"/>
    <s v="05/10"/>
    <d v="2021-03-31T00:00:00"/>
    <n v="18"/>
    <n v="90"/>
    <s v="3779"/>
    <s v="1"/>
    <s v="02"/>
    <s v="Lower Saxony"/>
    <x v="0"/>
    <s v="GÖTTINGEN"/>
    <s v="Germany"/>
    <s v="37075"/>
    <s v="80108"/>
    <s v="10"/>
    <s v="II-F14"/>
    <s v="1kg Raisin Muesli"/>
    <s v="Finished Product"/>
    <s v="F14"/>
    <s v="1kg"/>
    <s v="Raisin Muesli"/>
    <n v="3184"/>
    <n v="3184"/>
    <s v="ST"/>
    <n v="4.97"/>
    <n v="15824.48"/>
    <n v="4425.76"/>
    <s v="EUR"/>
    <n v="11398.72"/>
    <n v="0.72"/>
  </r>
  <r>
    <s v=".1~596"/>
    <n v="596"/>
    <x v="0"/>
    <x v="4"/>
    <s v="10"/>
    <s v="05/10"/>
    <d v="2021-03-31T00:00:00"/>
    <n v="18"/>
    <n v="90"/>
    <s v="3771"/>
    <s v="3"/>
    <s v="02"/>
    <s v="Nrth Rhine Westfalia"/>
    <x v="2"/>
    <s v="HERFORD"/>
    <s v="Germany"/>
    <s v="32052"/>
    <s v="80155"/>
    <s v="12"/>
    <s v="II-F12"/>
    <s v="1kg Blueberry Muesli"/>
    <s v="Finished Product"/>
    <s v="F12"/>
    <s v="1kg"/>
    <s v="Blueberry Muesli"/>
    <n v="2275"/>
    <n v="2275"/>
    <s v="ST"/>
    <n v="6.09"/>
    <n v="13854.75"/>
    <n v="5164.25"/>
    <s v="EUR"/>
    <n v="8690.5"/>
    <n v="0.63"/>
  </r>
  <r>
    <s v=".1~597"/>
    <n v="597"/>
    <x v="0"/>
    <x v="4"/>
    <s v="10"/>
    <s v="05/10"/>
    <d v="2021-03-31T00:00:00"/>
    <n v="18"/>
    <n v="90"/>
    <s v="3771"/>
    <s v="2"/>
    <s v="02"/>
    <s v="Nrth Rhine Westfalia"/>
    <x v="2"/>
    <s v="HERFORD"/>
    <s v="Germany"/>
    <s v="32052"/>
    <s v="80155"/>
    <s v="12"/>
    <s v="II-F14"/>
    <s v="1kg Raisin Muesli"/>
    <s v="Finished Product"/>
    <s v="F14"/>
    <s v="1kg"/>
    <s v="Raisin Muesli"/>
    <n v="3030"/>
    <n v="3030"/>
    <s v="ST"/>
    <n v="5.07"/>
    <n v="15362.1"/>
    <n v="4211.7"/>
    <s v="EUR"/>
    <n v="11150.4"/>
    <n v="0.73"/>
  </r>
  <r>
    <s v=".1~598"/>
    <n v="598"/>
    <x v="0"/>
    <x v="4"/>
    <s v="10"/>
    <s v="05/10"/>
    <d v="2021-03-31T00:00:00"/>
    <n v="18"/>
    <n v="90"/>
    <s v="3771"/>
    <s v="1"/>
    <s v="02"/>
    <s v="Nrth Rhine Westfalia"/>
    <x v="2"/>
    <s v="HERFORD"/>
    <s v="Germany"/>
    <s v="32052"/>
    <s v="80155"/>
    <s v="12"/>
    <s v="II-F14"/>
    <s v="1kg Raisin Muesli"/>
    <s v="Finished Product"/>
    <s v="F14"/>
    <s v="1kg"/>
    <s v="Raisin Muesli"/>
    <n v="3304"/>
    <n v="3304"/>
    <s v="ST"/>
    <n v="5.07"/>
    <n v="16751.28"/>
    <n v="4592.5600000000004"/>
    <s v="EUR"/>
    <n v="12158.72"/>
    <n v="0.73"/>
  </r>
  <r>
    <s v=".1~599"/>
    <n v="599"/>
    <x v="0"/>
    <x v="4"/>
    <s v="11"/>
    <s v="05/11"/>
    <d v="2021-04-01T00:00:00"/>
    <n v="19"/>
    <n v="91"/>
    <s v="3803"/>
    <s v="3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730"/>
    <n v="730"/>
    <s v="ST"/>
    <n v="4.97"/>
    <n v="3628.1"/>
    <n v="1014.7"/>
    <s v="EUR"/>
    <n v="2613.4"/>
    <n v="0.72"/>
  </r>
  <r>
    <s v=".1~600"/>
    <n v="600"/>
    <x v="0"/>
    <x v="4"/>
    <s v="11"/>
    <s v="05/11"/>
    <d v="2021-04-01T00:00:00"/>
    <n v="19"/>
    <n v="91"/>
    <s v="3803"/>
    <s v="2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3293"/>
    <n v="3293"/>
    <s v="ST"/>
    <n v="4.97"/>
    <n v="16366.21"/>
    <n v="4577.2700000000004"/>
    <s v="EUR"/>
    <n v="11788.94"/>
    <n v="0.72"/>
  </r>
  <r>
    <s v=".1~601"/>
    <n v="601"/>
    <x v="0"/>
    <x v="4"/>
    <s v="11"/>
    <s v="05/11"/>
    <d v="2021-04-01T00:00:00"/>
    <n v="19"/>
    <n v="91"/>
    <s v="3803"/>
    <s v="1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3210"/>
    <n v="3210"/>
    <s v="ST"/>
    <n v="4.97"/>
    <n v="15953.7"/>
    <n v="4461.8999999999996"/>
    <s v="EUR"/>
    <n v="11491.8"/>
    <n v="0.72"/>
  </r>
  <r>
    <s v=".1~602"/>
    <n v="602"/>
    <x v="0"/>
    <x v="4"/>
    <s v="11"/>
    <s v="05/11"/>
    <d v="2021-04-01T00:00:00"/>
    <n v="19"/>
    <n v="91"/>
    <s v="3791"/>
    <s v="3"/>
    <s v="02"/>
    <s v="Nrth Rhine Westfalia"/>
    <x v="2"/>
    <s v="VELBERT"/>
    <s v="Germany"/>
    <s v="42551"/>
    <s v="80161"/>
    <s v="12"/>
    <s v="II-F14"/>
    <s v="1kg Raisin Muesli"/>
    <s v="Finished Product"/>
    <s v="F14"/>
    <s v="1kg"/>
    <s v="Raisin Muesli"/>
    <n v="3188"/>
    <n v="3188"/>
    <s v="ST"/>
    <n v="5.07"/>
    <n v="16163.16"/>
    <n v="4431.32"/>
    <s v="EUR"/>
    <n v="11731.84"/>
    <n v="0.73"/>
  </r>
  <r>
    <s v=".1~603"/>
    <n v="603"/>
    <x v="0"/>
    <x v="4"/>
    <s v="11"/>
    <s v="05/11"/>
    <d v="2021-04-01T00:00:00"/>
    <n v="19"/>
    <n v="91"/>
    <s v="3791"/>
    <s v="2"/>
    <s v="02"/>
    <s v="Nrth Rhine Westfalia"/>
    <x v="2"/>
    <s v="VELBERT"/>
    <s v="Germany"/>
    <s v="42551"/>
    <s v="80161"/>
    <s v="12"/>
    <s v="II-F14"/>
    <s v="1kg Raisin Muesli"/>
    <s v="Finished Product"/>
    <s v="F14"/>
    <s v="1kg"/>
    <s v="Raisin Muesli"/>
    <n v="2656"/>
    <n v="2656"/>
    <s v="ST"/>
    <n v="5.07"/>
    <n v="13465.92"/>
    <n v="3691.84"/>
    <s v="EUR"/>
    <n v="9774.08"/>
    <n v="0.73"/>
  </r>
  <r>
    <s v=".1~604"/>
    <n v="604"/>
    <x v="0"/>
    <x v="4"/>
    <s v="11"/>
    <s v="05/11"/>
    <d v="2021-04-01T00:00:00"/>
    <n v="19"/>
    <n v="91"/>
    <s v="3791"/>
    <s v="1"/>
    <s v="02"/>
    <s v="Nrth Rhine Westfalia"/>
    <x v="2"/>
    <s v="VELBERT"/>
    <s v="Germany"/>
    <s v="42551"/>
    <s v="80161"/>
    <s v="12"/>
    <s v="II-F14"/>
    <s v="1kg Raisin Muesli"/>
    <s v="Finished Product"/>
    <s v="F14"/>
    <s v="1kg"/>
    <s v="Raisin Muesli"/>
    <n v="3017"/>
    <n v="3017"/>
    <s v="ST"/>
    <n v="5.07"/>
    <n v="15296.19"/>
    <n v="4193.63"/>
    <s v="EUR"/>
    <n v="11102.56"/>
    <n v="0.73"/>
  </r>
  <r>
    <s v=".1~605"/>
    <n v="605"/>
    <x v="0"/>
    <x v="4"/>
    <s v="11"/>
    <s v="05/11"/>
    <d v="2021-04-01T00:00:00"/>
    <n v="19"/>
    <n v="91"/>
    <s v="3787"/>
    <s v="1"/>
    <s v="02"/>
    <s v="Mecklenburg-Vorpomm."/>
    <x v="0"/>
    <s v="ROSTOCK"/>
    <s v="Germany"/>
    <s v="18184"/>
    <s v="80141"/>
    <s v="12"/>
    <s v="II-F14"/>
    <s v="1kg Raisin Muesli"/>
    <s v="Finished Product"/>
    <s v="F14"/>
    <s v="1kg"/>
    <s v="Raisin Muesli"/>
    <n v="3307"/>
    <n v="3307"/>
    <s v="ST"/>
    <n v="5.07"/>
    <n v="16766.490000000002"/>
    <n v="4596.7299999999996"/>
    <s v="EUR"/>
    <n v="12169.76"/>
    <n v="0.73"/>
  </r>
  <r>
    <s v=".1~606"/>
    <n v="606"/>
    <x v="0"/>
    <x v="4"/>
    <s v="11"/>
    <s v="05/11"/>
    <d v="2021-04-01T00:00:00"/>
    <n v="19"/>
    <n v="91"/>
    <s v="3787"/>
    <s v="2"/>
    <s v="02"/>
    <s v="Mecklenburg-Vorpomm."/>
    <x v="0"/>
    <s v="ROSTOCK"/>
    <s v="Germany"/>
    <s v="18184"/>
    <s v="80141"/>
    <s v="12"/>
    <s v="II-F14"/>
    <s v="1kg Raisin Muesli"/>
    <s v="Finished Product"/>
    <s v="F14"/>
    <s v="1kg"/>
    <s v="Raisin Muesli"/>
    <n v="2780"/>
    <n v="2780"/>
    <s v="ST"/>
    <n v="5.07"/>
    <n v="14094.6"/>
    <n v="3864.2"/>
    <s v="EUR"/>
    <n v="10230.4"/>
    <n v="0.73"/>
  </r>
  <r>
    <s v=".1~607"/>
    <n v="607"/>
    <x v="0"/>
    <x v="4"/>
    <s v="11"/>
    <s v="05/11"/>
    <d v="2021-04-01T00:00:00"/>
    <n v="19"/>
    <n v="91"/>
    <s v="3787"/>
    <s v="3"/>
    <s v="02"/>
    <s v="Mecklenburg-Vorpomm."/>
    <x v="0"/>
    <s v="ROSTOCK"/>
    <s v="Germany"/>
    <s v="18184"/>
    <s v="80141"/>
    <s v="12"/>
    <s v="II-F14"/>
    <s v="1kg Raisin Muesli"/>
    <s v="Finished Product"/>
    <s v="F14"/>
    <s v="1kg"/>
    <s v="Raisin Muesli"/>
    <n v="2627"/>
    <n v="2627"/>
    <s v="ST"/>
    <n v="5.07"/>
    <n v="13318.89"/>
    <n v="3651.53"/>
    <s v="EUR"/>
    <n v="9667.36"/>
    <n v="0.73"/>
  </r>
  <r>
    <s v=".1~608"/>
    <n v="608"/>
    <x v="0"/>
    <x v="4"/>
    <s v="12"/>
    <s v="05/12"/>
    <d v="2021-04-02T00:00:00"/>
    <n v="19"/>
    <n v="92"/>
    <s v="3826"/>
    <s v="3"/>
    <s v="02"/>
    <s v="Nrth Rhine Westfalia"/>
    <x v="2"/>
    <s v="DÜSSELDORF"/>
    <s v="Germany"/>
    <s v="40235"/>
    <s v="80110"/>
    <s v="10"/>
    <s v="II-F14"/>
    <s v="1kg Raisin Muesli"/>
    <s v="Finished Product"/>
    <s v="F14"/>
    <s v="1kg"/>
    <s v="Raisin Muesli"/>
    <n v="300"/>
    <n v="300"/>
    <s v="ST"/>
    <n v="4.97"/>
    <n v="1491"/>
    <n v="417"/>
    <s v="EUR"/>
    <n v="1074"/>
    <n v="0.72"/>
  </r>
  <r>
    <s v=".1~609"/>
    <n v="609"/>
    <x v="0"/>
    <x v="4"/>
    <s v="12"/>
    <s v="05/12"/>
    <d v="2021-04-02T00:00:00"/>
    <n v="19"/>
    <n v="92"/>
    <s v="3826"/>
    <s v="2"/>
    <s v="02"/>
    <s v="Nrth Rhine Westfalia"/>
    <x v="2"/>
    <s v="DÜSSELDORF"/>
    <s v="Germany"/>
    <s v="40235"/>
    <s v="80110"/>
    <s v="10"/>
    <s v="II-F14"/>
    <s v="1kg Raisin Muesli"/>
    <s v="Finished Product"/>
    <s v="F14"/>
    <s v="1kg"/>
    <s v="Raisin Muesli"/>
    <n v="2887"/>
    <n v="2887"/>
    <s v="ST"/>
    <n v="4.97"/>
    <n v="14348.39"/>
    <n v="4012.93"/>
    <s v="EUR"/>
    <n v="10335.459999999999"/>
    <n v="0.72"/>
  </r>
  <r>
    <s v=".1~610"/>
    <n v="610"/>
    <x v="0"/>
    <x v="4"/>
    <s v="12"/>
    <s v="05/12"/>
    <d v="2021-04-02T00:00:00"/>
    <n v="19"/>
    <n v="92"/>
    <s v="3826"/>
    <s v="1"/>
    <s v="02"/>
    <s v="Nrth Rhine Westfalia"/>
    <x v="2"/>
    <s v="DÜSSELDORF"/>
    <s v="Germany"/>
    <s v="40235"/>
    <s v="80110"/>
    <s v="10"/>
    <s v="II-F14"/>
    <s v="1kg Raisin Muesli"/>
    <s v="Finished Product"/>
    <s v="F14"/>
    <s v="1kg"/>
    <s v="Raisin Muesli"/>
    <n v="3347"/>
    <n v="3347"/>
    <s v="ST"/>
    <n v="4.97"/>
    <n v="16634.59"/>
    <n v="4652.33"/>
    <s v="EUR"/>
    <n v="11982.26"/>
    <n v="0.72"/>
  </r>
  <r>
    <s v=".1~611"/>
    <n v="611"/>
    <x v="0"/>
    <x v="4"/>
    <s v="12"/>
    <s v="05/12"/>
    <d v="2021-04-02T00:00:00"/>
    <n v="19"/>
    <n v="92"/>
    <s v="3819"/>
    <s v="3"/>
    <s v="02"/>
    <s v="Rhineland Palatinate"/>
    <x v="2"/>
    <s v="TRIER"/>
    <s v="Germany"/>
    <s v="54290"/>
    <s v="80164"/>
    <s v="12"/>
    <s v="II-F14"/>
    <s v="1kg Raisin Muesli"/>
    <s v="Finished Product"/>
    <s v="F14"/>
    <s v="1kg"/>
    <s v="Raisin Muesli"/>
    <n v="2555"/>
    <n v="2555"/>
    <s v="ST"/>
    <n v="5.07"/>
    <n v="12953.85"/>
    <n v="3551.45"/>
    <s v="EUR"/>
    <n v="9402.4"/>
    <n v="0.73"/>
  </r>
  <r>
    <s v=".1~612"/>
    <n v="612"/>
    <x v="0"/>
    <x v="4"/>
    <s v="12"/>
    <s v="05/12"/>
    <d v="2021-04-02T00:00:00"/>
    <n v="19"/>
    <n v="92"/>
    <s v="3819"/>
    <s v="2"/>
    <s v="02"/>
    <s v="Rhineland Palatinate"/>
    <x v="2"/>
    <s v="TRIER"/>
    <s v="Germany"/>
    <s v="54290"/>
    <s v="80164"/>
    <s v="12"/>
    <s v="II-F14"/>
    <s v="1kg Raisin Muesli"/>
    <s v="Finished Product"/>
    <s v="F14"/>
    <s v="1kg"/>
    <s v="Raisin Muesli"/>
    <n v="3084"/>
    <n v="3084"/>
    <s v="ST"/>
    <n v="5.07"/>
    <n v="15635.88"/>
    <n v="4286.76"/>
    <s v="EUR"/>
    <n v="11349.12"/>
    <n v="0.73"/>
  </r>
  <r>
    <s v=".1~613"/>
    <n v="613"/>
    <x v="0"/>
    <x v="4"/>
    <s v="12"/>
    <s v="05/12"/>
    <d v="2021-04-02T00:00:00"/>
    <n v="19"/>
    <n v="92"/>
    <s v="3819"/>
    <s v="1"/>
    <s v="02"/>
    <s v="Rhineland Palatinate"/>
    <x v="2"/>
    <s v="TRIER"/>
    <s v="Germany"/>
    <s v="54290"/>
    <s v="80164"/>
    <s v="12"/>
    <s v="II-F14"/>
    <s v="1kg Raisin Muesli"/>
    <s v="Finished Product"/>
    <s v="F14"/>
    <s v="1kg"/>
    <s v="Raisin Muesli"/>
    <n v="2797"/>
    <n v="2797"/>
    <s v="ST"/>
    <n v="5.07"/>
    <n v="14180.79"/>
    <n v="3887.83"/>
    <s v="EUR"/>
    <n v="10292.959999999999"/>
    <n v="0.73"/>
  </r>
  <r>
    <s v=".1~614"/>
    <n v="614"/>
    <x v="0"/>
    <x v="4"/>
    <s v="12"/>
    <s v="05/12"/>
    <d v="2021-04-02T00:00:00"/>
    <n v="19"/>
    <n v="92"/>
    <s v="3816"/>
    <s v="1"/>
    <s v="02"/>
    <s v="Saxony"/>
    <x v="0"/>
    <s v="ZWICKAU"/>
    <s v="Germany"/>
    <s v="08058"/>
    <s v="80166"/>
    <s v="12"/>
    <s v="II-F14"/>
    <s v="1kg Raisin Muesli"/>
    <s v="Finished Product"/>
    <s v="F14"/>
    <s v="1kg"/>
    <s v="Raisin Muesli"/>
    <n v="2647"/>
    <n v="2647"/>
    <s v="ST"/>
    <n v="5.07"/>
    <n v="13420.29"/>
    <n v="3679.33"/>
    <s v="EUR"/>
    <n v="9740.9599999999991"/>
    <n v="0.73"/>
  </r>
  <r>
    <s v=".1~615"/>
    <n v="615"/>
    <x v="0"/>
    <x v="4"/>
    <s v="12"/>
    <s v="05/12"/>
    <d v="2021-04-02T00:00:00"/>
    <n v="19"/>
    <n v="92"/>
    <s v="3816"/>
    <s v="2"/>
    <s v="02"/>
    <s v="Saxony"/>
    <x v="0"/>
    <s v="ZWICKAU"/>
    <s v="Germany"/>
    <s v="08058"/>
    <s v="80166"/>
    <s v="12"/>
    <s v="II-F14"/>
    <s v="1kg Raisin Muesli"/>
    <s v="Finished Product"/>
    <s v="F14"/>
    <s v="1kg"/>
    <s v="Raisin Muesli"/>
    <n v="3108"/>
    <n v="3108"/>
    <s v="ST"/>
    <n v="5.07"/>
    <n v="15757.56"/>
    <n v="4320.12"/>
    <s v="EUR"/>
    <n v="11437.44"/>
    <n v="0.73"/>
  </r>
  <r>
    <s v=".1~616"/>
    <n v="616"/>
    <x v="0"/>
    <x v="4"/>
    <s v="12"/>
    <s v="05/12"/>
    <d v="2021-04-02T00:00:00"/>
    <n v="19"/>
    <n v="92"/>
    <s v="3816"/>
    <s v="3"/>
    <s v="02"/>
    <s v="Saxony"/>
    <x v="0"/>
    <s v="ZWICKAU"/>
    <s v="Germany"/>
    <s v="08058"/>
    <s v="80166"/>
    <s v="12"/>
    <s v="II-F14"/>
    <s v="1kg Raisin Muesli"/>
    <s v="Finished Product"/>
    <s v="F14"/>
    <s v="1kg"/>
    <s v="Raisin Muesli"/>
    <n v="3275"/>
    <n v="3275"/>
    <s v="ST"/>
    <n v="5.07"/>
    <n v="16604.25"/>
    <n v="4552.25"/>
    <s v="EUR"/>
    <n v="12052"/>
    <n v="0.73"/>
  </r>
  <r>
    <s v=".1~617"/>
    <n v="617"/>
    <x v="0"/>
    <x v="4"/>
    <s v="13"/>
    <s v="05/13"/>
    <d v="2021-04-03T00:00:00"/>
    <n v="19"/>
    <n v="93"/>
    <s v="3834"/>
    <s v="3"/>
    <s v="02"/>
    <s v="Hessen"/>
    <x v="1"/>
    <s v="WIESBADEN"/>
    <s v="Germany"/>
    <s v="65183"/>
    <s v="80140"/>
    <s v="12"/>
    <s v="II-F01"/>
    <s v="500g Nut Muesli"/>
    <s v="Finished Product"/>
    <s v="F01"/>
    <s v="500g"/>
    <s v="Nut Muesli"/>
    <n v="2856"/>
    <n v="2856"/>
    <s v="ST"/>
    <n v="4.51"/>
    <n v="12880.56"/>
    <n v="2570.4"/>
    <s v="EUR"/>
    <n v="10310.16"/>
    <n v="0.8"/>
  </r>
  <r>
    <s v=".1~618"/>
    <n v="618"/>
    <x v="0"/>
    <x v="4"/>
    <s v="13"/>
    <s v="05/13"/>
    <d v="2021-04-03T00:00:00"/>
    <n v="19"/>
    <n v="93"/>
    <s v="3834"/>
    <s v="4"/>
    <s v="02"/>
    <s v="Hessen"/>
    <x v="1"/>
    <s v="WIESBADEN"/>
    <s v="Germany"/>
    <s v="65183"/>
    <s v="80140"/>
    <s v="12"/>
    <s v="II-F12"/>
    <s v="1kg Blueberry Muesli"/>
    <s v="Finished Product"/>
    <s v="F12"/>
    <s v="1kg"/>
    <s v="Blueberry Muesli"/>
    <n v="74"/>
    <n v="74"/>
    <s v="ST"/>
    <n v="6.09"/>
    <n v="450.66"/>
    <n v="167.98"/>
    <s v="EUR"/>
    <n v="282.68"/>
    <n v="0.63"/>
  </r>
  <r>
    <s v=".1~619"/>
    <n v="619"/>
    <x v="0"/>
    <x v="4"/>
    <s v="13"/>
    <s v="05/13"/>
    <d v="2021-04-03T00:00:00"/>
    <n v="19"/>
    <n v="93"/>
    <s v="3834"/>
    <s v="1"/>
    <s v="02"/>
    <s v="Hessen"/>
    <x v="1"/>
    <s v="WIESBADEN"/>
    <s v="Germany"/>
    <s v="65183"/>
    <s v="80140"/>
    <s v="12"/>
    <s v="II-F14"/>
    <s v="1kg Raisin Muesli"/>
    <s v="Finished Product"/>
    <s v="F14"/>
    <s v="1kg"/>
    <s v="Raisin Muesli"/>
    <n v="2894"/>
    <n v="2894"/>
    <s v="ST"/>
    <n v="5.07"/>
    <n v="14672.58"/>
    <n v="4022.66"/>
    <s v="EUR"/>
    <n v="10649.92"/>
    <n v="0.73"/>
  </r>
  <r>
    <s v=".1~620"/>
    <n v="620"/>
    <x v="0"/>
    <x v="4"/>
    <s v="13"/>
    <s v="05/13"/>
    <d v="2021-04-03T00:00:00"/>
    <n v="19"/>
    <n v="93"/>
    <s v="3834"/>
    <s v="2"/>
    <s v="02"/>
    <s v="Hessen"/>
    <x v="1"/>
    <s v="WIESBADEN"/>
    <s v="Germany"/>
    <s v="65183"/>
    <s v="80140"/>
    <s v="12"/>
    <s v="II-F14"/>
    <s v="1kg Raisin Muesli"/>
    <s v="Finished Product"/>
    <s v="F14"/>
    <s v="1kg"/>
    <s v="Raisin Muesli"/>
    <n v="606"/>
    <n v="606"/>
    <s v="ST"/>
    <n v="5.07"/>
    <n v="3072.42"/>
    <n v="842.34"/>
    <s v="EUR"/>
    <n v="2230.08"/>
    <n v="0.73"/>
  </r>
  <r>
    <s v=".1~621"/>
    <n v="621"/>
    <x v="0"/>
    <x v="4"/>
    <s v="13"/>
    <s v="05/13"/>
    <d v="2021-04-03T00:00:00"/>
    <n v="19"/>
    <n v="93"/>
    <s v="3848"/>
    <s v="1"/>
    <s v="02"/>
    <s v="Baden-Wurttemberg"/>
    <x v="1"/>
    <s v="REUTLINGEN"/>
    <s v="Germany"/>
    <s v="72762"/>
    <s v="80182"/>
    <s v="14"/>
    <s v="II-F01"/>
    <s v="500g Nut Muesli"/>
    <s v="Finished Product"/>
    <s v="F01"/>
    <s v="500g"/>
    <s v="Nut Muesli"/>
    <n v="2959"/>
    <n v="2959"/>
    <s v="ST"/>
    <n v="4.42"/>
    <n v="13078.78"/>
    <n v="2663.1"/>
    <s v="EUR"/>
    <n v="10415.68"/>
    <n v="0.8"/>
  </r>
  <r>
    <s v=".1~622"/>
    <n v="622"/>
    <x v="0"/>
    <x v="4"/>
    <s v="14"/>
    <s v="05/14"/>
    <d v="2021-04-04T00:00:00"/>
    <n v="19"/>
    <n v="94"/>
    <s v="3865"/>
    <s v="1"/>
    <s v="02"/>
    <s v="Saxony"/>
    <x v="0"/>
    <s v="BANNEWITZ"/>
    <s v="Germany"/>
    <s v="01728"/>
    <s v="80269"/>
    <s v="14"/>
    <s v="II-F01"/>
    <s v="500g Nut Muesli"/>
    <s v="Finished Product"/>
    <s v="F01"/>
    <s v="500g"/>
    <s v="Nut Muesli"/>
    <n v="3557"/>
    <n v="3557"/>
    <s v="ST"/>
    <n v="4.42"/>
    <n v="15721.94"/>
    <n v="3201.3"/>
    <s v="EUR"/>
    <n v="12520.64"/>
    <n v="0.8"/>
  </r>
  <r>
    <s v=".1~623"/>
    <n v="623"/>
    <x v="0"/>
    <x v="4"/>
    <s v="14"/>
    <s v="05/14"/>
    <d v="2021-04-04T00:00:00"/>
    <n v="19"/>
    <n v="94"/>
    <s v="3863"/>
    <s v="1"/>
    <s v="02"/>
    <s v="Saxony"/>
    <x v="0"/>
    <s v="CHEMNITZ"/>
    <s v="Germany"/>
    <s v="09130"/>
    <s v="80270"/>
    <s v="14"/>
    <s v="II-F01"/>
    <s v="500g Nut Muesli"/>
    <s v="Finished Product"/>
    <s v="F01"/>
    <s v="500g"/>
    <s v="Nut Muesli"/>
    <n v="2996"/>
    <n v="2996"/>
    <s v="ST"/>
    <n v="4.42"/>
    <n v="13242.32"/>
    <n v="2696.4"/>
    <s v="EUR"/>
    <n v="10545.92"/>
    <n v="0.8"/>
  </r>
  <r>
    <s v=".1~624"/>
    <n v="624"/>
    <x v="0"/>
    <x v="4"/>
    <s v="14"/>
    <s v="05/14"/>
    <d v="2021-04-04T00:00:00"/>
    <n v="19"/>
    <n v="94"/>
    <s v="3858"/>
    <s v="1"/>
    <s v="02"/>
    <s v="Lower Saxony"/>
    <x v="0"/>
    <s v="HANNOVER"/>
    <s v="Germany"/>
    <s v="30165"/>
    <s v="80222"/>
    <s v="14"/>
    <s v="II-F01"/>
    <s v="500g Nut Muesli"/>
    <s v="Finished Product"/>
    <s v="F01"/>
    <s v="500g"/>
    <s v="Nut Muesli"/>
    <n v="3073"/>
    <n v="3073"/>
    <s v="ST"/>
    <n v="4.42"/>
    <n v="13582.66"/>
    <n v="2765.7"/>
    <s v="EUR"/>
    <n v="10816.96"/>
    <n v="0.8"/>
  </r>
  <r>
    <s v=".1~625"/>
    <n v="625"/>
    <x v="0"/>
    <x v="4"/>
    <s v="14"/>
    <s v="05/14"/>
    <d v="2021-04-04T00:00:00"/>
    <n v="19"/>
    <n v="94"/>
    <s v="3873"/>
    <s v="1"/>
    <s v="02"/>
    <s v="Hessen"/>
    <x v="1"/>
    <s v="WEITERSTADT"/>
    <s v="Germany"/>
    <s v="64331"/>
    <s v="80216"/>
    <s v="14"/>
    <s v="II-F01"/>
    <s v="500g Nut Muesli"/>
    <s v="Finished Product"/>
    <s v="F01"/>
    <s v="500g"/>
    <s v="Nut Muesli"/>
    <n v="3443"/>
    <n v="3443"/>
    <s v="ST"/>
    <n v="4.42"/>
    <n v="15218.06"/>
    <n v="3098.7"/>
    <s v="EUR"/>
    <n v="12119.36"/>
    <n v="0.8"/>
  </r>
  <r>
    <s v=".1~626"/>
    <n v="626"/>
    <x v="0"/>
    <x v="4"/>
    <s v="14"/>
    <s v="05/14"/>
    <d v="2021-04-04T00:00:00"/>
    <n v="19"/>
    <n v="94"/>
    <s v="3872"/>
    <s v="1"/>
    <s v="02"/>
    <s v="Bavaria"/>
    <x v="1"/>
    <s v="MÜNCHEN"/>
    <s v="Germany"/>
    <s v="80939"/>
    <s v="80189"/>
    <s v="14"/>
    <s v="II-F01"/>
    <s v="500g Nut Muesli"/>
    <s v="Finished Product"/>
    <s v="F01"/>
    <s v="500g"/>
    <s v="Nut Muesli"/>
    <n v="3462"/>
    <n v="3462"/>
    <s v="ST"/>
    <n v="4.42"/>
    <n v="15302.04"/>
    <n v="3115.8"/>
    <s v="EUR"/>
    <n v="12186.24"/>
    <n v="0.8"/>
  </r>
  <r>
    <s v=".1~627"/>
    <n v="627"/>
    <x v="0"/>
    <x v="4"/>
    <s v="14"/>
    <s v="05/14"/>
    <d v="2021-04-04T00:00:00"/>
    <n v="19"/>
    <n v="94"/>
    <s v="3870"/>
    <s v="1"/>
    <s v="02"/>
    <s v="Nrth Rhine Westfalia"/>
    <x v="2"/>
    <s v="BIELEFELD"/>
    <s v="Germany"/>
    <s v="33602"/>
    <s v="80232"/>
    <s v="14"/>
    <s v="II-F01"/>
    <s v="500g Nut Muesli"/>
    <s v="Finished Product"/>
    <s v="F01"/>
    <s v="500g"/>
    <s v="Nut Muesli"/>
    <n v="3366"/>
    <n v="3366"/>
    <s v="ST"/>
    <n v="4.42"/>
    <n v="14877.72"/>
    <n v="3029.4"/>
    <s v="EUR"/>
    <n v="11848.32"/>
    <n v="0.8"/>
  </r>
  <r>
    <s v=".1~628"/>
    <n v="628"/>
    <x v="0"/>
    <x v="4"/>
    <s v="14"/>
    <s v="05/14"/>
    <d v="2021-04-04T00:00:00"/>
    <n v="19"/>
    <n v="94"/>
    <s v="3866"/>
    <s v="1"/>
    <s v="02"/>
    <s v="Lower Saxony"/>
    <x v="0"/>
    <s v="OLDENBURG"/>
    <s v="Germany"/>
    <s v="26125"/>
    <s v="80225"/>
    <s v="14"/>
    <s v="II-F02"/>
    <s v="500g Blueberry Muesli"/>
    <s v="Finished Product"/>
    <s v="F02"/>
    <s v="500g"/>
    <s v="Blueberry Muesli"/>
    <n v="3158"/>
    <n v="3158"/>
    <s v="ST"/>
    <n v="4.8"/>
    <n v="15158.4"/>
    <n v="3884.34"/>
    <s v="EUR"/>
    <n v="11274.06"/>
    <n v="0.74"/>
  </r>
  <r>
    <s v=".1~629"/>
    <n v="629"/>
    <x v="0"/>
    <x v="4"/>
    <s v="15"/>
    <s v="05/15"/>
    <d v="2021-04-05T00:00:00"/>
    <n v="19"/>
    <n v="95"/>
    <s v="3884"/>
    <s v="1"/>
    <s v="02"/>
    <s v="Schleswig-Holstein"/>
    <x v="0"/>
    <s v="LÜBECK"/>
    <s v="Germany"/>
    <s v="23556"/>
    <s v="80287"/>
    <s v="14"/>
    <s v="II-F01"/>
    <s v="500g Nut Muesli"/>
    <s v="Finished Product"/>
    <s v="F01"/>
    <s v="500g"/>
    <s v="Nut Muesli"/>
    <n v="3475"/>
    <n v="3475"/>
    <s v="ST"/>
    <n v="4.42"/>
    <n v="15359.5"/>
    <n v="3127.5"/>
    <s v="EUR"/>
    <n v="12232"/>
    <n v="0.8"/>
  </r>
  <r>
    <s v=".1~630"/>
    <n v="630"/>
    <x v="0"/>
    <x v="4"/>
    <s v="15"/>
    <s v="05/15"/>
    <d v="2021-04-05T00:00:00"/>
    <n v="19"/>
    <n v="95"/>
    <s v="3888"/>
    <s v="1"/>
    <s v="02"/>
    <s v="Saxony"/>
    <x v="0"/>
    <s v="LEIPZIG"/>
    <s v="Germany"/>
    <s v="04109"/>
    <s v="80274"/>
    <s v="14"/>
    <s v="II-F02"/>
    <s v="500g Blueberry Muesli"/>
    <s v="Finished Product"/>
    <s v="F02"/>
    <s v="500g"/>
    <s v="Blueberry Muesli"/>
    <n v="2864"/>
    <n v="2864"/>
    <s v="ST"/>
    <n v="4.8"/>
    <n v="13747.2"/>
    <n v="3522.72"/>
    <s v="EUR"/>
    <n v="10224.48"/>
    <n v="0.74"/>
  </r>
  <r>
    <s v=".1~631"/>
    <n v="631"/>
    <x v="0"/>
    <x v="4"/>
    <s v="15"/>
    <s v="05/15"/>
    <d v="2021-04-05T00:00:00"/>
    <n v="19"/>
    <n v="95"/>
    <s v="3886"/>
    <s v="1"/>
    <s v="02"/>
    <s v="Berlin"/>
    <x v="0"/>
    <s v="BERLIN"/>
    <s v="Germany"/>
    <s v="10785"/>
    <s v="80197"/>
    <s v="14"/>
    <s v="II-F02"/>
    <s v="500g Blueberry Muesli"/>
    <s v="Finished Product"/>
    <s v="F02"/>
    <s v="500g"/>
    <s v="Blueberry Muesli"/>
    <n v="2629"/>
    <n v="2629"/>
    <s v="ST"/>
    <n v="4.8"/>
    <n v="12619.2"/>
    <n v="3233.67"/>
    <s v="EUR"/>
    <n v="9385.5300000000007"/>
    <n v="0.74"/>
  </r>
  <r>
    <s v=".1~632"/>
    <n v="632"/>
    <x v="0"/>
    <x v="4"/>
    <s v="15"/>
    <s v="05/15"/>
    <d v="2021-04-05T00:00:00"/>
    <n v="19"/>
    <n v="95"/>
    <s v="3897"/>
    <s v="1"/>
    <s v="02"/>
    <s v="Baden-Wurttemberg"/>
    <x v="1"/>
    <s v="REUTLINGEN"/>
    <s v="Germany"/>
    <s v="72764"/>
    <s v="80181"/>
    <s v="14"/>
    <s v="II-F02"/>
    <s v="500g Blueberry Muesli"/>
    <s v="Finished Product"/>
    <s v="F02"/>
    <s v="500g"/>
    <s v="Blueberry Muesli"/>
    <n v="3410"/>
    <n v="3410"/>
    <s v="ST"/>
    <n v="4.8"/>
    <n v="16368"/>
    <n v="4194.3"/>
    <s v="EUR"/>
    <n v="12173.7"/>
    <n v="0.74"/>
  </r>
  <r>
    <s v=".1~633"/>
    <n v="633"/>
    <x v="0"/>
    <x v="4"/>
    <s v="15"/>
    <s v="05/15"/>
    <d v="2021-04-05T00:00:00"/>
    <n v="19"/>
    <n v="95"/>
    <s v="3896"/>
    <s v="1"/>
    <s v="02"/>
    <s v="Baden-Wurttemberg"/>
    <x v="1"/>
    <s v="TÜBINGEN"/>
    <s v="Germany"/>
    <s v="72070"/>
    <s v="80184"/>
    <s v="14"/>
    <s v="II-F02"/>
    <s v="500g Blueberry Muesli"/>
    <s v="Finished Product"/>
    <s v="F02"/>
    <s v="500g"/>
    <s v="Blueberry Muesli"/>
    <n v="2894"/>
    <n v="2894"/>
    <s v="ST"/>
    <n v="4.8"/>
    <n v="13891.2"/>
    <n v="3559.62"/>
    <s v="EUR"/>
    <n v="10331.58"/>
    <n v="0.74"/>
  </r>
  <r>
    <s v=".1~634"/>
    <n v="634"/>
    <x v="0"/>
    <x v="4"/>
    <s v="15"/>
    <s v="05/15"/>
    <d v="2021-04-05T00:00:00"/>
    <n v="19"/>
    <n v="95"/>
    <s v="3895"/>
    <s v="1"/>
    <s v="02"/>
    <s v="Bavaria"/>
    <x v="1"/>
    <s v="MÜNCHEN"/>
    <s v="Germany"/>
    <s v="80804"/>
    <s v="80188"/>
    <s v="14"/>
    <s v="II-F02"/>
    <s v="500g Blueberry Muesli"/>
    <s v="Finished Product"/>
    <s v="F02"/>
    <s v="500g"/>
    <s v="Blueberry Muesli"/>
    <n v="2936"/>
    <n v="2936"/>
    <s v="ST"/>
    <n v="4.8"/>
    <n v="14092.8"/>
    <n v="3611.28"/>
    <s v="EUR"/>
    <n v="10481.52"/>
    <n v="0.74"/>
  </r>
  <r>
    <s v=".1~635"/>
    <n v="635"/>
    <x v="0"/>
    <x v="4"/>
    <s v="15"/>
    <s v="05/15"/>
    <d v="2021-04-05T00:00:00"/>
    <n v="19"/>
    <n v="95"/>
    <s v="3894"/>
    <s v="1"/>
    <s v="02"/>
    <s v="Hessen"/>
    <x v="1"/>
    <s v="FULDA"/>
    <s v="Germany"/>
    <s v="36043"/>
    <s v="80209"/>
    <s v="14"/>
    <s v="II-F02"/>
    <s v="500g Blueberry Muesli"/>
    <s v="Finished Product"/>
    <s v="F02"/>
    <s v="500g"/>
    <s v="Blueberry Muesli"/>
    <n v="2972"/>
    <n v="2972"/>
    <s v="ST"/>
    <n v="4.8"/>
    <n v="14265.6"/>
    <n v="3655.56"/>
    <s v="EUR"/>
    <n v="10610.04"/>
    <n v="0.74"/>
  </r>
  <r>
    <s v=".1~636"/>
    <n v="636"/>
    <x v="0"/>
    <x v="4"/>
    <s v="15"/>
    <s v="05/15"/>
    <d v="2021-04-05T00:00:00"/>
    <n v="19"/>
    <n v="95"/>
    <s v="3891"/>
    <s v="1"/>
    <s v="02"/>
    <s v="Rhineland Palatinate"/>
    <x v="2"/>
    <s v="MAINZ"/>
    <s v="Germany"/>
    <s v="55116"/>
    <s v="80266"/>
    <s v="14"/>
    <s v="II-F02"/>
    <s v="500g Blueberry Muesli"/>
    <s v="Finished Product"/>
    <s v="F02"/>
    <s v="500g"/>
    <s v="Blueberry Muesli"/>
    <n v="2731"/>
    <n v="2731"/>
    <s v="ST"/>
    <n v="4.8"/>
    <n v="13108.8"/>
    <n v="3359.13"/>
    <s v="EUR"/>
    <n v="9749.67"/>
    <n v="0.74"/>
  </r>
  <r>
    <s v=".1~637"/>
    <n v="637"/>
    <x v="0"/>
    <x v="4"/>
    <s v="16"/>
    <s v="05/16"/>
    <d v="2021-04-06T00:00:00"/>
    <n v="20"/>
    <n v="96"/>
    <s v="3907"/>
    <s v="4"/>
    <s v="02"/>
    <s v="Baden-Wurttemberg"/>
    <x v="1"/>
    <s v="STUTTGART"/>
    <s v="Germany"/>
    <s v="70173"/>
    <s v="80118"/>
    <s v="12"/>
    <s v="II-F01"/>
    <s v="500g Nut Muesli"/>
    <s v="Finished Product"/>
    <s v="F01"/>
    <s v="500g"/>
    <s v="Nut Muesli"/>
    <n v="813"/>
    <n v="813"/>
    <s v="ST"/>
    <n v="4.51"/>
    <n v="3666.63"/>
    <n v="731.7"/>
    <s v="EUR"/>
    <n v="2934.93"/>
    <n v="0.8"/>
  </r>
  <r>
    <s v=".1~638"/>
    <n v="638"/>
    <x v="0"/>
    <x v="4"/>
    <s v="16"/>
    <s v="05/16"/>
    <d v="2021-04-06T00:00:00"/>
    <n v="20"/>
    <n v="96"/>
    <s v="3907"/>
    <s v="3"/>
    <s v="02"/>
    <s v="Baden-Wurttemberg"/>
    <x v="1"/>
    <s v="STUTTGART"/>
    <s v="Germany"/>
    <s v="70173"/>
    <s v="80118"/>
    <s v="12"/>
    <s v="II-F02"/>
    <s v="500g Blueberry Muesli"/>
    <s v="Finished Product"/>
    <s v="F02"/>
    <s v="500g"/>
    <s v="Blueberry Muesli"/>
    <n v="2594"/>
    <n v="2594"/>
    <s v="ST"/>
    <n v="4.9000000000000004"/>
    <n v="12710.6"/>
    <n v="3190.62"/>
    <s v="EUR"/>
    <n v="9519.98"/>
    <n v="0.75"/>
  </r>
  <r>
    <s v=".1~639"/>
    <n v="639"/>
    <x v="0"/>
    <x v="4"/>
    <s v="16"/>
    <s v="05/16"/>
    <d v="2021-04-06T00:00:00"/>
    <n v="20"/>
    <n v="96"/>
    <s v="3907"/>
    <s v="1"/>
    <s v="02"/>
    <s v="Baden-Wurttemberg"/>
    <x v="1"/>
    <s v="STUTTGART"/>
    <s v="Germany"/>
    <s v="70173"/>
    <s v="80118"/>
    <s v="12"/>
    <s v="II-F02"/>
    <s v="500g Blueberry Muesli"/>
    <s v="Finished Product"/>
    <s v="F02"/>
    <s v="500g"/>
    <s v="Blueberry Muesli"/>
    <n v="3285"/>
    <n v="3285"/>
    <s v="ST"/>
    <n v="4.9000000000000004"/>
    <n v="16096.5"/>
    <n v="4040.55"/>
    <s v="EUR"/>
    <n v="12055.95"/>
    <n v="0.75"/>
  </r>
  <r>
    <s v=".1~640"/>
    <n v="640"/>
    <x v="0"/>
    <x v="4"/>
    <s v="16"/>
    <s v="05/16"/>
    <d v="2021-04-06T00:00:00"/>
    <n v="20"/>
    <n v="96"/>
    <s v="3907"/>
    <s v="2"/>
    <s v="02"/>
    <s v="Baden-Wurttemberg"/>
    <x v="1"/>
    <s v="STUTTGART"/>
    <s v="Germany"/>
    <s v="70173"/>
    <s v="80118"/>
    <s v="12"/>
    <s v="II-F04"/>
    <s v="500g Raisin Muesli"/>
    <s v="Finished Product"/>
    <s v="F04"/>
    <s v="500g"/>
    <s v="Raisin Muesli"/>
    <n v="2908"/>
    <n v="2908"/>
    <s v="ST"/>
    <n v="4.3899999999999997"/>
    <n v="12766.12"/>
    <n v="2297.3200000000002"/>
    <s v="EUR"/>
    <n v="10468.799999999999"/>
    <n v="0.82"/>
  </r>
  <r>
    <s v=".1~641"/>
    <n v="641"/>
    <x v="0"/>
    <x v="4"/>
    <s v="16"/>
    <s v="05/16"/>
    <d v="2021-04-06T00:00:00"/>
    <n v="20"/>
    <n v="96"/>
    <s v="3911"/>
    <s v="1"/>
    <s v="02"/>
    <s v="Mecklenburg-Vorpomm."/>
    <x v="0"/>
    <s v="GREIFSWALD"/>
    <s v="Germany"/>
    <s v="17491"/>
    <s v="80218"/>
    <s v="14"/>
    <s v="II-F04"/>
    <s v="500g Raisin Muesli"/>
    <s v="Finished Product"/>
    <s v="F04"/>
    <s v="500g"/>
    <s v="Raisin Muesli"/>
    <n v="3343"/>
    <n v="3343"/>
    <s v="ST"/>
    <n v="4.3"/>
    <n v="14374.9"/>
    <n v="2640.97"/>
    <s v="EUR"/>
    <n v="11733.93"/>
    <n v="0.82"/>
  </r>
  <r>
    <s v=".1~642"/>
    <n v="642"/>
    <x v="0"/>
    <x v="4"/>
    <s v="16"/>
    <s v="05/16"/>
    <d v="2021-04-06T00:00:00"/>
    <n v="20"/>
    <n v="96"/>
    <s v="3916"/>
    <s v="1"/>
    <s v="02"/>
    <s v="Nrth Rhine Westfalia"/>
    <x v="2"/>
    <s v="KÖLN"/>
    <s v="Germany"/>
    <s v="50667"/>
    <s v="80246"/>
    <s v="14"/>
    <s v="II-F04"/>
    <s v="500g Raisin Muesli"/>
    <s v="Finished Product"/>
    <s v="F04"/>
    <s v="500g"/>
    <s v="Raisin Muesli"/>
    <n v="3865"/>
    <n v="3865"/>
    <s v="ST"/>
    <n v="4.3"/>
    <n v="16619.5"/>
    <n v="3053.35"/>
    <s v="EUR"/>
    <n v="13566.15"/>
    <n v="0.82"/>
  </r>
  <r>
    <s v=".1~643"/>
    <n v="643"/>
    <x v="0"/>
    <x v="4"/>
    <s v="16"/>
    <s v="05/16"/>
    <d v="2021-04-06T00:00:00"/>
    <n v="20"/>
    <n v="96"/>
    <s v="3920"/>
    <s v="1"/>
    <s v="02"/>
    <s v="Baden-Wurttemberg"/>
    <x v="1"/>
    <s v="BALINGEN"/>
    <s v="Germany"/>
    <s v="72336"/>
    <s v="80172"/>
    <s v="14"/>
    <s v="II-F04"/>
    <s v="500g Raisin Muesli"/>
    <s v="Finished Product"/>
    <s v="F04"/>
    <s v="500g"/>
    <s v="Raisin Muesli"/>
    <n v="3471"/>
    <n v="3471"/>
    <s v="ST"/>
    <n v="4.3"/>
    <n v="14925.3"/>
    <n v="2742.09"/>
    <s v="EUR"/>
    <n v="12183.21"/>
    <n v="0.82"/>
  </r>
  <r>
    <s v=".1~644"/>
    <n v="644"/>
    <x v="0"/>
    <x v="4"/>
    <s v="16"/>
    <s v="05/16"/>
    <d v="2021-04-06T00:00:00"/>
    <n v="20"/>
    <n v="96"/>
    <s v="3917"/>
    <s v="1"/>
    <s v="02"/>
    <s v="Baden-Wurttemberg"/>
    <x v="1"/>
    <s v="REUTLINGEN"/>
    <s v="Germany"/>
    <s v="72770"/>
    <s v="80180"/>
    <s v="14"/>
    <s v="II-F04"/>
    <s v="500g Raisin Muesli"/>
    <s v="Finished Product"/>
    <s v="F04"/>
    <s v="500g"/>
    <s v="Raisin Muesli"/>
    <n v="3655"/>
    <n v="3655"/>
    <s v="ST"/>
    <n v="4.3"/>
    <n v="15716.5"/>
    <n v="2887.45"/>
    <s v="EUR"/>
    <n v="12829.05"/>
    <n v="0.82"/>
  </r>
  <r>
    <s v=".1~645"/>
    <n v="645"/>
    <x v="0"/>
    <x v="4"/>
    <s v="17"/>
    <s v="05/17"/>
    <d v="2021-04-07T00:00:00"/>
    <n v="20"/>
    <n v="97"/>
    <s v="3938"/>
    <s v="1"/>
    <s v="02"/>
    <s v="Lower Saxony"/>
    <x v="0"/>
    <s v="LAATZEN"/>
    <s v="Germany"/>
    <s v="30880"/>
    <s v="80224"/>
    <s v="14"/>
    <s v="II-F03"/>
    <s v="500g Strawberry Muesli"/>
    <s v="Finished Product"/>
    <s v="F03"/>
    <s v="500g"/>
    <s v="Strawberry Muesli"/>
    <n v="2095"/>
    <n v="2095"/>
    <s v="ST"/>
    <n v="4.8"/>
    <n v="10056"/>
    <n v="2576.85"/>
    <s v="EUR"/>
    <n v="7479.15"/>
    <n v="0.74"/>
  </r>
  <r>
    <s v=".1~646"/>
    <n v="646"/>
    <x v="0"/>
    <x v="4"/>
    <s v="17"/>
    <s v="05/17"/>
    <d v="2021-04-07T00:00:00"/>
    <n v="20"/>
    <n v="97"/>
    <s v="3937"/>
    <s v="1"/>
    <s v="02"/>
    <s v="Saxony"/>
    <x v="0"/>
    <s v="RÖHRSDORF"/>
    <s v="Germany"/>
    <s v="09247"/>
    <s v="80275"/>
    <s v="14"/>
    <s v="II-F03"/>
    <s v="500g Strawberry Muesli"/>
    <s v="Finished Product"/>
    <s v="F03"/>
    <s v="500g"/>
    <s v="Strawberry Muesli"/>
    <n v="2906"/>
    <n v="2906"/>
    <s v="ST"/>
    <n v="4.8"/>
    <n v="13948.8"/>
    <n v="3574.38"/>
    <s v="EUR"/>
    <n v="10374.42"/>
    <n v="0.74"/>
  </r>
  <r>
    <s v=".1~647"/>
    <n v="647"/>
    <x v="0"/>
    <x v="4"/>
    <s v="17"/>
    <s v="05/17"/>
    <d v="2021-04-07T00:00:00"/>
    <n v="20"/>
    <n v="97"/>
    <s v="3936"/>
    <s v="1"/>
    <s v="02"/>
    <s v="Saxony-Anhalt"/>
    <x v="0"/>
    <s v="BITTERFELD"/>
    <s v="Germany"/>
    <s v="06749"/>
    <s v="80277"/>
    <s v="14"/>
    <s v="II-F03"/>
    <s v="500g Strawberry Muesli"/>
    <s v="Finished Product"/>
    <s v="F03"/>
    <s v="500g"/>
    <s v="Strawberry Muesli"/>
    <n v="2636"/>
    <n v="2636"/>
    <s v="ST"/>
    <n v="4.8"/>
    <n v="12652.8"/>
    <n v="3242.28"/>
    <s v="EUR"/>
    <n v="9410.52"/>
    <n v="0.74"/>
  </r>
  <r>
    <s v=".1~648"/>
    <n v="648"/>
    <x v="0"/>
    <x v="4"/>
    <s v="17"/>
    <s v="05/17"/>
    <d v="2021-04-07T00:00:00"/>
    <n v="20"/>
    <n v="97"/>
    <s v="3934"/>
    <s v="1"/>
    <s v="02"/>
    <s v="Berlin"/>
    <x v="0"/>
    <s v="BERLIN"/>
    <s v="Germany"/>
    <s v="10178"/>
    <s v="80198"/>
    <s v="14"/>
    <s v="II-F03"/>
    <s v="500g Strawberry Muesli"/>
    <s v="Finished Product"/>
    <s v="F03"/>
    <s v="500g"/>
    <s v="Strawberry Muesli"/>
    <n v="3363"/>
    <n v="3363"/>
    <s v="ST"/>
    <n v="4.8"/>
    <n v="16142.4"/>
    <n v="4136.49"/>
    <s v="EUR"/>
    <n v="12005.91"/>
    <n v="0.74"/>
  </r>
  <r>
    <s v=".1~649"/>
    <n v="649"/>
    <x v="0"/>
    <x v="4"/>
    <s v="17"/>
    <s v="05/17"/>
    <d v="2021-04-07T00:00:00"/>
    <n v="20"/>
    <n v="97"/>
    <s v="3942"/>
    <s v="1"/>
    <s v="02"/>
    <s v="Baden-Wurttemberg"/>
    <x v="1"/>
    <s v="BALINGEN"/>
    <s v="Germany"/>
    <s v="72336"/>
    <s v="80171"/>
    <s v="14"/>
    <s v="II-F04"/>
    <s v="500g Raisin Muesli"/>
    <s v="Finished Product"/>
    <s v="F04"/>
    <s v="500g"/>
    <s v="Raisin Muesli"/>
    <n v="3648"/>
    <n v="3648"/>
    <s v="ST"/>
    <n v="4.3"/>
    <n v="15686.4"/>
    <n v="2881.92"/>
    <s v="EUR"/>
    <n v="12804.48"/>
    <n v="0.82"/>
  </r>
  <r>
    <s v=".1~650"/>
    <n v="650"/>
    <x v="0"/>
    <x v="4"/>
    <s v="17"/>
    <s v="05/17"/>
    <d v="2021-04-07T00:00:00"/>
    <n v="20"/>
    <n v="97"/>
    <s v="3943"/>
    <s v="1"/>
    <s v="02"/>
    <s v="Hessen"/>
    <x v="1"/>
    <s v="WETZLAR"/>
    <s v="Germany"/>
    <s v="35576"/>
    <s v="80217"/>
    <s v="14"/>
    <s v="II-F04"/>
    <s v="500g Raisin Muesli"/>
    <s v="Finished Product"/>
    <s v="F04"/>
    <s v="500g"/>
    <s v="Raisin Muesli"/>
    <n v="3446"/>
    <n v="3446"/>
    <s v="ST"/>
    <n v="4.3"/>
    <n v="14817.8"/>
    <n v="2722.34"/>
    <s v="EUR"/>
    <n v="12095.46"/>
    <n v="0.82"/>
  </r>
  <r>
    <s v=".1~651"/>
    <n v="651"/>
    <x v="0"/>
    <x v="4"/>
    <s v="17"/>
    <s v="05/17"/>
    <d v="2021-04-07T00:00:00"/>
    <n v="20"/>
    <n v="97"/>
    <s v="3944"/>
    <s v="1"/>
    <s v="02"/>
    <s v="Hessen"/>
    <x v="1"/>
    <s v="FRANKFURT/MAIN"/>
    <s v="Germany"/>
    <s v="60488"/>
    <s v="80208"/>
    <s v="14"/>
    <s v="II-F04"/>
    <s v="500g Raisin Muesli"/>
    <s v="Finished Product"/>
    <s v="F04"/>
    <s v="500g"/>
    <s v="Raisin Muesli"/>
    <n v="3542"/>
    <n v="3542"/>
    <s v="ST"/>
    <n v="4.3"/>
    <n v="15230.6"/>
    <n v="2798.18"/>
    <s v="EUR"/>
    <n v="12432.42"/>
    <n v="0.82"/>
  </r>
  <r>
    <s v=".1~652"/>
    <n v="652"/>
    <x v="0"/>
    <x v="4"/>
    <s v="18"/>
    <s v="05/18"/>
    <d v="2021-04-08T00:00:00"/>
    <n v="20"/>
    <n v="98"/>
    <s v="3959"/>
    <s v="1"/>
    <s v="02"/>
    <s v="Brandenburg"/>
    <x v="0"/>
    <s v="COTTBUS"/>
    <s v="Germany"/>
    <s v="03046"/>
    <s v="80132"/>
    <s v="12"/>
    <s v="II-F03"/>
    <s v="500g Strawberry Muesli"/>
    <s v="Finished Product"/>
    <s v="F03"/>
    <s v="500g"/>
    <s v="Strawberry Muesli"/>
    <n v="2848"/>
    <n v="2848"/>
    <s v="ST"/>
    <n v="4.9000000000000004"/>
    <n v="13955.2"/>
    <n v="3503.04"/>
    <s v="EUR"/>
    <n v="10452.16"/>
    <n v="0.75"/>
  </r>
  <r>
    <s v=".1~653"/>
    <n v="653"/>
    <x v="0"/>
    <x v="4"/>
    <s v="18"/>
    <s v="05/18"/>
    <d v="2021-04-08T00:00:00"/>
    <n v="20"/>
    <n v="98"/>
    <s v="3962"/>
    <s v="1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2614"/>
    <n v="2614"/>
    <s v="ST"/>
    <n v="4.9000000000000004"/>
    <n v="12808.6"/>
    <n v="3215.22"/>
    <s v="EUR"/>
    <n v="9593.3799999999992"/>
    <n v="0.75"/>
  </r>
  <r>
    <s v=".1~654"/>
    <n v="654"/>
    <x v="0"/>
    <x v="4"/>
    <s v="18"/>
    <s v="05/18"/>
    <d v="2021-04-08T00:00:00"/>
    <n v="20"/>
    <n v="98"/>
    <s v="3959"/>
    <s v="3"/>
    <s v="02"/>
    <s v="Brandenburg"/>
    <x v="0"/>
    <s v="COTTBUS"/>
    <s v="Germany"/>
    <s v="03046"/>
    <s v="80132"/>
    <s v="12"/>
    <s v="II-F03"/>
    <s v="500g Strawberry Muesli"/>
    <s v="Finished Product"/>
    <s v="F03"/>
    <s v="500g"/>
    <s v="Strawberry Muesli"/>
    <n v="3182"/>
    <n v="3182"/>
    <s v="ST"/>
    <n v="4.9000000000000004"/>
    <n v="15591.8"/>
    <n v="3913.86"/>
    <s v="EUR"/>
    <n v="11677.94"/>
    <n v="0.75"/>
  </r>
  <r>
    <s v=".1~655"/>
    <n v="655"/>
    <x v="0"/>
    <x v="4"/>
    <s v="18"/>
    <s v="05/18"/>
    <d v="2021-04-08T00:00:00"/>
    <n v="20"/>
    <n v="98"/>
    <s v="3962"/>
    <s v="3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3049"/>
    <n v="3049"/>
    <s v="ST"/>
    <n v="4.9000000000000004"/>
    <n v="14940.1"/>
    <n v="3750.27"/>
    <s v="EUR"/>
    <n v="11189.83"/>
    <n v="0.75"/>
  </r>
  <r>
    <s v=".1~656"/>
    <n v="656"/>
    <x v="0"/>
    <x v="4"/>
    <s v="18"/>
    <s v="05/18"/>
    <d v="2021-04-08T00:00:00"/>
    <n v="20"/>
    <n v="98"/>
    <s v="3962"/>
    <s v="2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2816"/>
    <n v="2816"/>
    <s v="ST"/>
    <n v="4.9000000000000004"/>
    <n v="13798.4"/>
    <n v="3463.68"/>
    <s v="EUR"/>
    <n v="10334.719999999999"/>
    <n v="0.75"/>
  </r>
  <r>
    <s v=".1~657"/>
    <n v="657"/>
    <x v="0"/>
    <x v="4"/>
    <s v="18"/>
    <s v="05/18"/>
    <d v="2021-04-08T00:00:00"/>
    <n v="20"/>
    <n v="98"/>
    <s v="3959"/>
    <s v="2"/>
    <s v="02"/>
    <s v="Brandenburg"/>
    <x v="0"/>
    <s v="COTTBUS"/>
    <s v="Germany"/>
    <s v="03046"/>
    <s v="80132"/>
    <s v="12"/>
    <s v="II-F11"/>
    <s v="1kg Nut Muesli"/>
    <s v="Finished Product"/>
    <s v="F11"/>
    <s v="1kg"/>
    <s v="Nut Muesli"/>
    <n v="1125"/>
    <n v="1125"/>
    <s v="ST"/>
    <n v="5.34"/>
    <n v="6007.5"/>
    <n v="1822.5"/>
    <s v="EUR"/>
    <n v="4185"/>
    <n v="0.7"/>
  </r>
  <r>
    <s v=".1~658"/>
    <n v="658"/>
    <x v="0"/>
    <x v="4"/>
    <s v="18"/>
    <s v="05/18"/>
    <d v="2021-04-08T00:00:00"/>
    <n v="20"/>
    <n v="98"/>
    <s v="3963"/>
    <s v="1"/>
    <s v="02"/>
    <s v="Saxony-Anhalt"/>
    <x v="0"/>
    <s v="HALLE (SAALE)"/>
    <s v="Germany"/>
    <s v="06122"/>
    <s v="80279"/>
    <s v="14"/>
    <s v="II-F03"/>
    <s v="500g Strawberry Muesli"/>
    <s v="Finished Product"/>
    <s v="F03"/>
    <s v="500g"/>
    <s v="Strawberry Muesli"/>
    <n v="3107"/>
    <n v="3107"/>
    <s v="ST"/>
    <n v="4.8"/>
    <n v="14913.6"/>
    <n v="3821.61"/>
    <s v="EUR"/>
    <n v="11091.99"/>
    <n v="0.74"/>
  </r>
  <r>
    <s v=".1~659"/>
    <n v="659"/>
    <x v="0"/>
    <x v="4"/>
    <s v="18"/>
    <s v="05/18"/>
    <d v="2021-04-08T00:00:00"/>
    <n v="20"/>
    <n v="98"/>
    <s v="3964"/>
    <s v="1"/>
    <s v="02"/>
    <s v="Nrth Rhine Westfalia"/>
    <x v="2"/>
    <s v="DORTMUND"/>
    <s v="Germany"/>
    <s v="44149"/>
    <s v="80237"/>
    <s v="14"/>
    <s v="II-F03"/>
    <s v="500g Strawberry Muesli"/>
    <s v="Finished Product"/>
    <s v="F03"/>
    <s v="500g"/>
    <s v="Strawberry Muesli"/>
    <n v="1384"/>
    <n v="1384"/>
    <s v="ST"/>
    <n v="4.8"/>
    <n v="6643.2"/>
    <n v="1702.32"/>
    <s v="EUR"/>
    <n v="4940.88"/>
    <n v="0.74"/>
  </r>
  <r>
    <s v=".1~660"/>
    <n v="660"/>
    <x v="0"/>
    <x v="4"/>
    <s v="18"/>
    <s v="05/18"/>
    <d v="2021-04-08T00:00:00"/>
    <n v="20"/>
    <n v="98"/>
    <s v="3966"/>
    <s v="1"/>
    <s v="02"/>
    <s v="Baden-Wurttemberg"/>
    <x v="1"/>
    <s v="TÜBINGEN"/>
    <s v="Germany"/>
    <s v="72072"/>
    <s v="80183"/>
    <s v="14"/>
    <s v="II-F04"/>
    <s v="500g Raisin Muesli"/>
    <s v="Finished Product"/>
    <s v="F04"/>
    <s v="500g"/>
    <s v="Raisin Muesli"/>
    <n v="2122"/>
    <n v="2122"/>
    <s v="ST"/>
    <n v="4.3"/>
    <n v="9124.6"/>
    <n v="1676.38"/>
    <s v="EUR"/>
    <n v="7448.22"/>
    <n v="0.82"/>
  </r>
  <r>
    <s v=".1~661"/>
    <n v="661"/>
    <x v="0"/>
    <x v="4"/>
    <s v="19"/>
    <s v="05/19"/>
    <d v="2021-04-09T00:00:00"/>
    <n v="20"/>
    <n v="99"/>
    <s v="3982"/>
    <s v="4"/>
    <s v="02"/>
    <s v="Hessen"/>
    <x v="1"/>
    <s v="MARBURG"/>
    <s v="Germany"/>
    <s v="35037"/>
    <s v="80139"/>
    <s v="12"/>
    <s v="II-F02"/>
    <s v="500g Blueberry Muesli"/>
    <s v="Finished Product"/>
    <s v="F02"/>
    <s v="500g"/>
    <s v="Blueberry Muesli"/>
    <n v="527"/>
    <n v="527"/>
    <s v="ST"/>
    <n v="4.9000000000000004"/>
    <n v="2582.3000000000002"/>
    <n v="648.21"/>
    <s v="EUR"/>
    <n v="1934.09"/>
    <n v="0.75"/>
  </r>
  <r>
    <s v=".1~662"/>
    <n v="662"/>
    <x v="0"/>
    <x v="4"/>
    <s v="19"/>
    <s v="05/19"/>
    <d v="2021-04-09T00:00:00"/>
    <n v="20"/>
    <n v="99"/>
    <s v="3982"/>
    <s v="1"/>
    <s v="02"/>
    <s v="Hessen"/>
    <x v="1"/>
    <s v="MARBURG"/>
    <s v="Germany"/>
    <s v="35037"/>
    <s v="80139"/>
    <s v="12"/>
    <s v="II-F11"/>
    <s v="1kg Nut Muesli"/>
    <s v="Finished Product"/>
    <s v="F11"/>
    <s v="1kg"/>
    <s v="Nut Muesli"/>
    <n v="3093"/>
    <n v="3093"/>
    <s v="ST"/>
    <n v="5.34"/>
    <n v="16516.62"/>
    <n v="5010.66"/>
    <s v="EUR"/>
    <n v="11505.96"/>
    <n v="0.7"/>
  </r>
  <r>
    <s v=".1~663"/>
    <n v="663"/>
    <x v="0"/>
    <x v="4"/>
    <s v="19"/>
    <s v="05/19"/>
    <d v="2021-04-09T00:00:00"/>
    <n v="20"/>
    <n v="99"/>
    <s v="3982"/>
    <s v="2"/>
    <s v="02"/>
    <s v="Hessen"/>
    <x v="1"/>
    <s v="MARBURG"/>
    <s v="Germany"/>
    <s v="35037"/>
    <s v="80139"/>
    <s v="12"/>
    <s v="II-F11"/>
    <s v="1kg Nut Muesli"/>
    <s v="Finished Product"/>
    <s v="F11"/>
    <s v="1kg"/>
    <s v="Nut Muesli"/>
    <n v="3121"/>
    <n v="3121"/>
    <s v="ST"/>
    <n v="5.34"/>
    <n v="16666.14"/>
    <n v="5056.0200000000004"/>
    <s v="EUR"/>
    <n v="11610.12"/>
    <n v="0.7"/>
  </r>
  <r>
    <s v=".1~664"/>
    <n v="664"/>
    <x v="0"/>
    <x v="4"/>
    <s v="19"/>
    <s v="05/19"/>
    <d v="2021-04-09T00:00:00"/>
    <n v="20"/>
    <n v="99"/>
    <s v="3982"/>
    <s v="3"/>
    <s v="02"/>
    <s v="Hessen"/>
    <x v="1"/>
    <s v="MARBURG"/>
    <s v="Germany"/>
    <s v="35037"/>
    <s v="80139"/>
    <s v="12"/>
    <s v="II-F11"/>
    <s v="1kg Nut Muesli"/>
    <s v="Finished Product"/>
    <s v="F11"/>
    <s v="1kg"/>
    <s v="Nut Muesli"/>
    <n v="2721"/>
    <n v="2721"/>
    <s v="ST"/>
    <n v="5.34"/>
    <n v="14530.14"/>
    <n v="4408.0200000000004"/>
    <s v="EUR"/>
    <n v="10122.120000000001"/>
    <n v="0.7"/>
  </r>
  <r>
    <s v=".1~665"/>
    <n v="665"/>
    <x v="0"/>
    <x v="4"/>
    <s v="19"/>
    <s v="05/19"/>
    <d v="2021-04-09T00:00:00"/>
    <n v="20"/>
    <n v="99"/>
    <s v="3984"/>
    <s v="4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841"/>
    <n v="2841"/>
    <s v="ST"/>
    <n v="5.34"/>
    <n v="15170.94"/>
    <n v="4602.42"/>
    <s v="EUR"/>
    <n v="10568.52"/>
    <n v="0.7"/>
  </r>
  <r>
    <s v=".1~666"/>
    <n v="666"/>
    <x v="0"/>
    <x v="4"/>
    <s v="19"/>
    <s v="05/19"/>
    <d v="2021-04-09T00:00:00"/>
    <n v="20"/>
    <n v="99"/>
    <s v="3984"/>
    <s v="3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776"/>
    <n v="2776"/>
    <s v="ST"/>
    <n v="5.34"/>
    <n v="14823.84"/>
    <n v="4497.12"/>
    <s v="EUR"/>
    <n v="10326.719999999999"/>
    <n v="0.7"/>
  </r>
  <r>
    <s v=".1~667"/>
    <n v="667"/>
    <x v="0"/>
    <x v="4"/>
    <s v="19"/>
    <s v="05/19"/>
    <d v="2021-04-09T00:00:00"/>
    <n v="20"/>
    <n v="99"/>
    <s v="3984"/>
    <s v="2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770"/>
    <n v="2770"/>
    <s v="ST"/>
    <n v="5.34"/>
    <n v="14791.8"/>
    <n v="4487.3999999999996"/>
    <s v="EUR"/>
    <n v="10304.4"/>
    <n v="0.7"/>
  </r>
  <r>
    <s v=".1~668"/>
    <n v="668"/>
    <x v="0"/>
    <x v="4"/>
    <s v="19"/>
    <s v="05/19"/>
    <d v="2021-04-09T00:00:00"/>
    <n v="20"/>
    <n v="99"/>
    <s v="3984"/>
    <s v="1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450"/>
    <n v="2450"/>
    <s v="ST"/>
    <n v="5.34"/>
    <n v="13083"/>
    <n v="3969"/>
    <s v="EUR"/>
    <n v="9114"/>
    <n v="0.7"/>
  </r>
  <r>
    <s v=".1~669"/>
    <n v="669"/>
    <x v="0"/>
    <x v="4"/>
    <s v="20"/>
    <s v="05/20"/>
    <d v="2021-04-10T00:00:00"/>
    <n v="20"/>
    <n v="100"/>
    <s v="3998"/>
    <s v="1"/>
    <s v="02"/>
    <s v="Baden-Wurttemberg"/>
    <x v="1"/>
    <s v="FREIBURG"/>
    <s v="Germany"/>
    <s v="79098"/>
    <s v="80113"/>
    <s v="12"/>
    <s v="II-F11"/>
    <s v="1kg Nut Muesli"/>
    <s v="Finished Product"/>
    <s v="F11"/>
    <s v="1kg"/>
    <s v="Nut Muesli"/>
    <n v="2985"/>
    <n v="2985"/>
    <s v="ST"/>
    <n v="5.34"/>
    <n v="15939.9"/>
    <n v="4835.7"/>
    <s v="EUR"/>
    <n v="11104.2"/>
    <n v="0.7"/>
  </r>
  <r>
    <s v=".1~670"/>
    <n v="670"/>
    <x v="0"/>
    <x v="4"/>
    <s v="20"/>
    <s v="05/20"/>
    <d v="2021-04-10T00:00:00"/>
    <n v="20"/>
    <n v="100"/>
    <s v="4000"/>
    <s v="1"/>
    <s v="02"/>
    <s v="Berlin"/>
    <x v="0"/>
    <s v="BERLIN"/>
    <s v="Germany"/>
    <s v="13349"/>
    <s v="80129"/>
    <s v="12"/>
    <s v="II-F11"/>
    <s v="1kg Nut Muesli"/>
    <s v="Finished Product"/>
    <s v="F11"/>
    <s v="1kg"/>
    <s v="Nut Muesli"/>
    <n v="2889"/>
    <n v="2889"/>
    <s v="ST"/>
    <n v="5.34"/>
    <n v="15427.26"/>
    <n v="4680.18"/>
    <s v="EUR"/>
    <n v="10747.08"/>
    <n v="0.7"/>
  </r>
  <r>
    <s v=".1~671"/>
    <n v="671"/>
    <x v="0"/>
    <x v="4"/>
    <s v="20"/>
    <s v="05/20"/>
    <d v="2021-04-10T00:00:00"/>
    <n v="20"/>
    <n v="100"/>
    <s v="4002"/>
    <s v="3"/>
    <s v="02"/>
    <s v="Nrth Rhine Westfalia"/>
    <x v="2"/>
    <s v="BRÜHL"/>
    <s v="Germany"/>
    <s v="50321"/>
    <s v="80149"/>
    <s v="12"/>
    <s v="II-F13"/>
    <s v="1kg Strawberry Muesli"/>
    <s v="Finished Product"/>
    <s v="F13"/>
    <s v="1kg"/>
    <s v="Strawberry Muesli"/>
    <n v="1015"/>
    <n v="1015"/>
    <s v="ST"/>
    <n v="4.9400000000000004"/>
    <n v="5014.1000000000004"/>
    <n v="2314.1999999999998"/>
    <s v="EUR"/>
    <n v="2699.9"/>
    <n v="0.54"/>
  </r>
  <r>
    <s v=".1~672"/>
    <n v="672"/>
    <x v="0"/>
    <x v="4"/>
    <s v="20"/>
    <s v="05/20"/>
    <d v="2021-04-10T00:00:00"/>
    <n v="20"/>
    <n v="100"/>
    <s v="3998"/>
    <s v="2"/>
    <s v="02"/>
    <s v="Baden-Wurttemberg"/>
    <x v="1"/>
    <s v="FREIBURG"/>
    <s v="Germany"/>
    <s v="79098"/>
    <s v="80113"/>
    <s v="12"/>
    <s v="II-F13"/>
    <s v="1kg Strawberry Muesli"/>
    <s v="Finished Product"/>
    <s v="F13"/>
    <s v="1kg"/>
    <s v="Strawberry Muesli"/>
    <n v="2576"/>
    <n v="2576"/>
    <s v="ST"/>
    <n v="4.9400000000000004"/>
    <n v="12725.44"/>
    <n v="5873.28"/>
    <s v="EUR"/>
    <n v="6852.16"/>
    <n v="0.54"/>
  </r>
  <r>
    <s v=".1~673"/>
    <n v="673"/>
    <x v="0"/>
    <x v="4"/>
    <s v="20"/>
    <s v="05/20"/>
    <d v="2021-04-10T00:00:00"/>
    <n v="20"/>
    <n v="100"/>
    <s v="3998"/>
    <s v="3"/>
    <s v="02"/>
    <s v="Baden-Wurttemberg"/>
    <x v="1"/>
    <s v="FREIBURG"/>
    <s v="Germany"/>
    <s v="79098"/>
    <s v="80113"/>
    <s v="12"/>
    <s v="II-F13"/>
    <s v="1kg Strawberry Muesli"/>
    <s v="Finished Product"/>
    <s v="F13"/>
    <s v="1kg"/>
    <s v="Strawberry Muesli"/>
    <n v="2623"/>
    <n v="2623"/>
    <s v="ST"/>
    <n v="4.9400000000000004"/>
    <n v="12957.62"/>
    <n v="5980.44"/>
    <s v="EUR"/>
    <n v="6977.18"/>
    <n v="0.54"/>
  </r>
  <r>
    <s v=".1~674"/>
    <n v="674"/>
    <x v="0"/>
    <x v="4"/>
    <s v="20"/>
    <s v="05/20"/>
    <d v="2021-04-10T00:00:00"/>
    <n v="20"/>
    <n v="100"/>
    <s v="4000"/>
    <s v="2"/>
    <s v="02"/>
    <s v="Berlin"/>
    <x v="0"/>
    <s v="BERLIN"/>
    <s v="Germany"/>
    <s v="13349"/>
    <s v="80129"/>
    <s v="12"/>
    <s v="II-F13"/>
    <s v="1kg Strawberry Muesli"/>
    <s v="Finished Product"/>
    <s v="F13"/>
    <s v="1kg"/>
    <s v="Strawberry Muesli"/>
    <n v="2570"/>
    <n v="2570"/>
    <s v="ST"/>
    <n v="4.9400000000000004"/>
    <n v="12695.8"/>
    <n v="5859.6"/>
    <s v="EUR"/>
    <n v="6836.2"/>
    <n v="0.54"/>
  </r>
  <r>
    <s v=".1~675"/>
    <n v="675"/>
    <x v="0"/>
    <x v="4"/>
    <s v="20"/>
    <s v="05/20"/>
    <d v="2021-04-10T00:00:00"/>
    <n v="20"/>
    <n v="100"/>
    <s v="4002"/>
    <s v="2"/>
    <s v="02"/>
    <s v="Nrth Rhine Westfalia"/>
    <x v="2"/>
    <s v="BRÜHL"/>
    <s v="Germany"/>
    <s v="50321"/>
    <s v="80149"/>
    <s v="12"/>
    <s v="II-F13"/>
    <s v="1kg Strawberry Muesli"/>
    <s v="Finished Product"/>
    <s v="F13"/>
    <s v="1kg"/>
    <s v="Strawberry Muesli"/>
    <n v="3263"/>
    <n v="3263"/>
    <s v="ST"/>
    <n v="4.9400000000000004"/>
    <n v="16119.22"/>
    <n v="7439.64"/>
    <s v="EUR"/>
    <n v="8679.58"/>
    <n v="0.54"/>
  </r>
  <r>
    <s v=".1~676"/>
    <n v="676"/>
    <x v="0"/>
    <x v="4"/>
    <s v="20"/>
    <s v="05/20"/>
    <d v="2021-04-10T00:00:00"/>
    <n v="20"/>
    <n v="100"/>
    <s v="4002"/>
    <s v="1"/>
    <s v="02"/>
    <s v="Nrth Rhine Westfalia"/>
    <x v="2"/>
    <s v="BRÜHL"/>
    <s v="Germany"/>
    <s v="50321"/>
    <s v="80149"/>
    <s v="12"/>
    <s v="II-F13"/>
    <s v="1kg Strawberry Muesli"/>
    <s v="Finished Product"/>
    <s v="F13"/>
    <s v="1kg"/>
    <s v="Strawberry Muesli"/>
    <n v="3203"/>
    <n v="3203"/>
    <s v="ST"/>
    <n v="4.9400000000000004"/>
    <n v="15822.82"/>
    <n v="7302.84"/>
    <s v="EUR"/>
    <n v="8519.98"/>
    <n v="0.54"/>
  </r>
  <r>
    <s v=".1~677"/>
    <n v="677"/>
    <x v="0"/>
    <x v="5"/>
    <s v="01"/>
    <s v="06/01"/>
    <d v="2021-04-11T00:00:00"/>
    <n v="21"/>
    <n v="101"/>
    <s v="4023"/>
    <s v="3"/>
    <s v="02"/>
    <s v="Berlin"/>
    <x v="0"/>
    <s v="BERLIN"/>
    <s v="Germany"/>
    <s v="13051"/>
    <s v="80105"/>
    <s v="10"/>
    <s v="II-F11"/>
    <s v="1kg Nut Muesli"/>
    <s v="Finished Product"/>
    <s v="F11"/>
    <s v="1kg"/>
    <s v="Nut Muesli"/>
    <n v="256"/>
    <n v="256"/>
    <s v="ST"/>
    <n v="5.23"/>
    <n v="1338.88"/>
    <n v="414.72"/>
    <s v="EUR"/>
    <n v="924.16"/>
    <n v="0.69"/>
  </r>
  <r>
    <s v=".1~678"/>
    <n v="678"/>
    <x v="0"/>
    <x v="5"/>
    <s v="01"/>
    <s v="06/01"/>
    <d v="2021-04-11T00:00:00"/>
    <n v="21"/>
    <n v="101"/>
    <s v="4023"/>
    <s v="2"/>
    <s v="02"/>
    <s v="Berlin"/>
    <x v="0"/>
    <s v="BERLIN"/>
    <s v="Germany"/>
    <s v="13051"/>
    <s v="80105"/>
    <s v="10"/>
    <s v="II-F12"/>
    <s v="1kg Blueberry Muesli"/>
    <s v="Finished Product"/>
    <s v="F12"/>
    <s v="1kg"/>
    <s v="Blueberry Muesli"/>
    <n v="886"/>
    <n v="886"/>
    <s v="ST"/>
    <n v="5.97"/>
    <n v="5289.42"/>
    <n v="2011.22"/>
    <s v="EUR"/>
    <n v="3278.2"/>
    <n v="0.62"/>
  </r>
  <r>
    <s v=".1~679"/>
    <n v="679"/>
    <x v="0"/>
    <x v="5"/>
    <s v="01"/>
    <s v="06/01"/>
    <d v="2021-04-11T00:00:00"/>
    <n v="21"/>
    <n v="101"/>
    <s v="4023"/>
    <s v="1"/>
    <s v="02"/>
    <s v="Berlin"/>
    <x v="0"/>
    <s v="BERLIN"/>
    <s v="Germany"/>
    <s v="13051"/>
    <s v="80105"/>
    <s v="10"/>
    <s v="II-F13"/>
    <s v="1kg Strawberry Muesli"/>
    <s v="Finished Product"/>
    <s v="F13"/>
    <s v="1kg"/>
    <s v="Strawberry Muesli"/>
    <n v="3174"/>
    <n v="3174"/>
    <s v="ST"/>
    <n v="4.84"/>
    <n v="15362.16"/>
    <n v="7236.72"/>
    <s v="EUR"/>
    <n v="8125.44"/>
    <n v="0.53"/>
  </r>
  <r>
    <s v=".1~680"/>
    <n v="680"/>
    <x v="0"/>
    <x v="5"/>
    <s v="01"/>
    <s v="06/01"/>
    <d v="2021-04-11T00:00:00"/>
    <n v="21"/>
    <n v="101"/>
    <s v="4013"/>
    <s v="4"/>
    <s v="02"/>
    <s v="Bremen"/>
    <x v="0"/>
    <s v="BREMEN"/>
    <s v="Germany"/>
    <s v="28259"/>
    <s v="80133"/>
    <s v="12"/>
    <s v="II-F11"/>
    <s v="1kg Nut Muesli"/>
    <s v="Finished Product"/>
    <s v="F11"/>
    <s v="1kg"/>
    <s v="Nut Muesli"/>
    <n v="2973"/>
    <n v="2973"/>
    <s v="ST"/>
    <n v="5.34"/>
    <n v="15875.82"/>
    <n v="4816.26"/>
    <s v="EUR"/>
    <n v="11059.56"/>
    <n v="0.7"/>
  </r>
  <r>
    <s v=".1~681"/>
    <n v="681"/>
    <x v="0"/>
    <x v="5"/>
    <s v="01"/>
    <s v="06/01"/>
    <d v="2021-04-11T00:00:00"/>
    <n v="21"/>
    <n v="101"/>
    <s v="4009"/>
    <s v="1"/>
    <s v="02"/>
    <s v="Baden-Wurttemberg"/>
    <x v="1"/>
    <s v="MANNHEIM"/>
    <s v="Germany"/>
    <s v="68199"/>
    <s v="80117"/>
    <s v="12"/>
    <s v="II-F12"/>
    <s v="1kg Blueberry Muesli"/>
    <s v="Finished Product"/>
    <s v="F12"/>
    <s v="1kg"/>
    <s v="Blueberry Muesli"/>
    <n v="2280"/>
    <n v="2280"/>
    <s v="ST"/>
    <n v="6.09"/>
    <n v="13885.2"/>
    <n v="5175.6000000000004"/>
    <s v="EUR"/>
    <n v="8709.6"/>
    <n v="0.63"/>
  </r>
  <r>
    <s v=".1~682"/>
    <n v="682"/>
    <x v="0"/>
    <x v="5"/>
    <s v="01"/>
    <s v="06/01"/>
    <d v="2021-04-11T00:00:00"/>
    <n v="21"/>
    <n v="101"/>
    <s v="4009"/>
    <s v="2"/>
    <s v="02"/>
    <s v="Baden-Wurttemberg"/>
    <x v="1"/>
    <s v="MANNHEIM"/>
    <s v="Germany"/>
    <s v="68199"/>
    <s v="80117"/>
    <s v="12"/>
    <s v="II-F12"/>
    <s v="1kg Blueberry Muesli"/>
    <s v="Finished Product"/>
    <s v="F12"/>
    <s v="1kg"/>
    <s v="Blueberry Muesli"/>
    <n v="2209"/>
    <n v="2209"/>
    <s v="ST"/>
    <n v="6.09"/>
    <n v="13452.81"/>
    <n v="5014.43"/>
    <s v="EUR"/>
    <n v="8438.3799999999992"/>
    <n v="0.63"/>
  </r>
  <r>
    <s v=".1~683"/>
    <n v="683"/>
    <x v="0"/>
    <x v="5"/>
    <s v="01"/>
    <s v="06/01"/>
    <d v="2021-04-11T00:00:00"/>
    <n v="21"/>
    <n v="101"/>
    <s v="4009"/>
    <s v="3"/>
    <s v="02"/>
    <s v="Baden-Wurttemberg"/>
    <x v="1"/>
    <s v="MANNHEIM"/>
    <s v="Germany"/>
    <s v="68199"/>
    <s v="80117"/>
    <s v="12"/>
    <s v="II-F13"/>
    <s v="1kg Strawberry Muesli"/>
    <s v="Finished Product"/>
    <s v="F13"/>
    <s v="1kg"/>
    <s v="Strawberry Muesli"/>
    <n v="2678"/>
    <n v="2678"/>
    <s v="ST"/>
    <n v="4.9400000000000004"/>
    <n v="13229.32"/>
    <n v="6105.84"/>
    <s v="EUR"/>
    <n v="7123.48"/>
    <n v="0.54"/>
  </r>
  <r>
    <s v=".1~684"/>
    <n v="684"/>
    <x v="0"/>
    <x v="5"/>
    <s v="01"/>
    <s v="06/01"/>
    <d v="2021-04-11T00:00:00"/>
    <n v="21"/>
    <n v="101"/>
    <s v="4013"/>
    <s v="1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3253"/>
    <n v="3253"/>
    <s v="ST"/>
    <n v="4.9400000000000004"/>
    <n v="16069.82"/>
    <n v="7416.84"/>
    <s v="EUR"/>
    <n v="8652.98"/>
    <n v="0.54"/>
  </r>
  <r>
    <s v=".1~685"/>
    <n v="685"/>
    <x v="0"/>
    <x v="5"/>
    <s v="01"/>
    <s v="06/01"/>
    <d v="2021-04-11T00:00:00"/>
    <n v="21"/>
    <n v="101"/>
    <s v="4013"/>
    <s v="2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2662"/>
    <n v="2662"/>
    <s v="ST"/>
    <n v="4.9400000000000004"/>
    <n v="13150.28"/>
    <n v="6069.36"/>
    <s v="EUR"/>
    <n v="7080.92"/>
    <n v="0.54"/>
  </r>
  <r>
    <s v=".1~686"/>
    <n v="686"/>
    <x v="0"/>
    <x v="5"/>
    <s v="01"/>
    <s v="06/01"/>
    <d v="2021-04-11T00:00:00"/>
    <n v="21"/>
    <n v="101"/>
    <s v="4013"/>
    <s v="3"/>
    <s v="02"/>
    <s v="Bremen"/>
    <x v="0"/>
    <s v="BREMEN"/>
    <s v="Germany"/>
    <s v="28259"/>
    <s v="80133"/>
    <s v="12"/>
    <s v="II-F13"/>
    <s v="1kg Strawberry Muesli"/>
    <s v="Finished Product"/>
    <s v="F13"/>
    <s v="1kg"/>
    <s v="Strawberry Muesli"/>
    <n v="2749"/>
    <n v="2749"/>
    <s v="ST"/>
    <n v="4.9400000000000004"/>
    <n v="13580.06"/>
    <n v="6267.72"/>
    <s v="EUR"/>
    <n v="7312.34"/>
    <n v="0.54"/>
  </r>
  <r>
    <s v=".1~687"/>
    <n v="687"/>
    <x v="0"/>
    <x v="5"/>
    <s v="02"/>
    <s v="06/02"/>
    <d v="2021-04-12T00:00:00"/>
    <n v="21"/>
    <n v="102"/>
    <s v="4036"/>
    <s v="1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2497"/>
    <n v="2497"/>
    <s v="ST"/>
    <n v="5.97"/>
    <n v="14907.09"/>
    <n v="5668.19"/>
    <s v="EUR"/>
    <n v="9238.9"/>
    <n v="0.62"/>
  </r>
  <r>
    <s v=".1~688"/>
    <n v="688"/>
    <x v="0"/>
    <x v="5"/>
    <s v="02"/>
    <s v="06/02"/>
    <d v="2021-04-12T00:00:00"/>
    <n v="21"/>
    <n v="102"/>
    <s v="4036"/>
    <s v="2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2560"/>
    <n v="2560"/>
    <s v="ST"/>
    <n v="5.97"/>
    <n v="15283.2"/>
    <n v="5811.2"/>
    <s v="EUR"/>
    <n v="9472"/>
    <n v="0.62"/>
  </r>
  <r>
    <s v=".1~689"/>
    <n v="689"/>
    <x v="0"/>
    <x v="5"/>
    <s v="02"/>
    <s v="06/02"/>
    <d v="2021-04-12T00:00:00"/>
    <n v="21"/>
    <n v="102"/>
    <s v="4036"/>
    <s v="3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2230"/>
    <n v="2230"/>
    <s v="ST"/>
    <n v="5.97"/>
    <n v="13313.1"/>
    <n v="5062.1000000000004"/>
    <s v="EUR"/>
    <n v="8251"/>
    <n v="0.62"/>
  </r>
  <r>
    <s v=".1~690"/>
    <n v="690"/>
    <x v="0"/>
    <x v="5"/>
    <s v="02"/>
    <s v="06/02"/>
    <d v="2021-04-12T00:00:00"/>
    <n v="21"/>
    <n v="102"/>
    <s v="4033"/>
    <s v="2"/>
    <s v="02"/>
    <s v="Nrth Rhine Westfalia"/>
    <x v="2"/>
    <s v="KREFELD"/>
    <s v="Germany"/>
    <s v="47798"/>
    <s v="80157"/>
    <s v="12"/>
    <s v="II-F12"/>
    <s v="1kg Blueberry Muesli"/>
    <s v="Finished Product"/>
    <s v="F12"/>
    <s v="1kg"/>
    <s v="Blueberry Muesli"/>
    <n v="2201"/>
    <n v="2201"/>
    <s v="ST"/>
    <n v="6.09"/>
    <n v="13404.09"/>
    <n v="4996.2700000000004"/>
    <s v="EUR"/>
    <n v="8407.82"/>
    <n v="0.63"/>
  </r>
  <r>
    <s v=".1~691"/>
    <n v="691"/>
    <x v="0"/>
    <x v="5"/>
    <s v="02"/>
    <s v="06/02"/>
    <d v="2021-04-12T00:00:00"/>
    <n v="21"/>
    <n v="102"/>
    <s v="4033"/>
    <s v="1"/>
    <s v="02"/>
    <s v="Nrth Rhine Westfalia"/>
    <x v="2"/>
    <s v="KREFELD"/>
    <s v="Germany"/>
    <s v="47798"/>
    <s v="80157"/>
    <s v="12"/>
    <s v="II-F12"/>
    <s v="1kg Blueberry Muesli"/>
    <s v="Finished Product"/>
    <s v="F12"/>
    <s v="1kg"/>
    <s v="Blueberry Muesli"/>
    <n v="2631"/>
    <n v="2631"/>
    <s v="ST"/>
    <n v="6.09"/>
    <n v="16022.79"/>
    <n v="5972.37"/>
    <s v="EUR"/>
    <n v="10050.42"/>
    <n v="0.63"/>
  </r>
  <r>
    <s v=".1~692"/>
    <n v="692"/>
    <x v="0"/>
    <x v="5"/>
    <s v="03"/>
    <s v="06/03"/>
    <d v="2021-04-13T00:00:00"/>
    <n v="21"/>
    <n v="103"/>
    <s v="4054"/>
    <s v="1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3351"/>
    <n v="3351"/>
    <s v="ST"/>
    <n v="4.97"/>
    <n v="16654.47"/>
    <n v="4657.8900000000003"/>
    <s v="EUR"/>
    <n v="11996.58"/>
    <n v="0.72"/>
  </r>
  <r>
    <s v=".1~693"/>
    <n v="693"/>
    <x v="0"/>
    <x v="5"/>
    <s v="03"/>
    <s v="06/03"/>
    <d v="2021-04-13T00:00:00"/>
    <n v="21"/>
    <n v="103"/>
    <s v="4054"/>
    <s v="2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3350"/>
    <n v="3350"/>
    <s v="ST"/>
    <n v="4.97"/>
    <n v="16649.5"/>
    <n v="4656.5"/>
    <s v="EUR"/>
    <n v="11993"/>
    <n v="0.72"/>
  </r>
  <r>
    <s v=".1~694"/>
    <n v="694"/>
    <x v="0"/>
    <x v="5"/>
    <s v="03"/>
    <s v="06/03"/>
    <d v="2021-04-13T00:00:00"/>
    <n v="21"/>
    <n v="103"/>
    <s v="4054"/>
    <s v="3"/>
    <s v="02"/>
    <s v="Nrth Rhine Westfalia"/>
    <x v="2"/>
    <s v="DÜREN"/>
    <s v="Germany"/>
    <s v="52349"/>
    <s v="80109"/>
    <s v="10"/>
    <s v="II-F14"/>
    <s v="1kg Raisin Muesli"/>
    <s v="Finished Product"/>
    <s v="F14"/>
    <s v="1kg"/>
    <s v="Raisin Muesli"/>
    <n v="3168"/>
    <n v="3168"/>
    <s v="ST"/>
    <n v="4.97"/>
    <n v="15744.96"/>
    <n v="4403.5200000000004"/>
    <s v="EUR"/>
    <n v="11341.44"/>
    <n v="0.72"/>
  </r>
  <r>
    <s v=".1~695"/>
    <n v="695"/>
    <x v="0"/>
    <x v="5"/>
    <s v="03"/>
    <s v="06/03"/>
    <d v="2021-04-13T00:00:00"/>
    <n v="21"/>
    <n v="103"/>
    <s v="4055"/>
    <s v="3"/>
    <s v="02"/>
    <s v="Lower Saxony"/>
    <x v="0"/>
    <s v="GÖTTINGEN"/>
    <s v="Germany"/>
    <s v="37075"/>
    <s v="80108"/>
    <s v="10"/>
    <s v="II-F14"/>
    <s v="1kg Raisin Muesli"/>
    <s v="Finished Product"/>
    <s v="F14"/>
    <s v="1kg"/>
    <s v="Raisin Muesli"/>
    <n v="1213"/>
    <n v="1213"/>
    <s v="ST"/>
    <n v="4.97"/>
    <n v="6028.61"/>
    <n v="1686.07"/>
    <s v="EUR"/>
    <n v="4342.54"/>
    <n v="0.72"/>
  </r>
  <r>
    <s v=".1~696"/>
    <n v="696"/>
    <x v="0"/>
    <x v="5"/>
    <s v="03"/>
    <s v="06/03"/>
    <d v="2021-04-13T00:00:00"/>
    <n v="21"/>
    <n v="103"/>
    <s v="4055"/>
    <s v="2"/>
    <s v="02"/>
    <s v="Lower Saxony"/>
    <x v="0"/>
    <s v="GÖTTINGEN"/>
    <s v="Germany"/>
    <s v="37075"/>
    <s v="80108"/>
    <s v="10"/>
    <s v="II-F14"/>
    <s v="1kg Raisin Muesli"/>
    <s v="Finished Product"/>
    <s v="F14"/>
    <s v="1kg"/>
    <s v="Raisin Muesli"/>
    <n v="2615"/>
    <n v="2615"/>
    <s v="ST"/>
    <n v="4.97"/>
    <n v="12996.55"/>
    <n v="3634.85"/>
    <s v="EUR"/>
    <n v="9361.7000000000007"/>
    <n v="0.72"/>
  </r>
  <r>
    <s v=".1~697"/>
    <n v="697"/>
    <x v="0"/>
    <x v="5"/>
    <s v="03"/>
    <s v="06/03"/>
    <d v="2021-04-13T00:00:00"/>
    <n v="21"/>
    <n v="103"/>
    <s v="4055"/>
    <s v="1"/>
    <s v="02"/>
    <s v="Lower Saxony"/>
    <x v="0"/>
    <s v="GÖTTINGEN"/>
    <s v="Germany"/>
    <s v="37075"/>
    <s v="80108"/>
    <s v="10"/>
    <s v="II-F14"/>
    <s v="1kg Raisin Muesli"/>
    <s v="Finished Product"/>
    <s v="F14"/>
    <s v="1kg"/>
    <s v="Raisin Muesli"/>
    <n v="3012"/>
    <n v="3012"/>
    <s v="ST"/>
    <n v="4.97"/>
    <n v="14969.64"/>
    <n v="4186.68"/>
    <s v="EUR"/>
    <n v="10782.96"/>
    <n v="0.72"/>
  </r>
  <r>
    <s v=".1~698"/>
    <n v="698"/>
    <x v="0"/>
    <x v="5"/>
    <s v="03"/>
    <s v="06/03"/>
    <d v="2021-04-13T00:00:00"/>
    <n v="21"/>
    <n v="103"/>
    <s v="4046"/>
    <s v="1"/>
    <s v="02"/>
    <s v="Berlin"/>
    <x v="0"/>
    <s v="WALTERSDORF"/>
    <s v="Germany"/>
    <s v="12529"/>
    <s v="80130"/>
    <s v="12"/>
    <s v="II-F12"/>
    <s v="1kg Blueberry Muesli"/>
    <s v="Finished Product"/>
    <s v="F12"/>
    <s v="1kg"/>
    <s v="Blueberry Muesli"/>
    <n v="2673"/>
    <n v="2673"/>
    <s v="ST"/>
    <n v="6.09"/>
    <n v="16278.57"/>
    <n v="6067.71"/>
    <s v="EUR"/>
    <n v="10210.86"/>
    <n v="0.63"/>
  </r>
  <r>
    <s v=".1~699"/>
    <n v="699"/>
    <x v="0"/>
    <x v="5"/>
    <s v="03"/>
    <s v="06/03"/>
    <d v="2021-04-13T00:00:00"/>
    <n v="21"/>
    <n v="103"/>
    <s v="4048"/>
    <s v="1"/>
    <s v="02"/>
    <s v="Schleswig-Holstein"/>
    <x v="0"/>
    <s v="NEUMÜNSTER"/>
    <s v="Germany"/>
    <s v="24537"/>
    <s v="80169"/>
    <s v="12"/>
    <s v="II-F12"/>
    <s v="1kg Blueberry Muesli"/>
    <s v="Finished Product"/>
    <s v="F12"/>
    <s v="1kg"/>
    <s v="Blueberry Muesli"/>
    <n v="2624"/>
    <n v="2624"/>
    <s v="ST"/>
    <n v="6.09"/>
    <n v="15980.16"/>
    <n v="5956.48"/>
    <s v="EUR"/>
    <n v="10023.68"/>
    <n v="0.63"/>
  </r>
  <r>
    <s v=".1~700"/>
    <n v="700"/>
    <x v="0"/>
    <x v="5"/>
    <s v="03"/>
    <s v="06/03"/>
    <d v="2021-04-13T00:00:00"/>
    <n v="21"/>
    <n v="103"/>
    <s v="4046"/>
    <s v="2"/>
    <s v="02"/>
    <s v="Berlin"/>
    <x v="0"/>
    <s v="WALTERSDORF"/>
    <s v="Germany"/>
    <s v="12529"/>
    <s v="80130"/>
    <s v="12"/>
    <s v="II-F12"/>
    <s v="1kg Blueberry Muesli"/>
    <s v="Finished Product"/>
    <s v="F12"/>
    <s v="1kg"/>
    <s v="Blueberry Muesli"/>
    <n v="2525"/>
    <n v="2525"/>
    <s v="ST"/>
    <n v="6.09"/>
    <n v="15377.25"/>
    <n v="5731.75"/>
    <s v="EUR"/>
    <n v="9645.5"/>
    <n v="0.63"/>
  </r>
  <r>
    <s v=".1~701"/>
    <n v="701"/>
    <x v="0"/>
    <x v="5"/>
    <s v="03"/>
    <s v="06/03"/>
    <d v="2021-04-13T00:00:00"/>
    <n v="21"/>
    <n v="103"/>
    <s v="4048"/>
    <s v="4"/>
    <s v="02"/>
    <s v="Schleswig-Holstein"/>
    <x v="0"/>
    <s v="NEUMÜNSTER"/>
    <s v="Germany"/>
    <s v="24537"/>
    <s v="80169"/>
    <s v="12"/>
    <s v="II-F12"/>
    <s v="1kg Blueberry Muesli"/>
    <s v="Finished Product"/>
    <s v="F12"/>
    <s v="1kg"/>
    <s v="Blueberry Muesli"/>
    <n v="2329"/>
    <n v="2329"/>
    <s v="ST"/>
    <n v="6.09"/>
    <n v="14183.61"/>
    <n v="5286.83"/>
    <s v="EUR"/>
    <n v="8896.7800000000007"/>
    <n v="0.63"/>
  </r>
  <r>
    <s v=".1~702"/>
    <n v="702"/>
    <x v="0"/>
    <x v="5"/>
    <s v="03"/>
    <s v="06/03"/>
    <d v="2021-04-13T00:00:00"/>
    <n v="21"/>
    <n v="103"/>
    <s v="4048"/>
    <s v="3"/>
    <s v="02"/>
    <s v="Schleswig-Holstein"/>
    <x v="0"/>
    <s v="NEUMÜNSTER"/>
    <s v="Germany"/>
    <s v="24537"/>
    <s v="80169"/>
    <s v="12"/>
    <s v="II-F12"/>
    <s v="1kg Blueberry Muesli"/>
    <s v="Finished Product"/>
    <s v="F12"/>
    <s v="1kg"/>
    <s v="Blueberry Muesli"/>
    <n v="2355"/>
    <n v="2355"/>
    <s v="ST"/>
    <n v="6.09"/>
    <n v="14341.95"/>
    <n v="5345.85"/>
    <s v="EUR"/>
    <n v="8996.1"/>
    <n v="0.63"/>
  </r>
  <r>
    <s v=".1~703"/>
    <n v="703"/>
    <x v="0"/>
    <x v="5"/>
    <s v="03"/>
    <s v="06/03"/>
    <d v="2021-04-13T00:00:00"/>
    <n v="21"/>
    <n v="103"/>
    <s v="4048"/>
    <s v="2"/>
    <s v="02"/>
    <s v="Schleswig-Holstein"/>
    <x v="0"/>
    <s v="NEUMÜNSTER"/>
    <s v="Germany"/>
    <s v="24537"/>
    <s v="80169"/>
    <s v="12"/>
    <s v="II-F14"/>
    <s v="1kg Raisin Muesli"/>
    <s v="Finished Product"/>
    <s v="F14"/>
    <s v="1kg"/>
    <s v="Raisin Muesli"/>
    <n v="2791"/>
    <n v="2791"/>
    <s v="ST"/>
    <n v="5.07"/>
    <n v="14150.37"/>
    <n v="3879.49"/>
    <s v="EUR"/>
    <n v="10270.879999999999"/>
    <n v="0.73"/>
  </r>
  <r>
    <s v=".1~704"/>
    <n v="704"/>
    <x v="0"/>
    <x v="5"/>
    <s v="04"/>
    <s v="06/04"/>
    <d v="2021-04-14T00:00:00"/>
    <n v="21"/>
    <n v="104"/>
    <s v="4062"/>
    <s v="1"/>
    <s v="02"/>
    <s v="Baden-Wurttemberg"/>
    <x v="1"/>
    <s v="NEU-ULM"/>
    <s v="Germany"/>
    <s v="89231"/>
    <s v="80101"/>
    <s v="10"/>
    <s v="II-F14"/>
    <s v="1kg Raisin Muesli"/>
    <s v="Finished Product"/>
    <s v="F14"/>
    <s v="1kg"/>
    <s v="Raisin Muesli"/>
    <n v="3015"/>
    <n v="3015"/>
    <s v="ST"/>
    <n v="4.97"/>
    <n v="14984.55"/>
    <n v="4190.8500000000004"/>
    <s v="EUR"/>
    <n v="10793.7"/>
    <n v="0.72"/>
  </r>
  <r>
    <s v=".1~705"/>
    <n v="705"/>
    <x v="0"/>
    <x v="5"/>
    <s v="04"/>
    <s v="06/04"/>
    <d v="2021-04-14T00:00:00"/>
    <n v="21"/>
    <n v="104"/>
    <s v="4062"/>
    <s v="2"/>
    <s v="02"/>
    <s v="Baden-Wurttemberg"/>
    <x v="1"/>
    <s v="NEU-ULM"/>
    <s v="Germany"/>
    <s v="89231"/>
    <s v="80101"/>
    <s v="10"/>
    <s v="II-F14"/>
    <s v="1kg Raisin Muesli"/>
    <s v="Finished Product"/>
    <s v="F14"/>
    <s v="1kg"/>
    <s v="Raisin Muesli"/>
    <n v="3053"/>
    <n v="3053"/>
    <s v="ST"/>
    <n v="4.97"/>
    <n v="15173.41"/>
    <n v="4243.67"/>
    <s v="EUR"/>
    <n v="10929.74"/>
    <n v="0.72"/>
  </r>
  <r>
    <s v=".1~706"/>
    <n v="706"/>
    <x v="0"/>
    <x v="5"/>
    <s v="04"/>
    <s v="06/04"/>
    <d v="2021-04-14T00:00:00"/>
    <n v="21"/>
    <n v="104"/>
    <s v="4062"/>
    <s v="3"/>
    <s v="02"/>
    <s v="Baden-Wurttemberg"/>
    <x v="1"/>
    <s v="NEU-ULM"/>
    <s v="Germany"/>
    <s v="89231"/>
    <s v="80101"/>
    <s v="10"/>
    <s v="II-F14"/>
    <s v="1kg Raisin Muesli"/>
    <s v="Finished Product"/>
    <s v="F14"/>
    <s v="1kg"/>
    <s v="Raisin Muesli"/>
    <n v="2788"/>
    <n v="2788"/>
    <s v="ST"/>
    <n v="4.97"/>
    <n v="13856.36"/>
    <n v="3875.32"/>
    <s v="EUR"/>
    <n v="9981.0400000000009"/>
    <n v="0.72"/>
  </r>
  <r>
    <s v=".1~707"/>
    <n v="707"/>
    <x v="0"/>
    <x v="5"/>
    <s v="04"/>
    <s v="06/04"/>
    <d v="2021-04-14T00:00:00"/>
    <n v="21"/>
    <n v="104"/>
    <s v="4074"/>
    <s v="1"/>
    <s v="02"/>
    <s v="Nrth Rhine Westfalia"/>
    <x v="2"/>
    <s v="BIELEFELD"/>
    <s v="Germany"/>
    <s v="33602"/>
    <s v="80232"/>
    <s v="14"/>
    <s v="II-F01"/>
    <s v="500g Nut Muesli"/>
    <s v="Finished Product"/>
    <s v="F01"/>
    <s v="500g"/>
    <s v="Nut Muesli"/>
    <n v="3255"/>
    <n v="3255"/>
    <s v="ST"/>
    <n v="4.42"/>
    <n v="14387.1"/>
    <n v="2929.5"/>
    <s v="EUR"/>
    <n v="11457.6"/>
    <n v="0.8"/>
  </r>
  <r>
    <s v=".1~708"/>
    <n v="708"/>
    <x v="0"/>
    <x v="5"/>
    <s v="04"/>
    <s v="06/04"/>
    <d v="2021-04-14T00:00:00"/>
    <n v="21"/>
    <n v="104"/>
    <s v="4075"/>
    <s v="1"/>
    <s v="02"/>
    <s v="Hessen"/>
    <x v="1"/>
    <s v="WEITERSTADT"/>
    <s v="Germany"/>
    <s v="64331"/>
    <s v="80216"/>
    <s v="14"/>
    <s v="II-F01"/>
    <s v="500g Nut Muesli"/>
    <s v="Finished Product"/>
    <s v="F01"/>
    <s v="500g"/>
    <s v="Nut Muesli"/>
    <n v="2882"/>
    <n v="2882"/>
    <s v="ST"/>
    <n v="4.42"/>
    <n v="12738.44"/>
    <n v="2593.8000000000002"/>
    <s v="EUR"/>
    <n v="10144.64"/>
    <n v="0.8"/>
  </r>
  <r>
    <s v=".1~709"/>
    <n v="709"/>
    <x v="0"/>
    <x v="5"/>
    <s v="04"/>
    <s v="06/04"/>
    <d v="2021-04-14T00:00:00"/>
    <n v="21"/>
    <n v="104"/>
    <s v="4077"/>
    <s v="1"/>
    <s v="02"/>
    <s v="Hessen"/>
    <x v="1"/>
    <s v="FULDA"/>
    <s v="Germany"/>
    <s v="36043"/>
    <s v="80209"/>
    <s v="14"/>
    <s v="II-F01"/>
    <s v="500g Nut Muesli"/>
    <s v="Finished Product"/>
    <s v="F01"/>
    <s v="500g"/>
    <s v="Nut Muesli"/>
    <n v="3488"/>
    <n v="3488"/>
    <s v="ST"/>
    <n v="4.42"/>
    <n v="15416.96"/>
    <n v="3139.2"/>
    <s v="EUR"/>
    <n v="12277.76"/>
    <n v="0.8"/>
  </r>
  <r>
    <s v=".1~710"/>
    <n v="710"/>
    <x v="0"/>
    <x v="5"/>
    <s v="05"/>
    <s v="06/05"/>
    <d v="2021-04-15T00:00:00"/>
    <n v="21"/>
    <n v="105"/>
    <s v="4098"/>
    <s v="3"/>
    <s v="02"/>
    <s v="Nrth Rhine Westfalia"/>
    <x v="2"/>
    <s v="PADERBORN"/>
    <s v="Germany"/>
    <s v="33100"/>
    <s v="80159"/>
    <s v="12"/>
    <s v="II-F01"/>
    <s v="500g Nut Muesli"/>
    <s v="Finished Product"/>
    <s v="F01"/>
    <s v="500g"/>
    <s v="Nut Muesli"/>
    <n v="2814"/>
    <n v="2814"/>
    <s v="ST"/>
    <n v="4.51"/>
    <n v="12691.14"/>
    <n v="2532.6"/>
    <s v="EUR"/>
    <n v="10158.540000000001"/>
    <n v="0.8"/>
  </r>
  <r>
    <s v=".1~711"/>
    <n v="711"/>
    <x v="0"/>
    <x v="5"/>
    <s v="05"/>
    <s v="06/05"/>
    <d v="2021-04-15T00:00:00"/>
    <n v="21"/>
    <n v="105"/>
    <s v="4098"/>
    <s v="2"/>
    <s v="02"/>
    <s v="Nrth Rhine Westfalia"/>
    <x v="2"/>
    <s v="PADERBORN"/>
    <s v="Germany"/>
    <s v="33100"/>
    <s v="80159"/>
    <s v="12"/>
    <s v="II-F13"/>
    <s v="1kg Strawberry Muesli"/>
    <s v="Finished Product"/>
    <s v="F13"/>
    <s v="1kg"/>
    <s v="Strawberry Muesli"/>
    <n v="234"/>
    <n v="234"/>
    <s v="ST"/>
    <n v="4.9400000000000004"/>
    <n v="1155.96"/>
    <n v="533.52"/>
    <s v="EUR"/>
    <n v="622.44000000000005"/>
    <n v="0.54"/>
  </r>
  <r>
    <s v=".1~712"/>
    <n v="712"/>
    <x v="0"/>
    <x v="5"/>
    <s v="05"/>
    <s v="06/05"/>
    <d v="2021-04-15T00:00:00"/>
    <n v="21"/>
    <n v="105"/>
    <s v="4098"/>
    <s v="1"/>
    <s v="02"/>
    <s v="Nrth Rhine Westfalia"/>
    <x v="2"/>
    <s v="PADERBORN"/>
    <s v="Germany"/>
    <s v="33100"/>
    <s v="80159"/>
    <s v="12"/>
    <s v="II-F14"/>
    <s v="1kg Raisin Muesli"/>
    <s v="Finished Product"/>
    <s v="F14"/>
    <s v="1kg"/>
    <s v="Raisin Muesli"/>
    <n v="1644"/>
    <n v="1644"/>
    <s v="ST"/>
    <n v="5.07"/>
    <n v="8335.08"/>
    <n v="2285.16"/>
    <s v="EUR"/>
    <n v="6049.92"/>
    <n v="0.73"/>
  </r>
  <r>
    <s v=".1~713"/>
    <n v="713"/>
    <x v="0"/>
    <x v="5"/>
    <s v="06"/>
    <s v="06/06"/>
    <d v="2021-04-16T00:00:00"/>
    <n v="22"/>
    <n v="106"/>
    <s v="4110"/>
    <s v="2"/>
    <s v="02"/>
    <s v="Mecklenburg-Vorpomm."/>
    <x v="0"/>
    <s v="ROSTOCK"/>
    <s v="Germany"/>
    <s v="18184"/>
    <s v="80141"/>
    <s v="12"/>
    <s v="II-F01"/>
    <s v="500g Nut Muesli"/>
    <s v="Finished Product"/>
    <s v="F01"/>
    <s v="500g"/>
    <s v="Nut Muesli"/>
    <n v="3122"/>
    <n v="3122"/>
    <s v="ST"/>
    <n v="4.51"/>
    <n v="14080.22"/>
    <n v="2809.8"/>
    <s v="EUR"/>
    <n v="11270.42"/>
    <n v="0.8"/>
  </r>
  <r>
    <s v=".1~714"/>
    <n v="714"/>
    <x v="0"/>
    <x v="5"/>
    <s v="06"/>
    <s v="06/06"/>
    <d v="2021-04-16T00:00:00"/>
    <n v="22"/>
    <n v="106"/>
    <s v="4110"/>
    <s v="1"/>
    <s v="02"/>
    <s v="Mecklenburg-Vorpomm."/>
    <x v="0"/>
    <s v="ROSTOCK"/>
    <s v="Germany"/>
    <s v="18184"/>
    <s v="80141"/>
    <s v="12"/>
    <s v="II-F01"/>
    <s v="500g Nut Muesli"/>
    <s v="Finished Product"/>
    <s v="F01"/>
    <s v="500g"/>
    <s v="Nut Muesli"/>
    <n v="3525"/>
    <n v="3525"/>
    <s v="ST"/>
    <n v="4.51"/>
    <n v="15897.75"/>
    <n v="3172.5"/>
    <s v="EUR"/>
    <n v="12725.25"/>
    <n v="0.8"/>
  </r>
  <r>
    <s v=".1~715"/>
    <n v="715"/>
    <x v="0"/>
    <x v="5"/>
    <s v="06"/>
    <s v="06/06"/>
    <d v="2021-04-16T00:00:00"/>
    <n v="22"/>
    <n v="106"/>
    <s v="4110"/>
    <s v="3"/>
    <s v="02"/>
    <s v="Mecklenburg-Vorpomm."/>
    <x v="0"/>
    <s v="ROSTOCK"/>
    <s v="Germany"/>
    <s v="18184"/>
    <s v="80141"/>
    <s v="12"/>
    <s v="II-F03"/>
    <s v="500g Strawberry Muesli"/>
    <s v="Finished Product"/>
    <s v="F03"/>
    <s v="500g"/>
    <s v="Strawberry Muesli"/>
    <n v="3409"/>
    <n v="3409"/>
    <s v="ST"/>
    <n v="4.9000000000000004"/>
    <n v="16704.099999999999"/>
    <n v="4193.07"/>
    <s v="EUR"/>
    <n v="12511.03"/>
    <n v="0.75"/>
  </r>
  <r>
    <s v=".1~716"/>
    <n v="716"/>
    <x v="0"/>
    <x v="5"/>
    <s v="06"/>
    <s v="06/06"/>
    <d v="2021-04-16T00:00:00"/>
    <n v="22"/>
    <n v="106"/>
    <s v="4116"/>
    <s v="1"/>
    <s v="02"/>
    <s v="Nrth Rhine Westfalia"/>
    <x v="2"/>
    <s v="ESSEN"/>
    <s v="Germany"/>
    <s v="45127"/>
    <s v="80153"/>
    <s v="12"/>
    <s v="II-F03"/>
    <s v="500g Strawberry Muesli"/>
    <s v="Finished Product"/>
    <s v="F03"/>
    <s v="500g"/>
    <s v="Strawberry Muesli"/>
    <n v="3231"/>
    <n v="3231"/>
    <s v="ST"/>
    <n v="4.9000000000000004"/>
    <n v="15831.9"/>
    <n v="3974.13"/>
    <s v="EUR"/>
    <n v="11857.77"/>
    <n v="0.75"/>
  </r>
  <r>
    <s v=".1~717"/>
    <n v="717"/>
    <x v="0"/>
    <x v="5"/>
    <s v="06"/>
    <s v="06/06"/>
    <d v="2021-04-16T00:00:00"/>
    <n v="22"/>
    <n v="106"/>
    <s v="4117"/>
    <s v="1"/>
    <s v="02"/>
    <s v="Nrth Rhine Westfalia"/>
    <x v="2"/>
    <s v="WÜRSELEN"/>
    <s v="Germany"/>
    <s v="52146"/>
    <s v="80162"/>
    <s v="12"/>
    <s v="II-F03"/>
    <s v="500g Strawberry Muesli"/>
    <s v="Finished Product"/>
    <s v="F03"/>
    <s v="500g"/>
    <s v="Strawberry Muesli"/>
    <n v="3042"/>
    <n v="3042"/>
    <s v="ST"/>
    <n v="4.9000000000000004"/>
    <n v="14905.8"/>
    <n v="3741.66"/>
    <s v="EUR"/>
    <n v="11164.14"/>
    <n v="0.75"/>
  </r>
  <r>
    <s v=".1~718"/>
    <n v="718"/>
    <x v="0"/>
    <x v="5"/>
    <s v="06"/>
    <s v="06/06"/>
    <d v="2021-04-16T00:00:00"/>
    <n v="22"/>
    <n v="106"/>
    <s v="4124"/>
    <s v="1"/>
    <s v="02"/>
    <s v="Baden-Wurttemberg"/>
    <x v="1"/>
    <s v="BALINGEN"/>
    <s v="Germany"/>
    <s v="72336"/>
    <s v="80172"/>
    <s v="14"/>
    <s v="II-F01"/>
    <s v="500g Nut Muesli"/>
    <s v="Finished Product"/>
    <s v="F01"/>
    <s v="500g"/>
    <s v="Nut Muesli"/>
    <n v="3383"/>
    <n v="3383"/>
    <s v="ST"/>
    <n v="4.42"/>
    <n v="14952.86"/>
    <n v="3044.7"/>
    <s v="EUR"/>
    <n v="11908.16"/>
    <n v="0.8"/>
  </r>
  <r>
    <s v=".1~719"/>
    <n v="719"/>
    <x v="0"/>
    <x v="5"/>
    <s v="06"/>
    <s v="06/06"/>
    <d v="2021-04-16T00:00:00"/>
    <n v="22"/>
    <n v="106"/>
    <s v="4120"/>
    <s v="1"/>
    <s v="02"/>
    <s v="Saxony"/>
    <x v="0"/>
    <s v="LEIPZIG"/>
    <s v="Germany"/>
    <s v="04109"/>
    <s v="80274"/>
    <s v="14"/>
    <s v="II-F01"/>
    <s v="500g Nut Muesli"/>
    <s v="Finished Product"/>
    <s v="F01"/>
    <s v="500g"/>
    <s v="Nut Muesli"/>
    <n v="2856"/>
    <n v="2856"/>
    <s v="ST"/>
    <n v="4.42"/>
    <n v="12623.52"/>
    <n v="2570.4"/>
    <s v="EUR"/>
    <n v="10053.120000000001"/>
    <n v="0.8"/>
  </r>
  <r>
    <s v=".1~720"/>
    <n v="720"/>
    <x v="0"/>
    <x v="5"/>
    <s v="07"/>
    <s v="06/07"/>
    <d v="2021-04-17T00:00:00"/>
    <n v="22"/>
    <n v="107"/>
    <s v="4146"/>
    <s v="1"/>
    <s v="02"/>
    <s v="Bavaria"/>
    <x v="1"/>
    <s v="MÜNCHEN"/>
    <s v="Germany"/>
    <s v="80992"/>
    <s v="80192"/>
    <s v="14"/>
    <s v="II-F01"/>
    <s v="500g Nut Muesli"/>
    <s v="Finished Product"/>
    <s v="F01"/>
    <s v="500g"/>
    <s v="Nut Muesli"/>
    <n v="3240"/>
    <n v="3240"/>
    <s v="ST"/>
    <n v="4.42"/>
    <n v="14320.8"/>
    <n v="2916"/>
    <s v="EUR"/>
    <n v="11404.8"/>
    <n v="0.8"/>
  </r>
  <r>
    <s v=".1~721"/>
    <n v="721"/>
    <x v="0"/>
    <x v="5"/>
    <s v="07"/>
    <s v="06/07"/>
    <d v="2021-04-17T00:00:00"/>
    <n v="22"/>
    <n v="107"/>
    <s v="4147"/>
    <s v="1"/>
    <s v="02"/>
    <s v="Bavaria"/>
    <x v="1"/>
    <s v="INGOLSTADT"/>
    <s v="Germany"/>
    <s v="85049"/>
    <s v="80185"/>
    <s v="14"/>
    <s v="II-F01"/>
    <s v="500g Nut Muesli"/>
    <s v="Finished Product"/>
    <s v="F01"/>
    <s v="500g"/>
    <s v="Nut Muesli"/>
    <n v="1653"/>
    <n v="1653"/>
    <s v="ST"/>
    <n v="4.42"/>
    <n v="7306.26"/>
    <n v="1487.7"/>
    <s v="EUR"/>
    <n v="5818.56"/>
    <n v="0.8"/>
  </r>
  <r>
    <s v=".1~722"/>
    <n v="722"/>
    <x v="0"/>
    <x v="5"/>
    <s v="07"/>
    <s v="06/07"/>
    <d v="2021-04-17T00:00:00"/>
    <n v="22"/>
    <n v="107"/>
    <s v="4144"/>
    <s v="1"/>
    <s v="02"/>
    <s v="Hessen"/>
    <x v="1"/>
    <s v="FRANKFURT/MAIN"/>
    <s v="Germany"/>
    <s v="60488"/>
    <s v="80208"/>
    <s v="14"/>
    <s v="II-F01"/>
    <s v="500g Nut Muesli"/>
    <s v="Finished Product"/>
    <s v="F01"/>
    <s v="500g"/>
    <s v="Nut Muesli"/>
    <n v="3597"/>
    <n v="3597"/>
    <s v="ST"/>
    <n v="4.42"/>
    <n v="15898.74"/>
    <n v="3237.3"/>
    <s v="EUR"/>
    <n v="12661.44"/>
    <n v="0.8"/>
  </r>
  <r>
    <s v=".1~723"/>
    <n v="723"/>
    <x v="0"/>
    <x v="5"/>
    <s v="07"/>
    <s v="06/07"/>
    <d v="2021-04-17T00:00:00"/>
    <n v="22"/>
    <n v="107"/>
    <s v="4143"/>
    <s v="1"/>
    <s v="02"/>
    <s v="Rhineland Palatinate"/>
    <x v="2"/>
    <s v="KOBLENZ"/>
    <s v="Germany"/>
    <s v="56070"/>
    <s v="80263"/>
    <s v="14"/>
    <s v="II-F01"/>
    <s v="500g Nut Muesli"/>
    <s v="Finished Product"/>
    <s v="F01"/>
    <s v="500g"/>
    <s v="Nut Muesli"/>
    <n v="3161"/>
    <n v="3161"/>
    <s v="ST"/>
    <n v="4.42"/>
    <n v="13971.62"/>
    <n v="2844.9"/>
    <s v="EUR"/>
    <n v="11126.72"/>
    <n v="0.8"/>
  </r>
  <r>
    <s v=".1~724"/>
    <n v="724"/>
    <x v="0"/>
    <x v="5"/>
    <s v="07"/>
    <s v="06/07"/>
    <d v="2021-04-17T00:00:00"/>
    <n v="22"/>
    <n v="107"/>
    <s v="4142"/>
    <s v="1"/>
    <s v="02"/>
    <s v="Nrth Rhine Westfalia"/>
    <x v="2"/>
    <s v="ST. AUGUSTIN"/>
    <s v="Germany"/>
    <s v="53757"/>
    <s v="80258"/>
    <s v="14"/>
    <s v="II-F01"/>
    <s v="500g Nut Muesli"/>
    <s v="Finished Product"/>
    <s v="F01"/>
    <s v="500g"/>
    <s v="Nut Muesli"/>
    <n v="3229"/>
    <n v="3229"/>
    <s v="ST"/>
    <n v="4.42"/>
    <n v="14272.18"/>
    <n v="2906.1"/>
    <s v="EUR"/>
    <n v="11366.08"/>
    <n v="0.8"/>
  </r>
  <r>
    <s v=".1~725"/>
    <n v="725"/>
    <x v="0"/>
    <x v="5"/>
    <s v="07"/>
    <s v="06/07"/>
    <d v="2021-04-17T00:00:00"/>
    <n v="22"/>
    <n v="107"/>
    <s v="4141"/>
    <s v="1"/>
    <s v="02"/>
    <s v="Nrth Rhine Westfalia"/>
    <x v="2"/>
    <s v="LEVERKUSEN"/>
    <s v="Germany"/>
    <s v="51373"/>
    <s v="80250"/>
    <s v="14"/>
    <s v="II-F01"/>
    <s v="500g Nut Muesli"/>
    <s v="Finished Product"/>
    <s v="F01"/>
    <s v="500g"/>
    <s v="Nut Muesli"/>
    <n v="3795"/>
    <n v="3795"/>
    <s v="ST"/>
    <n v="4.42"/>
    <n v="16773.900000000001"/>
    <n v="3415.5"/>
    <s v="EUR"/>
    <n v="13358.4"/>
    <n v="0.8"/>
  </r>
  <r>
    <s v=".1~726"/>
    <n v="726"/>
    <x v="0"/>
    <x v="5"/>
    <s v="07"/>
    <s v="06/07"/>
    <d v="2021-04-17T00:00:00"/>
    <n v="22"/>
    <n v="107"/>
    <s v="4145"/>
    <s v="1"/>
    <s v="02"/>
    <s v="Bavaria"/>
    <x v="1"/>
    <s v="MÜNCHEN"/>
    <s v="Germany"/>
    <s v="80331"/>
    <s v="80187"/>
    <s v="14"/>
    <s v="II-F03"/>
    <s v="500g Strawberry Muesli"/>
    <s v="Finished Product"/>
    <s v="F03"/>
    <s v="500g"/>
    <s v="Strawberry Muesli"/>
    <n v="3423"/>
    <n v="3423"/>
    <s v="ST"/>
    <n v="4.8"/>
    <n v="16430.400000000001"/>
    <n v="4210.29"/>
    <s v="EUR"/>
    <n v="12220.11"/>
    <n v="0.74"/>
  </r>
  <r>
    <s v=".1~727"/>
    <n v="727"/>
    <x v="0"/>
    <x v="5"/>
    <s v="07"/>
    <s v="06/07"/>
    <d v="2021-04-17T00:00:00"/>
    <n v="22"/>
    <n v="107"/>
    <s v="4139"/>
    <s v="1"/>
    <s v="02"/>
    <s v="Schleswig-Holstein"/>
    <x v="0"/>
    <s v="HEIDE"/>
    <s v="Germany"/>
    <s v="25746"/>
    <s v="80285"/>
    <s v="14"/>
    <s v="II-F03"/>
    <s v="500g Strawberry Muesli"/>
    <s v="Finished Product"/>
    <s v="F03"/>
    <s v="500g"/>
    <s v="Strawberry Muesli"/>
    <n v="3138"/>
    <n v="3138"/>
    <s v="ST"/>
    <n v="4.8"/>
    <n v="15062.4"/>
    <n v="3859.74"/>
    <s v="EUR"/>
    <n v="11202.66"/>
    <n v="0.74"/>
  </r>
  <r>
    <s v=".1~728"/>
    <n v="728"/>
    <x v="0"/>
    <x v="5"/>
    <s v="08"/>
    <s v="06/08"/>
    <d v="2021-04-18T00:00:00"/>
    <n v="22"/>
    <n v="108"/>
    <s v="4163"/>
    <s v="1"/>
    <s v="02"/>
    <s v="Nrth Rhine Westfalia"/>
    <x v="2"/>
    <s v="GELSENKIRCHEN"/>
    <s v="Germany"/>
    <s v="45879"/>
    <s v="80154"/>
    <s v="12"/>
    <s v="II-F02"/>
    <s v="500g Blueberry Muesli"/>
    <s v="Finished Product"/>
    <s v="F02"/>
    <s v="500g"/>
    <s v="Blueberry Muesli"/>
    <n v="3121"/>
    <n v="3121"/>
    <s v="ST"/>
    <n v="4.9000000000000004"/>
    <n v="15292.9"/>
    <n v="3838.83"/>
    <s v="EUR"/>
    <n v="11454.07"/>
    <n v="0.75"/>
  </r>
  <r>
    <s v=".1~729"/>
    <n v="729"/>
    <x v="0"/>
    <x v="5"/>
    <s v="08"/>
    <s v="06/08"/>
    <d v="2021-04-18T00:00:00"/>
    <n v="22"/>
    <n v="108"/>
    <s v="4169"/>
    <s v="1"/>
    <s v="02"/>
    <s v="Rhineland Palatinate"/>
    <x v="2"/>
    <s v="LUDWIGSHAFEN"/>
    <s v="Germany"/>
    <s v="67071"/>
    <s v="80264"/>
    <s v="14"/>
    <s v="II-F02"/>
    <s v="500g Blueberry Muesli"/>
    <s v="Finished Product"/>
    <s v="F02"/>
    <s v="500g"/>
    <s v="Blueberry Muesli"/>
    <n v="2754"/>
    <n v="2754"/>
    <s v="ST"/>
    <n v="4.8"/>
    <n v="13219.2"/>
    <n v="3387.42"/>
    <s v="EUR"/>
    <n v="9831.7800000000007"/>
    <n v="0.74"/>
  </r>
  <r>
    <s v=".1~730"/>
    <n v="730"/>
    <x v="0"/>
    <x v="5"/>
    <s v="08"/>
    <s v="06/08"/>
    <d v="2021-04-18T00:00:00"/>
    <n v="22"/>
    <n v="108"/>
    <s v="4166"/>
    <s v="1"/>
    <s v="02"/>
    <s v="Berlin"/>
    <x v="0"/>
    <s v="BERLIN"/>
    <s v="Germany"/>
    <s v="10178"/>
    <s v="80198"/>
    <s v="14"/>
    <s v="II-F03"/>
    <s v="500g Strawberry Muesli"/>
    <s v="Finished Product"/>
    <s v="F03"/>
    <s v="500g"/>
    <s v="Strawberry Muesli"/>
    <n v="2714"/>
    <n v="2714"/>
    <s v="ST"/>
    <n v="4.8"/>
    <n v="13027.2"/>
    <n v="3338.22"/>
    <s v="EUR"/>
    <n v="9688.98"/>
    <n v="0.74"/>
  </r>
  <r>
    <s v=".1~731"/>
    <n v="731"/>
    <x v="0"/>
    <x v="5"/>
    <s v="08"/>
    <s v="06/08"/>
    <d v="2021-04-18T00:00:00"/>
    <n v="22"/>
    <n v="108"/>
    <s v="4168"/>
    <s v="1"/>
    <s v="02"/>
    <s v="Saxony"/>
    <x v="0"/>
    <s v="RÖHRSDORF"/>
    <s v="Germany"/>
    <s v="09247"/>
    <s v="80275"/>
    <s v="14"/>
    <s v="II-F03"/>
    <s v="500g Strawberry Muesli"/>
    <s v="Finished Product"/>
    <s v="F03"/>
    <s v="500g"/>
    <s v="Strawberry Muesli"/>
    <n v="3350"/>
    <n v="3350"/>
    <s v="ST"/>
    <n v="4.8"/>
    <n v="16080"/>
    <n v="4120.5"/>
    <s v="EUR"/>
    <n v="11959.5"/>
    <n v="0.74"/>
  </r>
  <r>
    <s v=".1~732"/>
    <n v="732"/>
    <x v="0"/>
    <x v="5"/>
    <s v="09"/>
    <s v="06/09"/>
    <d v="2021-04-19T00:00:00"/>
    <n v="22"/>
    <n v="109"/>
    <s v="4179"/>
    <s v="1"/>
    <s v="02"/>
    <s v="Schleswig-Holstein"/>
    <x v="0"/>
    <s v="NEUMÜNSTER"/>
    <s v="Germany"/>
    <s v="24537"/>
    <s v="80169"/>
    <s v="12"/>
    <s v="II-F02"/>
    <s v="500g Blueberry Muesli"/>
    <s v="Finished Product"/>
    <s v="F02"/>
    <s v="500g"/>
    <s v="Blueberry Muesli"/>
    <n v="3397"/>
    <n v="3397"/>
    <s v="ST"/>
    <n v="4.9000000000000004"/>
    <n v="16645.3"/>
    <n v="4178.3100000000004"/>
    <s v="EUR"/>
    <n v="12466.99"/>
    <n v="0.75"/>
  </r>
  <r>
    <s v=".1~733"/>
    <n v="733"/>
    <x v="0"/>
    <x v="5"/>
    <s v="09"/>
    <s v="06/09"/>
    <d v="2021-04-19T00:00:00"/>
    <n v="22"/>
    <n v="109"/>
    <s v="4179"/>
    <s v="2"/>
    <s v="02"/>
    <s v="Schleswig-Holstein"/>
    <x v="0"/>
    <s v="NEUMÜNSTER"/>
    <s v="Germany"/>
    <s v="24537"/>
    <s v="80169"/>
    <s v="12"/>
    <s v="II-F02"/>
    <s v="500g Blueberry Muesli"/>
    <s v="Finished Product"/>
    <s v="F02"/>
    <s v="500g"/>
    <s v="Blueberry Muesli"/>
    <n v="3179"/>
    <n v="3179"/>
    <s v="ST"/>
    <n v="4.9000000000000004"/>
    <n v="15577.1"/>
    <n v="3910.17"/>
    <s v="EUR"/>
    <n v="11666.93"/>
    <n v="0.75"/>
  </r>
  <r>
    <s v=".1~734"/>
    <n v="734"/>
    <x v="0"/>
    <x v="5"/>
    <s v="09"/>
    <s v="06/09"/>
    <d v="2021-04-19T00:00:00"/>
    <n v="22"/>
    <n v="109"/>
    <s v="4189"/>
    <s v="1"/>
    <s v="02"/>
    <s v="Thuringia"/>
    <x v="1"/>
    <s v="GERA"/>
    <s v="Germany"/>
    <s v="07545"/>
    <s v="80290"/>
    <s v="14"/>
    <s v="II-F02"/>
    <s v="500g Blueberry Muesli"/>
    <s v="Finished Product"/>
    <s v="F02"/>
    <s v="500g"/>
    <s v="Blueberry Muesli"/>
    <n v="2732"/>
    <n v="2732"/>
    <s v="ST"/>
    <n v="4.8"/>
    <n v="13113.6"/>
    <n v="3360.36"/>
    <s v="EUR"/>
    <n v="9753.24"/>
    <n v="0.74"/>
  </r>
  <r>
    <s v=".1~735"/>
    <n v="735"/>
    <x v="0"/>
    <x v="5"/>
    <s v="09"/>
    <s v="06/09"/>
    <d v="2021-04-19T00:00:00"/>
    <n v="22"/>
    <n v="109"/>
    <s v="4184"/>
    <s v="1"/>
    <s v="02"/>
    <s v="Rhineland Palatinate"/>
    <x v="2"/>
    <s v="MAINZ"/>
    <s v="Germany"/>
    <s v="55252"/>
    <s v="80265"/>
    <s v="14"/>
    <s v="II-F02"/>
    <s v="500g Blueberry Muesli"/>
    <s v="Finished Product"/>
    <s v="F02"/>
    <s v="500g"/>
    <s v="Blueberry Muesli"/>
    <n v="2834"/>
    <n v="2834"/>
    <s v="ST"/>
    <n v="4.8"/>
    <n v="13603.2"/>
    <n v="3485.82"/>
    <s v="EUR"/>
    <n v="10117.379999999999"/>
    <n v="0.74"/>
  </r>
  <r>
    <s v=".1~736"/>
    <n v="736"/>
    <x v="0"/>
    <x v="5"/>
    <s v="09"/>
    <s v="06/09"/>
    <d v="2021-04-19T00:00:00"/>
    <n v="22"/>
    <n v="109"/>
    <s v="4186"/>
    <s v="1"/>
    <s v="02"/>
    <s v="Rhineland Palatinate"/>
    <x v="2"/>
    <s v="KOBLENZ"/>
    <s v="Germany"/>
    <s v="56068"/>
    <s v="80262"/>
    <s v="14"/>
    <s v="II-F03"/>
    <s v="500g Strawberry Muesli"/>
    <s v="Finished Product"/>
    <s v="F03"/>
    <s v="500g"/>
    <s v="Strawberry Muesli"/>
    <n v="3324"/>
    <n v="3324"/>
    <s v="ST"/>
    <n v="4.8"/>
    <n v="15955.2"/>
    <n v="4088.52"/>
    <s v="EUR"/>
    <n v="11866.68"/>
    <n v="0.74"/>
  </r>
  <r>
    <s v=".1~737"/>
    <n v="737"/>
    <x v="0"/>
    <x v="5"/>
    <s v="09"/>
    <s v="06/09"/>
    <d v="2021-04-19T00:00:00"/>
    <n v="22"/>
    <n v="109"/>
    <s v="4188"/>
    <s v="1"/>
    <s v="02"/>
    <s v="Baden-Wurttemberg"/>
    <x v="1"/>
    <s v="HORB (AM NECKAR)"/>
    <s v="Germany"/>
    <s v="72160"/>
    <s v="80174"/>
    <s v="14"/>
    <s v="II-F03"/>
    <s v="500g Strawberry Muesli"/>
    <s v="Finished Product"/>
    <s v="F03"/>
    <s v="500g"/>
    <s v="Strawberry Muesli"/>
    <n v="2710"/>
    <n v="2710"/>
    <s v="ST"/>
    <n v="4.8"/>
    <n v="13008"/>
    <n v="3333.3"/>
    <s v="EUR"/>
    <n v="9674.7000000000007"/>
    <n v="0.74"/>
  </r>
  <r>
    <s v=".1~738"/>
    <n v="738"/>
    <x v="0"/>
    <x v="5"/>
    <s v="10"/>
    <s v="06/10"/>
    <d v="2021-04-20T00:00:00"/>
    <n v="22"/>
    <n v="110"/>
    <s v="4208"/>
    <s v="1"/>
    <s v="02"/>
    <s v="Rhineland Palatinate"/>
    <x v="2"/>
    <s v="TRIER"/>
    <s v="Germany"/>
    <s v="54290"/>
    <s v="80164"/>
    <s v="12"/>
    <s v="II-F02"/>
    <s v="500g Blueberry Muesli"/>
    <s v="Finished Product"/>
    <s v="F02"/>
    <s v="500g"/>
    <s v="Blueberry Muesli"/>
    <n v="2767"/>
    <n v="2767"/>
    <s v="ST"/>
    <n v="4.9000000000000004"/>
    <n v="13558.3"/>
    <n v="3403.41"/>
    <s v="EUR"/>
    <n v="10154.89"/>
    <n v="0.75"/>
  </r>
  <r>
    <s v=".1~739"/>
    <n v="739"/>
    <x v="0"/>
    <x v="5"/>
    <s v="10"/>
    <s v="06/10"/>
    <d v="2021-04-20T00:00:00"/>
    <n v="22"/>
    <n v="110"/>
    <s v="4206"/>
    <s v="1"/>
    <s v="02"/>
    <s v="Nrth Rhine Westfalia"/>
    <x v="2"/>
    <s v="DORTMUND"/>
    <s v="Germany"/>
    <s v="44339"/>
    <s v="80150"/>
    <s v="12"/>
    <s v="II-F02"/>
    <s v="500g Blueberry Muesli"/>
    <s v="Finished Product"/>
    <s v="F02"/>
    <s v="500g"/>
    <s v="Blueberry Muesli"/>
    <n v="2983"/>
    <n v="2983"/>
    <s v="ST"/>
    <n v="4.9000000000000004"/>
    <n v="14616.7"/>
    <n v="3669.09"/>
    <s v="EUR"/>
    <n v="10947.61"/>
    <n v="0.75"/>
  </r>
  <r>
    <s v=".1~740"/>
    <n v="740"/>
    <x v="0"/>
    <x v="5"/>
    <s v="10"/>
    <s v="06/10"/>
    <d v="2021-04-20T00:00:00"/>
    <n v="22"/>
    <n v="110"/>
    <s v="4205"/>
    <s v="3"/>
    <s v="02"/>
    <s v="Nrth Rhine Westfalia"/>
    <x v="2"/>
    <s v="BRÜHL"/>
    <s v="Germany"/>
    <s v="50321"/>
    <s v="80149"/>
    <s v="12"/>
    <s v="II-F02"/>
    <s v="500g Blueberry Muesli"/>
    <s v="Finished Product"/>
    <s v="F02"/>
    <s v="500g"/>
    <s v="Blueberry Muesli"/>
    <n v="2850"/>
    <n v="2850"/>
    <s v="ST"/>
    <n v="4.9000000000000004"/>
    <n v="13965"/>
    <n v="3505.5"/>
    <s v="EUR"/>
    <n v="10459.5"/>
    <n v="0.75"/>
  </r>
  <r>
    <s v=".1~741"/>
    <n v="741"/>
    <x v="0"/>
    <x v="5"/>
    <s v="10"/>
    <s v="06/10"/>
    <d v="2021-04-20T00:00:00"/>
    <n v="22"/>
    <n v="110"/>
    <s v="4204"/>
    <s v="1"/>
    <s v="02"/>
    <s v="Bremen"/>
    <x v="0"/>
    <s v="BREMEN"/>
    <s v="Germany"/>
    <s v="28259"/>
    <s v="80133"/>
    <s v="12"/>
    <s v="II-F02"/>
    <s v="500g Blueberry Muesli"/>
    <s v="Finished Product"/>
    <s v="F02"/>
    <s v="500g"/>
    <s v="Blueberry Muesli"/>
    <n v="2860"/>
    <n v="2860"/>
    <s v="ST"/>
    <n v="4.9000000000000004"/>
    <n v="14014"/>
    <n v="3517.8"/>
    <s v="EUR"/>
    <n v="10496.2"/>
    <n v="0.75"/>
  </r>
  <r>
    <s v=".1~742"/>
    <n v="742"/>
    <x v="0"/>
    <x v="5"/>
    <s v="10"/>
    <s v="06/10"/>
    <d v="2021-04-20T00:00:00"/>
    <n v="22"/>
    <n v="110"/>
    <s v="4203"/>
    <s v="1"/>
    <s v="02"/>
    <s v="Hessen"/>
    <x v="1"/>
    <s v="WIESBADEN"/>
    <s v="Germany"/>
    <s v="65183"/>
    <s v="80140"/>
    <s v="12"/>
    <s v="II-F02"/>
    <s v="500g Blueberry Muesli"/>
    <s v="Finished Product"/>
    <s v="F02"/>
    <s v="500g"/>
    <s v="Blueberry Muesli"/>
    <n v="2787"/>
    <n v="2787"/>
    <s v="ST"/>
    <n v="4.9000000000000004"/>
    <n v="13656.3"/>
    <n v="3428.01"/>
    <s v="EUR"/>
    <n v="10228.290000000001"/>
    <n v="0.75"/>
  </r>
  <r>
    <s v=".1~743"/>
    <n v="743"/>
    <x v="0"/>
    <x v="5"/>
    <s v="10"/>
    <s v="06/10"/>
    <d v="2021-04-20T00:00:00"/>
    <n v="22"/>
    <n v="110"/>
    <s v="4205"/>
    <s v="1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2712"/>
    <n v="2712"/>
    <s v="ST"/>
    <n v="4.9000000000000004"/>
    <n v="13288.8"/>
    <n v="3335.76"/>
    <s v="EUR"/>
    <n v="9953.0400000000009"/>
    <n v="0.75"/>
  </r>
  <r>
    <s v=".1~744"/>
    <n v="744"/>
    <x v="0"/>
    <x v="5"/>
    <s v="10"/>
    <s v="06/10"/>
    <d v="2021-04-20T00:00:00"/>
    <n v="22"/>
    <n v="110"/>
    <s v="4205"/>
    <s v="2"/>
    <s v="02"/>
    <s v="Nrth Rhine Westfalia"/>
    <x v="2"/>
    <s v="BRÜHL"/>
    <s v="Germany"/>
    <s v="50321"/>
    <s v="80149"/>
    <s v="12"/>
    <s v="II-F03"/>
    <s v="500g Strawberry Muesli"/>
    <s v="Finished Product"/>
    <s v="F03"/>
    <s v="500g"/>
    <s v="Strawberry Muesli"/>
    <n v="2652"/>
    <n v="2652"/>
    <s v="ST"/>
    <n v="4.9000000000000004"/>
    <n v="12994.8"/>
    <n v="3261.96"/>
    <s v="EUR"/>
    <n v="9732.84"/>
    <n v="0.75"/>
  </r>
  <r>
    <s v=".1~745"/>
    <n v="745"/>
    <x v="0"/>
    <x v="5"/>
    <s v="10"/>
    <s v="06/10"/>
    <d v="2021-04-20T00:00:00"/>
    <n v="22"/>
    <n v="110"/>
    <s v="4204"/>
    <s v="2"/>
    <s v="02"/>
    <s v="Bremen"/>
    <x v="0"/>
    <s v="BREMEN"/>
    <s v="Germany"/>
    <s v="28259"/>
    <s v="80133"/>
    <s v="12"/>
    <s v="II-F03"/>
    <s v="500g Strawberry Muesli"/>
    <s v="Finished Product"/>
    <s v="F03"/>
    <s v="500g"/>
    <s v="Strawberry Muesli"/>
    <n v="3279"/>
    <n v="3279"/>
    <s v="ST"/>
    <n v="4.9000000000000004"/>
    <n v="16067.1"/>
    <n v="4033.17"/>
    <s v="EUR"/>
    <n v="12033.93"/>
    <n v="0.75"/>
  </r>
  <r>
    <s v=".1~746"/>
    <n v="746"/>
    <x v="0"/>
    <x v="5"/>
    <s v="10"/>
    <s v="06/10"/>
    <d v="2021-04-20T00:00:00"/>
    <n v="22"/>
    <n v="110"/>
    <s v="4206"/>
    <s v="2"/>
    <s v="02"/>
    <s v="Nrth Rhine Westfalia"/>
    <x v="2"/>
    <s v="DORTMUND"/>
    <s v="Germany"/>
    <s v="44339"/>
    <s v="80150"/>
    <s v="12"/>
    <s v="II-F03"/>
    <s v="500g Strawberry Muesli"/>
    <s v="Finished Product"/>
    <s v="F03"/>
    <s v="500g"/>
    <s v="Strawberry Muesli"/>
    <n v="3034"/>
    <n v="3034"/>
    <s v="ST"/>
    <n v="4.9000000000000004"/>
    <n v="14866.6"/>
    <n v="3731.82"/>
    <s v="EUR"/>
    <n v="11134.78"/>
    <n v="0.75"/>
  </r>
  <r>
    <s v=".1~747"/>
    <n v="747"/>
    <x v="0"/>
    <x v="5"/>
    <s v="10"/>
    <s v="06/10"/>
    <d v="2021-04-20T00:00:00"/>
    <n v="22"/>
    <n v="110"/>
    <s v="4208"/>
    <s v="3"/>
    <s v="02"/>
    <s v="Rhineland Palatinate"/>
    <x v="2"/>
    <s v="TRIER"/>
    <s v="Germany"/>
    <s v="54290"/>
    <s v="80164"/>
    <s v="12"/>
    <s v="II-F03"/>
    <s v="500g Strawberry Muesli"/>
    <s v="Finished Product"/>
    <s v="F03"/>
    <s v="500g"/>
    <s v="Strawberry Muesli"/>
    <n v="3283"/>
    <n v="3283"/>
    <s v="ST"/>
    <n v="4.9000000000000004"/>
    <n v="16086.7"/>
    <n v="4038.09"/>
    <s v="EUR"/>
    <n v="12048.61"/>
    <n v="0.75"/>
  </r>
  <r>
    <s v=".1~748"/>
    <n v="748"/>
    <x v="0"/>
    <x v="5"/>
    <s v="10"/>
    <s v="06/10"/>
    <d v="2021-04-20T00:00:00"/>
    <n v="22"/>
    <n v="110"/>
    <s v="4208"/>
    <s v="2"/>
    <s v="02"/>
    <s v="Rhineland Palatinate"/>
    <x v="2"/>
    <s v="TRIER"/>
    <s v="Germany"/>
    <s v="54290"/>
    <s v="80164"/>
    <s v="12"/>
    <s v="II-F03"/>
    <s v="500g Strawberry Muesli"/>
    <s v="Finished Product"/>
    <s v="F03"/>
    <s v="500g"/>
    <s v="Strawberry Muesli"/>
    <n v="3110"/>
    <n v="3110"/>
    <s v="ST"/>
    <n v="4.9000000000000004"/>
    <n v="15239"/>
    <n v="3825.3"/>
    <s v="EUR"/>
    <n v="11413.7"/>
    <n v="0.75"/>
  </r>
  <r>
    <s v=".1~749"/>
    <n v="749"/>
    <x v="0"/>
    <x v="5"/>
    <s v="10"/>
    <s v="06/10"/>
    <d v="2021-04-20T00:00:00"/>
    <n v="22"/>
    <n v="110"/>
    <s v="4207"/>
    <s v="1"/>
    <s v="02"/>
    <s v="Lower Saxony"/>
    <x v="0"/>
    <s v="WOLFSBURG"/>
    <s v="Germany"/>
    <s v="38440"/>
    <s v="80228"/>
    <s v="14"/>
    <s v="II-F02"/>
    <s v="500g Blueberry Muesli"/>
    <s v="Finished Product"/>
    <s v="F02"/>
    <s v="500g"/>
    <s v="Blueberry Muesli"/>
    <n v="3393"/>
    <n v="3393"/>
    <s v="ST"/>
    <n v="4.8"/>
    <n v="16286.4"/>
    <n v="4173.3900000000003"/>
    <s v="EUR"/>
    <n v="12113.01"/>
    <n v="0.74"/>
  </r>
  <r>
    <s v=".1~750"/>
    <n v="750"/>
    <x v="0"/>
    <x v="5"/>
    <s v="10"/>
    <s v="06/10"/>
    <d v="2021-04-20T00:00:00"/>
    <n v="22"/>
    <n v="110"/>
    <s v="4209"/>
    <s v="1"/>
    <s v="02"/>
    <s v="Nrth Rhine Westfalia"/>
    <x v="2"/>
    <s v="WUPPERTAL"/>
    <s v="Germany"/>
    <s v="42275"/>
    <s v="80259"/>
    <s v="14"/>
    <s v="II-F02"/>
    <s v="500g Blueberry Muesli"/>
    <s v="Finished Product"/>
    <s v="F02"/>
    <s v="500g"/>
    <s v="Blueberry Muesli"/>
    <n v="2855"/>
    <n v="2855"/>
    <s v="ST"/>
    <n v="4.8"/>
    <n v="13704"/>
    <n v="3511.65"/>
    <s v="EUR"/>
    <n v="10192.35"/>
    <n v="0.74"/>
  </r>
  <r>
    <s v=".1~751"/>
    <n v="751"/>
    <x v="0"/>
    <x v="5"/>
    <s v="10"/>
    <s v="06/10"/>
    <d v="2021-04-20T00:00:00"/>
    <n v="22"/>
    <n v="110"/>
    <s v="4210"/>
    <s v="1"/>
    <s v="02"/>
    <s v="Bavaria"/>
    <x v="1"/>
    <s v="MÜNCHEN"/>
    <s v="Germany"/>
    <s v="80939"/>
    <s v="80190"/>
    <s v="14"/>
    <s v="II-F02"/>
    <s v="500g Blueberry Muesli"/>
    <s v="Finished Product"/>
    <s v="F02"/>
    <s v="500g"/>
    <s v="Blueberry Muesli"/>
    <n v="3150"/>
    <n v="3150"/>
    <s v="ST"/>
    <n v="4.8"/>
    <n v="15120"/>
    <n v="3874.5"/>
    <s v="EUR"/>
    <n v="11245.5"/>
    <n v="0.74"/>
  </r>
  <r>
    <s v=".1~752"/>
    <n v="752"/>
    <x v="0"/>
    <x v="5"/>
    <s v="10"/>
    <s v="06/10"/>
    <d v="2021-04-20T00:00:00"/>
    <n v="22"/>
    <n v="110"/>
    <s v="4211"/>
    <s v="1"/>
    <s v="02"/>
    <s v="Baden-Wurttemberg"/>
    <x v="1"/>
    <s v="DETTLINGEN/EMS"/>
    <s v="Germany"/>
    <s v="72581"/>
    <s v="80173"/>
    <s v="14"/>
    <s v="II-F02"/>
    <s v="500g Blueberry Muesli"/>
    <s v="Finished Product"/>
    <s v="F02"/>
    <s v="500g"/>
    <s v="Blueberry Muesli"/>
    <n v="3139"/>
    <n v="3139"/>
    <s v="ST"/>
    <n v="4.8"/>
    <n v="15067.2"/>
    <n v="3860.97"/>
    <s v="EUR"/>
    <n v="11206.23"/>
    <n v="0.74"/>
  </r>
  <r>
    <s v=".1~753"/>
    <n v="753"/>
    <x v="0"/>
    <x v="5"/>
    <s v="10"/>
    <s v="06/10"/>
    <d v="2021-04-20T00:00:00"/>
    <n v="22"/>
    <n v="110"/>
    <s v="4212"/>
    <s v="1"/>
    <s v="02"/>
    <s v="Thuringia"/>
    <x v="1"/>
    <s v="JENA"/>
    <s v="Germany"/>
    <s v="07747"/>
    <s v="80291"/>
    <s v="14"/>
    <s v="II-F02"/>
    <s v="500g Blueberry Muesli"/>
    <s v="Finished Product"/>
    <s v="F02"/>
    <s v="500g"/>
    <s v="Blueberry Muesli"/>
    <n v="3199"/>
    <n v="3199"/>
    <s v="ST"/>
    <n v="4.8"/>
    <n v="15355.2"/>
    <n v="3934.77"/>
    <s v="EUR"/>
    <n v="11420.43"/>
    <n v="0.74"/>
  </r>
  <r>
    <s v=".1~754"/>
    <n v="754"/>
    <x v="0"/>
    <x v="5"/>
    <s v="11"/>
    <s v="06/11"/>
    <d v="2021-04-21T00:00:00"/>
    <n v="23"/>
    <n v="111"/>
    <s v="4231"/>
    <s v="1"/>
    <s v="02"/>
    <s v="Nrth Rhine Westfalia"/>
    <x v="2"/>
    <s v="BIELEFELD"/>
    <s v="Germany"/>
    <s v="33611"/>
    <s v="80231"/>
    <s v="14"/>
    <s v="II-F04"/>
    <s v="500g Raisin Muesli"/>
    <s v="Finished Product"/>
    <s v="F04"/>
    <s v="500g"/>
    <s v="Raisin Muesli"/>
    <n v="3193"/>
    <n v="3193"/>
    <s v="ST"/>
    <n v="4.3"/>
    <n v="13729.9"/>
    <n v="2522.4699999999998"/>
    <s v="EUR"/>
    <n v="11207.43"/>
    <n v="0.82"/>
  </r>
  <r>
    <s v=".1~755"/>
    <n v="755"/>
    <x v="0"/>
    <x v="5"/>
    <s v="11"/>
    <s v="06/11"/>
    <d v="2021-04-21T00:00:00"/>
    <n v="23"/>
    <n v="111"/>
    <s v="4235"/>
    <s v="1"/>
    <s v="02"/>
    <s v="Hessen"/>
    <x v="1"/>
    <s v="GIEßEN"/>
    <s v="Germany"/>
    <s v="35390"/>
    <s v="80210"/>
    <s v="14"/>
    <s v="II-F04"/>
    <s v="500g Raisin Muesli"/>
    <s v="Finished Product"/>
    <s v="F04"/>
    <s v="500g"/>
    <s v="Raisin Muesli"/>
    <n v="3666"/>
    <n v="3666"/>
    <s v="ST"/>
    <n v="4.3"/>
    <n v="15763.8"/>
    <n v="2896.14"/>
    <s v="EUR"/>
    <n v="12867.66"/>
    <n v="0.82"/>
  </r>
  <r>
    <s v=".1~756"/>
    <n v="756"/>
    <x v="0"/>
    <x v="5"/>
    <s v="12"/>
    <s v="06/12"/>
    <d v="2021-04-22T00:00:00"/>
    <n v="23"/>
    <n v="112"/>
    <s v="4243"/>
    <s v="3"/>
    <s v="02"/>
    <s v="Baden-Wurttemberg"/>
    <x v="1"/>
    <s v="FREIBURG"/>
    <s v="Germany"/>
    <s v="79098"/>
    <s v="80113"/>
    <s v="12"/>
    <s v="II-F04"/>
    <s v="500g Raisin Muesli"/>
    <s v="Finished Product"/>
    <s v="F04"/>
    <s v="500g"/>
    <s v="Raisin Muesli"/>
    <n v="3767"/>
    <n v="3767"/>
    <s v="ST"/>
    <n v="4.3899999999999997"/>
    <n v="16537.13"/>
    <n v="2975.93"/>
    <s v="EUR"/>
    <n v="13561.2"/>
    <n v="0.82"/>
  </r>
  <r>
    <s v=".1~757"/>
    <n v="757"/>
    <x v="0"/>
    <x v="5"/>
    <s v="12"/>
    <s v="06/12"/>
    <d v="2021-04-22T00:00:00"/>
    <n v="23"/>
    <n v="112"/>
    <s v="4243"/>
    <s v="1"/>
    <s v="02"/>
    <s v="Baden-Wurttemberg"/>
    <x v="1"/>
    <s v="FREIBURG"/>
    <s v="Germany"/>
    <s v="79098"/>
    <s v="80113"/>
    <s v="12"/>
    <s v="II-F12"/>
    <s v="1kg Blueberry Muesli"/>
    <s v="Finished Product"/>
    <s v="F12"/>
    <s v="1kg"/>
    <s v="Blueberry Muesli"/>
    <n v="2707"/>
    <n v="2707"/>
    <s v="ST"/>
    <n v="6.09"/>
    <n v="16485.63"/>
    <n v="6144.89"/>
    <s v="EUR"/>
    <n v="10340.74"/>
    <n v="0.63"/>
  </r>
  <r>
    <s v=".1~758"/>
    <n v="758"/>
    <x v="0"/>
    <x v="5"/>
    <s v="12"/>
    <s v="06/12"/>
    <d v="2021-04-22T00:00:00"/>
    <n v="23"/>
    <n v="112"/>
    <s v="4243"/>
    <s v="2"/>
    <s v="02"/>
    <s v="Baden-Wurttemberg"/>
    <x v="1"/>
    <s v="FREIBURG"/>
    <s v="Germany"/>
    <s v="79098"/>
    <s v="80113"/>
    <s v="12"/>
    <s v="II-F12"/>
    <s v="1kg Blueberry Muesli"/>
    <s v="Finished Product"/>
    <s v="F12"/>
    <s v="1kg"/>
    <s v="Blueberry Muesli"/>
    <n v="2298"/>
    <n v="2298"/>
    <s v="ST"/>
    <n v="6.09"/>
    <n v="13994.82"/>
    <n v="5216.46"/>
    <s v="EUR"/>
    <n v="8778.36"/>
    <n v="0.63"/>
  </r>
  <r>
    <s v=".1~759"/>
    <n v="759"/>
    <x v="0"/>
    <x v="5"/>
    <s v="12"/>
    <s v="06/12"/>
    <d v="2021-04-22T00:00:00"/>
    <n v="23"/>
    <n v="112"/>
    <s v="4243"/>
    <s v="4"/>
    <s v="02"/>
    <s v="Baden-Wurttemberg"/>
    <x v="1"/>
    <s v="FREIBURG"/>
    <s v="Germany"/>
    <s v="79098"/>
    <s v="80113"/>
    <s v="12"/>
    <s v="II-F12"/>
    <s v="1kg Blueberry Muesli"/>
    <s v="Finished Product"/>
    <s v="F12"/>
    <s v="1kg"/>
    <s v="Blueberry Muesli"/>
    <n v="2731"/>
    <n v="2731"/>
    <s v="ST"/>
    <n v="6.09"/>
    <n v="16631.79"/>
    <n v="6199.37"/>
    <s v="EUR"/>
    <n v="10432.42"/>
    <n v="0.63"/>
  </r>
  <r>
    <s v=".1~760"/>
    <n v="760"/>
    <x v="0"/>
    <x v="5"/>
    <s v="12"/>
    <s v="06/12"/>
    <d v="2021-04-22T00:00:00"/>
    <n v="23"/>
    <n v="112"/>
    <s v="4260"/>
    <s v="1"/>
    <s v="02"/>
    <s v="Baden-Wurttemberg"/>
    <x v="1"/>
    <s v="NAGOLD"/>
    <s v="Germany"/>
    <s v="72202"/>
    <s v="80177"/>
    <s v="14"/>
    <s v="II-F04"/>
    <s v="500g Raisin Muesli"/>
    <s v="Finished Product"/>
    <s v="F04"/>
    <s v="500g"/>
    <s v="Raisin Muesli"/>
    <n v="3632"/>
    <n v="3632"/>
    <s v="ST"/>
    <n v="4.3"/>
    <n v="15617.6"/>
    <n v="2869.28"/>
    <s v="EUR"/>
    <n v="12748.32"/>
    <n v="0.82"/>
  </r>
  <r>
    <s v=".1~761"/>
    <n v="761"/>
    <x v="0"/>
    <x v="5"/>
    <s v="13"/>
    <s v="06/13"/>
    <d v="2021-04-23T00:00:00"/>
    <n v="23"/>
    <n v="113"/>
    <s v="4284"/>
    <s v="1"/>
    <s v="02"/>
    <s v="Nrth Rhine Westfalia"/>
    <x v="2"/>
    <s v="DÜREN"/>
    <s v="Germany"/>
    <s v="52349"/>
    <s v="80109"/>
    <s v="10"/>
    <s v="II-F12"/>
    <s v="1kg Blueberry Muesli"/>
    <s v="Finished Product"/>
    <s v="F12"/>
    <s v="1kg"/>
    <s v="Blueberry Muesli"/>
    <n v="2470"/>
    <n v="2470"/>
    <s v="ST"/>
    <n v="5.97"/>
    <n v="14745.9"/>
    <n v="5606.9"/>
    <s v="EUR"/>
    <n v="9139"/>
    <n v="0.62"/>
  </r>
  <r>
    <s v=".1~762"/>
    <n v="762"/>
    <x v="0"/>
    <x v="5"/>
    <s v="13"/>
    <s v="06/13"/>
    <d v="2021-04-23T00:00:00"/>
    <n v="23"/>
    <n v="113"/>
    <s v="4284"/>
    <s v="2"/>
    <s v="02"/>
    <s v="Nrth Rhine Westfalia"/>
    <x v="2"/>
    <s v="DÜREN"/>
    <s v="Germany"/>
    <s v="52349"/>
    <s v="80109"/>
    <s v="10"/>
    <s v="II-F12"/>
    <s v="1kg Blueberry Muesli"/>
    <s v="Finished Product"/>
    <s v="F12"/>
    <s v="1kg"/>
    <s v="Blueberry Muesli"/>
    <n v="1292"/>
    <n v="1292"/>
    <s v="ST"/>
    <n v="5.97"/>
    <n v="7713.24"/>
    <n v="2932.84"/>
    <s v="EUR"/>
    <n v="4780.3999999999996"/>
    <n v="0.62"/>
  </r>
  <r>
    <s v=".1~763"/>
    <n v="763"/>
    <x v="0"/>
    <x v="5"/>
    <s v="13"/>
    <s v="06/13"/>
    <d v="2021-04-23T00:00:00"/>
    <n v="23"/>
    <n v="113"/>
    <s v="4271"/>
    <s v="1"/>
    <s v="02"/>
    <s v="Berlin"/>
    <x v="0"/>
    <s v="BERLIN"/>
    <s v="Germany"/>
    <s v="13349"/>
    <s v="80129"/>
    <s v="12"/>
    <s v="II-F03"/>
    <s v="500g Strawberry Muesli"/>
    <s v="Finished Product"/>
    <s v="F03"/>
    <s v="500g"/>
    <s v="Strawberry Muesli"/>
    <n v="1589"/>
    <n v="1589"/>
    <s v="ST"/>
    <n v="4.9000000000000004"/>
    <n v="7786.1"/>
    <n v="1954.47"/>
    <s v="EUR"/>
    <n v="5831.63"/>
    <n v="0.75"/>
  </r>
  <r>
    <s v=".1~764"/>
    <n v="764"/>
    <x v="0"/>
    <x v="5"/>
    <s v="13"/>
    <s v="06/13"/>
    <d v="2021-04-23T00:00:00"/>
    <n v="23"/>
    <n v="113"/>
    <s v="4271"/>
    <s v="2"/>
    <s v="02"/>
    <s v="Berlin"/>
    <x v="0"/>
    <s v="BERLIN"/>
    <s v="Germany"/>
    <s v="13349"/>
    <s v="80129"/>
    <s v="12"/>
    <s v="II-F04"/>
    <s v="500g Raisin Muesli"/>
    <s v="Finished Product"/>
    <s v="F04"/>
    <s v="500g"/>
    <s v="Raisin Muesli"/>
    <n v="3477"/>
    <n v="3477"/>
    <s v="ST"/>
    <n v="4.3899999999999997"/>
    <n v="15264.03"/>
    <n v="2746.83"/>
    <s v="EUR"/>
    <n v="12517.2"/>
    <n v="0.82"/>
  </r>
  <r>
    <s v=".1~765"/>
    <n v="765"/>
    <x v="0"/>
    <x v="5"/>
    <s v="13"/>
    <s v="06/13"/>
    <d v="2021-04-23T00:00:00"/>
    <n v="23"/>
    <n v="113"/>
    <s v="4273"/>
    <s v="1"/>
    <s v="02"/>
    <s v="Nrth Rhine Westfalia"/>
    <x v="2"/>
    <s v="HERFORD"/>
    <s v="Germany"/>
    <s v="32052"/>
    <s v="80155"/>
    <s v="12"/>
    <s v="II-F04"/>
    <s v="500g Raisin Muesli"/>
    <s v="Finished Product"/>
    <s v="F04"/>
    <s v="500g"/>
    <s v="Raisin Muesli"/>
    <n v="3509"/>
    <n v="3509"/>
    <s v="ST"/>
    <n v="4.3899999999999997"/>
    <n v="15404.51"/>
    <n v="2772.11"/>
    <s v="EUR"/>
    <n v="12632.4"/>
    <n v="0.82"/>
  </r>
  <r>
    <s v=".1~766"/>
    <n v="766"/>
    <x v="0"/>
    <x v="5"/>
    <s v="13"/>
    <s v="06/13"/>
    <d v="2021-04-23T00:00:00"/>
    <n v="23"/>
    <n v="113"/>
    <s v="4273"/>
    <s v="2"/>
    <s v="02"/>
    <s v="Nrth Rhine Westfalia"/>
    <x v="2"/>
    <s v="HERFORD"/>
    <s v="Germany"/>
    <s v="32052"/>
    <s v="80155"/>
    <s v="12"/>
    <s v="II-F12"/>
    <s v="1kg Blueberry Muesli"/>
    <s v="Finished Product"/>
    <s v="F12"/>
    <s v="1kg"/>
    <s v="Blueberry Muesli"/>
    <n v="2363"/>
    <n v="2363"/>
    <s v="ST"/>
    <n v="6.09"/>
    <n v="14390.67"/>
    <n v="5364.01"/>
    <s v="EUR"/>
    <n v="9026.66"/>
    <n v="0.63"/>
  </r>
  <r>
    <s v=".1~767"/>
    <n v="767"/>
    <x v="0"/>
    <x v="5"/>
    <s v="13"/>
    <s v="06/13"/>
    <d v="2021-04-23T00:00:00"/>
    <n v="23"/>
    <n v="113"/>
    <s v="4273"/>
    <s v="3"/>
    <s v="02"/>
    <s v="Nrth Rhine Westfalia"/>
    <x v="2"/>
    <s v="HERFORD"/>
    <s v="Germany"/>
    <s v="32052"/>
    <s v="80155"/>
    <s v="12"/>
    <s v="II-F12"/>
    <s v="1kg Blueberry Muesli"/>
    <s v="Finished Product"/>
    <s v="F12"/>
    <s v="1kg"/>
    <s v="Blueberry Muesli"/>
    <n v="2157"/>
    <n v="2157"/>
    <s v="ST"/>
    <n v="6.09"/>
    <n v="13136.13"/>
    <n v="4896.3900000000003"/>
    <s v="EUR"/>
    <n v="8239.74"/>
    <n v="0.63"/>
  </r>
  <r>
    <s v=".1~768"/>
    <n v="768"/>
    <x v="0"/>
    <x v="5"/>
    <s v="13"/>
    <s v="06/13"/>
    <d v="2021-04-23T00:00:00"/>
    <n v="23"/>
    <n v="113"/>
    <s v="4273"/>
    <s v="4"/>
    <s v="02"/>
    <s v="Nrth Rhine Westfalia"/>
    <x v="2"/>
    <s v="HERFORD"/>
    <s v="Germany"/>
    <s v="32052"/>
    <s v="80155"/>
    <s v="12"/>
    <s v="II-F12"/>
    <s v="1kg Blueberry Muesli"/>
    <s v="Finished Product"/>
    <s v="F12"/>
    <s v="1kg"/>
    <s v="Blueberry Muesli"/>
    <n v="2121"/>
    <n v="2121"/>
    <s v="ST"/>
    <n v="6.09"/>
    <n v="12916.89"/>
    <n v="4814.67"/>
    <s v="EUR"/>
    <n v="8102.22"/>
    <n v="0.63"/>
  </r>
  <r>
    <s v=".1~769"/>
    <n v="769"/>
    <x v="0"/>
    <x v="5"/>
    <s v="13"/>
    <s v="06/13"/>
    <d v="2021-04-23T00:00:00"/>
    <n v="23"/>
    <n v="113"/>
    <s v="4272"/>
    <s v="4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747"/>
    <n v="2747"/>
    <s v="ST"/>
    <n v="6.09"/>
    <n v="16729.23"/>
    <n v="6235.69"/>
    <s v="EUR"/>
    <n v="10493.54"/>
    <n v="0.63"/>
  </r>
  <r>
    <s v=".1~770"/>
    <n v="770"/>
    <x v="0"/>
    <x v="5"/>
    <s v="13"/>
    <s v="06/13"/>
    <d v="2021-04-23T00:00:00"/>
    <n v="23"/>
    <n v="113"/>
    <s v="4272"/>
    <s v="3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264"/>
    <n v="2264"/>
    <s v="ST"/>
    <n v="6.09"/>
    <n v="13787.76"/>
    <n v="5139.28"/>
    <s v="EUR"/>
    <n v="8648.48"/>
    <n v="0.63"/>
  </r>
  <r>
    <s v=".1~771"/>
    <n v="771"/>
    <x v="0"/>
    <x v="5"/>
    <s v="13"/>
    <s v="06/13"/>
    <d v="2021-04-23T00:00:00"/>
    <n v="23"/>
    <n v="113"/>
    <s v="4272"/>
    <s v="2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593"/>
    <n v="2593"/>
    <s v="ST"/>
    <n v="6.09"/>
    <n v="15791.37"/>
    <n v="5886.11"/>
    <s v="EUR"/>
    <n v="9905.26"/>
    <n v="0.63"/>
  </r>
  <r>
    <s v=".1~772"/>
    <n v="772"/>
    <x v="0"/>
    <x v="5"/>
    <s v="13"/>
    <s v="06/13"/>
    <d v="2021-04-23T00:00:00"/>
    <n v="23"/>
    <n v="113"/>
    <s v="4272"/>
    <s v="1"/>
    <s v="02"/>
    <s v="Bremen"/>
    <x v="0"/>
    <s v="BREMEN"/>
    <s v="Germany"/>
    <s v="28259"/>
    <s v="80133"/>
    <s v="12"/>
    <s v="II-F12"/>
    <s v="1kg Blueberry Muesli"/>
    <s v="Finished Product"/>
    <s v="F12"/>
    <s v="1kg"/>
    <s v="Blueberry Muesli"/>
    <n v="2444"/>
    <n v="2444"/>
    <s v="ST"/>
    <n v="6.09"/>
    <n v="14883.96"/>
    <n v="5547.88"/>
    <s v="EUR"/>
    <n v="9336.08"/>
    <n v="0.63"/>
  </r>
  <r>
    <s v=".1~773"/>
    <n v="773"/>
    <x v="0"/>
    <x v="5"/>
    <s v="13"/>
    <s v="06/13"/>
    <d v="2021-04-23T00:00:00"/>
    <n v="23"/>
    <n v="113"/>
    <s v="4271"/>
    <s v="3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370"/>
    <n v="2370"/>
    <s v="ST"/>
    <n v="6.09"/>
    <n v="14433.3"/>
    <n v="5379.9"/>
    <s v="EUR"/>
    <n v="9053.4"/>
    <n v="0.63"/>
  </r>
  <r>
    <s v=".1~774"/>
    <n v="774"/>
    <x v="0"/>
    <x v="5"/>
    <s v="13"/>
    <s v="06/13"/>
    <d v="2021-04-23T00:00:00"/>
    <n v="23"/>
    <n v="113"/>
    <s v="4271"/>
    <s v="4"/>
    <s v="02"/>
    <s v="Berlin"/>
    <x v="0"/>
    <s v="BERLIN"/>
    <s v="Germany"/>
    <s v="13349"/>
    <s v="80129"/>
    <s v="12"/>
    <s v="II-F12"/>
    <s v="1kg Blueberry Muesli"/>
    <s v="Finished Product"/>
    <s v="F12"/>
    <s v="1kg"/>
    <s v="Blueberry Muesli"/>
    <n v="2568"/>
    <n v="2568"/>
    <s v="ST"/>
    <n v="6.09"/>
    <n v="15639.12"/>
    <n v="5829.36"/>
    <s v="EUR"/>
    <n v="9809.76"/>
    <n v="0.63"/>
  </r>
  <r>
    <s v=".1~775"/>
    <n v="775"/>
    <x v="0"/>
    <x v="5"/>
    <s v="13"/>
    <s v="06/13"/>
    <d v="2021-04-23T00:00:00"/>
    <n v="23"/>
    <n v="113"/>
    <s v="4277"/>
    <s v="1"/>
    <s v="02"/>
    <s v="Hamburg"/>
    <x v="0"/>
    <s v="HAMBURG"/>
    <s v="Germany"/>
    <s v="22145"/>
    <s v="80205"/>
    <s v="14"/>
    <s v="II-F04"/>
    <s v="500g Raisin Muesli"/>
    <s v="Finished Product"/>
    <s v="F04"/>
    <s v="500g"/>
    <s v="Raisin Muesli"/>
    <n v="3524"/>
    <n v="3524"/>
    <s v="ST"/>
    <n v="4.3"/>
    <n v="15153.2"/>
    <n v="2783.96"/>
    <s v="EUR"/>
    <n v="12369.24"/>
    <n v="0.82"/>
  </r>
  <r>
    <s v=".1~776"/>
    <n v="776"/>
    <x v="0"/>
    <x v="5"/>
    <s v="13"/>
    <s v="06/13"/>
    <d v="2021-04-23T00:00:00"/>
    <n v="23"/>
    <n v="113"/>
    <s v="4281"/>
    <s v="1"/>
    <s v="02"/>
    <s v="Baden-Wurttemberg"/>
    <x v="1"/>
    <s v="KARLSRUHE"/>
    <s v="Germany"/>
    <s v="76185"/>
    <s v="80175"/>
    <s v="14"/>
    <s v="II-F04"/>
    <s v="500g Raisin Muesli"/>
    <s v="Finished Product"/>
    <s v="F04"/>
    <s v="500g"/>
    <s v="Raisin Muesli"/>
    <n v="3150"/>
    <n v="3150"/>
    <s v="ST"/>
    <n v="4.3"/>
    <n v="13545"/>
    <n v="2488.5"/>
    <s v="EUR"/>
    <n v="11056.5"/>
    <n v="0.82"/>
  </r>
  <r>
    <s v=".1~777"/>
    <n v="777"/>
    <x v="0"/>
    <x v="5"/>
    <s v="14"/>
    <s v="06/14"/>
    <d v="2021-04-24T00:00:00"/>
    <n v="23"/>
    <n v="114"/>
    <s v="4307"/>
    <s v="2"/>
    <s v="02"/>
    <s v="Nrth Rhine Westfalia"/>
    <x v="2"/>
    <s v="DÜSSELDORF"/>
    <s v="Germany"/>
    <s v="40235"/>
    <s v="80110"/>
    <s v="10"/>
    <s v="II-F11"/>
    <s v="1kg Nut Muesli"/>
    <s v="Finished Product"/>
    <s v="F11"/>
    <s v="1kg"/>
    <s v="Nut Muesli"/>
    <n v="2435"/>
    <n v="2435"/>
    <s v="ST"/>
    <n v="5.23"/>
    <n v="12735.05"/>
    <n v="3944.7"/>
    <s v="EUR"/>
    <n v="8790.35"/>
    <n v="0.69"/>
  </r>
  <r>
    <s v=".1~778"/>
    <n v="778"/>
    <x v="0"/>
    <x v="5"/>
    <s v="14"/>
    <s v="06/14"/>
    <d v="2021-04-24T00:00:00"/>
    <n v="23"/>
    <n v="114"/>
    <s v="4307"/>
    <s v="1"/>
    <s v="02"/>
    <s v="Nrth Rhine Westfalia"/>
    <x v="2"/>
    <s v="DÜSSELDORF"/>
    <s v="Germany"/>
    <s v="40235"/>
    <s v="80110"/>
    <s v="10"/>
    <s v="II-F11"/>
    <s v="1kg Nut Muesli"/>
    <s v="Finished Product"/>
    <s v="F11"/>
    <s v="1kg"/>
    <s v="Nut Muesli"/>
    <n v="2815"/>
    <n v="2815"/>
    <s v="ST"/>
    <n v="5.23"/>
    <n v="14722.45"/>
    <n v="4560.3"/>
    <s v="EUR"/>
    <n v="10162.15"/>
    <n v="0.69"/>
  </r>
  <r>
    <s v=".1~779"/>
    <n v="779"/>
    <x v="0"/>
    <x v="5"/>
    <s v="14"/>
    <s v="06/14"/>
    <d v="2021-04-24T00:00:00"/>
    <n v="23"/>
    <n v="114"/>
    <s v="4307"/>
    <s v="3"/>
    <s v="02"/>
    <s v="Nrth Rhine Westfalia"/>
    <x v="2"/>
    <s v="DÜSSELDORF"/>
    <s v="Germany"/>
    <s v="40235"/>
    <s v="80110"/>
    <s v="10"/>
    <s v="II-F12"/>
    <s v="1kg Blueberry Muesli"/>
    <s v="Finished Product"/>
    <s v="F12"/>
    <s v="1kg"/>
    <s v="Blueberry Muesli"/>
    <n v="2136"/>
    <n v="2136"/>
    <s v="ST"/>
    <n v="5.97"/>
    <n v="12751.92"/>
    <n v="4848.72"/>
    <s v="EUR"/>
    <n v="7903.2"/>
    <n v="0.62"/>
  </r>
  <r>
    <s v=".1~780"/>
    <n v="780"/>
    <x v="0"/>
    <x v="5"/>
    <s v="14"/>
    <s v="06/14"/>
    <d v="2021-04-24T00:00:00"/>
    <n v="23"/>
    <n v="114"/>
    <s v="4308"/>
    <s v="3"/>
    <s v="02"/>
    <s v="Lower Saxony"/>
    <x v="0"/>
    <s v="GÖTTINGEN"/>
    <s v="Germany"/>
    <s v="37075"/>
    <s v="80108"/>
    <s v="10"/>
    <s v="II-F12"/>
    <s v="1kg Blueberry Muesli"/>
    <s v="Finished Product"/>
    <s v="F12"/>
    <s v="1kg"/>
    <s v="Blueberry Muesli"/>
    <n v="2128"/>
    <n v="2128"/>
    <s v="ST"/>
    <n v="5.97"/>
    <n v="12704.16"/>
    <n v="4830.5600000000004"/>
    <s v="EUR"/>
    <n v="7873.6"/>
    <n v="0.62"/>
  </r>
  <r>
    <s v=".1~781"/>
    <n v="781"/>
    <x v="0"/>
    <x v="5"/>
    <s v="14"/>
    <s v="06/14"/>
    <d v="2021-04-24T00:00:00"/>
    <n v="23"/>
    <n v="114"/>
    <s v="4308"/>
    <s v="2"/>
    <s v="02"/>
    <s v="Lower Saxony"/>
    <x v="0"/>
    <s v="GÖTTINGEN"/>
    <s v="Germany"/>
    <s v="37075"/>
    <s v="80108"/>
    <s v="10"/>
    <s v="II-F12"/>
    <s v="1kg Blueberry Muesli"/>
    <s v="Finished Product"/>
    <s v="F12"/>
    <s v="1kg"/>
    <s v="Blueberry Muesli"/>
    <n v="2678"/>
    <n v="2678"/>
    <s v="ST"/>
    <n v="5.97"/>
    <n v="15987.66"/>
    <n v="6079.06"/>
    <s v="EUR"/>
    <n v="9908.6"/>
    <n v="0.62"/>
  </r>
  <r>
    <s v=".1~782"/>
    <n v="782"/>
    <x v="0"/>
    <x v="5"/>
    <s v="14"/>
    <s v="06/14"/>
    <d v="2021-04-24T00:00:00"/>
    <n v="23"/>
    <n v="114"/>
    <s v="4308"/>
    <s v="1"/>
    <s v="02"/>
    <s v="Lower Saxony"/>
    <x v="0"/>
    <s v="GÖTTINGEN"/>
    <s v="Germany"/>
    <s v="37075"/>
    <s v="80108"/>
    <s v="10"/>
    <s v="II-F12"/>
    <s v="1kg Blueberry Muesli"/>
    <s v="Finished Product"/>
    <s v="F12"/>
    <s v="1kg"/>
    <s v="Blueberry Muesli"/>
    <n v="2495"/>
    <n v="2495"/>
    <s v="ST"/>
    <n v="5.97"/>
    <n v="14895.15"/>
    <n v="5663.65"/>
    <s v="EUR"/>
    <n v="9231.5"/>
    <n v="0.62"/>
  </r>
  <r>
    <s v=".1~783"/>
    <n v="783"/>
    <x v="0"/>
    <x v="5"/>
    <s v="14"/>
    <s v="06/14"/>
    <d v="2021-04-24T00:00:00"/>
    <n v="23"/>
    <n v="114"/>
    <s v="4296"/>
    <s v="1"/>
    <s v="02"/>
    <s v="Lower Saxony"/>
    <x v="0"/>
    <s v="HILDESHEIM"/>
    <s v="Germany"/>
    <s v="31137"/>
    <s v="80223"/>
    <s v="14"/>
    <s v="II-F04"/>
    <s v="500g Raisin Muesli"/>
    <s v="Finished Product"/>
    <s v="F04"/>
    <s v="500g"/>
    <s v="Raisin Muesli"/>
    <n v="3750"/>
    <n v="3750"/>
    <s v="ST"/>
    <n v="4.3"/>
    <n v="16125"/>
    <n v="2962.5"/>
    <s v="EUR"/>
    <n v="13162.5"/>
    <n v="0.82"/>
  </r>
  <r>
    <s v=".1~784"/>
    <n v="784"/>
    <x v="0"/>
    <x v="5"/>
    <s v="14"/>
    <s v="06/14"/>
    <d v="2021-04-24T00:00:00"/>
    <n v="23"/>
    <n v="114"/>
    <s v="4302"/>
    <s v="1"/>
    <s v="02"/>
    <s v="Nrth Rhine Westfalia"/>
    <x v="2"/>
    <s v="BIELEFELD"/>
    <s v="Germany"/>
    <s v="33602"/>
    <s v="80232"/>
    <s v="14"/>
    <s v="II-F04"/>
    <s v="500g Raisin Muesli"/>
    <s v="Finished Product"/>
    <s v="F04"/>
    <s v="500g"/>
    <s v="Raisin Muesli"/>
    <n v="3291"/>
    <n v="3291"/>
    <s v="ST"/>
    <n v="4.3"/>
    <n v="14151.3"/>
    <n v="2599.89"/>
    <s v="EUR"/>
    <n v="11551.41"/>
    <n v="0.82"/>
  </r>
  <r>
    <s v=".1~785"/>
    <n v="785"/>
    <x v="0"/>
    <x v="5"/>
    <s v="15"/>
    <s v="06/15"/>
    <d v="2021-04-25T00:00:00"/>
    <n v="23"/>
    <n v="115"/>
    <s v="4318"/>
    <s v="1"/>
    <s v="02"/>
    <s v="Nrth Rhine Westfalia"/>
    <x v="2"/>
    <s v="HÜCKELHOVEN"/>
    <s v="Germany"/>
    <s v="41836"/>
    <s v="80156"/>
    <s v="12"/>
    <s v="II-F04"/>
    <s v="500g Raisin Muesli"/>
    <s v="Finished Product"/>
    <s v="F04"/>
    <s v="500g"/>
    <s v="Raisin Muesli"/>
    <n v="2041"/>
    <n v="2041"/>
    <s v="ST"/>
    <n v="4.3899999999999997"/>
    <n v="8959.99"/>
    <n v="1612.39"/>
    <s v="EUR"/>
    <n v="7347.6"/>
    <n v="0.82"/>
  </r>
  <r>
    <s v=".1~786"/>
    <n v="786"/>
    <x v="0"/>
    <x v="5"/>
    <s v="15"/>
    <s v="06/15"/>
    <d v="2021-04-25T00:00:00"/>
    <n v="23"/>
    <n v="115"/>
    <s v="4317"/>
    <s v="1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794"/>
    <n v="2794"/>
    <s v="ST"/>
    <n v="5.34"/>
    <n v="14919.96"/>
    <n v="4526.28"/>
    <s v="EUR"/>
    <n v="10393.68"/>
    <n v="0.7"/>
  </r>
  <r>
    <s v=".1~787"/>
    <n v="787"/>
    <x v="0"/>
    <x v="5"/>
    <s v="15"/>
    <s v="06/15"/>
    <d v="2021-04-25T00:00:00"/>
    <n v="23"/>
    <n v="115"/>
    <s v="4317"/>
    <s v="2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463"/>
    <n v="2463"/>
    <s v="ST"/>
    <n v="5.34"/>
    <n v="13152.42"/>
    <n v="3990.06"/>
    <s v="EUR"/>
    <n v="9162.36"/>
    <n v="0.7"/>
  </r>
  <r>
    <s v=".1~788"/>
    <n v="788"/>
    <x v="0"/>
    <x v="5"/>
    <s v="15"/>
    <s v="06/15"/>
    <d v="2021-04-25T00:00:00"/>
    <n v="23"/>
    <n v="115"/>
    <s v="4317"/>
    <s v="3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508"/>
    <n v="2508"/>
    <s v="ST"/>
    <n v="5.34"/>
    <n v="13392.72"/>
    <n v="4062.96"/>
    <s v="EUR"/>
    <n v="9329.76"/>
    <n v="0.7"/>
  </r>
  <r>
    <s v=".1~789"/>
    <n v="789"/>
    <x v="0"/>
    <x v="5"/>
    <s v="15"/>
    <s v="06/15"/>
    <d v="2021-04-25T00:00:00"/>
    <n v="23"/>
    <n v="115"/>
    <s v="4317"/>
    <s v="4"/>
    <s v="02"/>
    <s v="Lower Saxony"/>
    <x v="0"/>
    <s v="OLDENBURG"/>
    <s v="Germany"/>
    <s v="26129"/>
    <s v="80144"/>
    <s v="12"/>
    <s v="II-F11"/>
    <s v="1kg Nut Muesli"/>
    <s v="Finished Product"/>
    <s v="F11"/>
    <s v="1kg"/>
    <s v="Nut Muesli"/>
    <n v="2534"/>
    <n v="2534"/>
    <s v="ST"/>
    <n v="5.34"/>
    <n v="13531.56"/>
    <n v="4105.08"/>
    <s v="EUR"/>
    <n v="9426.48"/>
    <n v="0.7"/>
  </r>
  <r>
    <s v=".1~790"/>
    <n v="790"/>
    <x v="0"/>
    <x v="5"/>
    <s v="15"/>
    <s v="06/15"/>
    <d v="2021-04-25T00:00:00"/>
    <n v="23"/>
    <n v="115"/>
    <s v="4318"/>
    <s v="3"/>
    <s v="02"/>
    <s v="Nrth Rhine Westfalia"/>
    <x v="2"/>
    <s v="HÜCKELHOVEN"/>
    <s v="Germany"/>
    <s v="41836"/>
    <s v="80156"/>
    <s v="12"/>
    <s v="II-F11"/>
    <s v="1kg Nut Muesli"/>
    <s v="Finished Product"/>
    <s v="F11"/>
    <s v="1kg"/>
    <s v="Nut Muesli"/>
    <n v="2753"/>
    <n v="2753"/>
    <s v="ST"/>
    <n v="5.34"/>
    <n v="14701.02"/>
    <n v="4459.8599999999997"/>
    <s v="EUR"/>
    <n v="10241.16"/>
    <n v="0.7"/>
  </r>
  <r>
    <s v=".1~791"/>
    <n v="791"/>
    <x v="0"/>
    <x v="5"/>
    <s v="15"/>
    <s v="06/15"/>
    <d v="2021-04-25T00:00:00"/>
    <n v="23"/>
    <n v="115"/>
    <s v="4320"/>
    <s v="2"/>
    <s v="02"/>
    <s v="Rhineland Palatinate"/>
    <x v="2"/>
    <s v="TRIER"/>
    <s v="Germany"/>
    <s v="54290"/>
    <s v="80164"/>
    <s v="12"/>
    <s v="II-F11"/>
    <s v="1kg Nut Muesli"/>
    <s v="Finished Product"/>
    <s v="F11"/>
    <s v="1kg"/>
    <s v="Nut Muesli"/>
    <n v="2927"/>
    <n v="2927"/>
    <s v="ST"/>
    <n v="5.34"/>
    <n v="15630.18"/>
    <n v="4741.74"/>
    <s v="EUR"/>
    <n v="10888.44"/>
    <n v="0.7"/>
  </r>
  <r>
    <s v=".1~792"/>
    <n v="792"/>
    <x v="0"/>
    <x v="5"/>
    <s v="15"/>
    <s v="06/15"/>
    <d v="2021-04-25T00:00:00"/>
    <n v="23"/>
    <n v="115"/>
    <s v="4320"/>
    <s v="3"/>
    <s v="02"/>
    <s v="Rhineland Palatinate"/>
    <x v="2"/>
    <s v="TRIER"/>
    <s v="Germany"/>
    <s v="54290"/>
    <s v="80164"/>
    <s v="12"/>
    <s v="II-F11"/>
    <s v="1kg Nut Muesli"/>
    <s v="Finished Product"/>
    <s v="F11"/>
    <s v="1kg"/>
    <s v="Nut Muesli"/>
    <n v="2390"/>
    <n v="2390"/>
    <s v="ST"/>
    <n v="5.34"/>
    <n v="12762.6"/>
    <n v="3871.8"/>
    <s v="EUR"/>
    <n v="8890.7999999999993"/>
    <n v="0.7"/>
  </r>
  <r>
    <s v=".1~793"/>
    <n v="793"/>
    <x v="0"/>
    <x v="5"/>
    <s v="15"/>
    <s v="06/15"/>
    <d v="2021-04-25T00:00:00"/>
    <n v="23"/>
    <n v="115"/>
    <s v="4318"/>
    <s v="2"/>
    <s v="02"/>
    <s v="Nrth Rhine Westfalia"/>
    <x v="2"/>
    <s v="HÜCKELHOVEN"/>
    <s v="Germany"/>
    <s v="41836"/>
    <s v="80156"/>
    <s v="12"/>
    <s v="II-F12"/>
    <s v="1kg Blueberry Muesli"/>
    <s v="Finished Product"/>
    <s v="F12"/>
    <s v="1kg"/>
    <s v="Blueberry Muesli"/>
    <n v="2153"/>
    <n v="2153"/>
    <s v="ST"/>
    <n v="6.09"/>
    <n v="13111.77"/>
    <n v="4887.3100000000004"/>
    <s v="EUR"/>
    <n v="8224.4599999999991"/>
    <n v="0.63"/>
  </r>
  <r>
    <s v=".1~794"/>
    <n v="794"/>
    <x v="0"/>
    <x v="5"/>
    <s v="15"/>
    <s v="06/15"/>
    <d v="2021-04-25T00:00:00"/>
    <n v="23"/>
    <n v="115"/>
    <s v="4320"/>
    <s v="1"/>
    <s v="02"/>
    <s v="Rhineland Palatinate"/>
    <x v="2"/>
    <s v="TRIER"/>
    <s v="Germany"/>
    <s v="54290"/>
    <s v="80164"/>
    <s v="12"/>
    <s v="II-F12"/>
    <s v="1kg Blueberry Muesli"/>
    <s v="Finished Product"/>
    <s v="F12"/>
    <s v="1kg"/>
    <s v="Blueberry Muesli"/>
    <n v="2127"/>
    <n v="2127"/>
    <s v="ST"/>
    <n v="6.09"/>
    <n v="12953.43"/>
    <n v="4828.29"/>
    <s v="EUR"/>
    <n v="8125.14"/>
    <n v="0.63"/>
  </r>
  <r>
    <s v=".1~795"/>
    <n v="795"/>
    <x v="0"/>
    <x v="5"/>
    <s v="16"/>
    <s v="06/16"/>
    <d v="2021-04-26T00:00:00"/>
    <n v="24"/>
    <n v="116"/>
    <s v="4355"/>
    <s v="3"/>
    <s v="02"/>
    <s v="Nrth Rhine Westfalia"/>
    <x v="2"/>
    <s v="WITTEN"/>
    <s v="Germany"/>
    <s v="58452"/>
    <s v="80111"/>
    <s v="10"/>
    <s v="II-F11"/>
    <s v="1kg Nut Muesli"/>
    <s v="Finished Product"/>
    <s v="F11"/>
    <s v="1kg"/>
    <s v="Nut Muesli"/>
    <n v="2445"/>
    <n v="2445"/>
    <s v="ST"/>
    <n v="5.23"/>
    <n v="12787.35"/>
    <n v="3960.9"/>
    <s v="EUR"/>
    <n v="8826.4500000000007"/>
    <n v="0.69"/>
  </r>
  <r>
    <s v=".1~796"/>
    <n v="796"/>
    <x v="0"/>
    <x v="5"/>
    <s v="16"/>
    <s v="06/16"/>
    <d v="2021-04-26T00:00:00"/>
    <n v="24"/>
    <n v="116"/>
    <s v="4355"/>
    <s v="2"/>
    <s v="02"/>
    <s v="Nrth Rhine Westfalia"/>
    <x v="2"/>
    <s v="WITTEN"/>
    <s v="Germany"/>
    <s v="58452"/>
    <s v="80111"/>
    <s v="10"/>
    <s v="II-F11"/>
    <s v="1kg Nut Muesli"/>
    <s v="Finished Product"/>
    <s v="F11"/>
    <s v="1kg"/>
    <s v="Nut Muesli"/>
    <n v="2857"/>
    <n v="2857"/>
    <s v="ST"/>
    <n v="5.23"/>
    <n v="14942.11"/>
    <n v="4628.34"/>
    <s v="EUR"/>
    <n v="10313.77"/>
    <n v="0.69"/>
  </r>
  <r>
    <s v=".1~797"/>
    <n v="797"/>
    <x v="0"/>
    <x v="5"/>
    <s v="16"/>
    <s v="06/16"/>
    <d v="2021-04-26T00:00:00"/>
    <n v="24"/>
    <n v="116"/>
    <s v="4355"/>
    <s v="1"/>
    <s v="02"/>
    <s v="Nrth Rhine Westfalia"/>
    <x v="2"/>
    <s v="WITTEN"/>
    <s v="Germany"/>
    <s v="58452"/>
    <s v="80111"/>
    <s v="10"/>
    <s v="II-F11"/>
    <s v="1kg Nut Muesli"/>
    <s v="Finished Product"/>
    <s v="F11"/>
    <s v="1kg"/>
    <s v="Nut Muesli"/>
    <n v="2789"/>
    <n v="2789"/>
    <s v="ST"/>
    <n v="5.23"/>
    <n v="14586.47"/>
    <n v="4518.18"/>
    <s v="EUR"/>
    <n v="10068.290000000001"/>
    <n v="0.69"/>
  </r>
  <r>
    <s v=".1~798"/>
    <n v="798"/>
    <x v="0"/>
    <x v="5"/>
    <s v="16"/>
    <s v="06/16"/>
    <d v="2021-04-26T00:00:00"/>
    <n v="24"/>
    <n v="116"/>
    <s v="4339"/>
    <s v="3"/>
    <s v="02"/>
    <s v="Hessen"/>
    <x v="1"/>
    <s v="MAGDEBURG"/>
    <s v="Germany"/>
    <s v="39116"/>
    <s v="80107"/>
    <s v="10"/>
    <s v="II-F11"/>
    <s v="1kg Nut Muesli"/>
    <s v="Finished Product"/>
    <s v="F11"/>
    <s v="1kg"/>
    <s v="Nut Muesli"/>
    <n v="2981"/>
    <n v="2981"/>
    <s v="ST"/>
    <n v="5.23"/>
    <n v="15590.63"/>
    <n v="4829.22"/>
    <s v="EUR"/>
    <n v="10761.41"/>
    <n v="0.69"/>
  </r>
  <r>
    <s v=".1~799"/>
    <n v="799"/>
    <x v="0"/>
    <x v="5"/>
    <s v="16"/>
    <s v="06/16"/>
    <d v="2021-04-26T00:00:00"/>
    <n v="24"/>
    <n v="116"/>
    <s v="4339"/>
    <s v="2"/>
    <s v="02"/>
    <s v="Hessen"/>
    <x v="1"/>
    <s v="MAGDEBURG"/>
    <s v="Germany"/>
    <s v="39116"/>
    <s v="80107"/>
    <s v="10"/>
    <s v="II-F11"/>
    <s v="1kg Nut Muesli"/>
    <s v="Finished Product"/>
    <s v="F11"/>
    <s v="1kg"/>
    <s v="Nut Muesli"/>
    <n v="2522"/>
    <n v="2522"/>
    <s v="ST"/>
    <n v="5.23"/>
    <n v="13190.06"/>
    <n v="4085.64"/>
    <s v="EUR"/>
    <n v="9104.42"/>
    <n v="0.69"/>
  </r>
  <r>
    <s v=".1~800"/>
    <n v="800"/>
    <x v="0"/>
    <x v="5"/>
    <s v="16"/>
    <s v="06/16"/>
    <d v="2021-04-26T00:00:00"/>
    <n v="24"/>
    <n v="116"/>
    <s v="4339"/>
    <s v="1"/>
    <s v="02"/>
    <s v="Hessen"/>
    <x v="1"/>
    <s v="MAGDEBURG"/>
    <s v="Germany"/>
    <s v="39116"/>
    <s v="80107"/>
    <s v="10"/>
    <s v="II-F11"/>
    <s v="1kg Nut Muesli"/>
    <s v="Finished Product"/>
    <s v="F11"/>
    <s v="1kg"/>
    <s v="Nut Muesli"/>
    <n v="2956"/>
    <n v="2956"/>
    <s v="ST"/>
    <n v="5.23"/>
    <n v="15459.88"/>
    <n v="4788.72"/>
    <s v="EUR"/>
    <n v="10671.16"/>
    <n v="0.69"/>
  </r>
  <r>
    <s v=".1~801"/>
    <n v="801"/>
    <x v="0"/>
    <x v="5"/>
    <s v="16"/>
    <s v="06/16"/>
    <d v="2021-04-26T00:00:00"/>
    <n v="24"/>
    <n v="116"/>
    <s v="4344"/>
    <s v="1"/>
    <s v="02"/>
    <s v="Nrth Rhine Westfalia"/>
    <x v="2"/>
    <s v="DORTMUND"/>
    <s v="Germany"/>
    <s v="44339"/>
    <s v="80150"/>
    <s v="12"/>
    <s v="II-F11"/>
    <s v="1kg Nut Muesli"/>
    <s v="Finished Product"/>
    <s v="F11"/>
    <s v="1kg"/>
    <s v="Nut Muesli"/>
    <n v="2616"/>
    <n v="2616"/>
    <s v="ST"/>
    <n v="5.34"/>
    <n v="13969.44"/>
    <n v="4237.92"/>
    <s v="EUR"/>
    <n v="9731.52"/>
    <n v="0.7"/>
  </r>
  <r>
    <s v=".1~802"/>
    <n v="802"/>
    <x v="0"/>
    <x v="5"/>
    <s v="16"/>
    <s v="06/16"/>
    <d v="2021-04-26T00:00:00"/>
    <n v="24"/>
    <n v="116"/>
    <s v="4344"/>
    <s v="3"/>
    <s v="02"/>
    <s v="Nrth Rhine Westfalia"/>
    <x v="2"/>
    <s v="DORTMUND"/>
    <s v="Germany"/>
    <s v="44339"/>
    <s v="80150"/>
    <s v="12"/>
    <s v="II-F11"/>
    <s v="1kg Nut Muesli"/>
    <s v="Finished Product"/>
    <s v="F11"/>
    <s v="1kg"/>
    <s v="Nut Muesli"/>
    <n v="2718"/>
    <n v="2718"/>
    <s v="ST"/>
    <n v="5.34"/>
    <n v="14514.12"/>
    <n v="4403.16"/>
    <s v="EUR"/>
    <n v="10110.959999999999"/>
    <n v="0.7"/>
  </r>
  <r>
    <s v=".1~803"/>
    <n v="803"/>
    <x v="0"/>
    <x v="5"/>
    <s v="16"/>
    <s v="06/16"/>
    <d v="2021-04-26T00:00:00"/>
    <n v="24"/>
    <n v="116"/>
    <s v="4344"/>
    <s v="2"/>
    <s v="02"/>
    <s v="Nrth Rhine Westfalia"/>
    <x v="2"/>
    <s v="DORTMUND"/>
    <s v="Germany"/>
    <s v="44339"/>
    <s v="80150"/>
    <s v="12"/>
    <s v="II-F13"/>
    <s v="1kg Strawberry Muesli"/>
    <s v="Finished Product"/>
    <s v="F13"/>
    <s v="1kg"/>
    <s v="Strawberry Muesli"/>
    <n v="2659"/>
    <n v="2659"/>
    <s v="ST"/>
    <n v="4.9400000000000004"/>
    <n v="13135.46"/>
    <n v="6062.52"/>
    <s v="EUR"/>
    <n v="7072.94"/>
    <n v="0.54"/>
  </r>
  <r>
    <s v=".1~804"/>
    <n v="804"/>
    <x v="0"/>
    <x v="5"/>
    <s v="17"/>
    <s v="06/17"/>
    <d v="2021-04-27T00:00:00"/>
    <n v="24"/>
    <n v="117"/>
    <s v="4379"/>
    <s v="3"/>
    <s v="02"/>
    <s v="Nrth Rhine Westfalia"/>
    <x v="2"/>
    <s v="WITTEN"/>
    <s v="Germany"/>
    <s v="58452"/>
    <s v="80111"/>
    <s v="10"/>
    <s v="II-F12"/>
    <s v="1kg Blueberry Muesli"/>
    <s v="Finished Product"/>
    <s v="F12"/>
    <s v="1kg"/>
    <s v="Blueberry Muesli"/>
    <n v="1158"/>
    <n v="1158"/>
    <s v="ST"/>
    <n v="5.97"/>
    <n v="6913.26"/>
    <n v="2628.66"/>
    <s v="EUR"/>
    <n v="4284.6000000000004"/>
    <n v="0.62"/>
  </r>
  <r>
    <s v=".1~805"/>
    <n v="805"/>
    <x v="0"/>
    <x v="5"/>
    <s v="17"/>
    <s v="06/17"/>
    <d v="2021-04-27T00:00:00"/>
    <n v="24"/>
    <n v="117"/>
    <s v="4379"/>
    <s v="2"/>
    <s v="02"/>
    <s v="Nrth Rhine Westfalia"/>
    <x v="2"/>
    <s v="WITTEN"/>
    <s v="Germany"/>
    <s v="58452"/>
    <s v="80111"/>
    <s v="10"/>
    <s v="II-F13"/>
    <s v="1kg Strawberry Muesli"/>
    <s v="Finished Product"/>
    <s v="F13"/>
    <s v="1kg"/>
    <s v="Strawberry Muesli"/>
    <n v="2945"/>
    <n v="2945"/>
    <s v="ST"/>
    <n v="4.84"/>
    <n v="14253.8"/>
    <n v="6714.6"/>
    <s v="EUR"/>
    <n v="7539.2"/>
    <n v="0.53"/>
  </r>
  <r>
    <s v=".1~806"/>
    <n v="806"/>
    <x v="0"/>
    <x v="5"/>
    <s v="17"/>
    <s v="06/17"/>
    <d v="2021-04-27T00:00:00"/>
    <n v="24"/>
    <n v="117"/>
    <s v="4379"/>
    <s v="1"/>
    <s v="02"/>
    <s v="Nrth Rhine Westfalia"/>
    <x v="2"/>
    <s v="WITTEN"/>
    <s v="Germany"/>
    <s v="58452"/>
    <s v="80111"/>
    <s v="10"/>
    <s v="II-F13"/>
    <s v="1kg Strawberry Muesli"/>
    <s v="Finished Product"/>
    <s v="F13"/>
    <s v="1kg"/>
    <s v="Strawberry Muesli"/>
    <n v="2996"/>
    <n v="2996"/>
    <s v="ST"/>
    <n v="4.84"/>
    <n v="14500.64"/>
    <n v="6830.88"/>
    <s v="EUR"/>
    <n v="7669.76"/>
    <n v="0.53"/>
  </r>
  <r>
    <s v=".1~807"/>
    <n v="807"/>
    <x v="0"/>
    <x v="5"/>
    <s v="17"/>
    <s v="06/17"/>
    <d v="2021-04-27T00:00:00"/>
    <n v="24"/>
    <n v="117"/>
    <s v="4368"/>
    <s v="1"/>
    <s v="02"/>
    <s v="Nrth Rhine Westfalia"/>
    <x v="2"/>
    <s v="PADERBORN"/>
    <s v="Germany"/>
    <s v="33100"/>
    <s v="80159"/>
    <s v="12"/>
    <s v="II-F13"/>
    <s v="1kg Strawberry Muesli"/>
    <s v="Finished Product"/>
    <s v="F13"/>
    <s v="1kg"/>
    <s v="Strawberry Muesli"/>
    <n v="3193"/>
    <n v="3193"/>
    <s v="ST"/>
    <n v="4.9400000000000004"/>
    <n v="15773.42"/>
    <n v="7280.04"/>
    <s v="EUR"/>
    <n v="8493.3799999999992"/>
    <n v="0.54"/>
  </r>
  <r>
    <s v=".1~808"/>
    <n v="808"/>
    <x v="0"/>
    <x v="5"/>
    <s v="17"/>
    <s v="06/17"/>
    <d v="2021-04-27T00:00:00"/>
    <n v="24"/>
    <n v="117"/>
    <s v="4368"/>
    <s v="2"/>
    <s v="02"/>
    <s v="Nrth Rhine Westfalia"/>
    <x v="2"/>
    <s v="PADERBORN"/>
    <s v="Germany"/>
    <s v="33100"/>
    <s v="80159"/>
    <s v="12"/>
    <s v="II-F13"/>
    <s v="1kg Strawberry Muesli"/>
    <s v="Finished Product"/>
    <s v="F13"/>
    <s v="1kg"/>
    <s v="Strawberry Muesli"/>
    <n v="3225"/>
    <n v="3225"/>
    <s v="ST"/>
    <n v="4.9400000000000004"/>
    <n v="15931.5"/>
    <n v="7353"/>
    <s v="EUR"/>
    <n v="8578.5"/>
    <n v="0.54"/>
  </r>
  <r>
    <s v=".1~809"/>
    <n v="809"/>
    <x v="0"/>
    <x v="5"/>
    <s v="17"/>
    <s v="06/17"/>
    <d v="2021-04-27T00:00:00"/>
    <n v="24"/>
    <n v="117"/>
    <s v="4368"/>
    <s v="3"/>
    <s v="02"/>
    <s v="Nrth Rhine Westfalia"/>
    <x v="2"/>
    <s v="PADERBORN"/>
    <s v="Germany"/>
    <s v="33100"/>
    <s v="80159"/>
    <s v="12"/>
    <s v="II-F13"/>
    <s v="1kg Strawberry Muesli"/>
    <s v="Finished Product"/>
    <s v="F13"/>
    <s v="1kg"/>
    <s v="Strawberry Muesli"/>
    <n v="3346"/>
    <n v="3346"/>
    <s v="ST"/>
    <n v="4.9400000000000004"/>
    <n v="16529.240000000002"/>
    <n v="7628.88"/>
    <s v="EUR"/>
    <n v="8900.36"/>
    <n v="0.54"/>
  </r>
  <r>
    <s v=".1~810"/>
    <n v="810"/>
    <x v="0"/>
    <x v="5"/>
    <s v="17"/>
    <s v="06/17"/>
    <d v="2021-04-27T00:00:00"/>
    <n v="24"/>
    <n v="117"/>
    <s v="4363"/>
    <s v="3"/>
    <s v="02"/>
    <s v="Lower Saxony"/>
    <x v="0"/>
    <s v="UELZEN"/>
    <s v="Germany"/>
    <s v="29525"/>
    <s v="80146"/>
    <s v="12"/>
    <s v="II-F13"/>
    <s v="1kg Strawberry Muesli"/>
    <s v="Finished Product"/>
    <s v="F13"/>
    <s v="1kg"/>
    <s v="Strawberry Muesli"/>
    <n v="2764"/>
    <n v="2764"/>
    <s v="ST"/>
    <n v="4.9400000000000004"/>
    <n v="13654.16"/>
    <n v="6301.92"/>
    <s v="EUR"/>
    <n v="7352.24"/>
    <n v="0.54"/>
  </r>
  <r>
    <s v=".1~811"/>
    <n v="811"/>
    <x v="0"/>
    <x v="5"/>
    <s v="17"/>
    <s v="06/17"/>
    <d v="2021-04-27T00:00:00"/>
    <n v="24"/>
    <n v="117"/>
    <s v="4363"/>
    <s v="2"/>
    <s v="02"/>
    <s v="Lower Saxony"/>
    <x v="0"/>
    <s v="UELZEN"/>
    <s v="Germany"/>
    <s v="29525"/>
    <s v="80146"/>
    <s v="12"/>
    <s v="II-F13"/>
    <s v="1kg Strawberry Muesli"/>
    <s v="Finished Product"/>
    <s v="F13"/>
    <s v="1kg"/>
    <s v="Strawberry Muesli"/>
    <n v="2869"/>
    <n v="2869"/>
    <s v="ST"/>
    <n v="4.9400000000000004"/>
    <n v="14172.86"/>
    <n v="6541.32"/>
    <s v="EUR"/>
    <n v="7631.54"/>
    <n v="0.54"/>
  </r>
  <r>
    <s v=".1~812"/>
    <n v="812"/>
    <x v="0"/>
    <x v="5"/>
    <s v="17"/>
    <s v="06/17"/>
    <d v="2021-04-27T00:00:00"/>
    <n v="24"/>
    <n v="117"/>
    <s v="4363"/>
    <s v="1"/>
    <s v="02"/>
    <s v="Lower Saxony"/>
    <x v="0"/>
    <s v="UELZEN"/>
    <s v="Germany"/>
    <s v="29525"/>
    <s v="80146"/>
    <s v="12"/>
    <s v="II-F13"/>
    <s v="1kg Strawberry Muesli"/>
    <s v="Finished Product"/>
    <s v="F13"/>
    <s v="1kg"/>
    <s v="Strawberry Muesli"/>
    <n v="3378"/>
    <n v="3378"/>
    <s v="ST"/>
    <n v="4.9400000000000004"/>
    <n v="16687.32"/>
    <n v="7701.84"/>
    <s v="EUR"/>
    <n v="8985.48"/>
    <n v="0.54"/>
  </r>
  <r>
    <s v=".1~813"/>
    <n v="813"/>
    <x v="0"/>
    <x v="5"/>
    <s v="18"/>
    <s v="06/18"/>
    <d v="2021-04-28T00:00:00"/>
    <n v="24"/>
    <n v="118"/>
    <s v="4403"/>
    <s v="3"/>
    <s v="02"/>
    <s v="Berlin"/>
    <x v="0"/>
    <s v="BERLIN"/>
    <s v="Germany"/>
    <s v="13051"/>
    <s v="80105"/>
    <s v="10"/>
    <s v="II-F14"/>
    <s v="1kg Raisin Muesli"/>
    <s v="Finished Product"/>
    <s v="F14"/>
    <s v="1kg"/>
    <s v="Raisin Muesli"/>
    <n v="2696"/>
    <n v="2696"/>
    <s v="ST"/>
    <n v="4.97"/>
    <n v="13399.12"/>
    <n v="3747.44"/>
    <s v="EUR"/>
    <n v="9651.68"/>
    <n v="0.72"/>
  </r>
  <r>
    <s v=".1~814"/>
    <n v="814"/>
    <x v="0"/>
    <x v="5"/>
    <s v="18"/>
    <s v="06/18"/>
    <d v="2021-04-28T00:00:00"/>
    <n v="24"/>
    <n v="118"/>
    <s v="4403"/>
    <s v="2"/>
    <s v="02"/>
    <s v="Berlin"/>
    <x v="0"/>
    <s v="BERLIN"/>
    <s v="Germany"/>
    <s v="13051"/>
    <s v="80105"/>
    <s v="10"/>
    <s v="II-F14"/>
    <s v="1kg Raisin Muesli"/>
    <s v="Finished Product"/>
    <s v="F14"/>
    <s v="1kg"/>
    <s v="Raisin Muesli"/>
    <n v="2949"/>
    <n v="2949"/>
    <s v="ST"/>
    <n v="4.97"/>
    <n v="14656.53"/>
    <n v="4099.1099999999997"/>
    <s v="EUR"/>
    <n v="10557.42"/>
    <n v="0.72"/>
  </r>
  <r>
    <s v=".1~815"/>
    <n v="815"/>
    <x v="0"/>
    <x v="5"/>
    <s v="18"/>
    <s v="06/18"/>
    <d v="2021-04-28T00:00:00"/>
    <n v="24"/>
    <n v="118"/>
    <s v="4403"/>
    <s v="1"/>
    <s v="02"/>
    <s v="Berlin"/>
    <x v="0"/>
    <s v="BERLIN"/>
    <s v="Germany"/>
    <s v="13051"/>
    <s v="80105"/>
    <s v="10"/>
    <s v="II-F14"/>
    <s v="1kg Raisin Muesli"/>
    <s v="Finished Product"/>
    <s v="F14"/>
    <s v="1kg"/>
    <s v="Raisin Muesli"/>
    <n v="2690"/>
    <n v="2690"/>
    <s v="ST"/>
    <n v="4.97"/>
    <n v="13369.3"/>
    <n v="3739.1"/>
    <s v="EUR"/>
    <n v="9630.2000000000007"/>
    <n v="0.72"/>
  </r>
  <r>
    <s v=".1~816"/>
    <n v="816"/>
    <x v="0"/>
    <x v="5"/>
    <s v="18"/>
    <s v="06/18"/>
    <d v="2021-04-28T00:00:00"/>
    <n v="24"/>
    <n v="118"/>
    <s v="4395"/>
    <s v="1"/>
    <s v="02"/>
    <s v="Nrth Rhine Westfalia"/>
    <x v="2"/>
    <s v="GELSENKIRCHEN"/>
    <s v="Germany"/>
    <s v="45879"/>
    <s v="80154"/>
    <s v="12"/>
    <s v="II-F13"/>
    <s v="1kg Strawberry Muesli"/>
    <s v="Finished Product"/>
    <s v="F13"/>
    <s v="1kg"/>
    <s v="Strawberry Muesli"/>
    <n v="2625"/>
    <n v="2625"/>
    <s v="ST"/>
    <n v="4.9400000000000004"/>
    <n v="12967.5"/>
    <n v="5985"/>
    <s v="EUR"/>
    <n v="6982.5"/>
    <n v="0.54"/>
  </r>
  <r>
    <s v=".1~817"/>
    <n v="817"/>
    <x v="0"/>
    <x v="5"/>
    <s v="18"/>
    <s v="06/18"/>
    <d v="2021-04-28T00:00:00"/>
    <n v="24"/>
    <n v="118"/>
    <s v="4395"/>
    <s v="2"/>
    <s v="02"/>
    <s v="Nrth Rhine Westfalia"/>
    <x v="2"/>
    <s v="GELSENKIRCHEN"/>
    <s v="Germany"/>
    <s v="45879"/>
    <s v="80154"/>
    <s v="12"/>
    <s v="II-F14"/>
    <s v="1kg Raisin Muesli"/>
    <s v="Finished Product"/>
    <s v="F14"/>
    <s v="1kg"/>
    <s v="Raisin Muesli"/>
    <n v="2574"/>
    <n v="2574"/>
    <s v="ST"/>
    <n v="5.07"/>
    <n v="13050.18"/>
    <n v="3577.86"/>
    <s v="EUR"/>
    <n v="9472.32"/>
    <n v="0.73"/>
  </r>
  <r>
    <s v=".1~818"/>
    <n v="818"/>
    <x v="0"/>
    <x v="5"/>
    <s v="19"/>
    <s v="06/19"/>
    <d v="2021-04-29T00:00:00"/>
    <n v="24"/>
    <n v="119"/>
    <s v="4424"/>
    <s v="2"/>
    <s v="02"/>
    <s v="Berlin"/>
    <x v="0"/>
    <s v="BERLIN"/>
    <s v="Germany"/>
    <s v="13051"/>
    <s v="80105"/>
    <s v="10"/>
    <s v="II-F11"/>
    <s v="1kg Nut Muesli"/>
    <s v="Finished Product"/>
    <s v="F11"/>
    <s v="1kg"/>
    <s v="Nut Muesli"/>
    <n v="497"/>
    <n v="497"/>
    <s v="ST"/>
    <n v="5.23"/>
    <n v="2599.31"/>
    <n v="805.14"/>
    <s v="EUR"/>
    <n v="1794.17"/>
    <n v="0.69"/>
  </r>
  <r>
    <s v=".1~819"/>
    <n v="819"/>
    <x v="0"/>
    <x v="5"/>
    <s v="19"/>
    <s v="06/19"/>
    <d v="2021-04-29T00:00:00"/>
    <n v="24"/>
    <n v="119"/>
    <s v="4424"/>
    <s v="1"/>
    <s v="02"/>
    <s v="Berlin"/>
    <x v="0"/>
    <s v="BERLIN"/>
    <s v="Germany"/>
    <s v="13051"/>
    <s v="80105"/>
    <s v="10"/>
    <s v="II-F14"/>
    <s v="1kg Raisin Muesli"/>
    <s v="Finished Product"/>
    <s v="F14"/>
    <s v="1kg"/>
    <s v="Raisin Muesli"/>
    <n v="1253"/>
    <n v="1253"/>
    <s v="ST"/>
    <n v="4.97"/>
    <n v="6227.41"/>
    <n v="1741.67"/>
    <s v="EUR"/>
    <n v="4485.74"/>
    <n v="0.72"/>
  </r>
  <r>
    <s v=".1~820"/>
    <n v="820"/>
    <x v="0"/>
    <x v="5"/>
    <s v="19"/>
    <s v="06/19"/>
    <d v="2021-04-29T00:00:00"/>
    <n v="24"/>
    <n v="119"/>
    <s v="4419"/>
    <s v="3"/>
    <s v="02"/>
    <s v="Nrth Rhine Westfalia"/>
    <x v="2"/>
    <s v="MÜNSTER"/>
    <s v="Germany"/>
    <s v="48159"/>
    <s v="80158"/>
    <s v="12"/>
    <s v="II-F14"/>
    <s v="1kg Raisin Muesli"/>
    <s v="Finished Product"/>
    <s v="F14"/>
    <s v="1kg"/>
    <s v="Raisin Muesli"/>
    <n v="3307"/>
    <n v="3307"/>
    <s v="ST"/>
    <n v="5.07"/>
    <n v="16766.490000000002"/>
    <n v="4596.7299999999996"/>
    <s v="EUR"/>
    <n v="12169.76"/>
    <n v="0.73"/>
  </r>
  <r>
    <s v=".1~821"/>
    <n v="821"/>
    <x v="0"/>
    <x v="5"/>
    <s v="19"/>
    <s v="06/19"/>
    <d v="2021-04-29T00:00:00"/>
    <n v="24"/>
    <n v="119"/>
    <s v="4419"/>
    <s v="2"/>
    <s v="02"/>
    <s v="Nrth Rhine Westfalia"/>
    <x v="2"/>
    <s v="MÜNSTER"/>
    <s v="Germany"/>
    <s v="48159"/>
    <s v="80158"/>
    <s v="12"/>
    <s v="II-F14"/>
    <s v="1kg Raisin Muesli"/>
    <s v="Finished Product"/>
    <s v="F14"/>
    <s v="1kg"/>
    <s v="Raisin Muesli"/>
    <n v="2687"/>
    <n v="2687"/>
    <s v="ST"/>
    <n v="5.07"/>
    <n v="13623.09"/>
    <n v="3734.93"/>
    <s v="EUR"/>
    <n v="9888.16"/>
    <n v="0.73"/>
  </r>
  <r>
    <s v=".1~822"/>
    <n v="822"/>
    <x v="0"/>
    <x v="5"/>
    <s v="19"/>
    <s v="06/19"/>
    <d v="2021-04-29T00:00:00"/>
    <n v="24"/>
    <n v="119"/>
    <s v="4419"/>
    <s v="1"/>
    <s v="02"/>
    <s v="Nrth Rhine Westfalia"/>
    <x v="2"/>
    <s v="MÜNSTER"/>
    <s v="Germany"/>
    <s v="48159"/>
    <s v="80158"/>
    <s v="12"/>
    <s v="II-F14"/>
    <s v="1kg Raisin Muesli"/>
    <s v="Finished Product"/>
    <s v="F14"/>
    <s v="1kg"/>
    <s v="Raisin Muesli"/>
    <n v="3203"/>
    <n v="3203"/>
    <s v="ST"/>
    <n v="5.07"/>
    <n v="16239.21"/>
    <n v="4452.17"/>
    <s v="EUR"/>
    <n v="11787.04"/>
    <n v="0.73"/>
  </r>
  <r>
    <s v=".1~823"/>
    <n v="823"/>
    <x v="0"/>
    <x v="5"/>
    <s v="19"/>
    <s v="06/19"/>
    <d v="2021-04-29T00:00:00"/>
    <n v="24"/>
    <n v="119"/>
    <s v="4418"/>
    <s v="3"/>
    <s v="02"/>
    <s v="Nrth Rhine Westfalia"/>
    <x v="2"/>
    <s v="GELSENKIRCHEN"/>
    <s v="Germany"/>
    <s v="45879"/>
    <s v="80154"/>
    <s v="12"/>
    <s v="II-F14"/>
    <s v="1kg Raisin Muesli"/>
    <s v="Finished Product"/>
    <s v="F14"/>
    <s v="1kg"/>
    <s v="Raisin Muesli"/>
    <n v="3223"/>
    <n v="3223"/>
    <s v="ST"/>
    <n v="5.07"/>
    <n v="16340.61"/>
    <n v="4479.97"/>
    <s v="EUR"/>
    <n v="11860.64"/>
    <n v="0.73"/>
  </r>
  <r>
    <s v=".1~824"/>
    <n v="824"/>
    <x v="0"/>
    <x v="5"/>
    <s v="19"/>
    <s v="06/19"/>
    <d v="2021-04-29T00:00:00"/>
    <n v="24"/>
    <n v="119"/>
    <s v="4418"/>
    <s v="2"/>
    <s v="02"/>
    <s v="Nrth Rhine Westfalia"/>
    <x v="2"/>
    <s v="GELSENKIRCHEN"/>
    <s v="Germany"/>
    <s v="45879"/>
    <s v="80154"/>
    <s v="12"/>
    <s v="II-F14"/>
    <s v="1kg Raisin Muesli"/>
    <s v="Finished Product"/>
    <s v="F14"/>
    <s v="1kg"/>
    <s v="Raisin Muesli"/>
    <n v="3098"/>
    <n v="3098"/>
    <s v="ST"/>
    <n v="5.07"/>
    <n v="15706.86"/>
    <n v="4306.22"/>
    <s v="EUR"/>
    <n v="11400.64"/>
    <n v="0.73"/>
  </r>
  <r>
    <s v=".1~825"/>
    <n v="825"/>
    <x v="0"/>
    <x v="5"/>
    <s v="19"/>
    <s v="06/19"/>
    <d v="2021-04-29T00:00:00"/>
    <n v="24"/>
    <n v="119"/>
    <s v="4418"/>
    <s v="1"/>
    <s v="02"/>
    <s v="Nrth Rhine Westfalia"/>
    <x v="2"/>
    <s v="GELSENKIRCHEN"/>
    <s v="Germany"/>
    <s v="45879"/>
    <s v="80154"/>
    <s v="12"/>
    <s v="II-F14"/>
    <s v="1kg Raisin Muesli"/>
    <s v="Finished Product"/>
    <s v="F14"/>
    <s v="1kg"/>
    <s v="Raisin Muesli"/>
    <n v="2508"/>
    <n v="2508"/>
    <s v="ST"/>
    <n v="5.07"/>
    <n v="12715.56"/>
    <n v="3486.12"/>
    <s v="EUR"/>
    <n v="9229.44"/>
    <n v="0.73"/>
  </r>
  <r>
    <s v=".1~826"/>
    <n v="826"/>
    <x v="0"/>
    <x v="5"/>
    <s v="19"/>
    <s v="06/19"/>
    <d v="2021-04-29T00:00:00"/>
    <n v="24"/>
    <n v="119"/>
    <s v="4417"/>
    <s v="1"/>
    <s v="02"/>
    <s v="Nrth Rhine Westfalia"/>
    <x v="2"/>
    <s v="HÜCKELHOVEN"/>
    <s v="Germany"/>
    <s v="41836"/>
    <s v="80156"/>
    <s v="12"/>
    <s v="II-F14"/>
    <s v="1kg Raisin Muesli"/>
    <s v="Finished Product"/>
    <s v="F14"/>
    <s v="1kg"/>
    <s v="Raisin Muesli"/>
    <n v="2561"/>
    <n v="2561"/>
    <s v="ST"/>
    <n v="5.07"/>
    <n v="12984.27"/>
    <n v="3559.79"/>
    <s v="EUR"/>
    <n v="9424.48"/>
    <n v="0.73"/>
  </r>
  <r>
    <s v=".1~827"/>
    <n v="827"/>
    <x v="0"/>
    <x v="5"/>
    <s v="19"/>
    <s v="06/19"/>
    <d v="2021-04-29T00:00:00"/>
    <n v="24"/>
    <n v="119"/>
    <s v="4417"/>
    <s v="2"/>
    <s v="02"/>
    <s v="Nrth Rhine Westfalia"/>
    <x v="2"/>
    <s v="HÜCKELHOVEN"/>
    <s v="Germany"/>
    <s v="41836"/>
    <s v="80156"/>
    <s v="12"/>
    <s v="II-F14"/>
    <s v="1kg Raisin Muesli"/>
    <s v="Finished Product"/>
    <s v="F14"/>
    <s v="1kg"/>
    <s v="Raisin Muesli"/>
    <n v="3147"/>
    <n v="3147"/>
    <s v="ST"/>
    <n v="5.07"/>
    <n v="15955.29"/>
    <n v="4374.33"/>
    <s v="EUR"/>
    <n v="11580.96"/>
    <n v="0.73"/>
  </r>
  <r>
    <s v=".1~828"/>
    <n v="828"/>
    <x v="0"/>
    <x v="5"/>
    <s v="19"/>
    <s v="06/19"/>
    <d v="2021-04-29T00:00:00"/>
    <n v="24"/>
    <n v="119"/>
    <s v="4417"/>
    <s v="3"/>
    <s v="02"/>
    <s v="Nrth Rhine Westfalia"/>
    <x v="2"/>
    <s v="HÜCKELHOVEN"/>
    <s v="Germany"/>
    <s v="41836"/>
    <s v="80156"/>
    <s v="12"/>
    <s v="II-F14"/>
    <s v="1kg Raisin Muesli"/>
    <s v="Finished Product"/>
    <s v="F14"/>
    <s v="1kg"/>
    <s v="Raisin Muesli"/>
    <n v="2681"/>
    <n v="2681"/>
    <s v="ST"/>
    <n v="5.07"/>
    <n v="13592.67"/>
    <n v="3726.59"/>
    <s v="EUR"/>
    <n v="9866.08"/>
    <n v="0.73"/>
  </r>
  <r>
    <s v=".1~829"/>
    <n v="829"/>
    <x v="0"/>
    <x v="5"/>
    <s v="19"/>
    <s v="06/19"/>
    <d v="2021-04-29T00:00:00"/>
    <n v="24"/>
    <n v="119"/>
    <s v="4417"/>
    <s v="4"/>
    <s v="02"/>
    <s v="Nrth Rhine Westfalia"/>
    <x v="2"/>
    <s v="HÜCKELHOVEN"/>
    <s v="Germany"/>
    <s v="41836"/>
    <s v="80156"/>
    <s v="12"/>
    <s v="II-F14"/>
    <s v="1kg Raisin Muesli"/>
    <s v="Finished Product"/>
    <s v="F14"/>
    <s v="1kg"/>
    <s v="Raisin Muesli"/>
    <n v="2923"/>
    <n v="2923"/>
    <s v="ST"/>
    <n v="5.07"/>
    <n v="14819.61"/>
    <n v="4062.97"/>
    <s v="EUR"/>
    <n v="10756.64"/>
    <n v="0.73"/>
  </r>
  <r>
    <s v=".1~830"/>
    <n v="830"/>
    <x v="0"/>
    <x v="5"/>
    <s v="20"/>
    <s v="06/20"/>
    <d v="2021-04-30T00:00:00"/>
    <n v="24"/>
    <n v="120"/>
    <s v="4437"/>
    <s v="2"/>
    <s v="02"/>
    <s v="Baden-Wurttemberg"/>
    <x v="1"/>
    <s v="GUNDELFINGEN"/>
    <s v="Germany"/>
    <s v="79194"/>
    <s v="80114"/>
    <s v="12"/>
    <s v="II-F02"/>
    <s v="500g Blueberry Muesli"/>
    <s v="Finished Product"/>
    <s v="F02"/>
    <s v="500g"/>
    <s v="Blueberry Muesli"/>
    <n v="3187"/>
    <n v="3187"/>
    <s v="ST"/>
    <n v="4.9000000000000004"/>
    <n v="15616.3"/>
    <n v="3920.01"/>
    <s v="EUR"/>
    <n v="11696.29"/>
    <n v="0.75"/>
  </r>
  <r>
    <s v=".1~831"/>
    <n v="831"/>
    <x v="0"/>
    <x v="5"/>
    <s v="20"/>
    <s v="06/20"/>
    <d v="2021-04-30T00:00:00"/>
    <n v="24"/>
    <n v="120"/>
    <s v="4437"/>
    <s v="3"/>
    <s v="02"/>
    <s v="Baden-Wurttemberg"/>
    <x v="1"/>
    <s v="GUNDELFINGEN"/>
    <s v="Germany"/>
    <s v="79194"/>
    <s v="80114"/>
    <s v="12"/>
    <s v="II-F02"/>
    <s v="500g Blueberry Muesli"/>
    <s v="Finished Product"/>
    <s v="F02"/>
    <s v="500g"/>
    <s v="Blueberry Muesli"/>
    <n v="2754"/>
    <n v="2754"/>
    <s v="ST"/>
    <n v="4.9000000000000004"/>
    <n v="13494.6"/>
    <n v="3387.42"/>
    <s v="EUR"/>
    <n v="10107.18"/>
    <n v="0.75"/>
  </r>
  <r>
    <s v=".1~832"/>
    <n v="832"/>
    <x v="0"/>
    <x v="5"/>
    <s v="20"/>
    <s v="06/20"/>
    <d v="2021-04-30T00:00:00"/>
    <n v="24"/>
    <n v="120"/>
    <s v="4438"/>
    <s v="4"/>
    <s v="02"/>
    <s v="Bavaria"/>
    <x v="1"/>
    <s v="AUGSBURG"/>
    <s v="Germany"/>
    <s v="86156"/>
    <s v="80119"/>
    <s v="12"/>
    <s v="II-F02"/>
    <s v="500g Blueberry Muesli"/>
    <s v="Finished Product"/>
    <s v="F02"/>
    <s v="500g"/>
    <s v="Blueberry Muesli"/>
    <n v="1716"/>
    <n v="1716"/>
    <s v="ST"/>
    <n v="4.9000000000000004"/>
    <n v="8408.4"/>
    <n v="2110.6799999999998"/>
    <s v="EUR"/>
    <n v="6297.72"/>
    <n v="0.75"/>
  </r>
  <r>
    <s v=".1~833"/>
    <n v="833"/>
    <x v="0"/>
    <x v="5"/>
    <s v="20"/>
    <s v="06/20"/>
    <d v="2021-04-30T00:00:00"/>
    <n v="24"/>
    <n v="120"/>
    <s v="4438"/>
    <s v="3"/>
    <s v="02"/>
    <s v="Bavaria"/>
    <x v="1"/>
    <s v="AUGSBURG"/>
    <s v="Germany"/>
    <s v="86156"/>
    <s v="80119"/>
    <s v="12"/>
    <s v="II-F02"/>
    <s v="500g Blueberry Muesli"/>
    <s v="Finished Product"/>
    <s v="F02"/>
    <s v="500g"/>
    <s v="Blueberry Muesli"/>
    <n v="3136"/>
    <n v="3136"/>
    <s v="ST"/>
    <n v="4.9000000000000004"/>
    <n v="15366.4"/>
    <n v="3857.28"/>
    <s v="EUR"/>
    <n v="11509.12"/>
    <n v="0.75"/>
  </r>
  <r>
    <s v=".1~834"/>
    <n v="834"/>
    <x v="0"/>
    <x v="5"/>
    <s v="20"/>
    <s v="06/20"/>
    <d v="2021-04-30T00:00:00"/>
    <n v="24"/>
    <n v="120"/>
    <s v="4438"/>
    <s v="2"/>
    <s v="02"/>
    <s v="Bavaria"/>
    <x v="1"/>
    <s v="AUGSBURG"/>
    <s v="Germany"/>
    <s v="86156"/>
    <s v="80119"/>
    <s v="12"/>
    <s v="II-F02"/>
    <s v="500g Blueberry Muesli"/>
    <s v="Finished Product"/>
    <s v="F02"/>
    <s v="500g"/>
    <s v="Blueberry Muesli"/>
    <n v="2832"/>
    <n v="2832"/>
    <s v="ST"/>
    <n v="4.9000000000000004"/>
    <n v="13876.8"/>
    <n v="3483.36"/>
    <s v="EUR"/>
    <n v="10393.44"/>
    <n v="0.75"/>
  </r>
  <r>
    <s v=".1~835"/>
    <n v="835"/>
    <x v="0"/>
    <x v="5"/>
    <s v="20"/>
    <s v="06/20"/>
    <d v="2021-04-30T00:00:00"/>
    <n v="24"/>
    <n v="120"/>
    <s v="4437"/>
    <s v="1"/>
    <s v="02"/>
    <s v="Baden-Wurttemberg"/>
    <x v="1"/>
    <s v="GUNDELFINGEN"/>
    <s v="Germany"/>
    <s v="79194"/>
    <s v="80114"/>
    <s v="12"/>
    <s v="II-F14"/>
    <s v="1kg Raisin Muesli"/>
    <s v="Finished Product"/>
    <s v="F14"/>
    <s v="1kg"/>
    <s v="Raisin Muesli"/>
    <n v="3211"/>
    <n v="3211"/>
    <s v="ST"/>
    <n v="5.07"/>
    <n v="16279.77"/>
    <n v="4463.29"/>
    <s v="EUR"/>
    <n v="11816.48"/>
    <n v="0.73"/>
  </r>
  <r>
    <s v=".1~836"/>
    <n v="836"/>
    <x v="0"/>
    <x v="5"/>
    <s v="20"/>
    <s v="06/20"/>
    <d v="2021-04-30T00:00:00"/>
    <n v="24"/>
    <n v="120"/>
    <s v="4437"/>
    <s v="4"/>
    <s v="02"/>
    <s v="Baden-Wurttemberg"/>
    <x v="1"/>
    <s v="GUNDELFINGEN"/>
    <s v="Germany"/>
    <s v="79194"/>
    <s v="80114"/>
    <s v="12"/>
    <s v="II-F14"/>
    <s v="1kg Raisin Muesli"/>
    <s v="Finished Product"/>
    <s v="F14"/>
    <s v="1kg"/>
    <s v="Raisin Muesli"/>
    <n v="2678"/>
    <n v="2678"/>
    <s v="ST"/>
    <n v="5.07"/>
    <n v="13577.46"/>
    <n v="3722.42"/>
    <s v="EUR"/>
    <n v="9855.0400000000009"/>
    <n v="0.73"/>
  </r>
  <r>
    <s v=".1~837"/>
    <n v="837"/>
    <x v="0"/>
    <x v="5"/>
    <s v="20"/>
    <s v="06/20"/>
    <d v="2021-04-30T00:00:00"/>
    <n v="24"/>
    <n v="120"/>
    <s v="4438"/>
    <s v="1"/>
    <s v="02"/>
    <s v="Bavaria"/>
    <x v="1"/>
    <s v="AUGSBURG"/>
    <s v="Germany"/>
    <s v="86156"/>
    <s v="80119"/>
    <s v="12"/>
    <s v="II-F14"/>
    <s v="1kg Raisin Muesli"/>
    <s v="Finished Product"/>
    <s v="F14"/>
    <s v="1kg"/>
    <s v="Raisin Muesli"/>
    <n v="611"/>
    <n v="611"/>
    <s v="ST"/>
    <n v="5.07"/>
    <n v="3097.77"/>
    <n v="849.29"/>
    <s v="EUR"/>
    <n v="2248.48"/>
    <n v="0.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0E99B-5CBD-4073-8192-3E707EB5E742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1" rowHeaderCaption="AREA">
  <location ref="A5:C9" firstHeaderRow="0" firstDataRow="1" firstDataCol="1" rowPageCount="1" colPageCount="1"/>
  <pivotFields count="34">
    <pivotField compact="0" outline="0" showAll="0"/>
    <pivotField compact="0" outline="0" showAll="0"/>
    <pivotField compact="0" outline="0" showAll="0"/>
    <pivotField axis="axisPage"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/>
    <pivotField compact="0" outline="0" showAll="0"/>
    <pivotField compact="0" numFmtId="22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NET_VALUE - Euro" fld="29" baseField="13" baseItem="1" numFmtId="165"/>
    <dataField name="NET_VALUE - %" fld="29" showDataAs="percentOfTotal" baseField="13" baseItem="1" numFmtId="10"/>
  </dataFields>
  <formats count="1">
    <format dxfId="0">
      <pivotArea outline="0" fieldPosition="0">
        <references count="2">
          <reference field="4294967294" count="1" selected="0">
            <x v="1"/>
          </reference>
          <reference field="13" count="0" selected="0"/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13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1"/>
          </reference>
          <reference field="13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C8650B5-DADF-4F1A-B342-6EB74BF0A8A4}" autoFormatId="16" applyNumberFormats="0" applyBorderFormats="0" applyFontFormats="0" applyPatternFormats="0" applyAlignmentFormats="0" applyWidthHeightFormats="0">
  <queryTableRefresh nextId="35">
    <queryTableFields count="34">
      <queryTableField id="1" name="ID" tableColumnId="1"/>
      <queryTableField id="2" name="ROW_NUMBER" tableColumnId="2"/>
      <queryTableField id="3" name="SALES_ORGANIZATION" tableColumnId="3"/>
      <queryTableField id="4" name="SIM_ROUND" tableColumnId="4"/>
      <queryTableField id="5" name="SIM_STEP" tableColumnId="5"/>
      <queryTableField id="6" name="SIM_DATE" tableColumnId="6"/>
      <queryTableField id="7" name="SIM_CALENDAR_DATE" tableColumnId="7"/>
      <queryTableField id="8" name="SIM_PERIOD" tableColumnId="8"/>
      <queryTableField id="9" name="SIM_ELAPSED_STEPS" tableColumnId="9"/>
      <queryTableField id="10" name="SALES_ORDER_NUMBER" tableColumnId="10"/>
      <queryTableField id="11" name="LINE_ITEM" tableColumnId="11"/>
      <queryTableField id="12" name="STORAGE_LOCATION" tableColumnId="12"/>
      <queryTableField id="13" name="REGION" tableColumnId="13"/>
      <queryTableField id="14" name="AREA" tableColumnId="14"/>
      <queryTableField id="15" name="CITY" tableColumnId="15"/>
      <queryTableField id="16" name="COUNTRY" tableColumnId="16"/>
      <queryTableField id="17" name="POSTAL_CODE" tableColumnId="17"/>
      <queryTableField id="18" name="CUSTOMER_NUMBER" tableColumnId="18"/>
      <queryTableField id="19" name="DISTRIBUTION_CHANNEL" tableColumnId="19"/>
      <queryTableField id="20" name="MATERIAL_NUMBER" tableColumnId="20"/>
      <queryTableField id="21" name="MATERIAL_DESCRIPTION" tableColumnId="21"/>
      <queryTableField id="22" name="MATERIAL_TYPE" tableColumnId="22"/>
      <queryTableField id="23" name="MATERIAL_CODE" tableColumnId="23"/>
      <queryTableField id="24" name="MATERIAL_SIZE" tableColumnId="24"/>
      <queryTableField id="25" name="MATERIAL_LABEL" tableColumnId="25"/>
      <queryTableField id="26" name="QUANTITY" tableColumnId="26"/>
      <queryTableField id="27" name="QUANTITY_DELIVERED" tableColumnId="27"/>
      <queryTableField id="28" name="UNIT" tableColumnId="28"/>
      <queryTableField id="29" name="NET_PRICE" tableColumnId="29"/>
      <queryTableField id="30" name="NET_VALUE" tableColumnId="30"/>
      <queryTableField id="31" name="COST" tableColumnId="31"/>
      <queryTableField id="32" name="CURRENCY" tableColumnId="32"/>
      <queryTableField id="33" name="CONTRIBUTION_MARGIN" tableColumnId="33"/>
      <queryTableField id="34" name="CONTRIBUTION_MARGIN_PCT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182A7B6-6DD6-47CD-A9F9-65A4440B4D8A}" autoFormatId="16" applyNumberFormats="0" applyBorderFormats="0" applyFontFormats="0" applyPatternFormats="0" applyAlignmentFormats="0" applyWidthHeightFormats="0">
  <queryTableRefresh nextId="19">
    <queryTableFields count="18">
      <queryTableField id="1" name="ID" tableColumnId="1"/>
      <queryTableField id="2" name="ROW_NUMBER" tableColumnId="2"/>
      <queryTableField id="3" name="PLANT" tableColumnId="3"/>
      <queryTableField id="4" name="SIM_ROUND" tableColumnId="4"/>
      <queryTableField id="5" name="SIM_STEP" tableColumnId="5"/>
      <queryTableField id="6" name="SIM_DATE" tableColumnId="6"/>
      <queryTableField id="7" name="SIM_CALENDAR_DATE" tableColumnId="7"/>
      <queryTableField id="8" name="SIM_PERIOD" tableColumnId="8"/>
      <queryTableField id="9" name="SIM_ELAPSED_STEPS" tableColumnId="9"/>
      <queryTableField id="10" name="STORAGE_LOCATION" tableColumnId="10"/>
      <queryTableField id="11" name="MATERIAL_NUMBER" tableColumnId="11"/>
      <queryTableField id="12" name="MATERIAL_DESCRIPTION" tableColumnId="12"/>
      <queryTableField id="13" name="MATERIAL_TYPE" tableColumnId="13"/>
      <queryTableField id="14" name="MATERIAL_CODE" tableColumnId="14"/>
      <queryTableField id="15" name="MATERIAL_SIZE" tableColumnId="15"/>
      <queryTableField id="16" name="MATERIAL_LABEL" tableColumnId="16"/>
      <queryTableField id="17" name="INVENTORY_OPENING_BALANCE" tableColumnId="17"/>
      <queryTableField id="18" name="UNIT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CCB2BB7-4BB2-4DD2-B375-E078BD4104C5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ROW_NUMBER" tableColumnId="2"/>
      <queryTableField id="3" name="COMPANY_CODE" tableColumnId="3"/>
      <queryTableField id="4" name="SIM_ROUND" tableColumnId="4"/>
      <queryTableField id="5" name="SIM_STEP" tableColumnId="5"/>
      <queryTableField id="6" name="SIM_DATE" tableColumnId="6"/>
      <queryTableField id="7" name="SIM_CALENDAR_DATE" tableColumnId="7"/>
      <queryTableField id="8" name="SIM_PERIOD" tableColumnId="8"/>
      <queryTableField id="9" name="SIM_ELAPSED_STEPS" tableColumnId="9"/>
      <queryTableField id="10" name="MATERIAL_NUMBER" tableColumnId="10"/>
      <queryTableField id="11" name="MATERIAL_DESCRIPTION" tableColumnId="11"/>
      <queryTableField id="12" name="MATERIAL_SIZE" tableColumnId="12"/>
      <queryTableField id="13" name="MATERIAL_LABEL" tableColumnId="13"/>
      <queryTableField id="14" name="MATERIAL_CODE" tableColumnId="14"/>
      <queryTableField id="15" name="YIELD" tableColumnId="15"/>
      <queryTableField id="16" name="UNIT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075B0-ED06-4469-A39B-B158EA0FC7A7}" name="Sales__2" displayName="Sales__2" ref="A1:AH838" tableType="queryTable" totalsRowShown="0">
  <autoFilter ref="A1:AH838" xr:uid="{D53075B0-ED06-4469-A39B-B158EA0FC7A7}"/>
  <tableColumns count="34">
    <tableColumn id="1" xr3:uid="{E54E6ADF-1586-4636-A314-220DFB899455}" uniqueName="1" name="ID" queryTableFieldId="1" dataDxfId="54"/>
    <tableColumn id="2" xr3:uid="{58251FCE-E36D-44AA-A1A1-D60D4DE82AF6}" uniqueName="2" name="ROW_NUMBER" queryTableFieldId="2"/>
    <tableColumn id="3" xr3:uid="{58455C52-588A-4F73-ABB1-71C4B5125277}" uniqueName="3" name="SALES_ORGANIZATION" queryTableFieldId="3" dataDxfId="53"/>
    <tableColumn id="4" xr3:uid="{B4C5FDF2-8D46-49DE-83FC-2C323F1DD3FB}" uniqueName="4" name="SIM_ROUND" queryTableFieldId="4" dataDxfId="52"/>
    <tableColumn id="5" xr3:uid="{D0F0DB5C-43C9-4E94-97B2-F40206A02003}" uniqueName="5" name="SIM_STEP" queryTableFieldId="5" dataDxfId="51"/>
    <tableColumn id="6" xr3:uid="{B8AD5DB5-82A4-4450-A6F3-157C4543445E}" uniqueName="6" name="SIM_DATE" queryTableFieldId="6" dataDxfId="50"/>
    <tableColumn id="7" xr3:uid="{2215B466-4BC7-4779-A478-D4BC5AF64980}" uniqueName="7" name="SIM_CALENDAR_DATE" queryTableFieldId="7" dataDxfId="49"/>
    <tableColumn id="8" xr3:uid="{A8D2B78B-866F-464A-B22D-BF48E3A57D57}" uniqueName="8" name="SIM_PERIOD" queryTableFieldId="8"/>
    <tableColumn id="9" xr3:uid="{C83BA7C5-6447-43E1-BDA7-EE2A417A8756}" uniqueName="9" name="SIM_ELAPSED_STEPS" queryTableFieldId="9"/>
    <tableColumn id="10" xr3:uid="{E2D5584D-3F44-459E-AD66-A496CE646C0F}" uniqueName="10" name="SALES_ORDER_NUMBER" queryTableFieldId="10" dataDxfId="48"/>
    <tableColumn id="11" xr3:uid="{5D7EFD7B-D0EF-45CB-9EDE-6DB419E959DC}" uniqueName="11" name="LINE_ITEM" queryTableFieldId="11" dataDxfId="47"/>
    <tableColumn id="12" xr3:uid="{4BDA621D-10E2-40B7-81A9-4E7F76DD89C1}" uniqueName="12" name="STORAGE_LOCATION" queryTableFieldId="12" dataDxfId="46"/>
    <tableColumn id="13" xr3:uid="{7B692DD1-AAAA-4555-8566-B11CCC66D823}" uniqueName="13" name="REGION" queryTableFieldId="13" dataDxfId="45"/>
    <tableColumn id="14" xr3:uid="{6783D106-5FA8-4E47-BBF9-2DE7B05FA933}" uniqueName="14" name="AREA" queryTableFieldId="14" dataDxfId="44"/>
    <tableColumn id="15" xr3:uid="{57B7D49A-B40A-4D16-AF65-5F1B73CAD7DE}" uniqueName="15" name="CITY" queryTableFieldId="15" dataDxfId="43"/>
    <tableColumn id="16" xr3:uid="{C2511384-9E28-449C-854F-B7A7D765F82F}" uniqueName="16" name="COUNTRY" queryTableFieldId="16" dataDxfId="42"/>
    <tableColumn id="17" xr3:uid="{E73D4B50-30F0-408B-9614-A2587E1367C5}" uniqueName="17" name="POSTAL_CODE" queryTableFieldId="17" dataDxfId="41"/>
    <tableColumn id="18" xr3:uid="{26C132ED-8081-4228-A067-29E3465ADF38}" uniqueName="18" name="CUSTOMER_NUMBER" queryTableFieldId="18" dataDxfId="40"/>
    <tableColumn id="19" xr3:uid="{3569D124-3EDC-43A4-91E3-E6B52D9CF107}" uniqueName="19" name="DISTRIBUTION_CHANNEL" queryTableFieldId="19" dataDxfId="39"/>
    <tableColumn id="20" xr3:uid="{44B1C26D-29E1-4BED-83D3-3870ED3C0CE3}" uniqueName="20" name="MATERIAL_NUMBER" queryTableFieldId="20" dataDxfId="38"/>
    <tableColumn id="21" xr3:uid="{0673DB46-EE94-47B0-B006-A88FCFA43922}" uniqueName="21" name="MATERIAL_DESCRIPTION" queryTableFieldId="21" dataDxfId="37"/>
    <tableColumn id="22" xr3:uid="{86AD22E6-E05B-4C16-B15C-78EB36442216}" uniqueName="22" name="MATERIAL_TYPE" queryTableFieldId="22" dataDxfId="36"/>
    <tableColumn id="23" xr3:uid="{EC2DF687-DABB-4A4D-B32D-F444975C303A}" uniqueName="23" name="MATERIAL_CODE" queryTableFieldId="23" dataDxfId="35"/>
    <tableColumn id="24" xr3:uid="{2B6C1D24-90A1-41C0-8FCE-2441A88790E0}" uniqueName="24" name="MATERIAL_SIZE" queryTableFieldId="24" dataDxfId="34"/>
    <tableColumn id="25" xr3:uid="{C3494F79-ADE0-4C6E-841A-37D74564DE57}" uniqueName="25" name="MATERIAL_LABEL" queryTableFieldId="25" dataDxfId="33"/>
    <tableColumn id="26" xr3:uid="{13B2AA70-A840-4507-A6F2-BFBF9CDE2A27}" uniqueName="26" name="QUANTITY" queryTableFieldId="26"/>
    <tableColumn id="27" xr3:uid="{93C97F3B-1024-4BF5-BE3F-91E276A47B9F}" uniqueName="27" name="QUANTITY_DELIVERED" queryTableFieldId="27"/>
    <tableColumn id="28" xr3:uid="{FF825D1B-6181-4D95-8D5C-B8975555FACB}" uniqueName="28" name="UNIT" queryTableFieldId="28" dataDxfId="32"/>
    <tableColumn id="29" xr3:uid="{8CC325ED-0320-406A-9ED4-2965C70B3645}" uniqueName="29" name="NET_PRICE" queryTableFieldId="29"/>
    <tableColumn id="30" xr3:uid="{618FE83D-7604-4516-8951-EF649988726E}" uniqueName="30" name="NET_VALUE" queryTableFieldId="30"/>
    <tableColumn id="31" xr3:uid="{EDD80A98-519C-495D-BCF2-5A111591F2E9}" uniqueName="31" name="COST" queryTableFieldId="31"/>
    <tableColumn id="32" xr3:uid="{81C3AA41-629C-4682-859C-42AA6736152F}" uniqueName="32" name="CURRENCY" queryTableFieldId="32" dataDxfId="31"/>
    <tableColumn id="33" xr3:uid="{FDB78B12-FA87-4F19-8733-009C98BFC7B4}" uniqueName="33" name="CONTRIBUTION_MARGIN" queryTableFieldId="33"/>
    <tableColumn id="34" xr3:uid="{F6C96872-2FB8-454D-92BA-EC39E8A1B600}" uniqueName="34" name="CONTRIBUTION_MARGIN_PCT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DB03A1-8D61-4EFC-B2D7-E9F59A7C8755}" name="Inventory__2" displayName="Inventory__2" ref="A1:R2663" tableType="queryTable" totalsRowShown="0">
  <autoFilter ref="A1:R2663" xr:uid="{F0DB03A1-8D61-4EFC-B2D7-E9F59A7C8755}"/>
  <tableColumns count="18">
    <tableColumn id="1" xr3:uid="{8A38DE7A-C6B2-472C-9EDD-2ADC8CC218F9}" uniqueName="1" name="ID" queryTableFieldId="1" dataDxfId="26"/>
    <tableColumn id="2" xr3:uid="{6100FDF1-D456-4A0D-8CEE-232C9429EEC5}" uniqueName="2" name="ROW_NUMBER" queryTableFieldId="2"/>
    <tableColumn id="3" xr3:uid="{2287ED08-5566-44D7-9295-DA2BD5C60A22}" uniqueName="3" name="PLANT" queryTableFieldId="3" dataDxfId="25"/>
    <tableColumn id="4" xr3:uid="{2F57B262-ED48-4907-AEC3-08B63657C020}" uniqueName="4" name="SIM_ROUND" queryTableFieldId="4" dataDxfId="24"/>
    <tableColumn id="5" xr3:uid="{B31971A9-9AE6-41FF-A96A-9354CD5B57EC}" uniqueName="5" name="SIM_STEP" queryTableFieldId="5" dataDxfId="23"/>
    <tableColumn id="6" xr3:uid="{450DD080-47A3-437D-BE51-DF48C8282F81}" uniqueName="6" name="SIM_DATE" queryTableFieldId="6" dataDxfId="22"/>
    <tableColumn id="7" xr3:uid="{05B9EA31-6CBC-40DC-8D93-0447007935F6}" uniqueName="7" name="SIM_CALENDAR_DATE" queryTableFieldId="7" dataDxfId="21"/>
    <tableColumn id="8" xr3:uid="{3AA3B417-33EA-433E-984E-D0FCBFBBCCBF}" uniqueName="8" name="SIM_PERIOD" queryTableFieldId="8"/>
    <tableColumn id="9" xr3:uid="{30DDEBF7-6601-4A7B-9AEF-07E78B81EC9E}" uniqueName="9" name="SIM_ELAPSED_STEPS" queryTableFieldId="9"/>
    <tableColumn id="10" xr3:uid="{4D1FAC8F-31CB-410F-B86D-8389526A090C}" uniqueName="10" name="STORAGE_LOCATION" queryTableFieldId="10" dataDxfId="20"/>
    <tableColumn id="11" xr3:uid="{21C46771-60A9-4409-B292-0093C41282AE}" uniqueName="11" name="MATERIAL_NUMBER" queryTableFieldId="11" dataDxfId="19"/>
    <tableColumn id="12" xr3:uid="{38FD91FA-6CEB-454C-934A-3D04828E9498}" uniqueName="12" name="MATERIAL_DESCRIPTION" queryTableFieldId="12" dataDxfId="18"/>
    <tableColumn id="13" xr3:uid="{6F376A63-8D84-4AB6-AB41-727C1E2C01FF}" uniqueName="13" name="MATERIAL_TYPE" queryTableFieldId="13" dataDxfId="17"/>
    <tableColumn id="14" xr3:uid="{4A0C5B97-349D-4FBC-8257-7723C91B2235}" uniqueName="14" name="MATERIAL_CODE" queryTableFieldId="14" dataDxfId="16"/>
    <tableColumn id="15" xr3:uid="{1ED282BD-1781-4FF1-927F-2808BECA48CA}" uniqueName="15" name="MATERIAL_SIZE" queryTableFieldId="15" dataDxfId="15"/>
    <tableColumn id="16" xr3:uid="{14A92E24-0E4D-42CA-B492-841E7791A306}" uniqueName="16" name="MATERIAL_LABEL" queryTableFieldId="16" dataDxfId="14"/>
    <tableColumn id="17" xr3:uid="{9002F718-56BC-48D3-897A-B25809C0E019}" uniqueName="17" name="INVENTORY_OPENING_BALANCE" queryTableFieldId="17"/>
    <tableColumn id="18" xr3:uid="{ED311612-D56A-4147-A33F-011FDE8E75E5}" uniqueName="18" name="UNIT" queryTableFieldId="18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1EF450-24CD-4C6B-AF3A-68F665CF7ECC}" name="Production__2" displayName="Production__2" ref="A1:P1441" tableType="queryTable" totalsRowShown="0">
  <autoFilter ref="A1:P1441" xr:uid="{B21EF450-24CD-4C6B-AF3A-68F665CF7ECC}"/>
  <tableColumns count="16">
    <tableColumn id="1" xr3:uid="{58156500-0252-4652-B876-69EF92BD5908}" uniqueName="1" name="ID" queryTableFieldId="1" dataDxfId="12"/>
    <tableColumn id="2" xr3:uid="{243D08B7-5E5F-4C53-9078-8EADD218FF67}" uniqueName="2" name="ROW_NUMBER" queryTableFieldId="2"/>
    <tableColumn id="3" xr3:uid="{A1ED13F0-5602-4E93-BE06-629130910FE5}" uniqueName="3" name="COMPANY_CODE" queryTableFieldId="3" dataDxfId="11"/>
    <tableColumn id="4" xr3:uid="{0CC22F6F-A4FE-4FD2-89EA-864AA909C729}" uniqueName="4" name="SIM_ROUND" queryTableFieldId="4" dataDxfId="10"/>
    <tableColumn id="5" xr3:uid="{CD05AE35-4D94-4031-B210-3345E6E8ABE2}" uniqueName="5" name="SIM_STEP" queryTableFieldId="5" dataDxfId="9"/>
    <tableColumn id="6" xr3:uid="{0047ECF6-7454-4436-AFC9-B94073336497}" uniqueName="6" name="SIM_DATE" queryTableFieldId="6" dataDxfId="8"/>
    <tableColumn id="7" xr3:uid="{C4E89B11-5C2B-486F-A776-A2654F5E3565}" uniqueName="7" name="SIM_CALENDAR_DATE" queryTableFieldId="7" dataDxfId="7"/>
    <tableColumn id="8" xr3:uid="{A4D40DC7-9BDF-4090-B788-3886DFF61529}" uniqueName="8" name="SIM_PERIOD" queryTableFieldId="8"/>
    <tableColumn id="9" xr3:uid="{ADB63A5D-4455-454F-8B49-D6D03A2802D9}" uniqueName="9" name="SIM_ELAPSED_STEPS" queryTableFieldId="9"/>
    <tableColumn id="10" xr3:uid="{51F7560C-2E44-41F5-9835-119092A3D682}" uniqueName="10" name="MATERIAL_NUMBER" queryTableFieldId="10" dataDxfId="6"/>
    <tableColumn id="11" xr3:uid="{FC0718AB-D588-4AEB-8D32-2A0870403521}" uniqueName="11" name="MATERIAL_DESCRIPTION" queryTableFieldId="11" dataDxfId="5"/>
    <tableColumn id="12" xr3:uid="{AA354D3F-BD9D-4A4C-9423-727188091780}" uniqueName="12" name="MATERIAL_SIZE" queryTableFieldId="12" dataDxfId="4"/>
    <tableColumn id="13" xr3:uid="{C9415A46-B1DB-425C-A43A-3CB51F0AA40F}" uniqueName="13" name="MATERIAL_LABEL" queryTableFieldId="13" dataDxfId="3"/>
    <tableColumn id="14" xr3:uid="{DEE25112-E112-424D-A601-F95CC87AB669}" uniqueName="14" name="MATERIAL_CODE" queryTableFieldId="14" dataDxfId="2"/>
    <tableColumn id="15" xr3:uid="{B0524A7E-9CF1-495D-9063-F8ECC2DBD4D9}" uniqueName="15" name="YIELD" queryTableFieldId="15"/>
    <tableColumn id="16" xr3:uid="{49FE0BD1-930A-4495-8122-4D20C0B01B2B}" uniqueName="16" name="UNIT" queryTableFieldId="16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6869F-CA98-41E0-B3DA-E32A1A95A7EE}">
  <sheetPr>
    <tabColor rgb="FF0070C0"/>
  </sheetPr>
  <dimension ref="A1:C9"/>
  <sheetViews>
    <sheetView tabSelected="1" workbookViewId="0">
      <selection activeCell="A15" sqref="A15"/>
    </sheetView>
  </sheetViews>
  <sheetFormatPr defaultRowHeight="15" x14ac:dyDescent="0.25"/>
  <cols>
    <col min="1" max="1" width="37.5703125" customWidth="1"/>
    <col min="2" max="2" width="36.85546875" bestFit="1" customWidth="1"/>
    <col min="3" max="3" width="14.28515625" bestFit="1" customWidth="1"/>
  </cols>
  <sheetData>
    <row r="1" spans="1:3" ht="21.75" thickBot="1" x14ac:dyDescent="0.4">
      <c r="A1" s="28" t="s">
        <v>2928</v>
      </c>
    </row>
    <row r="2" spans="1:3" ht="21.75" thickBot="1" x14ac:dyDescent="0.4">
      <c r="A2" s="39" t="s">
        <v>2929</v>
      </c>
      <c r="B2" s="34" t="s">
        <v>2923</v>
      </c>
      <c r="C2" s="160" t="s">
        <v>4071</v>
      </c>
    </row>
    <row r="3" spans="1:3" ht="21.75" thickBot="1" x14ac:dyDescent="0.4">
      <c r="A3" s="29" t="s">
        <v>2918</v>
      </c>
      <c r="B3" s="34" t="s">
        <v>2932</v>
      </c>
    </row>
    <row r="4" spans="1:3" ht="21.75" thickBot="1" x14ac:dyDescent="0.4">
      <c r="A4" s="30" t="s">
        <v>2919</v>
      </c>
      <c r="B4" s="34" t="s">
        <v>2931</v>
      </c>
    </row>
    <row r="5" spans="1:3" ht="21" x14ac:dyDescent="0.35">
      <c r="A5" s="31" t="s">
        <v>2920</v>
      </c>
      <c r="B5" s="35" t="s">
        <v>2924</v>
      </c>
    </row>
    <row r="6" spans="1:3" ht="21.75" thickBot="1" x14ac:dyDescent="0.4">
      <c r="A6" s="32" t="s">
        <v>2921</v>
      </c>
      <c r="B6" s="36" t="s">
        <v>2925</v>
      </c>
    </row>
    <row r="7" spans="1:3" ht="21" x14ac:dyDescent="0.35">
      <c r="A7" s="32" t="s">
        <v>98</v>
      </c>
      <c r="B7" s="37" t="s">
        <v>2926</v>
      </c>
    </row>
    <row r="8" spans="1:3" ht="21" x14ac:dyDescent="0.35">
      <c r="A8" s="32" t="s">
        <v>2922</v>
      </c>
      <c r="B8" s="38" t="s">
        <v>2927</v>
      </c>
    </row>
    <row r="9" spans="1:3" ht="21.75" thickBot="1" x14ac:dyDescent="0.4">
      <c r="A9" s="33" t="s">
        <v>110</v>
      </c>
      <c r="B9" s="38" t="s">
        <v>2930</v>
      </c>
    </row>
  </sheetData>
  <hyperlinks>
    <hyperlink ref="A3" location="MaterialMaster" display="MaterialMaster" xr:uid="{A6008DD6-985D-435F-A685-C9E77F670EB5}"/>
    <hyperlink ref="A4" location="BOM!A1" display="BOM" xr:uid="{765E7EBD-D02C-4EED-8758-27CA8DE619F9}"/>
    <hyperlink ref="A5" location="DistributionChannels!A1" display="DistributionChannels" xr:uid="{7E77E4F9-73D2-4228-9B79-DD87D81B0D97}"/>
    <hyperlink ref="A6" location="SalesAreas!A1" display="SalesAreas" xr:uid="{19A8940C-8B61-4BA6-B8E5-CFB590A4EA7D}"/>
    <hyperlink ref="A7" location="Suppliers!A1" display="Suppliers" xr:uid="{27FDFE74-0DA4-4618-AFAB-D8A85B1416DB}"/>
    <hyperlink ref="A8" location="StorageLocations!A1" display="StorageLocations" xr:uid="{28A5C28E-B4C4-4382-9CB2-0219E20615CD}"/>
    <hyperlink ref="A9" location="Equipment!A1" display="Equipment" xr:uid="{A7515C85-7D80-45C0-B5D8-A29537396D74}"/>
    <hyperlink ref="B2" location="SalesOD!A1" display="SalesOD" xr:uid="{08E71453-B00B-4B2E-B803-EB759235E885}"/>
    <hyperlink ref="B3" location="'SalesForecast-CurrentMonth'!A1" display="SalesForecast-CurrentMonth" xr:uid="{5DD779C1-4ED5-41E3-97FA-99B51EB41385}"/>
    <hyperlink ref="B4" location="'SalesForecast-Archive'!A1" display="SalesForecast-Archive" xr:uid="{4D58FFBA-B20D-47B2-89AC-55A393492653}"/>
    <hyperlink ref="B5" location="InventoryOD!A1" display="InventoryOD" xr:uid="{9FBCE8A8-738C-442B-957F-435103E7FF71}"/>
    <hyperlink ref="B6" location="Inventory!A1" display="Inventory" xr:uid="{72CFC927-DA51-4559-A267-5CEE03917686}"/>
    <hyperlink ref="B7" location="ProductionOD!A1" display="ProductionOD" xr:uid="{37FC3002-1E1A-4315-BB74-C638B404DCBD}"/>
    <hyperlink ref="B8" location="ProductionPlan!A1" display="ProductionPlan" xr:uid="{A68245BE-FE7B-47E3-BCFA-E81F2A311CB4}"/>
    <hyperlink ref="B9" location="'ProductionPlan-Archive'!A1" display="ProductionPlan-Archive" xr:uid="{B457C482-6C13-4EF1-A365-6BCC27FC443C}"/>
    <hyperlink ref="A2" location="Documentation!A1" display="Documentation" xr:uid="{2E43985F-6B7B-4A6A-8ADF-3923A6D50AAB}"/>
    <hyperlink ref="C2" location="Analysis!A1" display="Analysis" xr:uid="{5C413EDC-D2FF-477F-A7B6-1F3F84C7D1E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F9DCA-F581-417F-B597-DEB294A3820B}">
  <sheetPr codeName="Sheet1">
    <tabColor theme="4" tint="-0.249977111117893"/>
  </sheetPr>
  <dimension ref="A1:I85"/>
  <sheetViews>
    <sheetView workbookViewId="0">
      <selection activeCell="C1" sqref="C1"/>
    </sheetView>
  </sheetViews>
  <sheetFormatPr defaultRowHeight="15" x14ac:dyDescent="0.25"/>
  <cols>
    <col min="1" max="1" width="24.7109375" customWidth="1"/>
    <col min="2" max="2" width="29.7109375" customWidth="1"/>
    <col min="3" max="3" width="15.28515625" customWidth="1"/>
    <col min="4" max="4" width="18.140625" customWidth="1"/>
    <col min="5" max="5" width="28.7109375" customWidth="1"/>
    <col min="7" max="7" width="13.7109375" customWidth="1"/>
    <col min="8" max="8" width="9.28515625" customWidth="1"/>
    <col min="9" max="9" width="13.85546875" customWidth="1"/>
    <col min="10" max="10" width="11.140625" customWidth="1"/>
  </cols>
  <sheetData>
    <row r="1" spans="1:7" ht="18.75" x14ac:dyDescent="0.3">
      <c r="A1" s="11" t="s">
        <v>0</v>
      </c>
      <c r="B1" s="19">
        <v>44592</v>
      </c>
      <c r="D1" s="40" t="s">
        <v>2933</v>
      </c>
      <c r="G1" s="2"/>
    </row>
    <row r="2" spans="1:7" x14ac:dyDescent="0.25">
      <c r="A2" s="11" t="s">
        <v>1</v>
      </c>
      <c r="B2" s="20" t="s">
        <v>2</v>
      </c>
      <c r="G2" s="2"/>
    </row>
    <row r="3" spans="1:7" x14ac:dyDescent="0.25">
      <c r="A3" s="11" t="s">
        <v>3</v>
      </c>
      <c r="B3" s="21">
        <f>MAX(A9:A24)</f>
        <v>44652</v>
      </c>
      <c r="E3" s="2"/>
      <c r="F3" s="2"/>
      <c r="G3" s="2"/>
    </row>
    <row r="4" spans="1:7" x14ac:dyDescent="0.25">
      <c r="A4" s="11" t="s">
        <v>4</v>
      </c>
      <c r="B4" s="20" t="s">
        <v>2</v>
      </c>
      <c r="E4" s="4"/>
      <c r="F4" s="4"/>
      <c r="G4" s="4"/>
    </row>
    <row r="5" spans="1:7" x14ac:dyDescent="0.25">
      <c r="A5" s="11" t="s">
        <v>5</v>
      </c>
      <c r="B5" s="22" t="s">
        <v>161</v>
      </c>
      <c r="E5" s="6"/>
      <c r="F5" s="7"/>
      <c r="G5" s="2"/>
    </row>
    <row r="6" spans="1:7" x14ac:dyDescent="0.25">
      <c r="E6" s="2"/>
      <c r="F6" s="7"/>
      <c r="G6" s="2"/>
    </row>
    <row r="7" spans="1:7" ht="18.75" x14ac:dyDescent="0.3">
      <c r="A7" s="13" t="s">
        <v>160</v>
      </c>
      <c r="E7" s="2"/>
      <c r="F7" s="7"/>
      <c r="G7" s="2"/>
    </row>
    <row r="8" spans="1:7" x14ac:dyDescent="0.25">
      <c r="A8" s="1" t="s">
        <v>6</v>
      </c>
      <c r="B8" s="1" t="s">
        <v>7</v>
      </c>
      <c r="C8" s="1" t="s">
        <v>4</v>
      </c>
      <c r="E8" s="2"/>
      <c r="F8" s="7"/>
      <c r="G8" s="2"/>
    </row>
    <row r="9" spans="1:7" x14ac:dyDescent="0.25">
      <c r="A9" s="15">
        <v>44592</v>
      </c>
      <c r="B9" s="5" t="s">
        <v>397</v>
      </c>
      <c r="C9" s="3" t="s">
        <v>2</v>
      </c>
      <c r="E9" s="2"/>
      <c r="F9" s="7"/>
      <c r="G9" s="2"/>
    </row>
    <row r="10" spans="1:7" x14ac:dyDescent="0.25">
      <c r="A10" s="8">
        <v>44593</v>
      </c>
      <c r="B10" s="9" t="s">
        <v>398</v>
      </c>
      <c r="C10" s="10" t="s">
        <v>2</v>
      </c>
      <c r="E10" s="2"/>
      <c r="F10" s="7"/>
      <c r="G10" s="2"/>
    </row>
    <row r="11" spans="1:7" ht="30" x14ac:dyDescent="0.25">
      <c r="A11" s="8">
        <v>44594</v>
      </c>
      <c r="B11" s="9" t="s">
        <v>402</v>
      </c>
      <c r="C11" s="10" t="s">
        <v>2</v>
      </c>
      <c r="F11" s="7"/>
      <c r="G11" s="2"/>
    </row>
    <row r="12" spans="1:7" ht="45" x14ac:dyDescent="0.25">
      <c r="A12" s="8">
        <v>44595</v>
      </c>
      <c r="B12" s="9" t="s">
        <v>477</v>
      </c>
      <c r="C12" s="10" t="s">
        <v>2</v>
      </c>
      <c r="F12" s="7"/>
      <c r="G12" s="2"/>
    </row>
    <row r="13" spans="1:7" ht="30" x14ac:dyDescent="0.25">
      <c r="A13" s="8">
        <v>44596</v>
      </c>
      <c r="B13" s="9" t="s">
        <v>403</v>
      </c>
      <c r="C13" s="10" t="s">
        <v>2</v>
      </c>
      <c r="E13" s="2"/>
      <c r="F13" s="7"/>
      <c r="G13" s="2"/>
    </row>
    <row r="14" spans="1:7" x14ac:dyDescent="0.25">
      <c r="A14" s="8">
        <v>44603</v>
      </c>
      <c r="B14" s="9" t="s">
        <v>475</v>
      </c>
      <c r="C14" s="10" t="s">
        <v>2</v>
      </c>
      <c r="E14" s="2"/>
      <c r="F14" s="7"/>
      <c r="G14" s="2"/>
    </row>
    <row r="15" spans="1:7" x14ac:dyDescent="0.25">
      <c r="A15" s="8">
        <v>44606</v>
      </c>
      <c r="B15" s="9" t="s">
        <v>476</v>
      </c>
      <c r="C15" s="10" t="s">
        <v>2</v>
      </c>
      <c r="E15" s="2"/>
      <c r="F15" s="7"/>
      <c r="G15" s="2"/>
    </row>
    <row r="16" spans="1:7" x14ac:dyDescent="0.25">
      <c r="A16" s="8">
        <v>44610</v>
      </c>
      <c r="B16" s="9" t="s">
        <v>478</v>
      </c>
      <c r="C16" s="10" t="s">
        <v>2</v>
      </c>
      <c r="E16" s="2"/>
      <c r="F16" s="7"/>
      <c r="G16" s="2"/>
    </row>
    <row r="17" spans="1:9" x14ac:dyDescent="0.25">
      <c r="A17" s="8">
        <v>44617</v>
      </c>
      <c r="B17" s="9" t="s">
        <v>479</v>
      </c>
      <c r="C17" s="10" t="s">
        <v>2</v>
      </c>
      <c r="E17" s="2"/>
      <c r="F17" s="7"/>
      <c r="G17" s="2"/>
    </row>
    <row r="18" spans="1:9" x14ac:dyDescent="0.25">
      <c r="A18" s="8">
        <v>44627</v>
      </c>
      <c r="B18" s="9" t="s">
        <v>480</v>
      </c>
      <c r="C18" s="10" t="s">
        <v>2</v>
      </c>
      <c r="E18" s="2"/>
    </row>
    <row r="19" spans="1:9" ht="45" x14ac:dyDescent="0.25">
      <c r="A19" s="8">
        <v>44634</v>
      </c>
      <c r="B19" s="9" t="s">
        <v>2934</v>
      </c>
      <c r="C19" s="10" t="s">
        <v>2</v>
      </c>
      <c r="E19" s="2"/>
    </row>
    <row r="20" spans="1:9" x14ac:dyDescent="0.25">
      <c r="A20" s="8">
        <v>44638</v>
      </c>
      <c r="B20" s="9" t="s">
        <v>2935</v>
      </c>
      <c r="C20" s="10" t="s">
        <v>2</v>
      </c>
      <c r="E20" s="2"/>
    </row>
    <row r="21" spans="1:9" ht="45" x14ac:dyDescent="0.25">
      <c r="A21" s="8">
        <v>44641</v>
      </c>
      <c r="B21" s="9" t="s">
        <v>2936</v>
      </c>
      <c r="C21" s="10" t="s">
        <v>2</v>
      </c>
      <c r="E21" s="2"/>
    </row>
    <row r="22" spans="1:9" ht="30" x14ac:dyDescent="0.25">
      <c r="A22" s="8">
        <v>44645</v>
      </c>
      <c r="B22" s="9" t="s">
        <v>2937</v>
      </c>
      <c r="C22" s="10" t="s">
        <v>2</v>
      </c>
      <c r="E22" s="2"/>
    </row>
    <row r="23" spans="1:9" x14ac:dyDescent="0.25">
      <c r="A23" s="8">
        <v>44648</v>
      </c>
      <c r="B23" s="9" t="s">
        <v>2938</v>
      </c>
      <c r="C23" s="10" t="s">
        <v>2</v>
      </c>
      <c r="E23" s="2"/>
    </row>
    <row r="24" spans="1:9" x14ac:dyDescent="0.25">
      <c r="A24" s="8">
        <v>44652</v>
      </c>
      <c r="B24" s="9" t="s">
        <v>2939</v>
      </c>
      <c r="C24" s="10" t="s">
        <v>2</v>
      </c>
      <c r="E24" s="2"/>
    </row>
    <row r="26" spans="1:9" ht="18.75" x14ac:dyDescent="0.3">
      <c r="A26" s="13" t="s">
        <v>159</v>
      </c>
    </row>
    <row r="27" spans="1:9" x14ac:dyDescent="0.25">
      <c r="A27" s="11" t="s">
        <v>10</v>
      </c>
      <c r="B27" s="11" t="s">
        <v>11</v>
      </c>
      <c r="D27" s="11" t="s">
        <v>99</v>
      </c>
      <c r="E27" s="11" t="s">
        <v>92</v>
      </c>
      <c r="G27" s="11" t="s">
        <v>192</v>
      </c>
      <c r="I27" s="11" t="s">
        <v>23</v>
      </c>
    </row>
    <row r="28" spans="1:9" x14ac:dyDescent="0.25">
      <c r="A28" s="10" t="s">
        <v>12</v>
      </c>
      <c r="B28" s="10" t="s">
        <v>13</v>
      </c>
      <c r="D28" s="10" t="s">
        <v>171</v>
      </c>
      <c r="E28" s="10" t="s">
        <v>172</v>
      </c>
      <c r="G28" s="24">
        <v>500</v>
      </c>
      <c r="I28" s="10" t="s">
        <v>399</v>
      </c>
    </row>
    <row r="29" spans="1:9" x14ac:dyDescent="0.25">
      <c r="A29" s="10" t="s">
        <v>14</v>
      </c>
      <c r="B29" s="10" t="s">
        <v>15</v>
      </c>
      <c r="D29" s="10" t="s">
        <v>174</v>
      </c>
      <c r="E29" s="10" t="s">
        <v>175</v>
      </c>
      <c r="G29" s="24">
        <v>1000</v>
      </c>
      <c r="I29" s="10" t="s">
        <v>66</v>
      </c>
    </row>
    <row r="30" spans="1:9" x14ac:dyDescent="0.25">
      <c r="A30" s="10" t="s">
        <v>16</v>
      </c>
      <c r="B30" s="10" t="s">
        <v>17</v>
      </c>
      <c r="G30" s="10" t="s">
        <v>73</v>
      </c>
      <c r="I30" s="10" t="s">
        <v>156</v>
      </c>
    </row>
    <row r="31" spans="1:9" x14ac:dyDescent="0.25">
      <c r="D31" s="11" t="s">
        <v>10</v>
      </c>
      <c r="E31" s="11" t="s">
        <v>18</v>
      </c>
      <c r="I31" s="10" t="s">
        <v>25</v>
      </c>
    </row>
    <row r="32" spans="1:9" x14ac:dyDescent="0.25">
      <c r="A32" s="11" t="s">
        <v>8</v>
      </c>
      <c r="B32" s="12">
        <v>12</v>
      </c>
      <c r="D32" s="10" t="s">
        <v>19</v>
      </c>
      <c r="E32" s="10" t="s">
        <v>132</v>
      </c>
      <c r="G32" s="11" t="s">
        <v>34</v>
      </c>
      <c r="I32" s="10" t="s">
        <v>26</v>
      </c>
    </row>
    <row r="33" spans="1:9" x14ac:dyDescent="0.25">
      <c r="A33" s="11" t="s">
        <v>9</v>
      </c>
      <c r="B33" s="12">
        <v>0</v>
      </c>
      <c r="D33" s="10" t="s">
        <v>20</v>
      </c>
      <c r="E33" s="10" t="s">
        <v>133</v>
      </c>
      <c r="G33" s="17">
        <v>1000</v>
      </c>
      <c r="I33" s="10" t="s">
        <v>27</v>
      </c>
    </row>
    <row r="34" spans="1:9" x14ac:dyDescent="0.25">
      <c r="E34" s="10"/>
      <c r="G34" s="18">
        <v>10</v>
      </c>
      <c r="I34" s="10" t="s">
        <v>189</v>
      </c>
    </row>
    <row r="35" spans="1:9" x14ac:dyDescent="0.25">
      <c r="A35" s="11" t="s">
        <v>158</v>
      </c>
      <c r="B35" s="12">
        <v>48000</v>
      </c>
      <c r="D35" s="11" t="s">
        <v>22</v>
      </c>
      <c r="E35" s="11" t="s">
        <v>92</v>
      </c>
      <c r="G35" s="18">
        <v>1</v>
      </c>
      <c r="I35" s="10" t="s">
        <v>393</v>
      </c>
    </row>
    <row r="36" spans="1:9" x14ac:dyDescent="0.25">
      <c r="A36" s="11" t="s">
        <v>157</v>
      </c>
      <c r="B36" s="12">
        <v>16000</v>
      </c>
      <c r="D36" s="10" t="s">
        <v>163</v>
      </c>
      <c r="E36" s="10" t="s">
        <v>167</v>
      </c>
      <c r="I36" s="10" t="s">
        <v>73</v>
      </c>
    </row>
    <row r="37" spans="1:9" x14ac:dyDescent="0.25">
      <c r="D37" s="10" t="s">
        <v>164</v>
      </c>
      <c r="E37" s="10" t="s">
        <v>168</v>
      </c>
    </row>
    <row r="38" spans="1:9" x14ac:dyDescent="0.25">
      <c r="A38" s="11" t="s">
        <v>162</v>
      </c>
      <c r="B38" s="23">
        <v>0.05</v>
      </c>
      <c r="D38" s="10" t="s">
        <v>165</v>
      </c>
      <c r="E38" s="10" t="s">
        <v>169</v>
      </c>
    </row>
    <row r="39" spans="1:9" x14ac:dyDescent="0.25">
      <c r="A39" s="11" t="s">
        <v>401</v>
      </c>
      <c r="B39" s="26">
        <v>0.9</v>
      </c>
      <c r="D39" s="10" t="s">
        <v>166</v>
      </c>
      <c r="E39" s="10" t="s">
        <v>170</v>
      </c>
    </row>
    <row r="40" spans="1:9" x14ac:dyDescent="0.25">
      <c r="D40" s="10" t="s">
        <v>190</v>
      </c>
      <c r="E40" s="10" t="s">
        <v>191</v>
      </c>
    </row>
    <row r="41" spans="1:9" x14ac:dyDescent="0.25">
      <c r="A41" s="11" t="s">
        <v>187</v>
      </c>
      <c r="B41" s="16">
        <v>24000</v>
      </c>
    </row>
    <row r="42" spans="1:9" x14ac:dyDescent="0.25">
      <c r="A42" s="11" t="s">
        <v>188</v>
      </c>
      <c r="B42" s="10">
        <v>3.88</v>
      </c>
      <c r="D42" s="11" t="s">
        <v>404</v>
      </c>
      <c r="E42" s="11" t="s">
        <v>92</v>
      </c>
    </row>
    <row r="43" spans="1:9" x14ac:dyDescent="0.25">
      <c r="A43" s="11" t="s">
        <v>400</v>
      </c>
      <c r="B43" s="16">
        <v>24</v>
      </c>
      <c r="D43" s="18">
        <v>22</v>
      </c>
      <c r="E43" s="18" t="s">
        <v>405</v>
      </c>
    </row>
    <row r="44" spans="1:9" x14ac:dyDescent="0.25">
      <c r="D44" s="18">
        <v>88</v>
      </c>
      <c r="E44" s="18" t="s">
        <v>406</v>
      </c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  <row r="79" spans="1:1" x14ac:dyDescent="0.25">
      <c r="A79" s="10"/>
    </row>
    <row r="80" spans="1:1" x14ac:dyDescent="0.25">
      <c r="A80" s="10"/>
    </row>
    <row r="81" spans="1:1" x14ac:dyDescent="0.25">
      <c r="A81" s="10"/>
    </row>
    <row r="82" spans="1:1" x14ac:dyDescent="0.25">
      <c r="A82" s="10"/>
    </row>
    <row r="83" spans="1:1" x14ac:dyDescent="0.25">
      <c r="A83" s="10"/>
    </row>
    <row r="84" spans="1:1" x14ac:dyDescent="0.25">
      <c r="A84" s="10"/>
    </row>
    <row r="85" spans="1:1" x14ac:dyDescent="0.25">
      <c r="A85" s="10"/>
    </row>
  </sheetData>
  <dataValidations count="1">
    <dataValidation type="list" allowBlank="1" showInputMessage="1" showErrorMessage="1" sqref="A5 E3:E4 A8" xr:uid="{B5738C38-93A5-4BE7-931D-3706CAAAAC2B}">
      <formula1>"V01,V02"</formula1>
    </dataValidation>
  </dataValidations>
  <hyperlinks>
    <hyperlink ref="D1" location="MainNavigation!A1" display="MainNavigation" xr:uid="{445EF45B-5050-4539-B317-2CB2592164EE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D8F4-9A40-44BC-B6D1-59ABEBD671F0}">
  <sheetPr codeName="Sheet2">
    <tabColor rgb="FF7030A0"/>
  </sheetPr>
  <dimension ref="A1:Q27"/>
  <sheetViews>
    <sheetView workbookViewId="0">
      <pane xSplit="2" ySplit="4" topLeftCell="C5" activePane="bottomRight" state="frozen"/>
      <selection activeCell="I1" sqref="I1"/>
      <selection pane="topRight" activeCell="I1" sqref="I1"/>
      <selection pane="bottomLeft" activeCell="I1" sqref="I1"/>
      <selection pane="bottomRight" activeCell="C1" sqref="C1"/>
    </sheetView>
  </sheetViews>
  <sheetFormatPr defaultRowHeight="15" x14ac:dyDescent="0.25"/>
  <cols>
    <col min="1" max="1" width="10.7109375" style="68" customWidth="1"/>
    <col min="2" max="2" width="26.42578125" style="68" customWidth="1"/>
    <col min="3" max="3" width="12.28515625" style="68" customWidth="1"/>
    <col min="4" max="4" width="18.28515625" style="68" customWidth="1"/>
    <col min="5" max="5" width="11.28515625" style="68" customWidth="1"/>
    <col min="6" max="6" width="12" style="68" customWidth="1"/>
    <col min="7" max="7" width="11.28515625" style="68" customWidth="1"/>
    <col min="8" max="8" width="12.140625" style="68" customWidth="1"/>
    <col min="9" max="9" width="13.42578125" style="68" customWidth="1"/>
    <col min="10" max="12" width="9.140625" style="68"/>
    <col min="13" max="13" width="10" style="68" customWidth="1"/>
    <col min="14" max="14" width="9.85546875" style="68" customWidth="1"/>
    <col min="15" max="15" width="15.140625" style="68" customWidth="1"/>
    <col min="16" max="16" width="14.7109375" style="68" customWidth="1"/>
    <col min="17" max="17" width="21.5703125" style="68" customWidth="1"/>
    <col min="18" max="16384" width="9.140625" style="68"/>
  </cols>
  <sheetData>
    <row r="1" spans="1:17" ht="18.75" x14ac:dyDescent="0.3">
      <c r="A1" s="67" t="s">
        <v>451</v>
      </c>
      <c r="D1" s="69" t="s">
        <v>2933</v>
      </c>
    </row>
    <row r="2" spans="1:17" x14ac:dyDescent="0.25">
      <c r="A2" s="161" t="s">
        <v>446</v>
      </c>
      <c r="B2" s="161"/>
    </row>
    <row r="3" spans="1:17" x14ac:dyDescent="0.25">
      <c r="A3" s="162" t="s">
        <v>448</v>
      </c>
      <c r="B3" s="162"/>
    </row>
    <row r="4" spans="1:17" ht="30" x14ac:dyDescent="0.25">
      <c r="A4" s="41" t="s">
        <v>28</v>
      </c>
      <c r="B4" s="41" t="s">
        <v>29</v>
      </c>
      <c r="C4" s="41" t="s">
        <v>30</v>
      </c>
      <c r="D4" s="41" t="s">
        <v>11</v>
      </c>
      <c r="E4" s="41" t="s">
        <v>18</v>
      </c>
      <c r="F4" s="41" t="s">
        <v>31</v>
      </c>
      <c r="G4" s="41" t="s">
        <v>32</v>
      </c>
      <c r="H4" s="41" t="s">
        <v>33</v>
      </c>
      <c r="I4" s="41" t="s">
        <v>34</v>
      </c>
      <c r="J4" s="41" t="s">
        <v>22</v>
      </c>
      <c r="K4" s="41" t="s">
        <v>35</v>
      </c>
      <c r="L4" s="41" t="s">
        <v>36</v>
      </c>
      <c r="M4" s="41" t="s">
        <v>37</v>
      </c>
      <c r="N4" s="41" t="s">
        <v>38</v>
      </c>
      <c r="O4" s="41" t="s">
        <v>23</v>
      </c>
      <c r="P4" s="41" t="s">
        <v>192</v>
      </c>
      <c r="Q4" s="41" t="s">
        <v>39</v>
      </c>
    </row>
    <row r="5" spans="1:17" x14ac:dyDescent="0.25">
      <c r="A5" s="10" t="s">
        <v>40</v>
      </c>
      <c r="B5" s="10" t="s">
        <v>41</v>
      </c>
      <c r="C5" s="10" t="s">
        <v>12</v>
      </c>
      <c r="D5" s="42" t="str">
        <f>IFERROR(IF(C5="","",VLOOKUP(C5,Documentation!$A$28:$B$30,2,FALSE)),"Invalid Record")</f>
        <v>Finished Goods</v>
      </c>
      <c r="E5" s="65" t="s">
        <v>19</v>
      </c>
      <c r="F5" s="65">
        <v>10</v>
      </c>
      <c r="G5" s="43">
        <f>IFERROR(IF(C5=Documentation!$A$28,Documentation!$B$36,"-"),"Invalid Record")</f>
        <v>16000</v>
      </c>
      <c r="H5" s="43">
        <f>IFERROR(IF(C5=Documentation!$A$28,Documentation!$B$35,"-"),"Invalid Record")</f>
        <v>48000</v>
      </c>
      <c r="I5" s="42">
        <f>IF(C5=Documentation!$A$28,Documentation!$G$33,IF(C5=Documentation!$A$29,Documentation!$G$35,Documentation!$G$34))</f>
        <v>1000</v>
      </c>
      <c r="J5" s="65" t="s">
        <v>190</v>
      </c>
      <c r="K5" s="66">
        <v>3.9</v>
      </c>
      <c r="L5" s="66">
        <v>0.9</v>
      </c>
      <c r="M5" s="44">
        <f>K5-L5</f>
        <v>3</v>
      </c>
      <c r="N5" s="45">
        <f>M5/K5</f>
        <v>0.76923076923076927</v>
      </c>
      <c r="O5" s="65" t="s">
        <v>399</v>
      </c>
      <c r="P5" s="24">
        <v>500</v>
      </c>
      <c r="Q5" s="42" t="str">
        <f>IF(C5=Documentation!$A$30,Documentation!$E$28,IF(C5=Documentation!$A$29,Documentation!$E$29,""))</f>
        <v/>
      </c>
    </row>
    <row r="6" spans="1:17" x14ac:dyDescent="0.25">
      <c r="A6" s="10" t="s">
        <v>42</v>
      </c>
      <c r="B6" s="10" t="s">
        <v>43</v>
      </c>
      <c r="C6" s="10" t="s">
        <v>12</v>
      </c>
      <c r="D6" s="42" t="str">
        <f>IFERROR(IF(C6="","",VLOOKUP(C6,Documentation!$A$28:$B$30,2,FALSE)),"Invalid Record")</f>
        <v>Finished Goods</v>
      </c>
      <c r="E6" s="65" t="s">
        <v>19</v>
      </c>
      <c r="F6" s="65">
        <v>10</v>
      </c>
      <c r="G6" s="43">
        <f>IFERROR(IF(C6=Documentation!$A$28,Documentation!$B$36,"-"),"Invalid Record")</f>
        <v>16000</v>
      </c>
      <c r="H6" s="43">
        <f>IFERROR(IF(C6=Documentation!$A$28,Documentation!$B$35,"-"),"Invalid Record")</f>
        <v>48000</v>
      </c>
      <c r="I6" s="42">
        <f>IF(C6=Documentation!$A$28,Documentation!$G$33,IF(C6=Documentation!$A$29,Documentation!$G$35,Documentation!$G$34))</f>
        <v>1000</v>
      </c>
      <c r="J6" s="65" t="s">
        <v>190</v>
      </c>
      <c r="K6" s="66">
        <v>4.2300000000000004</v>
      </c>
      <c r="L6" s="66">
        <v>1.23</v>
      </c>
      <c r="M6" s="44">
        <f t="shared" ref="M6:M16" si="0">K6-L6</f>
        <v>3.0000000000000004</v>
      </c>
      <c r="N6" s="45">
        <f t="shared" ref="N6:N16" si="1">M6/K6</f>
        <v>0.70921985815602839</v>
      </c>
      <c r="O6" s="65" t="s">
        <v>66</v>
      </c>
      <c r="P6" s="24">
        <v>500</v>
      </c>
      <c r="Q6" s="42" t="str">
        <f>IF(C6=Documentation!$A$30,Documentation!$E$28,IF(C6=Documentation!$A$29,Documentation!$E$29,""))</f>
        <v/>
      </c>
    </row>
    <row r="7" spans="1:17" x14ac:dyDescent="0.25">
      <c r="A7" s="10" t="s">
        <v>44</v>
      </c>
      <c r="B7" s="10" t="s">
        <v>45</v>
      </c>
      <c r="C7" s="10" t="s">
        <v>12</v>
      </c>
      <c r="D7" s="42" t="str">
        <f>IFERROR(IF(C7="","",VLOOKUP(C7,Documentation!$A$28:$B$30,2,FALSE)),"Invalid Record")</f>
        <v>Finished Goods</v>
      </c>
      <c r="E7" s="65" t="s">
        <v>19</v>
      </c>
      <c r="F7" s="65">
        <v>10</v>
      </c>
      <c r="G7" s="43">
        <f>IFERROR(IF(C7=Documentation!$A$28,Documentation!$B$36,"-"),"Invalid Record")</f>
        <v>16000</v>
      </c>
      <c r="H7" s="43">
        <f>IFERROR(IF(C7=Documentation!$A$28,Documentation!$B$35,"-"),"Invalid Record")</f>
        <v>48000</v>
      </c>
      <c r="I7" s="42">
        <f>IF(C7=Documentation!$A$28,Documentation!$G$33,IF(C7=Documentation!$A$29,Documentation!$G$35,Documentation!$G$34))</f>
        <v>1000</v>
      </c>
      <c r="J7" s="65" t="s">
        <v>190</v>
      </c>
      <c r="K7" s="66">
        <v>4.2300000000000004</v>
      </c>
      <c r="L7" s="66">
        <v>1.23</v>
      </c>
      <c r="M7" s="44">
        <f t="shared" si="0"/>
        <v>3.0000000000000004</v>
      </c>
      <c r="N7" s="45">
        <f t="shared" si="1"/>
        <v>0.70921985815602839</v>
      </c>
      <c r="O7" s="65" t="s">
        <v>156</v>
      </c>
      <c r="P7" s="24">
        <v>500</v>
      </c>
      <c r="Q7" s="42" t="str">
        <f>IF(C7=Documentation!$A$30,Documentation!$E$28,IF(C7=Documentation!$A$29,Documentation!$E$29,""))</f>
        <v/>
      </c>
    </row>
    <row r="8" spans="1:17" x14ac:dyDescent="0.25">
      <c r="A8" s="10" t="s">
        <v>46</v>
      </c>
      <c r="B8" s="10" t="s">
        <v>47</v>
      </c>
      <c r="C8" s="10" t="s">
        <v>12</v>
      </c>
      <c r="D8" s="42" t="str">
        <f>IFERROR(IF(C8="","",VLOOKUP(C8,Documentation!$A$28:$B$30,2,FALSE)),"Invalid Record")</f>
        <v>Finished Goods</v>
      </c>
      <c r="E8" s="65" t="s">
        <v>19</v>
      </c>
      <c r="F8" s="65">
        <v>10</v>
      </c>
      <c r="G8" s="43">
        <f>IFERROR(IF(C8=Documentation!$A$28,Documentation!$B$36,"-"),"Invalid Record")</f>
        <v>16000</v>
      </c>
      <c r="H8" s="43">
        <f>IFERROR(IF(C8=Documentation!$A$28,Documentation!$B$35,"-"),"Invalid Record")</f>
        <v>48000</v>
      </c>
      <c r="I8" s="42">
        <f>IF(C8=Documentation!$A$28,Documentation!$G$33,IF(C8=Documentation!$A$29,Documentation!$G$35,Documentation!$G$34))</f>
        <v>1000</v>
      </c>
      <c r="J8" s="65" t="s">
        <v>190</v>
      </c>
      <c r="K8" s="66">
        <v>3.79</v>
      </c>
      <c r="L8" s="66">
        <v>0.79</v>
      </c>
      <c r="M8" s="44">
        <f t="shared" si="0"/>
        <v>3</v>
      </c>
      <c r="N8" s="45">
        <f t="shared" si="1"/>
        <v>0.79155672823218992</v>
      </c>
      <c r="O8" s="65" t="s">
        <v>25</v>
      </c>
      <c r="P8" s="24">
        <v>500</v>
      </c>
      <c r="Q8" s="42" t="str">
        <f>IF(C8=Documentation!$A$30,Documentation!$E$28,IF(C8=Documentation!$A$29,Documentation!$E$29,""))</f>
        <v/>
      </c>
    </row>
    <row r="9" spans="1:17" x14ac:dyDescent="0.25">
      <c r="A9" s="10" t="s">
        <v>48</v>
      </c>
      <c r="B9" s="10" t="s">
        <v>49</v>
      </c>
      <c r="C9" s="10" t="s">
        <v>12</v>
      </c>
      <c r="D9" s="42" t="str">
        <f>IFERROR(IF(C9="","",VLOOKUP(C9,Documentation!$A$28:$B$30,2,FALSE)),"Invalid Record")</f>
        <v>Finished Goods</v>
      </c>
      <c r="E9" s="65" t="s">
        <v>19</v>
      </c>
      <c r="F9" s="65">
        <v>10</v>
      </c>
      <c r="G9" s="43">
        <f>IFERROR(IF(C9=Documentation!$A$28,Documentation!$B$36,"-"),"Invalid Record")</f>
        <v>16000</v>
      </c>
      <c r="H9" s="43">
        <f>IFERROR(IF(C9=Documentation!$A$28,Documentation!$B$35,"-"),"Invalid Record")</f>
        <v>48000</v>
      </c>
      <c r="I9" s="42">
        <f>IF(C9=Documentation!$A$28,Documentation!$G$33,IF(C9=Documentation!$A$29,Documentation!$G$35,Documentation!$G$34))</f>
        <v>1000</v>
      </c>
      <c r="J9" s="65" t="s">
        <v>190</v>
      </c>
      <c r="K9" s="66">
        <v>3.77</v>
      </c>
      <c r="L9" s="66">
        <v>0.77</v>
      </c>
      <c r="M9" s="44">
        <f t="shared" si="0"/>
        <v>3</v>
      </c>
      <c r="N9" s="45">
        <f t="shared" si="1"/>
        <v>0.79575596816976124</v>
      </c>
      <c r="O9" s="65" t="s">
        <v>189</v>
      </c>
      <c r="P9" s="24">
        <v>500</v>
      </c>
      <c r="Q9" s="42" t="str">
        <f>IF(C9=Documentation!$A$30,Documentation!$E$28,IF(C9=Documentation!$A$29,Documentation!$E$29,""))</f>
        <v/>
      </c>
    </row>
    <row r="10" spans="1:17" x14ac:dyDescent="0.25">
      <c r="A10" s="10" t="s">
        <v>50</v>
      </c>
      <c r="B10" s="10" t="s">
        <v>51</v>
      </c>
      <c r="C10" s="10" t="s">
        <v>12</v>
      </c>
      <c r="D10" s="42" t="str">
        <f>IFERROR(IF(C10="","",VLOOKUP(C10,Documentation!$A$28:$B$30,2,FALSE)),"Invalid Record")</f>
        <v>Finished Goods</v>
      </c>
      <c r="E10" s="65" t="s">
        <v>19</v>
      </c>
      <c r="F10" s="65">
        <v>10</v>
      </c>
      <c r="G10" s="43">
        <f>IFERROR(IF(C10=Documentation!$A$28,Documentation!$B$36,"-"),"Invalid Record")</f>
        <v>16000</v>
      </c>
      <c r="H10" s="43">
        <f>IFERROR(IF(C10=Documentation!$A$28,Documentation!$B$35,"-"),"Invalid Record")</f>
        <v>48000</v>
      </c>
      <c r="I10" s="42">
        <f>IF(C10=Documentation!$A$28,Documentation!$G$33,IF(C10=Documentation!$A$29,Documentation!$G$35,Documentation!$G$34))</f>
        <v>1000</v>
      </c>
      <c r="J10" s="65" t="s">
        <v>190</v>
      </c>
      <c r="K10" s="66">
        <v>4.13</v>
      </c>
      <c r="L10" s="66">
        <v>1.1299999999999999</v>
      </c>
      <c r="M10" s="44">
        <f t="shared" si="0"/>
        <v>3</v>
      </c>
      <c r="N10" s="45">
        <f t="shared" si="1"/>
        <v>0.72639225181598066</v>
      </c>
      <c r="O10" s="65" t="s">
        <v>393</v>
      </c>
      <c r="P10" s="24">
        <v>500</v>
      </c>
      <c r="Q10" s="42" t="str">
        <f>IF(C10=Documentation!$A$30,Documentation!$E$28,IF(C10=Documentation!$A$29,Documentation!$E$29,""))</f>
        <v/>
      </c>
    </row>
    <row r="11" spans="1:17" x14ac:dyDescent="0.25">
      <c r="A11" s="10" t="s">
        <v>52</v>
      </c>
      <c r="B11" s="10" t="s">
        <v>53</v>
      </c>
      <c r="C11" s="10" t="s">
        <v>12</v>
      </c>
      <c r="D11" s="42" t="str">
        <f>IFERROR(IF(C11="","",VLOOKUP(C11,Documentation!$A$28:$B$30,2,FALSE)),"Invalid Record")</f>
        <v>Finished Goods</v>
      </c>
      <c r="E11" s="65" t="s">
        <v>19</v>
      </c>
      <c r="F11" s="65">
        <v>10</v>
      </c>
      <c r="G11" s="43">
        <f>IFERROR(IF(C11=Documentation!$A$28,Documentation!$B$36,"-"),"Invalid Record")</f>
        <v>16000</v>
      </c>
      <c r="H11" s="43">
        <f>IFERROR(IF(C11=Documentation!$A$28,Documentation!$B$35,"-"),"Invalid Record")</f>
        <v>48000</v>
      </c>
      <c r="I11" s="42">
        <f>IF(C11=Documentation!$A$28,Documentation!$G$33,IF(C11=Documentation!$A$29,Documentation!$G$35,Documentation!$G$34))</f>
        <v>1000</v>
      </c>
      <c r="J11" s="65" t="s">
        <v>190</v>
      </c>
      <c r="K11" s="66">
        <v>4.6100000000000003</v>
      </c>
      <c r="L11" s="66">
        <v>1.61</v>
      </c>
      <c r="M11" s="44">
        <f t="shared" si="0"/>
        <v>3</v>
      </c>
      <c r="N11" s="45">
        <f t="shared" si="1"/>
        <v>0.65075921908893708</v>
      </c>
      <c r="O11" s="65" t="s">
        <v>399</v>
      </c>
      <c r="P11" s="24">
        <v>1000</v>
      </c>
      <c r="Q11" s="42" t="str">
        <f>IF(C11=Documentation!$A$30,Documentation!$E$28,IF(C11=Documentation!$A$29,Documentation!$E$29,""))</f>
        <v/>
      </c>
    </row>
    <row r="12" spans="1:17" x14ac:dyDescent="0.25">
      <c r="A12" s="10" t="s">
        <v>54</v>
      </c>
      <c r="B12" s="10" t="s">
        <v>55</v>
      </c>
      <c r="C12" s="10" t="s">
        <v>12</v>
      </c>
      <c r="D12" s="42" t="str">
        <f>IFERROR(IF(C12="","",VLOOKUP(C12,Documentation!$A$28:$B$30,2,FALSE)),"Invalid Record")</f>
        <v>Finished Goods</v>
      </c>
      <c r="E12" s="65" t="s">
        <v>19</v>
      </c>
      <c r="F12" s="65">
        <v>10</v>
      </c>
      <c r="G12" s="43">
        <f>IFERROR(IF(C12=Documentation!$A$28,Documentation!$B$36,"-"),"Invalid Record")</f>
        <v>16000</v>
      </c>
      <c r="H12" s="43">
        <f>IFERROR(IF(C12=Documentation!$A$28,Documentation!$B$35,"-"),"Invalid Record")</f>
        <v>48000</v>
      </c>
      <c r="I12" s="42">
        <f>IF(C12=Documentation!$A$28,Documentation!$G$33,IF(C12=Documentation!$A$29,Documentation!$G$35,Documentation!$G$34))</f>
        <v>1000</v>
      </c>
      <c r="J12" s="65" t="s">
        <v>190</v>
      </c>
      <c r="K12" s="66">
        <v>5.26</v>
      </c>
      <c r="L12" s="66">
        <v>2.2599999999999998</v>
      </c>
      <c r="M12" s="44">
        <f t="shared" si="0"/>
        <v>3</v>
      </c>
      <c r="N12" s="45">
        <f t="shared" si="1"/>
        <v>0.57034220532319391</v>
      </c>
      <c r="O12" s="65" t="s">
        <v>66</v>
      </c>
      <c r="P12" s="24">
        <v>1000</v>
      </c>
      <c r="Q12" s="42" t="str">
        <f>IF(C12=Documentation!$A$30,Documentation!$E$28,IF(C12=Documentation!$A$29,Documentation!$E$29,""))</f>
        <v/>
      </c>
    </row>
    <row r="13" spans="1:17" x14ac:dyDescent="0.25">
      <c r="A13" s="10" t="s">
        <v>56</v>
      </c>
      <c r="B13" s="10" t="s">
        <v>57</v>
      </c>
      <c r="C13" s="10" t="s">
        <v>12</v>
      </c>
      <c r="D13" s="42" t="str">
        <f>IFERROR(IF(C13="","",VLOOKUP(C13,Documentation!$A$28:$B$30,2,FALSE)),"Invalid Record")</f>
        <v>Finished Goods</v>
      </c>
      <c r="E13" s="65" t="s">
        <v>19</v>
      </c>
      <c r="F13" s="65">
        <v>10</v>
      </c>
      <c r="G13" s="43">
        <f>IFERROR(IF(C13=Documentation!$A$28,Documentation!$B$36,"-"),"Invalid Record")</f>
        <v>16000</v>
      </c>
      <c r="H13" s="43">
        <f>IFERROR(IF(C13=Documentation!$A$28,Documentation!$B$35,"-"),"Invalid Record")</f>
        <v>48000</v>
      </c>
      <c r="I13" s="42">
        <f>IF(C13=Documentation!$A$28,Documentation!$G$33,IF(C13=Documentation!$A$29,Documentation!$G$35,Documentation!$G$34))</f>
        <v>1000</v>
      </c>
      <c r="J13" s="65" t="s">
        <v>190</v>
      </c>
      <c r="K13" s="66">
        <v>5.27</v>
      </c>
      <c r="L13" s="66">
        <v>2.27</v>
      </c>
      <c r="M13" s="44">
        <f t="shared" si="0"/>
        <v>2.9999999999999996</v>
      </c>
      <c r="N13" s="45">
        <f t="shared" si="1"/>
        <v>0.56925996204933582</v>
      </c>
      <c r="O13" s="65" t="s">
        <v>156</v>
      </c>
      <c r="P13" s="24">
        <v>1000</v>
      </c>
      <c r="Q13" s="42" t="str">
        <f>IF(C13=Documentation!$A$30,Documentation!$E$28,IF(C13=Documentation!$A$29,Documentation!$E$29,""))</f>
        <v/>
      </c>
    </row>
    <row r="14" spans="1:17" x14ac:dyDescent="0.25">
      <c r="A14" s="10" t="s">
        <v>58</v>
      </c>
      <c r="B14" s="10" t="s">
        <v>59</v>
      </c>
      <c r="C14" s="10" t="s">
        <v>12</v>
      </c>
      <c r="D14" s="42" t="str">
        <f>IFERROR(IF(C14="","",VLOOKUP(C14,Documentation!$A$28:$B$30,2,FALSE)),"Invalid Record")</f>
        <v>Finished Goods</v>
      </c>
      <c r="E14" s="65" t="s">
        <v>19</v>
      </c>
      <c r="F14" s="65">
        <v>10</v>
      </c>
      <c r="G14" s="43">
        <f>IFERROR(IF(C14=Documentation!$A$28,Documentation!$B$36,"-"),"Invalid Record")</f>
        <v>16000</v>
      </c>
      <c r="H14" s="43">
        <f>IFERROR(IF(C14=Documentation!$A$28,Documentation!$B$35,"-"),"Invalid Record")</f>
        <v>48000</v>
      </c>
      <c r="I14" s="42">
        <f>IF(C14=Documentation!$A$28,Documentation!$G$33,IF(C14=Documentation!$A$29,Documentation!$G$35,Documentation!$G$34))</f>
        <v>1000</v>
      </c>
      <c r="J14" s="65" t="s">
        <v>190</v>
      </c>
      <c r="K14" s="66">
        <v>4.38</v>
      </c>
      <c r="L14" s="66">
        <v>1.38</v>
      </c>
      <c r="M14" s="44">
        <f t="shared" si="0"/>
        <v>3</v>
      </c>
      <c r="N14" s="45">
        <f t="shared" si="1"/>
        <v>0.68493150684931503</v>
      </c>
      <c r="O14" s="65" t="s">
        <v>25</v>
      </c>
      <c r="P14" s="24">
        <v>1000</v>
      </c>
      <c r="Q14" s="42" t="str">
        <f>IF(C14=Documentation!$A$30,Documentation!$E$28,IF(C14=Documentation!$A$29,Documentation!$E$29,""))</f>
        <v/>
      </c>
    </row>
    <row r="15" spans="1:17" x14ac:dyDescent="0.25">
      <c r="A15" s="10" t="s">
        <v>60</v>
      </c>
      <c r="B15" s="10" t="s">
        <v>61</v>
      </c>
      <c r="C15" s="10" t="s">
        <v>12</v>
      </c>
      <c r="D15" s="42" t="str">
        <f>IFERROR(IF(C15="","",VLOOKUP(C15,Documentation!$A$28:$B$30,2,FALSE)),"Invalid Record")</f>
        <v>Finished Goods</v>
      </c>
      <c r="E15" s="65" t="s">
        <v>19</v>
      </c>
      <c r="F15" s="65">
        <v>10</v>
      </c>
      <c r="G15" s="43">
        <f>IFERROR(IF(C15=Documentation!$A$28,Documentation!$B$36,"-"),"Invalid Record")</f>
        <v>16000</v>
      </c>
      <c r="H15" s="43">
        <f>IFERROR(IF(C15=Documentation!$A$28,Documentation!$B$35,"-"),"Invalid Record")</f>
        <v>48000</v>
      </c>
      <c r="I15" s="42">
        <f>IF(C15=Documentation!$A$28,Documentation!$G$33,IF(C15=Documentation!$A$29,Documentation!$G$35,Documentation!$G$34))</f>
        <v>1000</v>
      </c>
      <c r="J15" s="65" t="s">
        <v>190</v>
      </c>
      <c r="K15" s="66">
        <v>4.3499999999999996</v>
      </c>
      <c r="L15" s="66">
        <v>1.35</v>
      </c>
      <c r="M15" s="44">
        <f t="shared" si="0"/>
        <v>2.9999999999999996</v>
      </c>
      <c r="N15" s="45">
        <f t="shared" si="1"/>
        <v>0.68965517241379304</v>
      </c>
      <c r="O15" s="65" t="s">
        <v>189</v>
      </c>
      <c r="P15" s="24">
        <v>1000</v>
      </c>
      <c r="Q15" s="42" t="str">
        <f>IF(C15=Documentation!$A$30,Documentation!$E$28,IF(C15=Documentation!$A$29,Documentation!$E$29,""))</f>
        <v/>
      </c>
    </row>
    <row r="16" spans="1:17" x14ac:dyDescent="0.25">
      <c r="A16" s="10" t="s">
        <v>62</v>
      </c>
      <c r="B16" s="10" t="s">
        <v>63</v>
      </c>
      <c r="C16" s="10" t="s">
        <v>12</v>
      </c>
      <c r="D16" s="42" t="str">
        <f>IFERROR(IF(C16="","",VLOOKUP(C16,Documentation!$A$28:$B$30,2,FALSE)),"Invalid Record")</f>
        <v>Finished Goods</v>
      </c>
      <c r="E16" s="65" t="s">
        <v>19</v>
      </c>
      <c r="F16" s="65">
        <v>10</v>
      </c>
      <c r="G16" s="43">
        <f>IFERROR(IF(C16=Documentation!$A$28,Documentation!$B$36,"-"),"Invalid Record")</f>
        <v>16000</v>
      </c>
      <c r="H16" s="43">
        <f>IFERROR(IF(C16=Documentation!$A$28,Documentation!$B$35,"-"),"Invalid Record")</f>
        <v>48000</v>
      </c>
      <c r="I16" s="42">
        <f>IF(C16=Documentation!$A$28,Documentation!$G$33,IF(C16=Documentation!$A$29,Documentation!$G$35,Documentation!$G$34))</f>
        <v>1000</v>
      </c>
      <c r="J16" s="65" t="s">
        <v>190</v>
      </c>
      <c r="K16" s="66">
        <v>5.0599999999999996</v>
      </c>
      <c r="L16" s="66">
        <v>2.06</v>
      </c>
      <c r="M16" s="44">
        <f t="shared" si="0"/>
        <v>2.9999999999999996</v>
      </c>
      <c r="N16" s="45">
        <f t="shared" si="1"/>
        <v>0.59288537549407105</v>
      </c>
      <c r="O16" s="65" t="s">
        <v>393</v>
      </c>
      <c r="P16" s="24">
        <v>1000</v>
      </c>
      <c r="Q16" s="42" t="str">
        <f>IF(C16=Documentation!$A$30,Documentation!$E$28,IF(C16=Documentation!$A$29,Documentation!$E$29,""))</f>
        <v/>
      </c>
    </row>
    <row r="17" spans="1:17" x14ac:dyDescent="0.25">
      <c r="A17" s="10" t="s">
        <v>64</v>
      </c>
      <c r="B17" s="10" t="s">
        <v>65</v>
      </c>
      <c r="C17" s="10" t="s">
        <v>14</v>
      </c>
      <c r="D17" s="42" t="str">
        <f>IFERROR(IF(C17="","",VLOOKUP(C17,Documentation!$A$28:$B$30,2,FALSE)),"Invalid Record")</f>
        <v>Packaging</v>
      </c>
      <c r="E17" s="65" t="s">
        <v>20</v>
      </c>
      <c r="F17" s="65">
        <v>5</v>
      </c>
      <c r="G17" s="43" t="str">
        <f>IFERROR(IF(C17=Documentation!$A$28,Documentation!$B$36,"-"),"Invalid Record")</f>
        <v>-</v>
      </c>
      <c r="H17" s="43" t="str">
        <f>IFERROR(IF(C17=Documentation!$A$28,Documentation!$B$35,"-"),"Invalid Record")</f>
        <v>-</v>
      </c>
      <c r="I17" s="42">
        <f>IF(C17=Documentation!$A$28,Documentation!$G$33,IF(C17=Documentation!$A$29,Documentation!$G$35,Documentation!$G$34))</f>
        <v>1</v>
      </c>
      <c r="J17" s="65" t="s">
        <v>190</v>
      </c>
      <c r="K17" s="65"/>
      <c r="L17" s="65"/>
      <c r="M17" s="44"/>
      <c r="N17" s="42"/>
      <c r="O17" s="65" t="s">
        <v>73</v>
      </c>
      <c r="P17" s="65" t="s">
        <v>73</v>
      </c>
      <c r="Q17" s="42" t="str">
        <f>IF(C17=Documentation!$A$30,Documentation!$E$28,IF(C17=Documentation!$A$29,Documentation!$E$29,""))</f>
        <v>Continental Printing Co</v>
      </c>
    </row>
    <row r="18" spans="1:17" x14ac:dyDescent="0.25">
      <c r="A18" s="10" t="s">
        <v>67</v>
      </c>
      <c r="B18" s="10" t="s">
        <v>134</v>
      </c>
      <c r="C18" s="10" t="s">
        <v>14</v>
      </c>
      <c r="D18" s="42" t="str">
        <f>IFERROR(IF(C18="","",VLOOKUP(C18,Documentation!$A$28:$B$30,2,FALSE)),"Invalid Record")</f>
        <v>Packaging</v>
      </c>
      <c r="E18" s="65" t="s">
        <v>20</v>
      </c>
      <c r="F18" s="65">
        <v>5</v>
      </c>
      <c r="G18" s="43" t="str">
        <f>IFERROR(IF(C18=Documentation!$A$28,Documentation!$B$36,"-"),"Invalid Record")</f>
        <v>-</v>
      </c>
      <c r="H18" s="43" t="str">
        <f>IFERROR(IF(C18=Documentation!$A$28,Documentation!$B$35,"-"),"Invalid Record")</f>
        <v>-</v>
      </c>
      <c r="I18" s="42">
        <f>IF(C18=Documentation!$A$28,Documentation!$G$33,IF(C18=Documentation!$A$29,Documentation!$G$35,Documentation!$G$34))</f>
        <v>1</v>
      </c>
      <c r="J18" s="65" t="s">
        <v>190</v>
      </c>
      <c r="K18" s="65"/>
      <c r="L18" s="65"/>
      <c r="M18" s="44"/>
      <c r="N18" s="42"/>
      <c r="O18" s="65" t="s">
        <v>73</v>
      </c>
      <c r="P18" s="65" t="s">
        <v>73</v>
      </c>
      <c r="Q18" s="42" t="str">
        <f>IF(C18=Documentation!$A$30,Documentation!$E$28,IF(C18=Documentation!$A$29,Documentation!$E$29,""))</f>
        <v>Continental Printing Co</v>
      </c>
    </row>
    <row r="19" spans="1:17" x14ac:dyDescent="0.25">
      <c r="A19" s="10" t="s">
        <v>68</v>
      </c>
      <c r="B19" s="10" t="s">
        <v>69</v>
      </c>
      <c r="C19" s="10" t="s">
        <v>14</v>
      </c>
      <c r="D19" s="42" t="str">
        <f>IFERROR(IF(C19="","",VLOOKUP(C19,Documentation!$A$28:$B$30,2,FALSE)),"Invalid Record")</f>
        <v>Packaging</v>
      </c>
      <c r="E19" s="65" t="s">
        <v>20</v>
      </c>
      <c r="F19" s="65">
        <v>5</v>
      </c>
      <c r="G19" s="43" t="str">
        <f>IFERROR(IF(C19=Documentation!$A$28,Documentation!$B$36,"-"),"Invalid Record")</f>
        <v>-</v>
      </c>
      <c r="H19" s="43" t="str">
        <f>IFERROR(IF(C19=Documentation!$A$28,Documentation!$B$35,"-"),"Invalid Record")</f>
        <v>-</v>
      </c>
      <c r="I19" s="42">
        <f>IF(C19=Documentation!$A$28,Documentation!$G$33,IF(C19=Documentation!$A$29,Documentation!$G$35,Documentation!$G$34))</f>
        <v>1</v>
      </c>
      <c r="J19" s="65" t="s">
        <v>190</v>
      </c>
      <c r="K19" s="65"/>
      <c r="L19" s="65"/>
      <c r="M19" s="44"/>
      <c r="N19" s="42"/>
      <c r="O19" s="65" t="s">
        <v>73</v>
      </c>
      <c r="P19" s="65" t="s">
        <v>73</v>
      </c>
      <c r="Q19" s="42" t="str">
        <f>IF(C19=Documentation!$A$30,Documentation!$E$28,IF(C19=Documentation!$A$29,Documentation!$E$29,""))</f>
        <v>Continental Printing Co</v>
      </c>
    </row>
    <row r="20" spans="1:17" x14ac:dyDescent="0.25">
      <c r="A20" s="10" t="s">
        <v>70</v>
      </c>
      <c r="B20" s="10" t="s">
        <v>135</v>
      </c>
      <c r="C20" s="10" t="s">
        <v>14</v>
      </c>
      <c r="D20" s="42" t="str">
        <f>IFERROR(IF(C20="","",VLOOKUP(C20,Documentation!$A$28:$B$30,2,FALSE)),"Invalid Record")</f>
        <v>Packaging</v>
      </c>
      <c r="E20" s="65" t="s">
        <v>20</v>
      </c>
      <c r="F20" s="65">
        <v>5</v>
      </c>
      <c r="G20" s="43" t="str">
        <f>IFERROR(IF(C20=Documentation!$A$28,Documentation!$B$36,"-"),"Invalid Record")</f>
        <v>-</v>
      </c>
      <c r="H20" s="43" t="str">
        <f>IFERROR(IF(C20=Documentation!$A$28,Documentation!$B$35,"-"),"Invalid Record")</f>
        <v>-</v>
      </c>
      <c r="I20" s="42">
        <f>IF(C20=Documentation!$A$28,Documentation!$G$33,IF(C20=Documentation!$A$29,Documentation!$G$35,Documentation!$G$34))</f>
        <v>1</v>
      </c>
      <c r="J20" s="65" t="s">
        <v>190</v>
      </c>
      <c r="K20" s="65"/>
      <c r="L20" s="65"/>
      <c r="M20" s="44"/>
      <c r="N20" s="42"/>
      <c r="O20" s="65" t="s">
        <v>73</v>
      </c>
      <c r="P20" s="65" t="s">
        <v>73</v>
      </c>
      <c r="Q20" s="42" t="str">
        <f>IF(C20=Documentation!$A$30,Documentation!$E$28,IF(C20=Documentation!$A$29,Documentation!$E$29,""))</f>
        <v>Continental Printing Co</v>
      </c>
    </row>
    <row r="21" spans="1:17" x14ac:dyDescent="0.25">
      <c r="A21" s="10" t="s">
        <v>71</v>
      </c>
      <c r="B21" s="10" t="s">
        <v>24</v>
      </c>
      <c r="C21" s="10" t="s">
        <v>16</v>
      </c>
      <c r="D21" s="42" t="str">
        <f>IFERROR(IF(C21="","",VLOOKUP(C21,Documentation!$A$28:$B$30,2,FALSE)),"Invalid Record")</f>
        <v>Raw Material</v>
      </c>
      <c r="E21" s="65" t="s">
        <v>20</v>
      </c>
      <c r="F21" s="65">
        <v>2</v>
      </c>
      <c r="G21" s="43" t="str">
        <f>IFERROR(IF(C21=Documentation!$A$28,Documentation!$B$36,"-"),"Invalid Record")</f>
        <v>-</v>
      </c>
      <c r="H21" s="43" t="str">
        <f>IFERROR(IF(C21=Documentation!$A$28,Documentation!$B$35,"-"),"Invalid Record")</f>
        <v>-</v>
      </c>
      <c r="I21" s="42">
        <f>IF(C21=Documentation!$A$28,Documentation!$G$33,IF(C21=Documentation!$A$29,Documentation!$G$35,Documentation!$G$34))</f>
        <v>10</v>
      </c>
      <c r="J21" s="65" t="s">
        <v>72</v>
      </c>
      <c r="K21" s="65"/>
      <c r="L21" s="65"/>
      <c r="M21" s="44"/>
      <c r="N21" s="42"/>
      <c r="O21" s="65" t="s">
        <v>73</v>
      </c>
      <c r="P21" s="65" t="s">
        <v>73</v>
      </c>
      <c r="Q21" s="42" t="str">
        <f>IF(C21=Documentation!$A$30,Documentation!$E$28,IF(C21=Documentation!$A$29,Documentation!$E$29,""))</f>
        <v>Food Broker Inc</v>
      </c>
    </row>
    <row r="22" spans="1:17" x14ac:dyDescent="0.25">
      <c r="A22" s="10" t="s">
        <v>74</v>
      </c>
      <c r="B22" s="10" t="s">
        <v>66</v>
      </c>
      <c r="C22" s="10" t="s">
        <v>16</v>
      </c>
      <c r="D22" s="42" t="str">
        <f>IFERROR(IF(C22="","",VLOOKUP(C22,Documentation!$A$28:$B$30,2,FALSE)),"Invalid Record")</f>
        <v>Raw Material</v>
      </c>
      <c r="E22" s="65" t="s">
        <v>20</v>
      </c>
      <c r="F22" s="65">
        <v>2</v>
      </c>
      <c r="G22" s="43" t="str">
        <f>IFERROR(IF(C22=Documentation!$A$28,Documentation!$B$36,"-"),"Invalid Record")</f>
        <v>-</v>
      </c>
      <c r="H22" s="43" t="str">
        <f>IFERROR(IF(C22=Documentation!$A$28,Documentation!$B$35,"-"),"Invalid Record")</f>
        <v>-</v>
      </c>
      <c r="I22" s="42">
        <f>IF(C22=Documentation!$A$28,Documentation!$G$33,IF(C22=Documentation!$A$29,Documentation!$G$35,Documentation!$G$34))</f>
        <v>10</v>
      </c>
      <c r="J22" s="65" t="s">
        <v>72</v>
      </c>
      <c r="K22" s="65"/>
      <c r="L22" s="65"/>
      <c r="M22" s="44"/>
      <c r="N22" s="42"/>
      <c r="O22" s="65" t="s">
        <v>73</v>
      </c>
      <c r="P22" s="65" t="s">
        <v>73</v>
      </c>
      <c r="Q22" s="42" t="str">
        <f>IF(C22=Documentation!$A$30,Documentation!$E$28,IF(C22=Documentation!$A$29,Documentation!$E$29,""))</f>
        <v>Food Broker Inc</v>
      </c>
    </row>
    <row r="23" spans="1:17" x14ac:dyDescent="0.25">
      <c r="A23" s="10" t="s">
        <v>75</v>
      </c>
      <c r="B23" s="10" t="s">
        <v>156</v>
      </c>
      <c r="C23" s="10" t="s">
        <v>16</v>
      </c>
      <c r="D23" s="42" t="str">
        <f>IFERROR(IF(C23="","",VLOOKUP(C23,Documentation!$A$28:$B$30,2,FALSE)),"Invalid Record")</f>
        <v>Raw Material</v>
      </c>
      <c r="E23" s="65" t="s">
        <v>20</v>
      </c>
      <c r="F23" s="65">
        <v>2</v>
      </c>
      <c r="G23" s="43" t="str">
        <f>IFERROR(IF(C23=Documentation!$A$28,Documentation!$B$36,"-"),"Invalid Record")</f>
        <v>-</v>
      </c>
      <c r="H23" s="43" t="str">
        <f>IFERROR(IF(C23=Documentation!$A$28,Documentation!$B$35,"-"),"Invalid Record")</f>
        <v>-</v>
      </c>
      <c r="I23" s="42">
        <f>IF(C23=Documentation!$A$28,Documentation!$G$33,IF(C23=Documentation!$A$29,Documentation!$G$35,Documentation!$G$34))</f>
        <v>10</v>
      </c>
      <c r="J23" s="65" t="s">
        <v>72</v>
      </c>
      <c r="K23" s="65"/>
      <c r="L23" s="65"/>
      <c r="M23" s="44"/>
      <c r="N23" s="42"/>
      <c r="O23" s="65" t="s">
        <v>73</v>
      </c>
      <c r="P23" s="65" t="s">
        <v>73</v>
      </c>
      <c r="Q23" s="42" t="str">
        <f>IF(C23=Documentation!$A$30,Documentation!$E$28,IF(C23=Documentation!$A$29,Documentation!$E$29,""))</f>
        <v>Food Broker Inc</v>
      </c>
    </row>
    <row r="24" spans="1:17" x14ac:dyDescent="0.25">
      <c r="A24" s="10" t="s">
        <v>76</v>
      </c>
      <c r="B24" s="10" t="s">
        <v>25</v>
      </c>
      <c r="C24" s="10" t="s">
        <v>16</v>
      </c>
      <c r="D24" s="42" t="str">
        <f>IFERROR(IF(C24="","",VLOOKUP(C24,Documentation!$A$28:$B$30,2,FALSE)),"Invalid Record")</f>
        <v>Raw Material</v>
      </c>
      <c r="E24" s="65" t="s">
        <v>20</v>
      </c>
      <c r="F24" s="65">
        <v>2</v>
      </c>
      <c r="G24" s="43" t="str">
        <f>IFERROR(IF(C24=Documentation!$A$28,Documentation!$B$36,"-"),"Invalid Record")</f>
        <v>-</v>
      </c>
      <c r="H24" s="43" t="str">
        <f>IFERROR(IF(C24=Documentation!$A$28,Documentation!$B$35,"-"),"Invalid Record")</f>
        <v>-</v>
      </c>
      <c r="I24" s="42">
        <f>IF(C24=Documentation!$A$28,Documentation!$G$33,IF(C24=Documentation!$A$29,Documentation!$G$35,Documentation!$G$34))</f>
        <v>10</v>
      </c>
      <c r="J24" s="65" t="s">
        <v>72</v>
      </c>
      <c r="K24" s="65"/>
      <c r="L24" s="65"/>
      <c r="M24" s="44"/>
      <c r="N24" s="42"/>
      <c r="O24" s="65" t="s">
        <v>73</v>
      </c>
      <c r="P24" s="65" t="s">
        <v>73</v>
      </c>
      <c r="Q24" s="42" t="str">
        <f>IF(C24=Documentation!$A$30,Documentation!$E$28,IF(C24=Documentation!$A$29,Documentation!$E$29,""))</f>
        <v>Food Broker Inc</v>
      </c>
    </row>
    <row r="25" spans="1:17" x14ac:dyDescent="0.25">
      <c r="A25" s="10" t="s">
        <v>77</v>
      </c>
      <c r="B25" s="10" t="s">
        <v>26</v>
      </c>
      <c r="C25" s="10" t="s">
        <v>16</v>
      </c>
      <c r="D25" s="42" t="str">
        <f>IFERROR(IF(C25="","",VLOOKUP(C25,Documentation!$A$28:$B$30,2,FALSE)),"Invalid Record")</f>
        <v>Raw Material</v>
      </c>
      <c r="E25" s="65" t="s">
        <v>20</v>
      </c>
      <c r="F25" s="65">
        <v>2</v>
      </c>
      <c r="G25" s="43" t="str">
        <f>IFERROR(IF(C25=Documentation!$A$28,Documentation!$B$36,"-"),"Invalid Record")</f>
        <v>-</v>
      </c>
      <c r="H25" s="43" t="str">
        <f>IFERROR(IF(C25=Documentation!$A$28,Documentation!$B$35,"-"),"Invalid Record")</f>
        <v>-</v>
      </c>
      <c r="I25" s="42">
        <f>IF(C25=Documentation!$A$28,Documentation!$G$33,IF(C25=Documentation!$A$29,Documentation!$G$35,Documentation!$G$34))</f>
        <v>10</v>
      </c>
      <c r="J25" s="65" t="s">
        <v>72</v>
      </c>
      <c r="K25" s="65"/>
      <c r="L25" s="65"/>
      <c r="M25" s="44"/>
      <c r="N25" s="42"/>
      <c r="O25" s="65" t="s">
        <v>73</v>
      </c>
      <c r="P25" s="65" t="s">
        <v>73</v>
      </c>
      <c r="Q25" s="42" t="str">
        <f>IF(C25=Documentation!$A$30,Documentation!$E$28,IF(C25=Documentation!$A$29,Documentation!$E$29,""))</f>
        <v>Food Broker Inc</v>
      </c>
    </row>
    <row r="26" spans="1:17" x14ac:dyDescent="0.25">
      <c r="A26" s="10" t="s">
        <v>78</v>
      </c>
      <c r="B26" s="10" t="s">
        <v>27</v>
      </c>
      <c r="C26" s="10" t="s">
        <v>16</v>
      </c>
      <c r="D26" s="42" t="str">
        <f>IFERROR(IF(C26="","",VLOOKUP(C26,Documentation!$A$28:$B$30,2,FALSE)),"Invalid Record")</f>
        <v>Raw Material</v>
      </c>
      <c r="E26" s="65" t="s">
        <v>20</v>
      </c>
      <c r="F26" s="65">
        <v>2</v>
      </c>
      <c r="G26" s="43" t="str">
        <f>IFERROR(IF(C26=Documentation!$A$28,Documentation!$B$36,"-"),"Invalid Record")</f>
        <v>-</v>
      </c>
      <c r="H26" s="43" t="str">
        <f>IFERROR(IF(C26=Documentation!$A$28,Documentation!$B$35,"-"),"Invalid Record")</f>
        <v>-</v>
      </c>
      <c r="I26" s="42">
        <f>IF(C26=Documentation!$A$28,Documentation!$G$33,IF(C26=Documentation!$A$29,Documentation!$G$35,Documentation!$G$34))</f>
        <v>10</v>
      </c>
      <c r="J26" s="65" t="s">
        <v>72</v>
      </c>
      <c r="K26" s="65"/>
      <c r="L26" s="65"/>
      <c r="M26" s="44"/>
      <c r="N26" s="42"/>
      <c r="O26" s="65" t="s">
        <v>73</v>
      </c>
      <c r="P26" s="65" t="s">
        <v>73</v>
      </c>
      <c r="Q26" s="42" t="str">
        <f>IF(C26=Documentation!$A$30,Documentation!$E$28,IF(C26=Documentation!$A$29,Documentation!$E$29,""))</f>
        <v>Food Broker Inc</v>
      </c>
    </row>
    <row r="27" spans="1:17" x14ac:dyDescent="0.25">
      <c r="A27" s="10" t="s">
        <v>79</v>
      </c>
      <c r="B27" s="10" t="s">
        <v>176</v>
      </c>
      <c r="C27" s="10" t="s">
        <v>16</v>
      </c>
      <c r="D27" s="42" t="str">
        <f>IFERROR(IF(C27="","",VLOOKUP(C27,Documentation!$A$28:$B$30,2,FALSE)),"Invalid Record")</f>
        <v>Raw Material</v>
      </c>
      <c r="E27" s="65" t="s">
        <v>20</v>
      </c>
      <c r="F27" s="65">
        <v>2</v>
      </c>
      <c r="G27" s="43" t="str">
        <f>IFERROR(IF(C27=Documentation!$A$28,Documentation!$B$36,"-"),"Invalid Record")</f>
        <v>-</v>
      </c>
      <c r="H27" s="43" t="str">
        <f>IFERROR(IF(C27=Documentation!$A$28,Documentation!$B$35,"-"),"Invalid Record")</f>
        <v>-</v>
      </c>
      <c r="I27" s="42">
        <f>IF(C27=Documentation!$A$28,Documentation!$G$33,IF(C27=Documentation!$A$29,Documentation!$G$35,Documentation!$G$34))</f>
        <v>10</v>
      </c>
      <c r="J27" s="65" t="s">
        <v>72</v>
      </c>
      <c r="K27" s="65"/>
      <c r="L27" s="65"/>
      <c r="M27" s="44"/>
      <c r="N27" s="42"/>
      <c r="O27" s="65" t="s">
        <v>73</v>
      </c>
      <c r="P27" s="65" t="s">
        <v>73</v>
      </c>
      <c r="Q27" s="42" t="str">
        <f>IF(C27=Documentation!$A$30,Documentation!$E$28,IF(C27=Documentation!$A$29,Documentation!$E$29,""))</f>
        <v>Food Broker Inc</v>
      </c>
    </row>
  </sheetData>
  <sheetProtection sheet="1" objects="1" scenarios="1"/>
  <autoFilter ref="A4:Q27" xr:uid="{8950D8F4-9A40-44BC-B6D1-59ABEBD671F0}"/>
  <mergeCells count="2">
    <mergeCell ref="A2:B2"/>
    <mergeCell ref="A3:B3"/>
  </mergeCells>
  <conditionalFormatting sqref="A5:A27">
    <cfRule type="duplicateValues" dxfId="57" priority="1"/>
  </conditionalFormatting>
  <dataValidations count="6">
    <dataValidation type="list" allowBlank="1" showInputMessage="1" showErrorMessage="1" errorTitle="Invalid Code" error="See Documentation to add or modify existing codes." sqref="C5:C27" xr:uid="{41165767-3B10-4694-8C55-14C9E30625B7}">
      <formula1>MaterialType</formula1>
    </dataValidation>
    <dataValidation type="list" allowBlank="1" showInputMessage="1" showErrorMessage="1" errorTitle="Invalid Code" error="See Documentation to add or modify existing codes." sqref="E5:E27" xr:uid="{50735CE3-1324-40B3-A393-26F81AD552C7}">
      <formula1>PlanningType</formula1>
    </dataValidation>
    <dataValidation type="whole" allowBlank="1" showInputMessage="1" showErrorMessage="1" errorTitle="Invalid Lead Time" error="See Documentation to add or modify existing lead times." sqref="F5:F27" xr:uid="{C3922EEF-A84A-479D-9469-3847091FC385}">
      <formula1>MinLT</formula1>
      <formula2>MaxLT</formula2>
    </dataValidation>
    <dataValidation type="list" allowBlank="1" showInputMessage="1" showErrorMessage="1" errorTitle="Invalid Recipe" error="See documentation sheet to create or modify recipe." sqref="O5:O27" xr:uid="{BBE9149F-0A3E-4A55-907D-91F3D4033F2E}">
      <formula1>Recipe</formula1>
    </dataValidation>
    <dataValidation type="list" allowBlank="1" showInputMessage="1" showErrorMessage="1" errorTitle="Invalid UOM" error="See Documentation to add or modify existing UOM." sqref="J5:J27" xr:uid="{49F91862-A03A-4866-B416-481BD211A789}">
      <formula1>UOM</formula1>
    </dataValidation>
    <dataValidation type="list" allowBlank="1" showInputMessage="1" showErrorMessage="1" errorTitle="Invalid Size" error="See Documentation to add or modify existing sizes." sqref="P5:P27" xr:uid="{B1C07D62-8529-46A3-871F-D30AC41456B0}">
      <formula1>Size</formula1>
    </dataValidation>
  </dataValidations>
  <hyperlinks>
    <hyperlink ref="D1" location="MainNavigation!A1" display="MainNavigation" xr:uid="{A701D1AD-EF52-424E-9616-665BCF122543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2FE42-4A4B-47A7-90C3-829FB2E320E8}">
  <sheetPr codeName="Sheet3">
    <tabColor rgb="FF7030A0"/>
  </sheetPr>
  <dimension ref="A1:N62"/>
  <sheetViews>
    <sheetView zoomScale="110" zoomScaleNormal="110" workbookViewId="0">
      <pane xSplit="2" ySplit="4" topLeftCell="C5" activePane="bottomRight" state="frozen"/>
      <selection activeCell="I1" sqref="I1"/>
      <selection pane="topRight" activeCell="I1" sqref="I1"/>
      <selection pane="bottomLeft" activeCell="I1" sqref="I1"/>
      <selection pane="bottomRight" activeCell="C1" sqref="C1"/>
    </sheetView>
  </sheetViews>
  <sheetFormatPr defaultRowHeight="15" x14ac:dyDescent="0.25"/>
  <cols>
    <col min="1" max="1" width="16.85546875" style="68" customWidth="1"/>
    <col min="2" max="2" width="23.7109375" style="68" customWidth="1"/>
    <col min="3" max="3" width="23.28515625" style="68" customWidth="1"/>
    <col min="4" max="4" width="21.85546875" style="68" bestFit="1" customWidth="1"/>
    <col min="5" max="5" width="21.85546875" style="68" customWidth="1"/>
    <col min="6" max="6" width="21.85546875" style="70" customWidth="1"/>
    <col min="7" max="7" width="11.7109375" style="68" customWidth="1"/>
    <col min="8" max="8" width="11.85546875" style="68" customWidth="1"/>
    <col min="9" max="9" width="5.7109375" style="68" customWidth="1"/>
    <col min="10" max="10" width="11.140625" style="68" customWidth="1"/>
    <col min="11" max="11" width="16" style="68" customWidth="1"/>
    <col min="12" max="12" width="12.7109375" style="68" customWidth="1"/>
    <col min="13" max="13" width="11.140625" style="68" customWidth="1"/>
    <col min="14" max="14" width="6.28515625" style="68" customWidth="1"/>
    <col min="15" max="16384" width="9.140625" style="68"/>
  </cols>
  <sheetData>
    <row r="1" spans="1:14" ht="18.75" x14ac:dyDescent="0.3">
      <c r="A1" s="67" t="s">
        <v>452</v>
      </c>
      <c r="D1" s="69" t="s">
        <v>2933</v>
      </c>
    </row>
    <row r="2" spans="1:14" x14ac:dyDescent="0.25">
      <c r="A2" s="161" t="s">
        <v>446</v>
      </c>
      <c r="B2" s="161"/>
    </row>
    <row r="3" spans="1:14" x14ac:dyDescent="0.25">
      <c r="A3" s="162" t="s">
        <v>448</v>
      </c>
      <c r="B3" s="162"/>
    </row>
    <row r="4" spans="1:14" x14ac:dyDescent="0.25">
      <c r="A4" s="46" t="s">
        <v>80</v>
      </c>
      <c r="B4" s="46" t="s">
        <v>81</v>
      </c>
      <c r="C4" s="46" t="s">
        <v>82</v>
      </c>
      <c r="D4" s="46" t="s">
        <v>83</v>
      </c>
      <c r="E4" s="46" t="s">
        <v>84</v>
      </c>
      <c r="F4" s="47" t="s">
        <v>192</v>
      </c>
      <c r="G4" s="46" t="s">
        <v>85</v>
      </c>
      <c r="H4" s="46" t="s">
        <v>86</v>
      </c>
      <c r="I4" s="80"/>
      <c r="J4" s="46" t="s">
        <v>87</v>
      </c>
      <c r="K4" s="46" t="s">
        <v>88</v>
      </c>
      <c r="L4" s="46" t="s">
        <v>89</v>
      </c>
      <c r="M4" s="46" t="s">
        <v>193</v>
      </c>
      <c r="N4" s="46" t="s">
        <v>90</v>
      </c>
    </row>
    <row r="5" spans="1:14" x14ac:dyDescent="0.25">
      <c r="A5" s="71" t="s">
        <v>40</v>
      </c>
      <c r="B5" s="48" t="str">
        <f t="shared" ref="B5:B36" si="0">IFERROR(VLOOKUP(A5,MaterialMaster,2,FALSE),"Invalid Record")</f>
        <v>500g Nut Muesli</v>
      </c>
      <c r="C5" s="71" t="s">
        <v>68</v>
      </c>
      <c r="D5" s="48" t="str">
        <f t="shared" ref="D5:D36" si="1">IFERROR(VLOOKUP(C5,MaterialMaster,2,FALSE),"Invalid Record")</f>
        <v>Small Box (500g)</v>
      </c>
      <c r="E5" s="74"/>
      <c r="F5" s="75">
        <v>500</v>
      </c>
      <c r="G5" s="48">
        <f>IF(E5="",1,(E5*F5))</f>
        <v>1</v>
      </c>
      <c r="H5" s="48" t="str">
        <f>IFERROR(INDEX(MaterialMaster!$J$5:$J$27,MATCH(C5,MaterialMaster!$A$5:$A$27,0)),"Invalid Record")</f>
        <v>Ea</v>
      </c>
      <c r="J5" s="65" t="s">
        <v>40</v>
      </c>
      <c r="K5" s="45">
        <f>SUMIFS($E$5:$E$62,$A$5:$A$62,J5,$H$5:$H$62,"kg")</f>
        <v>1</v>
      </c>
      <c r="L5" s="42">
        <f>SUMIFS($G$5:$G$62,$A$5:$A$62,J5,$H$5:$H$62,"kg")</f>
        <v>500</v>
      </c>
      <c r="M5" s="42">
        <f t="shared" ref="M5:M16" si="2">VLOOKUP(J5,MaterialMaster,16,FALSE)</f>
        <v>500</v>
      </c>
      <c r="N5" s="49" t="str">
        <f>IF(ABS(L5)&lt;=M5,"OK","Error")</f>
        <v>OK</v>
      </c>
    </row>
    <row r="6" spans="1:14" x14ac:dyDescent="0.25">
      <c r="A6" s="71" t="s">
        <v>40</v>
      </c>
      <c r="B6" s="48" t="str">
        <f t="shared" si="0"/>
        <v>500g Nut Muesli</v>
      </c>
      <c r="C6" s="71" t="s">
        <v>70</v>
      </c>
      <c r="D6" s="48" t="str">
        <f t="shared" si="1"/>
        <v>Small Bag (500g)</v>
      </c>
      <c r="E6" s="74"/>
      <c r="F6" s="75">
        <v>500</v>
      </c>
      <c r="G6" s="48">
        <f>IF(E6="",1,(E6*F6))</f>
        <v>1</v>
      </c>
      <c r="H6" s="48" t="str">
        <f>IFERROR(INDEX(MaterialMaster!$J$5:$J$27,MATCH(C6,MaterialMaster!$A$5:$A$27,0)),"Invalid Record")</f>
        <v>Ea</v>
      </c>
      <c r="J6" s="65" t="s">
        <v>42</v>
      </c>
      <c r="K6" s="45">
        <f t="shared" ref="K6:K16" si="3">SUMIFS($E$5:$E$62,$A$5:$A$62,J6,$H$5:$H$62,"kg")</f>
        <v>1</v>
      </c>
      <c r="L6" s="42">
        <f t="shared" ref="L6:L16" si="4">SUMIFS($G$5:$G$62,$A$5:$A$62,J6,$H$5:$H$62,"kg")</f>
        <v>500</v>
      </c>
      <c r="M6" s="42">
        <f t="shared" si="2"/>
        <v>500</v>
      </c>
      <c r="N6" s="49" t="str">
        <f t="shared" ref="N6:N16" si="5">IF(ABS(L6)&lt;=M6,"OK","Error")</f>
        <v>OK</v>
      </c>
    </row>
    <row r="7" spans="1:14" x14ac:dyDescent="0.25">
      <c r="A7" s="71" t="s">
        <v>40</v>
      </c>
      <c r="B7" s="48" t="str">
        <f t="shared" si="0"/>
        <v>500g Nut Muesli</v>
      </c>
      <c r="C7" s="71" t="s">
        <v>77</v>
      </c>
      <c r="D7" s="48" t="str">
        <f t="shared" si="1"/>
        <v>Wheat</v>
      </c>
      <c r="E7" s="74">
        <v>0.35</v>
      </c>
      <c r="F7" s="75">
        <v>500</v>
      </c>
      <c r="G7" s="48">
        <f>IF(E7="",1,(E7*F7))</f>
        <v>175</v>
      </c>
      <c r="H7" s="48" t="str">
        <f>IFERROR(INDEX(MaterialMaster!$J$5:$J$27,MATCH(C7,MaterialMaster!$A$5:$A$27,0)),"Invalid Record")</f>
        <v>kg</v>
      </c>
      <c r="J7" s="65" t="s">
        <v>44</v>
      </c>
      <c r="K7" s="45">
        <f t="shared" si="3"/>
        <v>1</v>
      </c>
      <c r="L7" s="42">
        <f t="shared" si="4"/>
        <v>500</v>
      </c>
      <c r="M7" s="42">
        <f t="shared" si="2"/>
        <v>500</v>
      </c>
      <c r="N7" s="49" t="str">
        <f t="shared" si="5"/>
        <v>OK</v>
      </c>
    </row>
    <row r="8" spans="1:14" x14ac:dyDescent="0.25">
      <c r="A8" s="71" t="s">
        <v>40</v>
      </c>
      <c r="B8" s="48" t="str">
        <f t="shared" si="0"/>
        <v>500g Nut Muesli</v>
      </c>
      <c r="C8" s="71" t="s">
        <v>78</v>
      </c>
      <c r="D8" s="48" t="str">
        <f t="shared" si="1"/>
        <v>Oat</v>
      </c>
      <c r="E8" s="74">
        <v>0.35</v>
      </c>
      <c r="F8" s="75">
        <v>500</v>
      </c>
      <c r="G8" s="48">
        <f t="shared" ref="G8:G62" si="6">IF(E8="",1,(E8*F8))</f>
        <v>175</v>
      </c>
      <c r="H8" s="48" t="str">
        <f>IFERROR(INDEX(MaterialMaster!$J$5:$J$27,MATCH(C8,MaterialMaster!$A$5:$A$27,0)),"Invalid Record")</f>
        <v>kg</v>
      </c>
      <c r="J8" s="65" t="s">
        <v>46</v>
      </c>
      <c r="K8" s="45">
        <f t="shared" si="3"/>
        <v>1</v>
      </c>
      <c r="L8" s="42">
        <f t="shared" si="4"/>
        <v>500</v>
      </c>
      <c r="M8" s="42">
        <f t="shared" si="2"/>
        <v>500</v>
      </c>
      <c r="N8" s="49" t="str">
        <f t="shared" si="5"/>
        <v>OK</v>
      </c>
    </row>
    <row r="9" spans="1:14" x14ac:dyDescent="0.25">
      <c r="A9" s="71" t="s">
        <v>40</v>
      </c>
      <c r="B9" s="48" t="str">
        <f t="shared" si="0"/>
        <v>500g Nut Muesli</v>
      </c>
      <c r="C9" s="71" t="s">
        <v>71</v>
      </c>
      <c r="D9" s="48" t="str">
        <f t="shared" si="1"/>
        <v>Nuts</v>
      </c>
      <c r="E9" s="74">
        <v>0.3</v>
      </c>
      <c r="F9" s="75">
        <v>500</v>
      </c>
      <c r="G9" s="48">
        <f t="shared" si="6"/>
        <v>150</v>
      </c>
      <c r="H9" s="48" t="str">
        <f>IFERROR(INDEX(MaterialMaster!$J$5:$J$27,MATCH(C9,MaterialMaster!$A$5:$A$27,0)),"Invalid Record")</f>
        <v>kg</v>
      </c>
      <c r="J9" s="65" t="s">
        <v>48</v>
      </c>
      <c r="K9" s="45">
        <f t="shared" si="3"/>
        <v>1</v>
      </c>
      <c r="L9" s="42">
        <f t="shared" si="4"/>
        <v>500</v>
      </c>
      <c r="M9" s="42">
        <f t="shared" si="2"/>
        <v>500</v>
      </c>
      <c r="N9" s="49" t="str">
        <f t="shared" si="5"/>
        <v>OK</v>
      </c>
    </row>
    <row r="10" spans="1:14" x14ac:dyDescent="0.25">
      <c r="A10" s="71" t="s">
        <v>42</v>
      </c>
      <c r="B10" s="48" t="str">
        <f t="shared" si="0"/>
        <v>500g Blueberry Muesli</v>
      </c>
      <c r="C10" s="71" t="s">
        <v>68</v>
      </c>
      <c r="D10" s="48" t="str">
        <f t="shared" si="1"/>
        <v>Small Box (500g)</v>
      </c>
      <c r="E10" s="74"/>
      <c r="F10" s="75">
        <v>500</v>
      </c>
      <c r="G10" s="48">
        <f t="shared" si="6"/>
        <v>1</v>
      </c>
      <c r="H10" s="48" t="str">
        <f>IFERROR(INDEX(MaterialMaster!$J$5:$J$27,MATCH(C10,MaterialMaster!$A$5:$A$27,0)),"Invalid Record")</f>
        <v>Ea</v>
      </c>
      <c r="J10" s="65" t="s">
        <v>50</v>
      </c>
      <c r="K10" s="45">
        <f t="shared" si="3"/>
        <v>1</v>
      </c>
      <c r="L10" s="42">
        <f t="shared" si="4"/>
        <v>500</v>
      </c>
      <c r="M10" s="42">
        <f t="shared" si="2"/>
        <v>500</v>
      </c>
      <c r="N10" s="49" t="str">
        <f t="shared" si="5"/>
        <v>OK</v>
      </c>
    </row>
    <row r="11" spans="1:14" x14ac:dyDescent="0.25">
      <c r="A11" s="71" t="s">
        <v>42</v>
      </c>
      <c r="B11" s="48" t="str">
        <f t="shared" si="0"/>
        <v>500g Blueberry Muesli</v>
      </c>
      <c r="C11" s="71" t="s">
        <v>70</v>
      </c>
      <c r="D11" s="48" t="str">
        <f t="shared" si="1"/>
        <v>Small Bag (500g)</v>
      </c>
      <c r="E11" s="74"/>
      <c r="F11" s="75">
        <v>500</v>
      </c>
      <c r="G11" s="48">
        <f t="shared" si="6"/>
        <v>1</v>
      </c>
      <c r="H11" s="48" t="str">
        <f>IFERROR(INDEX(MaterialMaster!$J$5:$J$27,MATCH(C11,MaterialMaster!$A$5:$A$27,0)),"Invalid Record")</f>
        <v>Ea</v>
      </c>
      <c r="J11" s="65" t="s">
        <v>52</v>
      </c>
      <c r="K11" s="45">
        <f t="shared" si="3"/>
        <v>1</v>
      </c>
      <c r="L11" s="42">
        <f t="shared" si="4"/>
        <v>1000</v>
      </c>
      <c r="M11" s="42">
        <f t="shared" si="2"/>
        <v>1000</v>
      </c>
      <c r="N11" s="49" t="str">
        <f t="shared" si="5"/>
        <v>OK</v>
      </c>
    </row>
    <row r="12" spans="1:14" x14ac:dyDescent="0.25">
      <c r="A12" s="71" t="s">
        <v>42</v>
      </c>
      <c r="B12" s="48" t="str">
        <f t="shared" si="0"/>
        <v>500g Blueberry Muesli</v>
      </c>
      <c r="C12" s="71" t="s">
        <v>77</v>
      </c>
      <c r="D12" s="48" t="str">
        <f t="shared" si="1"/>
        <v>Wheat</v>
      </c>
      <c r="E12" s="74">
        <v>0.35</v>
      </c>
      <c r="F12" s="75">
        <v>500</v>
      </c>
      <c r="G12" s="48">
        <f t="shared" si="6"/>
        <v>175</v>
      </c>
      <c r="H12" s="48" t="str">
        <f>IFERROR(INDEX(MaterialMaster!$J$5:$J$27,MATCH(C12,MaterialMaster!$A$5:$A$27,0)),"Invalid Record")</f>
        <v>kg</v>
      </c>
      <c r="J12" s="65" t="s">
        <v>54</v>
      </c>
      <c r="K12" s="45">
        <f t="shared" si="3"/>
        <v>1</v>
      </c>
      <c r="L12" s="42">
        <f t="shared" si="4"/>
        <v>1000</v>
      </c>
      <c r="M12" s="42">
        <f t="shared" si="2"/>
        <v>1000</v>
      </c>
      <c r="N12" s="49" t="str">
        <f t="shared" si="5"/>
        <v>OK</v>
      </c>
    </row>
    <row r="13" spans="1:14" x14ac:dyDescent="0.25">
      <c r="A13" s="71" t="s">
        <v>42</v>
      </c>
      <c r="B13" s="48" t="str">
        <f t="shared" si="0"/>
        <v>500g Blueberry Muesli</v>
      </c>
      <c r="C13" s="71" t="s">
        <v>78</v>
      </c>
      <c r="D13" s="48" t="str">
        <f t="shared" si="1"/>
        <v>Oat</v>
      </c>
      <c r="E13" s="74">
        <v>0.35</v>
      </c>
      <c r="F13" s="75">
        <v>500</v>
      </c>
      <c r="G13" s="48">
        <f t="shared" si="6"/>
        <v>175</v>
      </c>
      <c r="H13" s="48" t="str">
        <f>IFERROR(INDEX(MaterialMaster!$J$5:$J$27,MATCH(C13,MaterialMaster!$A$5:$A$27,0)),"Invalid Record")</f>
        <v>kg</v>
      </c>
      <c r="J13" s="65" t="s">
        <v>56</v>
      </c>
      <c r="K13" s="45">
        <f t="shared" si="3"/>
        <v>1</v>
      </c>
      <c r="L13" s="42">
        <f t="shared" si="4"/>
        <v>1000</v>
      </c>
      <c r="M13" s="42">
        <f t="shared" si="2"/>
        <v>1000</v>
      </c>
      <c r="N13" s="49" t="str">
        <f t="shared" si="5"/>
        <v>OK</v>
      </c>
    </row>
    <row r="14" spans="1:14" x14ac:dyDescent="0.25">
      <c r="A14" s="71" t="s">
        <v>42</v>
      </c>
      <c r="B14" s="48" t="str">
        <f t="shared" si="0"/>
        <v>500g Blueberry Muesli</v>
      </c>
      <c r="C14" s="71" t="s">
        <v>74</v>
      </c>
      <c r="D14" s="48" t="str">
        <f t="shared" si="1"/>
        <v>Blueberry</v>
      </c>
      <c r="E14" s="74">
        <v>0.3</v>
      </c>
      <c r="F14" s="75">
        <v>500</v>
      </c>
      <c r="G14" s="48">
        <f t="shared" si="6"/>
        <v>150</v>
      </c>
      <c r="H14" s="48" t="str">
        <f>IFERROR(INDEX(MaterialMaster!$J$5:$J$27,MATCH(C14,MaterialMaster!$A$5:$A$27,0)),"Invalid Record")</f>
        <v>kg</v>
      </c>
      <c r="J14" s="65" t="s">
        <v>58</v>
      </c>
      <c r="K14" s="45">
        <f t="shared" si="3"/>
        <v>1</v>
      </c>
      <c r="L14" s="42">
        <f t="shared" si="4"/>
        <v>1000</v>
      </c>
      <c r="M14" s="42">
        <f t="shared" si="2"/>
        <v>1000</v>
      </c>
      <c r="N14" s="49" t="str">
        <f t="shared" si="5"/>
        <v>OK</v>
      </c>
    </row>
    <row r="15" spans="1:14" x14ac:dyDescent="0.25">
      <c r="A15" s="71" t="s">
        <v>44</v>
      </c>
      <c r="B15" s="48" t="str">
        <f t="shared" si="0"/>
        <v>500g Strawberry Muesli</v>
      </c>
      <c r="C15" s="71" t="s">
        <v>68</v>
      </c>
      <c r="D15" s="48" t="str">
        <f t="shared" si="1"/>
        <v>Small Box (500g)</v>
      </c>
      <c r="E15" s="74"/>
      <c r="F15" s="75">
        <v>500</v>
      </c>
      <c r="G15" s="48">
        <f t="shared" si="6"/>
        <v>1</v>
      </c>
      <c r="H15" s="48" t="str">
        <f>IFERROR(INDEX(MaterialMaster!$J$5:$J$27,MATCH(C15,MaterialMaster!$A$5:$A$27,0)),"Invalid Record")</f>
        <v>Ea</v>
      </c>
      <c r="J15" s="65" t="s">
        <v>60</v>
      </c>
      <c r="K15" s="45">
        <f t="shared" si="3"/>
        <v>1</v>
      </c>
      <c r="L15" s="42">
        <f t="shared" si="4"/>
        <v>1000</v>
      </c>
      <c r="M15" s="42">
        <f t="shared" si="2"/>
        <v>1000</v>
      </c>
      <c r="N15" s="49" t="str">
        <f t="shared" si="5"/>
        <v>OK</v>
      </c>
    </row>
    <row r="16" spans="1:14" x14ac:dyDescent="0.25">
      <c r="A16" s="71" t="s">
        <v>44</v>
      </c>
      <c r="B16" s="48" t="str">
        <f t="shared" si="0"/>
        <v>500g Strawberry Muesli</v>
      </c>
      <c r="C16" s="71" t="s">
        <v>70</v>
      </c>
      <c r="D16" s="48" t="str">
        <f t="shared" si="1"/>
        <v>Small Bag (500g)</v>
      </c>
      <c r="E16" s="74"/>
      <c r="F16" s="75">
        <v>500</v>
      </c>
      <c r="G16" s="48">
        <f t="shared" si="6"/>
        <v>1</v>
      </c>
      <c r="H16" s="48" t="str">
        <f>IFERROR(INDEX(MaterialMaster!$J$5:$J$27,MATCH(C16,MaterialMaster!$A$5:$A$27,0)),"Invalid Record")</f>
        <v>Ea</v>
      </c>
      <c r="J16" s="65" t="s">
        <v>62</v>
      </c>
      <c r="K16" s="45">
        <f t="shared" si="3"/>
        <v>1</v>
      </c>
      <c r="L16" s="42">
        <f t="shared" si="4"/>
        <v>1000</v>
      </c>
      <c r="M16" s="42">
        <f t="shared" si="2"/>
        <v>1000</v>
      </c>
      <c r="N16" s="49" t="str">
        <f t="shared" si="5"/>
        <v>OK</v>
      </c>
    </row>
    <row r="17" spans="1:12" x14ac:dyDescent="0.25">
      <c r="A17" s="71" t="s">
        <v>44</v>
      </c>
      <c r="B17" s="48" t="str">
        <f t="shared" si="0"/>
        <v>500g Strawberry Muesli</v>
      </c>
      <c r="C17" s="71" t="s">
        <v>77</v>
      </c>
      <c r="D17" s="48" t="str">
        <f t="shared" si="1"/>
        <v>Wheat</v>
      </c>
      <c r="E17" s="74">
        <v>0.35</v>
      </c>
      <c r="F17" s="75">
        <v>500</v>
      </c>
      <c r="G17" s="48">
        <f t="shared" si="6"/>
        <v>175</v>
      </c>
      <c r="H17" s="48" t="str">
        <f>IFERROR(INDEX(MaterialMaster!$J$5:$J$27,MATCH(C17,MaterialMaster!$A$5:$A$27,0)),"Invalid Record")</f>
        <v>kg</v>
      </c>
    </row>
    <row r="18" spans="1:12" x14ac:dyDescent="0.25">
      <c r="A18" s="71" t="s">
        <v>44</v>
      </c>
      <c r="B18" s="48" t="str">
        <f t="shared" si="0"/>
        <v>500g Strawberry Muesli</v>
      </c>
      <c r="C18" s="71" t="s">
        <v>78</v>
      </c>
      <c r="D18" s="48" t="str">
        <f t="shared" si="1"/>
        <v>Oat</v>
      </c>
      <c r="E18" s="74">
        <v>0.35</v>
      </c>
      <c r="F18" s="75">
        <v>500</v>
      </c>
      <c r="G18" s="48">
        <f t="shared" si="6"/>
        <v>175</v>
      </c>
      <c r="H18" s="48" t="str">
        <f>IFERROR(INDEX(MaterialMaster!$J$5:$J$27,MATCH(C18,MaterialMaster!$A$5:$A$27,0)),"Invalid Record")</f>
        <v>kg</v>
      </c>
      <c r="J18" s="73" t="s">
        <v>48</v>
      </c>
      <c r="L18" s="50">
        <f>INDEX($L$5:$L$16,MATCH(J18,$J$5:$J$16))</f>
        <v>500</v>
      </c>
    </row>
    <row r="19" spans="1:12" x14ac:dyDescent="0.25">
      <c r="A19" s="71" t="s">
        <v>44</v>
      </c>
      <c r="B19" s="48" t="str">
        <f t="shared" si="0"/>
        <v>500g Strawberry Muesli</v>
      </c>
      <c r="C19" s="71" t="s">
        <v>75</v>
      </c>
      <c r="D19" s="48" t="str">
        <f t="shared" si="1"/>
        <v>Strawberry</v>
      </c>
      <c r="E19" s="74">
        <v>0.3</v>
      </c>
      <c r="F19" s="75">
        <v>500</v>
      </c>
      <c r="G19" s="48">
        <f t="shared" si="6"/>
        <v>150</v>
      </c>
      <c r="H19" s="48" t="str">
        <f>IFERROR(INDEX(MaterialMaster!$J$5:$J$27,MATCH(C19,MaterialMaster!$A$5:$A$27,0)),"Invalid Record")</f>
        <v>kg</v>
      </c>
    </row>
    <row r="20" spans="1:12" x14ac:dyDescent="0.25">
      <c r="A20" s="71" t="s">
        <v>46</v>
      </c>
      <c r="B20" s="48" t="str">
        <f t="shared" si="0"/>
        <v>500g Raisin Muesli</v>
      </c>
      <c r="C20" s="71" t="s">
        <v>68</v>
      </c>
      <c r="D20" s="48" t="str">
        <f t="shared" si="1"/>
        <v>Small Box (500g)</v>
      </c>
      <c r="E20" s="74"/>
      <c r="F20" s="75">
        <v>500</v>
      </c>
      <c r="G20" s="48">
        <f t="shared" si="6"/>
        <v>1</v>
      </c>
      <c r="H20" s="48" t="str">
        <f>IFERROR(INDEX(MaterialMaster!$J$5:$J$27,MATCH(C20,MaterialMaster!$A$5:$A$27,0)),"Invalid Record")</f>
        <v>Ea</v>
      </c>
    </row>
    <row r="21" spans="1:12" x14ac:dyDescent="0.25">
      <c r="A21" s="71" t="s">
        <v>46</v>
      </c>
      <c r="B21" s="48" t="str">
        <f t="shared" si="0"/>
        <v>500g Raisin Muesli</v>
      </c>
      <c r="C21" s="71" t="s">
        <v>70</v>
      </c>
      <c r="D21" s="48" t="str">
        <f t="shared" si="1"/>
        <v>Small Bag (500g)</v>
      </c>
      <c r="E21" s="74"/>
      <c r="F21" s="75">
        <v>500</v>
      </c>
      <c r="G21" s="48">
        <f t="shared" si="6"/>
        <v>1</v>
      </c>
      <c r="H21" s="48" t="str">
        <f>IFERROR(INDEX(MaterialMaster!$J$5:$J$27,MATCH(C21,MaterialMaster!$A$5:$A$27,0)),"Invalid Record")</f>
        <v>Ea</v>
      </c>
    </row>
    <row r="22" spans="1:12" x14ac:dyDescent="0.25">
      <c r="A22" s="71" t="s">
        <v>46</v>
      </c>
      <c r="B22" s="48" t="str">
        <f t="shared" si="0"/>
        <v>500g Raisin Muesli</v>
      </c>
      <c r="C22" s="71" t="s">
        <v>77</v>
      </c>
      <c r="D22" s="48" t="str">
        <f t="shared" si="1"/>
        <v>Wheat</v>
      </c>
      <c r="E22" s="74">
        <v>0.35</v>
      </c>
      <c r="F22" s="75">
        <v>500</v>
      </c>
      <c r="G22" s="48">
        <f t="shared" si="6"/>
        <v>175</v>
      </c>
      <c r="H22" s="48" t="str">
        <f>IFERROR(INDEX(MaterialMaster!$J$5:$J$27,MATCH(C22,MaterialMaster!$A$5:$A$27,0)),"Invalid Record")</f>
        <v>kg</v>
      </c>
    </row>
    <row r="23" spans="1:12" x14ac:dyDescent="0.25">
      <c r="A23" s="71" t="s">
        <v>46</v>
      </c>
      <c r="B23" s="48" t="str">
        <f t="shared" si="0"/>
        <v>500g Raisin Muesli</v>
      </c>
      <c r="C23" s="71" t="s">
        <v>78</v>
      </c>
      <c r="D23" s="48" t="str">
        <f t="shared" si="1"/>
        <v>Oat</v>
      </c>
      <c r="E23" s="74">
        <v>0.35</v>
      </c>
      <c r="F23" s="75">
        <v>500</v>
      </c>
      <c r="G23" s="48">
        <f t="shared" si="6"/>
        <v>175</v>
      </c>
      <c r="H23" s="48" t="str">
        <f>IFERROR(INDEX(MaterialMaster!$J$5:$J$27,MATCH(C23,MaterialMaster!$A$5:$A$27,0)),"Invalid Record")</f>
        <v>kg</v>
      </c>
    </row>
    <row r="24" spans="1:12" x14ac:dyDescent="0.25">
      <c r="A24" s="71" t="s">
        <v>46</v>
      </c>
      <c r="B24" s="48" t="str">
        <f t="shared" si="0"/>
        <v>500g Raisin Muesli</v>
      </c>
      <c r="C24" s="71" t="s">
        <v>76</v>
      </c>
      <c r="D24" s="48" t="str">
        <f t="shared" si="1"/>
        <v>Raisins</v>
      </c>
      <c r="E24" s="74">
        <v>0.3</v>
      </c>
      <c r="F24" s="75">
        <v>500</v>
      </c>
      <c r="G24" s="48">
        <f t="shared" si="6"/>
        <v>150</v>
      </c>
      <c r="H24" s="48" t="str">
        <f>IFERROR(INDEX(MaterialMaster!$J$5:$J$27,MATCH(C24,MaterialMaster!$A$5:$A$27,0)),"Invalid Record")</f>
        <v>kg</v>
      </c>
    </row>
    <row r="25" spans="1:12" x14ac:dyDescent="0.25">
      <c r="A25" s="71" t="s">
        <v>48</v>
      </c>
      <c r="B25" s="48" t="str">
        <f t="shared" si="0"/>
        <v>500g Original Muesli</v>
      </c>
      <c r="C25" s="71" t="s">
        <v>68</v>
      </c>
      <c r="D25" s="48" t="str">
        <f t="shared" si="1"/>
        <v>Small Box (500g)</v>
      </c>
      <c r="E25" s="74"/>
      <c r="F25" s="75">
        <v>500</v>
      </c>
      <c r="G25" s="48">
        <f t="shared" si="6"/>
        <v>1</v>
      </c>
      <c r="H25" s="48" t="str">
        <f>IFERROR(INDEX(MaterialMaster!$J$5:$J$27,MATCH(C25,MaterialMaster!$A$5:$A$27,0)),"Invalid Record")</f>
        <v>Ea</v>
      </c>
    </row>
    <row r="26" spans="1:12" x14ac:dyDescent="0.25">
      <c r="A26" s="71" t="s">
        <v>48</v>
      </c>
      <c r="B26" s="48" t="str">
        <f t="shared" si="0"/>
        <v>500g Original Muesli</v>
      </c>
      <c r="C26" s="71" t="s">
        <v>70</v>
      </c>
      <c r="D26" s="48" t="str">
        <f t="shared" si="1"/>
        <v>Small Bag (500g)</v>
      </c>
      <c r="E26" s="74"/>
      <c r="F26" s="75">
        <v>500</v>
      </c>
      <c r="G26" s="48">
        <f t="shared" si="6"/>
        <v>1</v>
      </c>
      <c r="H26" s="48" t="str">
        <f>IFERROR(INDEX(MaterialMaster!$J$5:$J$27,MATCH(C26,MaterialMaster!$A$5:$A$27,0)),"Invalid Record")</f>
        <v>Ea</v>
      </c>
    </row>
    <row r="27" spans="1:12" x14ac:dyDescent="0.25">
      <c r="A27" s="71" t="s">
        <v>48</v>
      </c>
      <c r="B27" s="48" t="str">
        <f t="shared" si="0"/>
        <v>500g Original Muesli</v>
      </c>
      <c r="C27" s="71" t="s">
        <v>77</v>
      </c>
      <c r="D27" s="48" t="str">
        <f t="shared" si="1"/>
        <v>Wheat</v>
      </c>
      <c r="E27" s="74">
        <v>0.5</v>
      </c>
      <c r="F27" s="75">
        <v>500</v>
      </c>
      <c r="G27" s="48">
        <f t="shared" si="6"/>
        <v>250</v>
      </c>
      <c r="H27" s="48" t="str">
        <f>IFERROR(INDEX(MaterialMaster!$J$5:$J$27,MATCH(C27,MaterialMaster!$A$5:$A$27,0)),"Invalid Record")</f>
        <v>kg</v>
      </c>
    </row>
    <row r="28" spans="1:12" x14ac:dyDescent="0.25">
      <c r="A28" s="71" t="s">
        <v>48</v>
      </c>
      <c r="B28" s="48" t="str">
        <f t="shared" si="0"/>
        <v>500g Original Muesli</v>
      </c>
      <c r="C28" s="71" t="s">
        <v>78</v>
      </c>
      <c r="D28" s="48" t="str">
        <f t="shared" si="1"/>
        <v>Oat</v>
      </c>
      <c r="E28" s="74">
        <v>0.5</v>
      </c>
      <c r="F28" s="75">
        <v>500</v>
      </c>
      <c r="G28" s="48">
        <f t="shared" si="6"/>
        <v>250</v>
      </c>
      <c r="H28" s="48" t="str">
        <f>IFERROR(INDEX(MaterialMaster!$J$5:$J$27,MATCH(C28,MaterialMaster!$A$5:$A$27,0)),"Invalid Record")</f>
        <v>kg</v>
      </c>
    </row>
    <row r="29" spans="1:12" x14ac:dyDescent="0.25">
      <c r="A29" s="71" t="s">
        <v>50</v>
      </c>
      <c r="B29" s="48" t="str">
        <f t="shared" si="0"/>
        <v>500g Mixed Fruits Muesli</v>
      </c>
      <c r="C29" s="71" t="s">
        <v>68</v>
      </c>
      <c r="D29" s="48" t="str">
        <f t="shared" si="1"/>
        <v>Small Box (500g)</v>
      </c>
      <c r="E29" s="74"/>
      <c r="F29" s="75">
        <v>500</v>
      </c>
      <c r="G29" s="48">
        <f t="shared" si="6"/>
        <v>1</v>
      </c>
      <c r="H29" s="48" t="str">
        <f>IFERROR(INDEX(MaterialMaster!$J$5:$J$27,MATCH(C29,MaterialMaster!$A$5:$A$27,0)),"Invalid Record")</f>
        <v>Ea</v>
      </c>
    </row>
    <row r="30" spans="1:12" x14ac:dyDescent="0.25">
      <c r="A30" s="71" t="s">
        <v>50</v>
      </c>
      <c r="B30" s="48" t="str">
        <f t="shared" si="0"/>
        <v>500g Mixed Fruits Muesli</v>
      </c>
      <c r="C30" s="71" t="s">
        <v>70</v>
      </c>
      <c r="D30" s="48" t="str">
        <f t="shared" si="1"/>
        <v>Small Bag (500g)</v>
      </c>
      <c r="E30" s="74"/>
      <c r="F30" s="75">
        <v>500</v>
      </c>
      <c r="G30" s="48">
        <f t="shared" si="6"/>
        <v>1</v>
      </c>
      <c r="H30" s="48" t="str">
        <f>IFERROR(INDEX(MaterialMaster!$J$5:$J$27,MATCH(C30,MaterialMaster!$A$5:$A$27,0)),"Invalid Record")</f>
        <v>Ea</v>
      </c>
    </row>
    <row r="31" spans="1:12" x14ac:dyDescent="0.25">
      <c r="A31" s="71" t="s">
        <v>50</v>
      </c>
      <c r="B31" s="48" t="str">
        <f t="shared" si="0"/>
        <v>500g Mixed Fruits Muesli</v>
      </c>
      <c r="C31" s="71" t="s">
        <v>77</v>
      </c>
      <c r="D31" s="48" t="str">
        <f t="shared" si="1"/>
        <v>Wheat</v>
      </c>
      <c r="E31" s="74">
        <v>0.3</v>
      </c>
      <c r="F31" s="75">
        <v>500</v>
      </c>
      <c r="G31" s="48">
        <f t="shared" si="6"/>
        <v>150</v>
      </c>
      <c r="H31" s="48" t="str">
        <f>IFERROR(INDEX(MaterialMaster!$J$5:$J$27,MATCH(C31,MaterialMaster!$A$5:$A$27,0)),"Invalid Record")</f>
        <v>kg</v>
      </c>
    </row>
    <row r="32" spans="1:12" x14ac:dyDescent="0.25">
      <c r="A32" s="71" t="s">
        <v>50</v>
      </c>
      <c r="B32" s="48" t="str">
        <f t="shared" si="0"/>
        <v>500g Mixed Fruits Muesli</v>
      </c>
      <c r="C32" s="71" t="s">
        <v>78</v>
      </c>
      <c r="D32" s="48" t="str">
        <f t="shared" si="1"/>
        <v>Oat</v>
      </c>
      <c r="E32" s="74">
        <v>0.3</v>
      </c>
      <c r="F32" s="75">
        <v>500</v>
      </c>
      <c r="G32" s="48">
        <f t="shared" si="6"/>
        <v>150</v>
      </c>
      <c r="H32" s="48" t="str">
        <f>IFERROR(INDEX(MaterialMaster!$J$5:$J$27,MATCH(C32,MaterialMaster!$A$5:$A$27,0)),"Invalid Record")</f>
        <v>kg</v>
      </c>
    </row>
    <row r="33" spans="1:8" x14ac:dyDescent="0.25">
      <c r="A33" s="71" t="s">
        <v>50</v>
      </c>
      <c r="B33" s="48" t="str">
        <f t="shared" si="0"/>
        <v>500g Mixed Fruits Muesli</v>
      </c>
      <c r="C33" s="71" t="s">
        <v>79</v>
      </c>
      <c r="D33" s="48" t="str">
        <f t="shared" si="1"/>
        <v>Fruits &amp; Nuts</v>
      </c>
      <c r="E33" s="74">
        <v>0.4</v>
      </c>
      <c r="F33" s="75">
        <v>500</v>
      </c>
      <c r="G33" s="48">
        <f t="shared" si="6"/>
        <v>200</v>
      </c>
      <c r="H33" s="48" t="str">
        <f>IFERROR(INDEX(MaterialMaster!$J$5:$J$27,MATCH(C33,MaterialMaster!$A$5:$A$27,0)),"Invalid Record")</f>
        <v>kg</v>
      </c>
    </row>
    <row r="34" spans="1:8" x14ac:dyDescent="0.25">
      <c r="A34" s="71" t="s">
        <v>52</v>
      </c>
      <c r="B34" s="48" t="str">
        <f t="shared" si="0"/>
        <v>1000g Nut Muesli</v>
      </c>
      <c r="C34" s="71" t="s">
        <v>64</v>
      </c>
      <c r="D34" s="48" t="str">
        <f t="shared" si="1"/>
        <v>Large Box (1kg)</v>
      </c>
      <c r="E34" s="74"/>
      <c r="F34" s="75">
        <v>1000</v>
      </c>
      <c r="G34" s="48">
        <f t="shared" si="6"/>
        <v>1</v>
      </c>
      <c r="H34" s="48" t="str">
        <f>IFERROR(INDEX(MaterialMaster!$J$5:$J$27,MATCH(C34,MaterialMaster!$A$5:$A$27,0)),"Invalid Record")</f>
        <v>Ea</v>
      </c>
    </row>
    <row r="35" spans="1:8" x14ac:dyDescent="0.25">
      <c r="A35" s="71" t="s">
        <v>52</v>
      </c>
      <c r="B35" s="48" t="str">
        <f t="shared" si="0"/>
        <v>1000g Nut Muesli</v>
      </c>
      <c r="C35" s="71" t="s">
        <v>67</v>
      </c>
      <c r="D35" s="48" t="str">
        <f t="shared" si="1"/>
        <v>Large Bag (1kg)</v>
      </c>
      <c r="E35" s="74"/>
      <c r="F35" s="75">
        <v>1000</v>
      </c>
      <c r="G35" s="48">
        <f t="shared" si="6"/>
        <v>1</v>
      </c>
      <c r="H35" s="48" t="str">
        <f>IFERROR(INDEX(MaterialMaster!$J$5:$J$27,MATCH(C35,MaterialMaster!$A$5:$A$27,0)),"Invalid Record")</f>
        <v>Ea</v>
      </c>
    </row>
    <row r="36" spans="1:8" x14ac:dyDescent="0.25">
      <c r="A36" s="71" t="s">
        <v>52</v>
      </c>
      <c r="B36" s="48" t="str">
        <f t="shared" si="0"/>
        <v>1000g Nut Muesli</v>
      </c>
      <c r="C36" s="71" t="s">
        <v>77</v>
      </c>
      <c r="D36" s="48" t="str">
        <f t="shared" si="1"/>
        <v>Wheat</v>
      </c>
      <c r="E36" s="74">
        <v>0.35</v>
      </c>
      <c r="F36" s="75">
        <v>1000</v>
      </c>
      <c r="G36" s="48">
        <f t="shared" si="6"/>
        <v>350</v>
      </c>
      <c r="H36" s="48" t="str">
        <f>IFERROR(INDEX(MaterialMaster!$J$5:$J$27,MATCH(C36,MaterialMaster!$A$5:$A$27,0)),"Invalid Record")</f>
        <v>kg</v>
      </c>
    </row>
    <row r="37" spans="1:8" x14ac:dyDescent="0.25">
      <c r="A37" s="71" t="s">
        <v>52</v>
      </c>
      <c r="B37" s="48" t="str">
        <f t="shared" ref="B37:B62" si="7">IFERROR(VLOOKUP(A37,MaterialMaster,2,FALSE),"Invalid Record")</f>
        <v>1000g Nut Muesli</v>
      </c>
      <c r="C37" s="71" t="s">
        <v>78</v>
      </c>
      <c r="D37" s="48" t="str">
        <f t="shared" ref="D37:D62" si="8">IFERROR(VLOOKUP(C37,MaterialMaster,2,FALSE),"Invalid Record")</f>
        <v>Oat</v>
      </c>
      <c r="E37" s="74">
        <v>0.35</v>
      </c>
      <c r="F37" s="75">
        <v>1000</v>
      </c>
      <c r="G37" s="48">
        <f t="shared" si="6"/>
        <v>350</v>
      </c>
      <c r="H37" s="48" t="str">
        <f>IFERROR(INDEX(MaterialMaster!$J$5:$J$27,MATCH(C37,MaterialMaster!$A$5:$A$27,0)),"Invalid Record")</f>
        <v>kg</v>
      </c>
    </row>
    <row r="38" spans="1:8" x14ac:dyDescent="0.25">
      <c r="A38" s="71" t="s">
        <v>52</v>
      </c>
      <c r="B38" s="48" t="str">
        <f t="shared" si="7"/>
        <v>1000g Nut Muesli</v>
      </c>
      <c r="C38" s="71" t="s">
        <v>71</v>
      </c>
      <c r="D38" s="48" t="str">
        <f t="shared" si="8"/>
        <v>Nuts</v>
      </c>
      <c r="E38" s="74">
        <v>0.3</v>
      </c>
      <c r="F38" s="75">
        <v>1000</v>
      </c>
      <c r="G38" s="48">
        <f t="shared" si="6"/>
        <v>300</v>
      </c>
      <c r="H38" s="48" t="str">
        <f>IFERROR(INDEX(MaterialMaster!$J$5:$J$27,MATCH(C38,MaterialMaster!$A$5:$A$27,0)),"Invalid Record")</f>
        <v>kg</v>
      </c>
    </row>
    <row r="39" spans="1:8" x14ac:dyDescent="0.25">
      <c r="A39" s="71" t="s">
        <v>54</v>
      </c>
      <c r="B39" s="48" t="str">
        <f t="shared" si="7"/>
        <v>1000g Blueberry Muesli</v>
      </c>
      <c r="C39" s="71" t="s">
        <v>64</v>
      </c>
      <c r="D39" s="48" t="str">
        <f t="shared" si="8"/>
        <v>Large Box (1kg)</v>
      </c>
      <c r="E39" s="74"/>
      <c r="F39" s="75">
        <v>1000</v>
      </c>
      <c r="G39" s="48">
        <f t="shared" si="6"/>
        <v>1</v>
      </c>
      <c r="H39" s="48" t="str">
        <f>IFERROR(INDEX(MaterialMaster!$J$5:$J$27,MATCH(C39,MaterialMaster!$A$5:$A$27,0)),"Invalid Record")</f>
        <v>Ea</v>
      </c>
    </row>
    <row r="40" spans="1:8" x14ac:dyDescent="0.25">
      <c r="A40" s="71" t="s">
        <v>54</v>
      </c>
      <c r="B40" s="48" t="str">
        <f t="shared" si="7"/>
        <v>1000g Blueberry Muesli</v>
      </c>
      <c r="C40" s="71" t="s">
        <v>67</v>
      </c>
      <c r="D40" s="48" t="str">
        <f t="shared" si="8"/>
        <v>Large Bag (1kg)</v>
      </c>
      <c r="E40" s="74"/>
      <c r="F40" s="75">
        <v>1000</v>
      </c>
      <c r="G40" s="48">
        <f t="shared" si="6"/>
        <v>1</v>
      </c>
      <c r="H40" s="48" t="str">
        <f>IFERROR(INDEX(MaterialMaster!$J$5:$J$27,MATCH(C40,MaterialMaster!$A$5:$A$27,0)),"Invalid Record")</f>
        <v>Ea</v>
      </c>
    </row>
    <row r="41" spans="1:8" x14ac:dyDescent="0.25">
      <c r="A41" s="71" t="s">
        <v>54</v>
      </c>
      <c r="B41" s="48" t="str">
        <f t="shared" si="7"/>
        <v>1000g Blueberry Muesli</v>
      </c>
      <c r="C41" s="71" t="s">
        <v>77</v>
      </c>
      <c r="D41" s="48" t="str">
        <f t="shared" si="8"/>
        <v>Wheat</v>
      </c>
      <c r="E41" s="74">
        <v>0.35</v>
      </c>
      <c r="F41" s="75">
        <v>1000</v>
      </c>
      <c r="G41" s="48">
        <f t="shared" si="6"/>
        <v>350</v>
      </c>
      <c r="H41" s="48" t="str">
        <f>IFERROR(INDEX(MaterialMaster!$J$5:$J$27,MATCH(C41,MaterialMaster!$A$5:$A$27,0)),"Invalid Record")</f>
        <v>kg</v>
      </c>
    </row>
    <row r="42" spans="1:8" x14ac:dyDescent="0.25">
      <c r="A42" s="71" t="s">
        <v>54</v>
      </c>
      <c r="B42" s="48" t="str">
        <f t="shared" si="7"/>
        <v>1000g Blueberry Muesli</v>
      </c>
      <c r="C42" s="71" t="s">
        <v>78</v>
      </c>
      <c r="D42" s="48" t="str">
        <f t="shared" si="8"/>
        <v>Oat</v>
      </c>
      <c r="E42" s="74">
        <v>0.35</v>
      </c>
      <c r="F42" s="75">
        <v>1000</v>
      </c>
      <c r="G42" s="48">
        <f t="shared" si="6"/>
        <v>350</v>
      </c>
      <c r="H42" s="48" t="str">
        <f>IFERROR(INDEX(MaterialMaster!$J$5:$J$27,MATCH(C42,MaterialMaster!$A$5:$A$27,0)),"Invalid Record")</f>
        <v>kg</v>
      </c>
    </row>
    <row r="43" spans="1:8" x14ac:dyDescent="0.25">
      <c r="A43" s="71" t="s">
        <v>54</v>
      </c>
      <c r="B43" s="48" t="str">
        <f t="shared" si="7"/>
        <v>1000g Blueberry Muesli</v>
      </c>
      <c r="C43" s="71" t="s">
        <v>74</v>
      </c>
      <c r="D43" s="48" t="str">
        <f t="shared" si="8"/>
        <v>Blueberry</v>
      </c>
      <c r="E43" s="74">
        <v>0.3</v>
      </c>
      <c r="F43" s="75">
        <v>1000</v>
      </c>
      <c r="G43" s="48">
        <f t="shared" si="6"/>
        <v>300</v>
      </c>
      <c r="H43" s="48" t="str">
        <f>IFERROR(INDEX(MaterialMaster!$J$5:$J$27,MATCH(C43,MaterialMaster!$A$5:$A$27,0)),"Invalid Record")</f>
        <v>kg</v>
      </c>
    </row>
    <row r="44" spans="1:8" x14ac:dyDescent="0.25">
      <c r="A44" s="71" t="s">
        <v>56</v>
      </c>
      <c r="B44" s="48" t="str">
        <f t="shared" si="7"/>
        <v>1000g Strawberry Muesli</v>
      </c>
      <c r="C44" s="71" t="s">
        <v>64</v>
      </c>
      <c r="D44" s="48" t="str">
        <f t="shared" si="8"/>
        <v>Large Box (1kg)</v>
      </c>
      <c r="E44" s="74"/>
      <c r="F44" s="75">
        <v>1000</v>
      </c>
      <c r="G44" s="48">
        <f t="shared" si="6"/>
        <v>1</v>
      </c>
      <c r="H44" s="48" t="str">
        <f>IFERROR(INDEX(MaterialMaster!$J$5:$J$27,MATCH(C44,MaterialMaster!$A$5:$A$27,0)),"Invalid Record")</f>
        <v>Ea</v>
      </c>
    </row>
    <row r="45" spans="1:8" x14ac:dyDescent="0.25">
      <c r="A45" s="71" t="s">
        <v>56</v>
      </c>
      <c r="B45" s="48" t="str">
        <f t="shared" si="7"/>
        <v>1000g Strawberry Muesli</v>
      </c>
      <c r="C45" s="71" t="s">
        <v>67</v>
      </c>
      <c r="D45" s="48" t="str">
        <f t="shared" si="8"/>
        <v>Large Bag (1kg)</v>
      </c>
      <c r="E45" s="74"/>
      <c r="F45" s="75">
        <v>1000</v>
      </c>
      <c r="G45" s="48">
        <f t="shared" si="6"/>
        <v>1</v>
      </c>
      <c r="H45" s="48" t="str">
        <f>IFERROR(INDEX(MaterialMaster!$J$5:$J$27,MATCH(C45,MaterialMaster!$A$5:$A$27,0)),"Invalid Record")</f>
        <v>Ea</v>
      </c>
    </row>
    <row r="46" spans="1:8" x14ac:dyDescent="0.25">
      <c r="A46" s="71" t="s">
        <v>56</v>
      </c>
      <c r="B46" s="48" t="str">
        <f t="shared" si="7"/>
        <v>1000g Strawberry Muesli</v>
      </c>
      <c r="C46" s="71" t="s">
        <v>77</v>
      </c>
      <c r="D46" s="48" t="str">
        <f t="shared" si="8"/>
        <v>Wheat</v>
      </c>
      <c r="E46" s="74">
        <v>0.35</v>
      </c>
      <c r="F46" s="75">
        <v>1000</v>
      </c>
      <c r="G46" s="48">
        <f t="shared" si="6"/>
        <v>350</v>
      </c>
      <c r="H46" s="48" t="str">
        <f>IFERROR(INDEX(MaterialMaster!$J$5:$J$27,MATCH(C46,MaterialMaster!$A$5:$A$27,0)),"Invalid Record")</f>
        <v>kg</v>
      </c>
    </row>
    <row r="47" spans="1:8" x14ac:dyDescent="0.25">
      <c r="A47" s="71" t="s">
        <v>56</v>
      </c>
      <c r="B47" s="48" t="str">
        <f t="shared" si="7"/>
        <v>1000g Strawberry Muesli</v>
      </c>
      <c r="C47" s="71" t="s">
        <v>78</v>
      </c>
      <c r="D47" s="48" t="str">
        <f t="shared" si="8"/>
        <v>Oat</v>
      </c>
      <c r="E47" s="74">
        <v>0.35</v>
      </c>
      <c r="F47" s="75">
        <v>1000</v>
      </c>
      <c r="G47" s="48">
        <f t="shared" si="6"/>
        <v>350</v>
      </c>
      <c r="H47" s="48" t="str">
        <f>IFERROR(INDEX(MaterialMaster!$J$5:$J$27,MATCH(C47,MaterialMaster!$A$5:$A$27,0)),"Invalid Record")</f>
        <v>kg</v>
      </c>
    </row>
    <row r="48" spans="1:8" x14ac:dyDescent="0.25">
      <c r="A48" s="71" t="s">
        <v>56</v>
      </c>
      <c r="B48" s="48" t="str">
        <f t="shared" si="7"/>
        <v>1000g Strawberry Muesli</v>
      </c>
      <c r="C48" s="71" t="s">
        <v>75</v>
      </c>
      <c r="D48" s="48" t="str">
        <f t="shared" si="8"/>
        <v>Strawberry</v>
      </c>
      <c r="E48" s="74">
        <v>0.3</v>
      </c>
      <c r="F48" s="75">
        <v>1000</v>
      </c>
      <c r="G48" s="48">
        <f t="shared" si="6"/>
        <v>300</v>
      </c>
      <c r="H48" s="48" t="str">
        <f>IFERROR(INDEX(MaterialMaster!$J$5:$J$27,MATCH(C48,MaterialMaster!$A$5:$A$27,0)),"Invalid Record")</f>
        <v>kg</v>
      </c>
    </row>
    <row r="49" spans="1:8" x14ac:dyDescent="0.25">
      <c r="A49" s="71" t="s">
        <v>58</v>
      </c>
      <c r="B49" s="48" t="str">
        <f t="shared" si="7"/>
        <v>1000g Raisin Muesli</v>
      </c>
      <c r="C49" s="71" t="s">
        <v>64</v>
      </c>
      <c r="D49" s="48" t="str">
        <f t="shared" si="8"/>
        <v>Large Box (1kg)</v>
      </c>
      <c r="E49" s="74"/>
      <c r="F49" s="75">
        <v>1000</v>
      </c>
      <c r="G49" s="48">
        <f t="shared" si="6"/>
        <v>1</v>
      </c>
      <c r="H49" s="48" t="str">
        <f>IFERROR(INDEX(MaterialMaster!$J$5:$J$27,MATCH(C49,MaterialMaster!$A$5:$A$27,0)),"Invalid Record")</f>
        <v>Ea</v>
      </c>
    </row>
    <row r="50" spans="1:8" x14ac:dyDescent="0.25">
      <c r="A50" s="71" t="s">
        <v>58</v>
      </c>
      <c r="B50" s="48" t="str">
        <f t="shared" si="7"/>
        <v>1000g Raisin Muesli</v>
      </c>
      <c r="C50" s="71" t="s">
        <v>67</v>
      </c>
      <c r="D50" s="48" t="str">
        <f t="shared" si="8"/>
        <v>Large Bag (1kg)</v>
      </c>
      <c r="E50" s="74"/>
      <c r="F50" s="75">
        <v>1000</v>
      </c>
      <c r="G50" s="48">
        <f t="shared" si="6"/>
        <v>1</v>
      </c>
      <c r="H50" s="48" t="str">
        <f>IFERROR(INDEX(MaterialMaster!$J$5:$J$27,MATCH(C50,MaterialMaster!$A$5:$A$27,0)),"Invalid Record")</f>
        <v>Ea</v>
      </c>
    </row>
    <row r="51" spans="1:8" x14ac:dyDescent="0.25">
      <c r="A51" s="72" t="s">
        <v>58</v>
      </c>
      <c r="B51" s="48" t="str">
        <f t="shared" si="7"/>
        <v>1000g Raisin Muesli</v>
      </c>
      <c r="C51" s="71" t="s">
        <v>77</v>
      </c>
      <c r="D51" s="48" t="str">
        <f t="shared" si="8"/>
        <v>Wheat</v>
      </c>
      <c r="E51" s="74">
        <v>0.35</v>
      </c>
      <c r="F51" s="75">
        <v>1000</v>
      </c>
      <c r="G51" s="48">
        <f t="shared" si="6"/>
        <v>350</v>
      </c>
      <c r="H51" s="48" t="str">
        <f>IFERROR(INDEX(MaterialMaster!$J$5:$J$27,MATCH(C51,MaterialMaster!$A$5:$A$27,0)),"Invalid Record")</f>
        <v>kg</v>
      </c>
    </row>
    <row r="52" spans="1:8" x14ac:dyDescent="0.25">
      <c r="A52" s="71" t="s">
        <v>58</v>
      </c>
      <c r="B52" s="48" t="str">
        <f t="shared" si="7"/>
        <v>1000g Raisin Muesli</v>
      </c>
      <c r="C52" s="71" t="s">
        <v>78</v>
      </c>
      <c r="D52" s="48" t="str">
        <f t="shared" si="8"/>
        <v>Oat</v>
      </c>
      <c r="E52" s="74">
        <v>0.35</v>
      </c>
      <c r="F52" s="75">
        <v>1000</v>
      </c>
      <c r="G52" s="48">
        <f t="shared" si="6"/>
        <v>350</v>
      </c>
      <c r="H52" s="48" t="str">
        <f>IFERROR(INDEX(MaterialMaster!$J$5:$J$27,MATCH(C52,MaterialMaster!$A$5:$A$27,0)),"Invalid Record")</f>
        <v>kg</v>
      </c>
    </row>
    <row r="53" spans="1:8" x14ac:dyDescent="0.25">
      <c r="A53" s="71" t="s">
        <v>58</v>
      </c>
      <c r="B53" s="48" t="str">
        <f t="shared" si="7"/>
        <v>1000g Raisin Muesli</v>
      </c>
      <c r="C53" s="71" t="s">
        <v>76</v>
      </c>
      <c r="D53" s="48" t="str">
        <f t="shared" si="8"/>
        <v>Raisins</v>
      </c>
      <c r="E53" s="74">
        <v>0.3</v>
      </c>
      <c r="F53" s="75">
        <v>1000</v>
      </c>
      <c r="G53" s="48">
        <f t="shared" si="6"/>
        <v>300</v>
      </c>
      <c r="H53" s="48" t="str">
        <f>IFERROR(INDEX(MaterialMaster!$J$5:$J$27,MATCH(C53,MaterialMaster!$A$5:$A$27,0)),"Invalid Record")</f>
        <v>kg</v>
      </c>
    </row>
    <row r="54" spans="1:8" x14ac:dyDescent="0.25">
      <c r="A54" s="71" t="s">
        <v>60</v>
      </c>
      <c r="B54" s="48" t="str">
        <f t="shared" si="7"/>
        <v>1000g Original Muesli</v>
      </c>
      <c r="C54" s="71" t="s">
        <v>64</v>
      </c>
      <c r="D54" s="48" t="str">
        <f t="shared" si="8"/>
        <v>Large Box (1kg)</v>
      </c>
      <c r="E54" s="74"/>
      <c r="F54" s="75">
        <v>1000</v>
      </c>
      <c r="G54" s="48">
        <f t="shared" si="6"/>
        <v>1</v>
      </c>
      <c r="H54" s="48" t="str">
        <f>IFERROR(INDEX(MaterialMaster!$J$5:$J$27,MATCH(C54,MaterialMaster!$A$5:$A$27,0)),"Invalid Record")</f>
        <v>Ea</v>
      </c>
    </row>
    <row r="55" spans="1:8" x14ac:dyDescent="0.25">
      <c r="A55" s="71" t="s">
        <v>60</v>
      </c>
      <c r="B55" s="48" t="str">
        <f t="shared" si="7"/>
        <v>1000g Original Muesli</v>
      </c>
      <c r="C55" s="71" t="s">
        <v>67</v>
      </c>
      <c r="D55" s="48" t="str">
        <f t="shared" si="8"/>
        <v>Large Bag (1kg)</v>
      </c>
      <c r="E55" s="74"/>
      <c r="F55" s="75">
        <v>1000</v>
      </c>
      <c r="G55" s="48">
        <f t="shared" si="6"/>
        <v>1</v>
      </c>
      <c r="H55" s="48" t="str">
        <f>IFERROR(INDEX(MaterialMaster!$J$5:$J$27,MATCH(C55,MaterialMaster!$A$5:$A$27,0)),"Invalid Record")</f>
        <v>Ea</v>
      </c>
    </row>
    <row r="56" spans="1:8" x14ac:dyDescent="0.25">
      <c r="A56" s="71" t="s">
        <v>60</v>
      </c>
      <c r="B56" s="48" t="str">
        <f t="shared" si="7"/>
        <v>1000g Original Muesli</v>
      </c>
      <c r="C56" s="71" t="s">
        <v>77</v>
      </c>
      <c r="D56" s="48" t="str">
        <f t="shared" si="8"/>
        <v>Wheat</v>
      </c>
      <c r="E56" s="74">
        <v>0.5</v>
      </c>
      <c r="F56" s="75">
        <v>1000</v>
      </c>
      <c r="G56" s="48">
        <f t="shared" si="6"/>
        <v>500</v>
      </c>
      <c r="H56" s="48" t="str">
        <f>IFERROR(INDEX(MaterialMaster!$J$5:$J$27,MATCH(C56,MaterialMaster!$A$5:$A$27,0)),"Invalid Record")</f>
        <v>kg</v>
      </c>
    </row>
    <row r="57" spans="1:8" x14ac:dyDescent="0.25">
      <c r="A57" s="71" t="s">
        <v>60</v>
      </c>
      <c r="B57" s="48" t="str">
        <f t="shared" si="7"/>
        <v>1000g Original Muesli</v>
      </c>
      <c r="C57" s="71" t="s">
        <v>78</v>
      </c>
      <c r="D57" s="48" t="str">
        <f t="shared" si="8"/>
        <v>Oat</v>
      </c>
      <c r="E57" s="74">
        <v>0.5</v>
      </c>
      <c r="F57" s="75">
        <v>1000</v>
      </c>
      <c r="G57" s="48">
        <f t="shared" si="6"/>
        <v>500</v>
      </c>
      <c r="H57" s="48" t="str">
        <f>IFERROR(INDEX(MaterialMaster!$J$5:$J$27,MATCH(C57,MaterialMaster!$A$5:$A$27,0)),"Invalid Record")</f>
        <v>kg</v>
      </c>
    </row>
    <row r="58" spans="1:8" x14ac:dyDescent="0.25">
      <c r="A58" s="71" t="s">
        <v>62</v>
      </c>
      <c r="B58" s="48" t="str">
        <f t="shared" si="7"/>
        <v>1000g Mixed Fruits Muesli</v>
      </c>
      <c r="C58" s="71" t="s">
        <v>64</v>
      </c>
      <c r="D58" s="48" t="str">
        <f t="shared" si="8"/>
        <v>Large Box (1kg)</v>
      </c>
      <c r="E58" s="74"/>
      <c r="F58" s="75">
        <v>1000</v>
      </c>
      <c r="G58" s="48">
        <f t="shared" si="6"/>
        <v>1</v>
      </c>
      <c r="H58" s="48" t="str">
        <f>IFERROR(INDEX(MaterialMaster!$J$5:$J$27,MATCH(C58,MaterialMaster!$A$5:$A$27,0)),"Invalid Record")</f>
        <v>Ea</v>
      </c>
    </row>
    <row r="59" spans="1:8" x14ac:dyDescent="0.25">
      <c r="A59" s="71" t="s">
        <v>62</v>
      </c>
      <c r="B59" s="48" t="str">
        <f t="shared" si="7"/>
        <v>1000g Mixed Fruits Muesli</v>
      </c>
      <c r="C59" s="71" t="s">
        <v>67</v>
      </c>
      <c r="D59" s="48" t="str">
        <f t="shared" si="8"/>
        <v>Large Bag (1kg)</v>
      </c>
      <c r="E59" s="74"/>
      <c r="F59" s="75">
        <v>1000</v>
      </c>
      <c r="G59" s="48">
        <f t="shared" si="6"/>
        <v>1</v>
      </c>
      <c r="H59" s="48" t="str">
        <f>IFERROR(INDEX(MaterialMaster!$J$5:$J$27,MATCH(C59,MaterialMaster!$A$5:$A$27,0)),"Invalid Record")</f>
        <v>Ea</v>
      </c>
    </row>
    <row r="60" spans="1:8" x14ac:dyDescent="0.25">
      <c r="A60" s="71" t="s">
        <v>62</v>
      </c>
      <c r="B60" s="48" t="str">
        <f t="shared" si="7"/>
        <v>1000g Mixed Fruits Muesli</v>
      </c>
      <c r="C60" s="71" t="s">
        <v>77</v>
      </c>
      <c r="D60" s="48" t="str">
        <f t="shared" si="8"/>
        <v>Wheat</v>
      </c>
      <c r="E60" s="74">
        <v>0.3</v>
      </c>
      <c r="F60" s="75">
        <v>1000</v>
      </c>
      <c r="G60" s="48">
        <f t="shared" si="6"/>
        <v>300</v>
      </c>
      <c r="H60" s="48" t="str">
        <f>IFERROR(INDEX(MaterialMaster!$J$5:$J$27,MATCH(C60,MaterialMaster!$A$5:$A$27,0)),"Invalid Record")</f>
        <v>kg</v>
      </c>
    </row>
    <row r="61" spans="1:8" x14ac:dyDescent="0.25">
      <c r="A61" s="71" t="s">
        <v>62</v>
      </c>
      <c r="B61" s="48" t="str">
        <f t="shared" si="7"/>
        <v>1000g Mixed Fruits Muesli</v>
      </c>
      <c r="C61" s="71" t="s">
        <v>78</v>
      </c>
      <c r="D61" s="48" t="str">
        <f t="shared" si="8"/>
        <v>Oat</v>
      </c>
      <c r="E61" s="74">
        <v>0.3</v>
      </c>
      <c r="F61" s="75">
        <v>1000</v>
      </c>
      <c r="G61" s="48">
        <f t="shared" si="6"/>
        <v>300</v>
      </c>
      <c r="H61" s="48" t="str">
        <f>IFERROR(INDEX(MaterialMaster!$J$5:$J$27,MATCH(C61,MaterialMaster!$A$5:$A$27,0)),"Invalid Record")</f>
        <v>kg</v>
      </c>
    </row>
    <row r="62" spans="1:8" x14ac:dyDescent="0.25">
      <c r="A62" s="71" t="s">
        <v>62</v>
      </c>
      <c r="B62" s="48" t="str">
        <f t="shared" si="7"/>
        <v>1000g Mixed Fruits Muesli</v>
      </c>
      <c r="C62" s="71" t="s">
        <v>79</v>
      </c>
      <c r="D62" s="48" t="str">
        <f t="shared" si="8"/>
        <v>Fruits &amp; Nuts</v>
      </c>
      <c r="E62" s="74">
        <v>0.4</v>
      </c>
      <c r="F62" s="75">
        <v>1000</v>
      </c>
      <c r="G62" s="48">
        <f t="shared" si="6"/>
        <v>400</v>
      </c>
      <c r="H62" s="48" t="str">
        <f>IFERROR(INDEX(MaterialMaster!$J$5:$J$27,MATCH(C62,MaterialMaster!$A$5:$A$27,0)),"Invalid Record")</f>
        <v>kg</v>
      </c>
    </row>
  </sheetData>
  <sheetProtection sheet="1" objects="1" scenarios="1"/>
  <mergeCells count="2">
    <mergeCell ref="A2:B2"/>
    <mergeCell ref="A3:B3"/>
  </mergeCells>
  <phoneticPr fontId="9" type="noConversion"/>
  <conditionalFormatting sqref="K5:K16">
    <cfRule type="cellIs" dxfId="56" priority="4" operator="notEqual">
      <formula>1</formula>
    </cfRule>
  </conditionalFormatting>
  <conditionalFormatting sqref="N5:N16">
    <cfRule type="expression" dxfId="55" priority="1">
      <formula>ABS(L5)&gt;M5</formula>
    </cfRule>
  </conditionalFormatting>
  <dataValidations count="5">
    <dataValidation type="list" allowBlank="1" showInputMessage="1" showErrorMessage="1" errorTitle="Invalid Item Number" error="See Material Master to add or modify existing items." sqref="A5:A62" xr:uid="{E438A1F7-CF3E-45CF-83EC-8DE2B248E45E}">
      <formula1>ParentItems</formula1>
    </dataValidation>
    <dataValidation type="list" allowBlank="1" showInputMessage="1" showErrorMessage="1" errorTitle="Invalid Item" error="See Material Master to add or modify existing items." sqref="C5:C62" xr:uid="{F2B4BD58-4CB5-4009-A2EC-4874D57DB592}">
      <formula1>ComponentItems</formula1>
    </dataValidation>
    <dataValidation type="list" allowBlank="1" showInputMessage="1" showErrorMessage="1" errorTitle="Invalid Size" error="See Documentation to add or modify existing sizes." sqref="F5:F62" xr:uid="{8939B255-037A-426C-AFCA-5328488507C4}">
      <formula1>Size</formula1>
    </dataValidation>
    <dataValidation type="list" allowBlank="1" showInputMessage="1" showErrorMessage="1" errorTitle="Invalid Item" error="See Material Master to add or modify existing items." sqref="J5:J16" xr:uid="{E77B5972-0DEA-4BFC-8B21-1625D76DE715}">
      <formula1>ParentItems</formula1>
    </dataValidation>
    <dataValidation type="list" allowBlank="1" showInputMessage="1" showErrorMessage="1" errorTitle="Invalid Code" error="See Material Master to add or modify existing items." sqref="J18" xr:uid="{ECF862C1-FB1C-4BA9-A8DC-FA93DBC17503}">
      <formula1>ParentItems</formula1>
    </dataValidation>
  </dataValidations>
  <hyperlinks>
    <hyperlink ref="D1" location="MainNavigation!A1" display="MainNavigation" xr:uid="{1E6A628D-8524-4ECF-9668-12283220C51E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4B15-8120-45D7-ABD7-992BAB4C68E4}">
  <sheetPr codeName="Sheet4">
    <tabColor rgb="FFFF9900"/>
  </sheetPr>
  <dimension ref="A1:H8"/>
  <sheetViews>
    <sheetView workbookViewId="0">
      <selection activeCell="C1" sqref="C1"/>
    </sheetView>
  </sheetViews>
  <sheetFormatPr defaultRowHeight="15" x14ac:dyDescent="0.25"/>
  <cols>
    <col min="1" max="1" width="9.140625" style="68"/>
    <col min="2" max="2" width="20.140625" style="68" customWidth="1"/>
    <col min="3" max="3" width="20.28515625" style="68" customWidth="1"/>
    <col min="4" max="4" width="22.28515625" style="68" customWidth="1"/>
    <col min="5" max="5" width="21.140625" style="68" customWidth="1"/>
    <col min="6" max="6" width="30.85546875" style="68" customWidth="1"/>
    <col min="7" max="7" width="9.140625" style="68"/>
    <col min="8" max="8" width="21" style="68" customWidth="1"/>
    <col min="9" max="16384" width="9.140625" style="68"/>
  </cols>
  <sheetData>
    <row r="1" spans="1:8" ht="18.75" x14ac:dyDescent="0.3">
      <c r="A1" s="67" t="s">
        <v>91</v>
      </c>
      <c r="D1" s="69" t="s">
        <v>2933</v>
      </c>
    </row>
    <row r="2" spans="1:8" x14ac:dyDescent="0.25">
      <c r="A2" s="161" t="s">
        <v>446</v>
      </c>
      <c r="B2" s="161"/>
    </row>
    <row r="3" spans="1:8" x14ac:dyDescent="0.25">
      <c r="A3" s="162" t="s">
        <v>448</v>
      </c>
      <c r="B3" s="162"/>
    </row>
    <row r="4" spans="1:8" x14ac:dyDescent="0.25">
      <c r="A4" s="11" t="s">
        <v>10</v>
      </c>
      <c r="B4" s="11" t="s">
        <v>92</v>
      </c>
      <c r="C4" s="11" t="s">
        <v>178</v>
      </c>
      <c r="D4" s="11" t="s">
        <v>180</v>
      </c>
      <c r="E4" s="11" t="s">
        <v>181</v>
      </c>
      <c r="F4" s="11" t="s">
        <v>93</v>
      </c>
      <c r="G4" s="11" t="s">
        <v>182</v>
      </c>
      <c r="H4" s="11" t="s">
        <v>183</v>
      </c>
    </row>
    <row r="5" spans="1:8" x14ac:dyDescent="0.25">
      <c r="A5" s="76" t="s">
        <v>481</v>
      </c>
      <c r="B5" s="77" t="s">
        <v>483</v>
      </c>
      <c r="C5" s="76">
        <v>20</v>
      </c>
      <c r="D5" s="78">
        <v>90000</v>
      </c>
      <c r="E5" s="76">
        <v>4</v>
      </c>
      <c r="F5" s="82">
        <f>D5*E5</f>
        <v>360000</v>
      </c>
      <c r="G5" s="76" t="s">
        <v>113</v>
      </c>
      <c r="H5" s="76">
        <v>3</v>
      </c>
    </row>
    <row r="6" spans="1:8" s="81" customFormat="1" x14ac:dyDescent="0.25">
      <c r="A6" s="76" t="s">
        <v>97</v>
      </c>
      <c r="B6" s="77" t="s">
        <v>484</v>
      </c>
      <c r="C6" s="76" t="s">
        <v>179</v>
      </c>
      <c r="D6" s="78">
        <v>360000</v>
      </c>
      <c r="E6" s="76">
        <v>4</v>
      </c>
      <c r="F6" s="82">
        <f>D6*E6</f>
        <v>1440000</v>
      </c>
      <c r="G6" s="76" t="s">
        <v>113</v>
      </c>
      <c r="H6" s="76">
        <v>4</v>
      </c>
    </row>
    <row r="7" spans="1:8" x14ac:dyDescent="0.25">
      <c r="A7" s="76" t="s">
        <v>482</v>
      </c>
      <c r="B7" s="77" t="s">
        <v>485</v>
      </c>
      <c r="C7" s="76" t="s">
        <v>486</v>
      </c>
      <c r="D7" s="78">
        <v>120000</v>
      </c>
      <c r="E7" s="76">
        <v>4</v>
      </c>
      <c r="F7" s="82">
        <f>D7*E7</f>
        <v>480000</v>
      </c>
      <c r="G7" s="76" t="s">
        <v>113</v>
      </c>
      <c r="H7" s="76">
        <v>1</v>
      </c>
    </row>
    <row r="8" spans="1:8" x14ac:dyDescent="0.25">
      <c r="F8" s="83">
        <f>SUM(F5:F7)</f>
        <v>2280000</v>
      </c>
    </row>
  </sheetData>
  <sheetProtection sheet="1" objects="1" scenarios="1"/>
  <mergeCells count="2">
    <mergeCell ref="A2:B2"/>
    <mergeCell ref="A3:B3"/>
  </mergeCells>
  <hyperlinks>
    <hyperlink ref="D1" location="MainNavigation!A1" display="MainNavigation" xr:uid="{C24AD0D0-F31E-426F-BA40-D7E693EB0AB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EE9D-97CA-4986-8AFB-B825A6DB62A2}">
  <sheetPr codeName="Sheet5">
    <tabColor rgb="FFFF9900"/>
  </sheetPr>
  <dimension ref="A1:E7"/>
  <sheetViews>
    <sheetView workbookViewId="0">
      <selection activeCell="B1" sqref="B1"/>
    </sheetView>
  </sheetViews>
  <sheetFormatPr defaultRowHeight="15" x14ac:dyDescent="0.25"/>
  <cols>
    <col min="1" max="1" width="16.7109375" style="68" customWidth="1"/>
    <col min="2" max="2" width="10.5703125" style="68" customWidth="1"/>
    <col min="3" max="3" width="8.140625" style="68" customWidth="1"/>
    <col min="4" max="4" width="18.28515625" style="68" customWidth="1"/>
    <col min="5" max="16384" width="9.140625" style="68"/>
  </cols>
  <sheetData>
    <row r="1" spans="1:5" ht="18.75" x14ac:dyDescent="0.3">
      <c r="A1" s="67" t="s">
        <v>94</v>
      </c>
      <c r="D1" s="69" t="s">
        <v>2933</v>
      </c>
    </row>
    <row r="2" spans="1:5" x14ac:dyDescent="0.25">
      <c r="B2" s="79" t="s">
        <v>95</v>
      </c>
    </row>
    <row r="3" spans="1:5" x14ac:dyDescent="0.25">
      <c r="A3" s="11" t="s">
        <v>96</v>
      </c>
      <c r="B3" s="51" t="s">
        <v>481</v>
      </c>
      <c r="C3" s="51" t="s">
        <v>97</v>
      </c>
      <c r="D3" s="51" t="s">
        <v>482</v>
      </c>
    </row>
    <row r="4" spans="1:5" x14ac:dyDescent="0.25">
      <c r="A4" s="65" t="s">
        <v>184</v>
      </c>
      <c r="B4" s="24">
        <v>3</v>
      </c>
      <c r="C4" s="24">
        <v>17</v>
      </c>
      <c r="D4" s="24">
        <v>40</v>
      </c>
      <c r="E4" s="52">
        <f>SUM(B4:D4)</f>
        <v>60</v>
      </c>
    </row>
    <row r="5" spans="1:5" x14ac:dyDescent="0.25">
      <c r="A5" s="65" t="s">
        <v>185</v>
      </c>
      <c r="B5" s="24">
        <v>2</v>
      </c>
      <c r="C5" s="24">
        <v>19</v>
      </c>
      <c r="D5" s="24">
        <v>45</v>
      </c>
      <c r="E5" s="52">
        <f t="shared" ref="E5:E6" si="0">SUM(B5:D5)</f>
        <v>66</v>
      </c>
    </row>
    <row r="6" spans="1:5" x14ac:dyDescent="0.25">
      <c r="A6" s="65" t="s">
        <v>186</v>
      </c>
      <c r="B6" s="24">
        <v>7</v>
      </c>
      <c r="C6" s="24">
        <v>23</v>
      </c>
      <c r="D6" s="24">
        <v>38</v>
      </c>
      <c r="E6" s="52">
        <f t="shared" si="0"/>
        <v>68</v>
      </c>
    </row>
    <row r="7" spans="1:5" x14ac:dyDescent="0.25">
      <c r="B7" s="53">
        <f>SUM(B4:B6)</f>
        <v>12</v>
      </c>
      <c r="C7" s="53">
        <f t="shared" ref="C7:D7" si="1">SUM(C4:C6)</f>
        <v>59</v>
      </c>
      <c r="D7" s="53">
        <f t="shared" si="1"/>
        <v>123</v>
      </c>
    </row>
  </sheetData>
  <sheetProtection sheet="1" objects="1" scenarios="1"/>
  <hyperlinks>
    <hyperlink ref="D1" location="MainNavigation!A1" display="MainNavigation" xr:uid="{D6AC4113-F283-4878-A26A-9005803AFABD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9B20C-17DD-42A3-A7F9-209F92913C8F}">
  <sheetPr codeName="Sheet6">
    <tabColor rgb="FFFF9900"/>
  </sheetPr>
  <dimension ref="A1:E4"/>
  <sheetViews>
    <sheetView zoomScale="110" zoomScaleNormal="110" workbookViewId="0">
      <selection activeCell="B1" sqref="B1"/>
    </sheetView>
  </sheetViews>
  <sheetFormatPr defaultRowHeight="15" x14ac:dyDescent="0.25"/>
  <cols>
    <col min="1" max="1" width="19.7109375" style="68" customWidth="1"/>
    <col min="2" max="2" width="24.7109375" style="68" customWidth="1"/>
    <col min="3" max="3" width="9.140625" style="68"/>
    <col min="4" max="4" width="18.42578125" style="68" customWidth="1"/>
    <col min="5" max="16384" width="9.140625" style="68"/>
  </cols>
  <sheetData>
    <row r="1" spans="1:5" ht="18.75" x14ac:dyDescent="0.3">
      <c r="A1" s="67" t="s">
        <v>98</v>
      </c>
      <c r="D1" s="69" t="s">
        <v>2933</v>
      </c>
    </row>
    <row r="2" spans="1:5" x14ac:dyDescent="0.25">
      <c r="A2" s="11" t="s">
        <v>99</v>
      </c>
      <c r="B2" s="11" t="s">
        <v>100</v>
      </c>
      <c r="C2" s="11" t="s">
        <v>101</v>
      </c>
      <c r="D2" s="11" t="s">
        <v>102</v>
      </c>
      <c r="E2" s="11" t="s">
        <v>103</v>
      </c>
    </row>
    <row r="3" spans="1:5" x14ac:dyDescent="0.25">
      <c r="A3" s="65" t="s">
        <v>171</v>
      </c>
      <c r="B3" s="10" t="str">
        <f>VLOOKUP(A3,Documentation!$D$28:$E$29,2,FALSE)</f>
        <v>Food Broker Inc</v>
      </c>
      <c r="C3" s="65" t="s">
        <v>173</v>
      </c>
      <c r="D3" s="65">
        <v>20</v>
      </c>
      <c r="E3" s="65">
        <v>2</v>
      </c>
    </row>
    <row r="4" spans="1:5" x14ac:dyDescent="0.25">
      <c r="A4" s="65" t="s">
        <v>174</v>
      </c>
      <c r="B4" s="10" t="str">
        <f>VLOOKUP(A4,Documentation!$D$28:$E$29,2,FALSE)</f>
        <v>Continental Printing Co</v>
      </c>
      <c r="C4" s="65" t="s">
        <v>173</v>
      </c>
      <c r="D4" s="65">
        <v>20</v>
      </c>
      <c r="E4" s="65">
        <v>5</v>
      </c>
    </row>
  </sheetData>
  <sheetProtection sheet="1" objects="1" scenarios="1"/>
  <dataValidations count="1">
    <dataValidation type="list" allowBlank="1" showInputMessage="1" showErrorMessage="1" errorTitle="Invalid Code" error="See Documentation to add or modify existing codes." sqref="A3:A4" xr:uid="{2D0B01A4-9C07-4C39-9679-8B79FC14310B}">
      <formula1>SupplierCode</formula1>
    </dataValidation>
  </dataValidations>
  <hyperlinks>
    <hyperlink ref="D1" location="MainNavigation!A1" display="MainNavigation" xr:uid="{28482826-89FF-43FC-B400-6C49D9783B6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DA8D8-8471-46D3-A5F5-DAD7496ACBC4}">
  <sheetPr codeName="Sheet7">
    <tabColor rgb="FFFF9900"/>
  </sheetPr>
  <dimension ref="A1:G7"/>
  <sheetViews>
    <sheetView workbookViewId="0">
      <selection activeCell="B1" sqref="B1"/>
    </sheetView>
  </sheetViews>
  <sheetFormatPr defaultRowHeight="15" x14ac:dyDescent="0.25"/>
  <cols>
    <col min="1" max="1" width="20.42578125" style="68" customWidth="1"/>
    <col min="2" max="2" width="27.5703125" style="68" customWidth="1"/>
    <col min="3" max="3" width="13" style="68" customWidth="1"/>
    <col min="4" max="4" width="19.140625" style="68" customWidth="1"/>
    <col min="5" max="5" width="11.7109375" style="68" customWidth="1"/>
    <col min="6" max="6" width="19.28515625" style="68" customWidth="1"/>
    <col min="7" max="16384" width="9.140625" style="68"/>
  </cols>
  <sheetData>
    <row r="1" spans="1:7" ht="18.75" x14ac:dyDescent="0.3">
      <c r="A1" s="67" t="s">
        <v>104</v>
      </c>
      <c r="D1" s="69" t="s">
        <v>2933</v>
      </c>
    </row>
    <row r="2" spans="1:7" x14ac:dyDescent="0.25">
      <c r="A2" s="161" t="s">
        <v>446</v>
      </c>
      <c r="B2" s="161"/>
    </row>
    <row r="3" spans="1:7" x14ac:dyDescent="0.25">
      <c r="A3" s="163" t="s">
        <v>448</v>
      </c>
      <c r="B3" s="163"/>
    </row>
    <row r="4" spans="1:7" ht="30" x14ac:dyDescent="0.25">
      <c r="A4" s="11" t="s">
        <v>105</v>
      </c>
      <c r="B4" s="11" t="s">
        <v>177</v>
      </c>
      <c r="C4" s="11" t="s">
        <v>11</v>
      </c>
      <c r="D4" s="11" t="s">
        <v>106</v>
      </c>
      <c r="E4" s="11" t="s">
        <v>107</v>
      </c>
      <c r="F4" s="89" t="s">
        <v>108</v>
      </c>
      <c r="G4" s="85"/>
    </row>
    <row r="5" spans="1:7" x14ac:dyDescent="0.25">
      <c r="A5" s="86">
        <v>22</v>
      </c>
      <c r="B5" s="42" t="str">
        <f>VLOOKUP(A5,Documentation!$D$43:$E$44,2,FALSE)</f>
        <v>Finished Goods Warehouse</v>
      </c>
      <c r="C5" s="65" t="s">
        <v>12</v>
      </c>
      <c r="D5" s="87">
        <v>250000</v>
      </c>
      <c r="E5" s="65" t="s">
        <v>163</v>
      </c>
      <c r="F5" s="88">
        <v>500</v>
      </c>
    </row>
    <row r="6" spans="1:7" x14ac:dyDescent="0.25">
      <c r="A6" s="86">
        <v>22</v>
      </c>
      <c r="B6" s="42" t="str">
        <f>VLOOKUP(A6,Documentation!$D$43:$E$44,2,FALSE)</f>
        <v>Finished Goods Warehouse</v>
      </c>
      <c r="C6" s="65" t="s">
        <v>14</v>
      </c>
      <c r="D6" s="87">
        <v>750000</v>
      </c>
      <c r="E6" s="87" t="s">
        <v>163</v>
      </c>
      <c r="F6" s="88">
        <v>1000</v>
      </c>
    </row>
    <row r="7" spans="1:7" x14ac:dyDescent="0.25">
      <c r="A7" s="65">
        <v>88</v>
      </c>
      <c r="B7" s="42" t="str">
        <f>VLOOKUP(A7,Documentation!$D$43:$E$44,2,FALSE)</f>
        <v>Raw Material Warehouse</v>
      </c>
      <c r="C7" s="65" t="s">
        <v>16</v>
      </c>
      <c r="D7" s="87">
        <v>250000</v>
      </c>
      <c r="E7" s="65" t="s">
        <v>165</v>
      </c>
      <c r="F7" s="88">
        <v>100</v>
      </c>
    </row>
  </sheetData>
  <sheetProtection sheet="1" objects="1" scenarios="1"/>
  <mergeCells count="2">
    <mergeCell ref="A2:B2"/>
    <mergeCell ref="A3:B3"/>
  </mergeCells>
  <dataValidations count="3">
    <dataValidation type="list" allowBlank="1" showInputMessage="1" showErrorMessage="1" errorTitle="Invalid Code" error="See Documentation to add or modify existing codes." sqref="C5:C7" xr:uid="{E8A0F2CE-5596-4C1D-9EAF-DB6221E93C1A}">
      <formula1>MaterialType</formula1>
    </dataValidation>
    <dataValidation type="list" allowBlank="1" showInputMessage="1" showErrorMessage="1" errorTitle="Invalid UOM" error="See Documentation to add or modify existing UOM." sqref="E5:E7" xr:uid="{47DFD33F-1AE1-4288-8B19-E5FCDC1961CD}">
      <formula1>UOM</formula1>
    </dataValidation>
    <dataValidation type="list" allowBlank="1" showInputMessage="1" showErrorMessage="1" errorTitle="Invalid Code" error="See Documentation to add or modify existing codes." sqref="A5:A7" xr:uid="{AE3E330C-07C0-4782-A827-E5E099432CEA}">
      <formula1>WarehouseCode</formula1>
    </dataValidation>
  </dataValidations>
  <hyperlinks>
    <hyperlink ref="D1" location="MainNavigation!A1" display="MainNavigation" xr:uid="{70FBCDD5-6658-41CF-97B2-02973C20284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50762-69A0-43B1-A05E-E3786738AB4A}">
  <sheetPr codeName="Sheet8">
    <tabColor rgb="FFFF9900"/>
  </sheetPr>
  <dimension ref="A1:D19"/>
  <sheetViews>
    <sheetView workbookViewId="0">
      <selection activeCell="B1" sqref="B1"/>
    </sheetView>
  </sheetViews>
  <sheetFormatPr defaultRowHeight="15" x14ac:dyDescent="0.25"/>
  <cols>
    <col min="1" max="1" width="34.85546875" style="68" customWidth="1"/>
    <col min="2" max="2" width="17.42578125" style="68" customWidth="1"/>
    <col min="3" max="3" width="15.7109375" style="68" customWidth="1"/>
    <col min="4" max="4" width="18.7109375" style="68" customWidth="1"/>
    <col min="5" max="16384" width="9.140625" style="68"/>
  </cols>
  <sheetData>
    <row r="1" spans="1:4" ht="18.75" x14ac:dyDescent="0.3">
      <c r="A1" s="67" t="s">
        <v>109</v>
      </c>
      <c r="D1" s="69" t="s">
        <v>2933</v>
      </c>
    </row>
    <row r="2" spans="1:4" x14ac:dyDescent="0.25">
      <c r="A2" s="161" t="s">
        <v>446</v>
      </c>
      <c r="B2" s="161"/>
    </row>
    <row r="3" spans="1:4" x14ac:dyDescent="0.25">
      <c r="A3" s="163" t="s">
        <v>448</v>
      </c>
      <c r="B3" s="163"/>
    </row>
    <row r="4" spans="1:4" x14ac:dyDescent="0.25">
      <c r="A4" s="80" t="s">
        <v>110</v>
      </c>
      <c r="C4" s="68" t="s">
        <v>111</v>
      </c>
    </row>
    <row r="5" spans="1:4" x14ac:dyDescent="0.25">
      <c r="A5" s="11" t="s">
        <v>112</v>
      </c>
      <c r="B5" s="92">
        <f>B6*B7</f>
        <v>24000000</v>
      </c>
      <c r="C5" s="65" t="s">
        <v>113</v>
      </c>
    </row>
    <row r="6" spans="1:4" x14ac:dyDescent="0.25">
      <c r="A6" s="11" t="s">
        <v>114</v>
      </c>
      <c r="B6" s="90">
        <v>1000</v>
      </c>
      <c r="C6" s="65" t="s">
        <v>115</v>
      </c>
    </row>
    <row r="7" spans="1:4" x14ac:dyDescent="0.25">
      <c r="A7" s="11" t="s">
        <v>116</v>
      </c>
      <c r="B7" s="93">
        <f>Capacity</f>
        <v>24000</v>
      </c>
      <c r="C7" s="65" t="s">
        <v>117</v>
      </c>
    </row>
    <row r="8" spans="1:4" x14ac:dyDescent="0.25">
      <c r="A8" s="11" t="s">
        <v>118</v>
      </c>
      <c r="B8" s="94">
        <f>B7/B17</f>
        <v>1000</v>
      </c>
      <c r="C8" s="65" t="s">
        <v>119</v>
      </c>
    </row>
    <row r="10" spans="1:4" x14ac:dyDescent="0.25">
      <c r="A10" s="80" t="s">
        <v>120</v>
      </c>
    </row>
    <row r="11" spans="1:4" x14ac:dyDescent="0.25">
      <c r="A11" s="11" t="s">
        <v>121</v>
      </c>
      <c r="B11" s="42">
        <v>3.88</v>
      </c>
      <c r="C11" s="91" t="s">
        <v>122</v>
      </c>
    </row>
    <row r="12" spans="1:4" x14ac:dyDescent="0.25">
      <c r="A12" s="11" t="s">
        <v>123</v>
      </c>
      <c r="B12" s="65">
        <v>12</v>
      </c>
      <c r="C12" s="91" t="s">
        <v>122</v>
      </c>
    </row>
    <row r="13" spans="1:4" x14ac:dyDescent="0.25">
      <c r="A13" s="11" t="s">
        <v>124</v>
      </c>
      <c r="B13" s="95">
        <f>B11*B12</f>
        <v>46.56</v>
      </c>
      <c r="C13" s="65" t="s">
        <v>122</v>
      </c>
    </row>
    <row r="15" spans="1:4" x14ac:dyDescent="0.25">
      <c r="A15" s="80" t="s">
        <v>125</v>
      </c>
    </row>
    <row r="16" spans="1:4" x14ac:dyDescent="0.25">
      <c r="A16" s="11" t="s">
        <v>126</v>
      </c>
      <c r="B16" s="65">
        <v>20</v>
      </c>
      <c r="C16" s="65" t="s">
        <v>127</v>
      </c>
    </row>
    <row r="17" spans="1:3" x14ac:dyDescent="0.25">
      <c r="A17" s="11" t="s">
        <v>128</v>
      </c>
      <c r="B17" s="65">
        <v>24</v>
      </c>
      <c r="C17" s="65" t="s">
        <v>1066</v>
      </c>
    </row>
    <row r="18" spans="1:3" x14ac:dyDescent="0.25">
      <c r="A18" s="11" t="s">
        <v>129</v>
      </c>
      <c r="B18" s="65">
        <v>0</v>
      </c>
      <c r="C18" s="65" t="s">
        <v>127</v>
      </c>
    </row>
    <row r="19" spans="1:3" x14ac:dyDescent="0.25">
      <c r="A19" s="11" t="s">
        <v>130</v>
      </c>
      <c r="B19" s="94">
        <f>((B16*B17)-B13)*B8</f>
        <v>433440</v>
      </c>
      <c r="C19" s="65" t="s">
        <v>131</v>
      </c>
    </row>
  </sheetData>
  <sheetProtection sheet="1" objects="1" scenarios="1"/>
  <mergeCells count="2">
    <mergeCell ref="A2:B2"/>
    <mergeCell ref="A3:B3"/>
  </mergeCells>
  <dataValidations count="1">
    <dataValidation type="decimal" operator="lessThanOrEqual" allowBlank="1" showInputMessage="1" showErrorMessage="1" errorTitle="Invalid Hours" error="Must be less than or equal to maximum hours per day" sqref="B17" xr:uid="{505B20F4-CC45-418A-BE3D-AF6F86DD3A2E}">
      <formula1>24</formula1>
    </dataValidation>
  </dataValidations>
  <hyperlinks>
    <hyperlink ref="D1" location="MainNavigation!A1" display="MainNavigation" xr:uid="{C97658C5-8FB0-4832-9530-C2865BB232B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283D-6310-4D3E-AF16-A45F2A4D49D1}">
  <sheetPr codeName="Sheet9">
    <tabColor rgb="FFFFFF00"/>
  </sheetPr>
  <dimension ref="A1:AH838"/>
  <sheetViews>
    <sheetView topLeftCell="A2" workbookViewId="0">
      <selection activeCell="B3" sqref="B3"/>
    </sheetView>
  </sheetViews>
  <sheetFormatPr defaultRowHeight="15" x14ac:dyDescent="0.25"/>
  <cols>
    <col min="1" max="1" width="6.5703125" bestFit="1" customWidth="1"/>
    <col min="2" max="2" width="17" bestFit="1" customWidth="1"/>
    <col min="3" max="3" width="23.85546875" bestFit="1" customWidth="1"/>
    <col min="4" max="4" width="14.42578125" bestFit="1" customWidth="1"/>
    <col min="5" max="5" width="11.85546875" bestFit="1" customWidth="1"/>
    <col min="6" max="6" width="12.28515625" bestFit="1" customWidth="1"/>
    <col min="7" max="7" width="23" bestFit="1" customWidth="1"/>
    <col min="8" max="8" width="14.28515625" bestFit="1" customWidth="1"/>
    <col min="9" max="9" width="21.7109375" bestFit="1" customWidth="1"/>
    <col min="10" max="10" width="24.85546875" bestFit="1" customWidth="1"/>
    <col min="11" max="11" width="12.5703125" bestFit="1" customWidth="1"/>
    <col min="12" max="12" width="22" bestFit="1" customWidth="1"/>
    <col min="13" max="13" width="23.140625" bestFit="1" customWidth="1"/>
    <col min="14" max="14" width="8" bestFit="1" customWidth="1"/>
    <col min="15" max="15" width="20.85546875" bestFit="1" customWidth="1"/>
    <col min="16" max="16" width="12" bestFit="1" customWidth="1"/>
    <col min="17" max="17" width="16" bestFit="1" customWidth="1"/>
    <col min="18" max="18" width="22.5703125" bestFit="1" customWidth="1"/>
    <col min="19" max="19" width="25.7109375" bestFit="1" customWidth="1"/>
    <col min="20" max="20" width="21.5703125" bestFit="1" customWidth="1"/>
    <col min="21" max="21" width="25.42578125" bestFit="1" customWidth="1"/>
    <col min="22" max="22" width="17.7109375" bestFit="1" customWidth="1"/>
    <col min="23" max="23" width="18.28515625" bestFit="1" customWidth="1"/>
    <col min="24" max="24" width="17" bestFit="1" customWidth="1"/>
    <col min="25" max="25" width="18.5703125" bestFit="1" customWidth="1"/>
    <col min="26" max="26" width="12.5703125" bestFit="1" customWidth="1"/>
    <col min="27" max="27" width="23.28515625" bestFit="1" customWidth="1"/>
    <col min="28" max="28" width="7.7109375" bestFit="1" customWidth="1"/>
    <col min="29" max="29" width="12.7109375" bestFit="1" customWidth="1"/>
    <col min="30" max="30" width="13.5703125" bestFit="1" customWidth="1"/>
    <col min="31" max="31" width="8" bestFit="1" customWidth="1"/>
    <col min="32" max="32" width="12.85546875" bestFit="1" customWidth="1"/>
    <col min="33" max="33" width="26.140625" bestFit="1" customWidth="1"/>
    <col min="34" max="34" width="30.5703125" bestFit="1" customWidth="1"/>
  </cols>
  <sheetData>
    <row r="1" spans="1:34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221</v>
      </c>
      <c r="AC1" t="s">
        <v>222</v>
      </c>
      <c r="AD1" t="s">
        <v>223</v>
      </c>
      <c r="AE1" t="s">
        <v>224</v>
      </c>
      <c r="AF1" t="s">
        <v>225</v>
      </c>
      <c r="AG1" t="s">
        <v>226</v>
      </c>
      <c r="AH1" t="s">
        <v>227</v>
      </c>
    </row>
    <row r="2" spans="1:34" x14ac:dyDescent="0.25">
      <c r="A2" t="s">
        <v>348</v>
      </c>
      <c r="B2">
        <v>1</v>
      </c>
      <c r="C2" t="s">
        <v>487</v>
      </c>
      <c r="D2" t="s">
        <v>229</v>
      </c>
      <c r="E2" t="s">
        <v>322</v>
      </c>
      <c r="F2" t="s">
        <v>529</v>
      </c>
      <c r="G2" s="25">
        <v>44201</v>
      </c>
      <c r="H2">
        <v>1</v>
      </c>
      <c r="I2">
        <v>5</v>
      </c>
      <c r="J2" t="s">
        <v>877</v>
      </c>
      <c r="K2" t="s">
        <v>510</v>
      </c>
      <c r="L2" t="s">
        <v>231</v>
      </c>
      <c r="M2" t="s">
        <v>878</v>
      </c>
      <c r="N2" t="s">
        <v>185</v>
      </c>
      <c r="O2" t="s">
        <v>879</v>
      </c>
      <c r="P2" t="s">
        <v>867</v>
      </c>
      <c r="Q2" t="s">
        <v>880</v>
      </c>
      <c r="R2" t="s">
        <v>881</v>
      </c>
      <c r="S2" t="s">
        <v>232</v>
      </c>
      <c r="T2" t="s">
        <v>505</v>
      </c>
      <c r="U2" t="s">
        <v>41</v>
      </c>
      <c r="V2" t="s">
        <v>234</v>
      </c>
      <c r="W2" t="s">
        <v>40</v>
      </c>
      <c r="X2" t="s">
        <v>21</v>
      </c>
      <c r="Y2" t="s">
        <v>266</v>
      </c>
      <c r="Z2">
        <v>4068</v>
      </c>
      <c r="AA2">
        <v>4068</v>
      </c>
      <c r="AB2" t="s">
        <v>237</v>
      </c>
      <c r="AC2">
        <v>3.9</v>
      </c>
      <c r="AD2">
        <v>15865.2</v>
      </c>
      <c r="AE2">
        <v>3661.2</v>
      </c>
      <c r="AF2" t="s">
        <v>870</v>
      </c>
      <c r="AG2">
        <v>12204</v>
      </c>
      <c r="AH2">
        <v>0.77</v>
      </c>
    </row>
    <row r="3" spans="1:34" x14ac:dyDescent="0.25">
      <c r="A3" t="s">
        <v>335</v>
      </c>
      <c r="B3">
        <v>2</v>
      </c>
      <c r="C3" t="s">
        <v>487</v>
      </c>
      <c r="D3" t="s">
        <v>229</v>
      </c>
      <c r="E3" t="s">
        <v>322</v>
      </c>
      <c r="F3" t="s">
        <v>529</v>
      </c>
      <c r="G3" s="25">
        <v>44201</v>
      </c>
      <c r="H3">
        <v>1</v>
      </c>
      <c r="I3">
        <v>5</v>
      </c>
      <c r="J3" t="s">
        <v>864</v>
      </c>
      <c r="K3" t="s">
        <v>510</v>
      </c>
      <c r="L3" t="s">
        <v>231</v>
      </c>
      <c r="M3" t="s">
        <v>865</v>
      </c>
      <c r="N3" t="s">
        <v>186</v>
      </c>
      <c r="O3" t="s">
        <v>866</v>
      </c>
      <c r="P3" t="s">
        <v>867</v>
      </c>
      <c r="Q3" t="s">
        <v>868</v>
      </c>
      <c r="R3" t="s">
        <v>869</v>
      </c>
      <c r="S3" t="s">
        <v>232</v>
      </c>
      <c r="T3" t="s">
        <v>505</v>
      </c>
      <c r="U3" t="s">
        <v>41</v>
      </c>
      <c r="V3" t="s">
        <v>234</v>
      </c>
      <c r="W3" t="s">
        <v>40</v>
      </c>
      <c r="X3" t="s">
        <v>21</v>
      </c>
      <c r="Y3" t="s">
        <v>266</v>
      </c>
      <c r="Z3">
        <v>4188</v>
      </c>
      <c r="AA3">
        <v>4188</v>
      </c>
      <c r="AB3" t="s">
        <v>237</v>
      </c>
      <c r="AC3">
        <v>3.9</v>
      </c>
      <c r="AD3">
        <v>16333.2</v>
      </c>
      <c r="AE3">
        <v>3769.2</v>
      </c>
      <c r="AF3" t="s">
        <v>870</v>
      </c>
      <c r="AG3">
        <v>12564</v>
      </c>
      <c r="AH3">
        <v>0.77</v>
      </c>
    </row>
    <row r="4" spans="1:34" x14ac:dyDescent="0.25">
      <c r="A4" t="s">
        <v>324</v>
      </c>
      <c r="B4">
        <v>3</v>
      </c>
      <c r="C4" t="s">
        <v>487</v>
      </c>
      <c r="D4" t="s">
        <v>229</v>
      </c>
      <c r="E4" t="s">
        <v>322</v>
      </c>
      <c r="F4" t="s">
        <v>529</v>
      </c>
      <c r="G4" s="25">
        <v>44201</v>
      </c>
      <c r="H4">
        <v>1</v>
      </c>
      <c r="I4">
        <v>5</v>
      </c>
      <c r="J4" t="s">
        <v>877</v>
      </c>
      <c r="K4" t="s">
        <v>876</v>
      </c>
      <c r="L4" t="s">
        <v>231</v>
      </c>
      <c r="M4" t="s">
        <v>878</v>
      </c>
      <c r="N4" t="s">
        <v>185</v>
      </c>
      <c r="O4" t="s">
        <v>879</v>
      </c>
      <c r="P4" t="s">
        <v>867</v>
      </c>
      <c r="Q4" t="s">
        <v>880</v>
      </c>
      <c r="R4" t="s">
        <v>881</v>
      </c>
      <c r="S4" t="s">
        <v>232</v>
      </c>
      <c r="T4" t="s">
        <v>505</v>
      </c>
      <c r="U4" t="s">
        <v>41</v>
      </c>
      <c r="V4" t="s">
        <v>234</v>
      </c>
      <c r="W4" t="s">
        <v>40</v>
      </c>
      <c r="X4" t="s">
        <v>21</v>
      </c>
      <c r="Y4" t="s">
        <v>266</v>
      </c>
      <c r="Z4">
        <v>3727</v>
      </c>
      <c r="AA4">
        <v>3727</v>
      </c>
      <c r="AB4" t="s">
        <v>237</v>
      </c>
      <c r="AC4">
        <v>3.9</v>
      </c>
      <c r="AD4">
        <v>14535.3</v>
      </c>
      <c r="AE4">
        <v>3354.3</v>
      </c>
      <c r="AF4" t="s">
        <v>870</v>
      </c>
      <c r="AG4">
        <v>11181</v>
      </c>
      <c r="AH4">
        <v>0.77</v>
      </c>
    </row>
    <row r="5" spans="1:34" x14ac:dyDescent="0.25">
      <c r="A5" t="s">
        <v>376</v>
      </c>
      <c r="B5">
        <v>4</v>
      </c>
      <c r="C5" t="s">
        <v>487</v>
      </c>
      <c r="D5" t="s">
        <v>229</v>
      </c>
      <c r="E5" t="s">
        <v>322</v>
      </c>
      <c r="F5" t="s">
        <v>529</v>
      </c>
      <c r="G5" s="25">
        <v>44201</v>
      </c>
      <c r="H5">
        <v>1</v>
      </c>
      <c r="I5">
        <v>5</v>
      </c>
      <c r="J5" t="s">
        <v>871</v>
      </c>
      <c r="K5" t="s">
        <v>510</v>
      </c>
      <c r="L5" t="s">
        <v>231</v>
      </c>
      <c r="M5" t="s">
        <v>872</v>
      </c>
      <c r="N5" t="s">
        <v>184</v>
      </c>
      <c r="O5" t="s">
        <v>873</v>
      </c>
      <c r="P5" t="s">
        <v>867</v>
      </c>
      <c r="Q5" t="s">
        <v>874</v>
      </c>
      <c r="R5" t="s">
        <v>875</v>
      </c>
      <c r="S5" t="s">
        <v>232</v>
      </c>
      <c r="T5" t="s">
        <v>505</v>
      </c>
      <c r="U5" t="s">
        <v>41</v>
      </c>
      <c r="V5" t="s">
        <v>234</v>
      </c>
      <c r="W5" t="s">
        <v>40</v>
      </c>
      <c r="X5" t="s">
        <v>21</v>
      </c>
      <c r="Y5" t="s">
        <v>266</v>
      </c>
      <c r="Z5">
        <v>4110</v>
      </c>
      <c r="AA5">
        <v>4110</v>
      </c>
      <c r="AB5" t="s">
        <v>237</v>
      </c>
      <c r="AC5">
        <v>3.9</v>
      </c>
      <c r="AD5">
        <v>16029</v>
      </c>
      <c r="AE5">
        <v>3699</v>
      </c>
      <c r="AF5" t="s">
        <v>870</v>
      </c>
      <c r="AG5">
        <v>12330</v>
      </c>
      <c r="AH5">
        <v>0.77</v>
      </c>
    </row>
    <row r="6" spans="1:34" x14ac:dyDescent="0.25">
      <c r="A6" t="s">
        <v>377</v>
      </c>
      <c r="B6">
        <v>5</v>
      </c>
      <c r="C6" t="s">
        <v>487</v>
      </c>
      <c r="D6" t="s">
        <v>229</v>
      </c>
      <c r="E6" t="s">
        <v>322</v>
      </c>
      <c r="F6" t="s">
        <v>529</v>
      </c>
      <c r="G6" s="25">
        <v>44201</v>
      </c>
      <c r="H6">
        <v>1</v>
      </c>
      <c r="I6">
        <v>5</v>
      </c>
      <c r="J6" t="s">
        <v>871</v>
      </c>
      <c r="K6" t="s">
        <v>876</v>
      </c>
      <c r="L6" t="s">
        <v>231</v>
      </c>
      <c r="M6" t="s">
        <v>872</v>
      </c>
      <c r="N6" t="s">
        <v>184</v>
      </c>
      <c r="O6" t="s">
        <v>873</v>
      </c>
      <c r="P6" t="s">
        <v>867</v>
      </c>
      <c r="Q6" t="s">
        <v>874</v>
      </c>
      <c r="R6" t="s">
        <v>875</v>
      </c>
      <c r="S6" t="s">
        <v>232</v>
      </c>
      <c r="T6" t="s">
        <v>505</v>
      </c>
      <c r="U6" t="s">
        <v>41</v>
      </c>
      <c r="V6" t="s">
        <v>234</v>
      </c>
      <c r="W6" t="s">
        <v>40</v>
      </c>
      <c r="X6" t="s">
        <v>21</v>
      </c>
      <c r="Y6" t="s">
        <v>266</v>
      </c>
      <c r="Z6">
        <v>3377</v>
      </c>
      <c r="AA6">
        <v>3377</v>
      </c>
      <c r="AB6" t="s">
        <v>237</v>
      </c>
      <c r="AC6">
        <v>3.9</v>
      </c>
      <c r="AD6">
        <v>13170.3</v>
      </c>
      <c r="AE6">
        <v>3039.3</v>
      </c>
      <c r="AF6" t="s">
        <v>870</v>
      </c>
      <c r="AG6">
        <v>10131</v>
      </c>
      <c r="AH6">
        <v>0.77</v>
      </c>
    </row>
    <row r="7" spans="1:34" x14ac:dyDescent="0.25">
      <c r="A7" t="s">
        <v>366</v>
      </c>
      <c r="B7">
        <v>6</v>
      </c>
      <c r="C7" t="s">
        <v>487</v>
      </c>
      <c r="D7" t="s">
        <v>229</v>
      </c>
      <c r="E7" t="s">
        <v>322</v>
      </c>
      <c r="F7" t="s">
        <v>529</v>
      </c>
      <c r="G7" s="25">
        <v>44201</v>
      </c>
      <c r="H7">
        <v>1</v>
      </c>
      <c r="I7">
        <v>5</v>
      </c>
      <c r="J7" t="s">
        <v>887</v>
      </c>
      <c r="K7" t="s">
        <v>510</v>
      </c>
      <c r="L7" t="s">
        <v>231</v>
      </c>
      <c r="M7" t="s">
        <v>888</v>
      </c>
      <c r="N7" t="s">
        <v>184</v>
      </c>
      <c r="O7" t="s">
        <v>889</v>
      </c>
      <c r="P7" t="s">
        <v>867</v>
      </c>
      <c r="Q7" t="s">
        <v>890</v>
      </c>
      <c r="R7" t="s">
        <v>891</v>
      </c>
      <c r="S7" t="s">
        <v>537</v>
      </c>
      <c r="T7" t="s">
        <v>505</v>
      </c>
      <c r="U7" t="s">
        <v>41</v>
      </c>
      <c r="V7" t="s">
        <v>234</v>
      </c>
      <c r="W7" t="s">
        <v>40</v>
      </c>
      <c r="X7" t="s">
        <v>21</v>
      </c>
      <c r="Y7" t="s">
        <v>266</v>
      </c>
      <c r="Z7">
        <v>1321</v>
      </c>
      <c r="AA7">
        <v>1321</v>
      </c>
      <c r="AB7" t="s">
        <v>237</v>
      </c>
      <c r="AC7">
        <v>4.29</v>
      </c>
      <c r="AD7">
        <v>5667.09</v>
      </c>
      <c r="AE7">
        <v>1188.9000000000001</v>
      </c>
      <c r="AF7" t="s">
        <v>870</v>
      </c>
      <c r="AG7">
        <v>4478.1899999999996</v>
      </c>
      <c r="AH7">
        <v>0.79</v>
      </c>
    </row>
    <row r="8" spans="1:34" x14ac:dyDescent="0.25">
      <c r="A8" t="s">
        <v>275</v>
      </c>
      <c r="B8">
        <v>7</v>
      </c>
      <c r="C8" t="s">
        <v>487</v>
      </c>
      <c r="D8" t="s">
        <v>229</v>
      </c>
      <c r="E8" t="s">
        <v>322</v>
      </c>
      <c r="F8" t="s">
        <v>529</v>
      </c>
      <c r="G8" s="25">
        <v>44201</v>
      </c>
      <c r="H8">
        <v>1</v>
      </c>
      <c r="I8">
        <v>5</v>
      </c>
      <c r="J8" t="s">
        <v>882</v>
      </c>
      <c r="K8" t="s">
        <v>510</v>
      </c>
      <c r="L8" t="s">
        <v>231</v>
      </c>
      <c r="M8" t="s">
        <v>883</v>
      </c>
      <c r="N8" t="s">
        <v>185</v>
      </c>
      <c r="O8" t="s">
        <v>884</v>
      </c>
      <c r="P8" t="s">
        <v>867</v>
      </c>
      <c r="Q8" t="s">
        <v>885</v>
      </c>
      <c r="R8" t="s">
        <v>886</v>
      </c>
      <c r="S8" t="s">
        <v>537</v>
      </c>
      <c r="T8" t="s">
        <v>505</v>
      </c>
      <c r="U8" t="s">
        <v>41</v>
      </c>
      <c r="V8" t="s">
        <v>234</v>
      </c>
      <c r="W8" t="s">
        <v>40</v>
      </c>
      <c r="X8" t="s">
        <v>21</v>
      </c>
      <c r="Y8" t="s">
        <v>266</v>
      </c>
      <c r="Z8">
        <v>3209</v>
      </c>
      <c r="AA8">
        <v>3209</v>
      </c>
      <c r="AB8" t="s">
        <v>237</v>
      </c>
      <c r="AC8">
        <v>4.29</v>
      </c>
      <c r="AD8">
        <v>13766.61</v>
      </c>
      <c r="AE8">
        <v>2888.1</v>
      </c>
      <c r="AF8" t="s">
        <v>870</v>
      </c>
      <c r="AG8">
        <v>10878.51</v>
      </c>
      <c r="AH8">
        <v>0.79</v>
      </c>
    </row>
    <row r="9" spans="1:34" x14ac:dyDescent="0.25">
      <c r="A9" t="s">
        <v>228</v>
      </c>
      <c r="B9">
        <v>8</v>
      </c>
      <c r="C9" t="s">
        <v>487</v>
      </c>
      <c r="D9" t="s">
        <v>229</v>
      </c>
      <c r="E9" t="s">
        <v>247</v>
      </c>
      <c r="F9" t="s">
        <v>524</v>
      </c>
      <c r="G9" s="25">
        <v>44202</v>
      </c>
      <c r="H9">
        <v>2</v>
      </c>
      <c r="I9">
        <v>6</v>
      </c>
      <c r="J9" t="s">
        <v>897</v>
      </c>
      <c r="K9" t="s">
        <v>876</v>
      </c>
      <c r="L9" t="s">
        <v>231</v>
      </c>
      <c r="M9" t="s">
        <v>898</v>
      </c>
      <c r="N9" t="s">
        <v>185</v>
      </c>
      <c r="O9" t="s">
        <v>899</v>
      </c>
      <c r="P9" t="s">
        <v>867</v>
      </c>
      <c r="Q9" t="s">
        <v>900</v>
      </c>
      <c r="R9" t="s">
        <v>901</v>
      </c>
      <c r="S9" t="s">
        <v>232</v>
      </c>
      <c r="T9" t="s">
        <v>504</v>
      </c>
      <c r="U9" t="s">
        <v>43</v>
      </c>
      <c r="V9" t="s">
        <v>234</v>
      </c>
      <c r="W9" t="s">
        <v>42</v>
      </c>
      <c r="X9" t="s">
        <v>21</v>
      </c>
      <c r="Y9" t="s">
        <v>236</v>
      </c>
      <c r="Z9">
        <v>3472</v>
      </c>
      <c r="AA9">
        <v>3472</v>
      </c>
      <c r="AB9" t="s">
        <v>237</v>
      </c>
      <c r="AC9">
        <v>4.2300000000000004</v>
      </c>
      <c r="AD9">
        <v>14686.56</v>
      </c>
      <c r="AE9">
        <v>4270.5600000000004</v>
      </c>
      <c r="AF9" t="s">
        <v>870</v>
      </c>
      <c r="AG9">
        <v>10416</v>
      </c>
      <c r="AH9">
        <v>0.71</v>
      </c>
    </row>
    <row r="10" spans="1:34" x14ac:dyDescent="0.25">
      <c r="A10" t="s">
        <v>242</v>
      </c>
      <c r="B10">
        <v>9</v>
      </c>
      <c r="C10" t="s">
        <v>487</v>
      </c>
      <c r="D10" t="s">
        <v>229</v>
      </c>
      <c r="E10" t="s">
        <v>247</v>
      </c>
      <c r="F10" t="s">
        <v>524</v>
      </c>
      <c r="G10" s="25">
        <v>44202</v>
      </c>
      <c r="H10">
        <v>2</v>
      </c>
      <c r="I10">
        <v>6</v>
      </c>
      <c r="J10" t="s">
        <v>897</v>
      </c>
      <c r="K10" t="s">
        <v>510</v>
      </c>
      <c r="L10" t="s">
        <v>231</v>
      </c>
      <c r="M10" t="s">
        <v>898</v>
      </c>
      <c r="N10" t="s">
        <v>185</v>
      </c>
      <c r="O10" t="s">
        <v>899</v>
      </c>
      <c r="P10" t="s">
        <v>867</v>
      </c>
      <c r="Q10" t="s">
        <v>900</v>
      </c>
      <c r="R10" t="s">
        <v>901</v>
      </c>
      <c r="S10" t="s">
        <v>232</v>
      </c>
      <c r="T10" t="s">
        <v>504</v>
      </c>
      <c r="U10" t="s">
        <v>43</v>
      </c>
      <c r="V10" t="s">
        <v>234</v>
      </c>
      <c r="W10" t="s">
        <v>42</v>
      </c>
      <c r="X10" t="s">
        <v>21</v>
      </c>
      <c r="Y10" t="s">
        <v>236</v>
      </c>
      <c r="Z10">
        <v>3217</v>
      </c>
      <c r="AA10">
        <v>3217</v>
      </c>
      <c r="AB10" t="s">
        <v>237</v>
      </c>
      <c r="AC10">
        <v>4.2300000000000004</v>
      </c>
      <c r="AD10">
        <v>13607.91</v>
      </c>
      <c r="AE10">
        <v>3956.91</v>
      </c>
      <c r="AF10" t="s">
        <v>870</v>
      </c>
      <c r="AG10">
        <v>9651</v>
      </c>
      <c r="AH10">
        <v>0.71</v>
      </c>
    </row>
    <row r="11" spans="1:34" x14ac:dyDescent="0.25">
      <c r="A11" t="s">
        <v>249</v>
      </c>
      <c r="B11">
        <v>10</v>
      </c>
      <c r="C11" t="s">
        <v>487</v>
      </c>
      <c r="D11" t="s">
        <v>229</v>
      </c>
      <c r="E11" t="s">
        <v>247</v>
      </c>
      <c r="F11" t="s">
        <v>524</v>
      </c>
      <c r="G11" s="25">
        <v>44202</v>
      </c>
      <c r="H11">
        <v>2</v>
      </c>
      <c r="I11">
        <v>6</v>
      </c>
      <c r="J11" t="s">
        <v>893</v>
      </c>
      <c r="K11" t="s">
        <v>510</v>
      </c>
      <c r="L11" t="s">
        <v>231</v>
      </c>
      <c r="M11" t="s">
        <v>872</v>
      </c>
      <c r="N11" t="s">
        <v>184</v>
      </c>
      <c r="O11" t="s">
        <v>894</v>
      </c>
      <c r="P11" t="s">
        <v>867</v>
      </c>
      <c r="Q11" t="s">
        <v>895</v>
      </c>
      <c r="R11" t="s">
        <v>896</v>
      </c>
      <c r="S11" t="s">
        <v>232</v>
      </c>
      <c r="T11" t="s">
        <v>504</v>
      </c>
      <c r="U11" t="s">
        <v>43</v>
      </c>
      <c r="V11" t="s">
        <v>234</v>
      </c>
      <c r="W11" t="s">
        <v>42</v>
      </c>
      <c r="X11" t="s">
        <v>21</v>
      </c>
      <c r="Y11" t="s">
        <v>236</v>
      </c>
      <c r="Z11">
        <v>3298</v>
      </c>
      <c r="AA11">
        <v>3298</v>
      </c>
      <c r="AB11" t="s">
        <v>237</v>
      </c>
      <c r="AC11">
        <v>4.2300000000000004</v>
      </c>
      <c r="AD11">
        <v>13950.54</v>
      </c>
      <c r="AE11">
        <v>4056.54</v>
      </c>
      <c r="AF11" t="s">
        <v>870</v>
      </c>
      <c r="AG11">
        <v>9894</v>
      </c>
      <c r="AH11">
        <v>0.71</v>
      </c>
    </row>
    <row r="12" spans="1:34" x14ac:dyDescent="0.25">
      <c r="A12" t="s">
        <v>295</v>
      </c>
      <c r="B12">
        <v>11</v>
      </c>
      <c r="C12" t="s">
        <v>487</v>
      </c>
      <c r="D12" t="s">
        <v>229</v>
      </c>
      <c r="E12" t="s">
        <v>247</v>
      </c>
      <c r="F12" t="s">
        <v>524</v>
      </c>
      <c r="G12" s="25">
        <v>44202</v>
      </c>
      <c r="H12">
        <v>2</v>
      </c>
      <c r="I12">
        <v>6</v>
      </c>
      <c r="J12" t="s">
        <v>892</v>
      </c>
      <c r="K12" t="s">
        <v>510</v>
      </c>
      <c r="L12" t="s">
        <v>231</v>
      </c>
      <c r="M12" t="s">
        <v>872</v>
      </c>
      <c r="N12" t="s">
        <v>184</v>
      </c>
      <c r="O12" t="s">
        <v>873</v>
      </c>
      <c r="P12" t="s">
        <v>867</v>
      </c>
      <c r="Q12" t="s">
        <v>874</v>
      </c>
      <c r="R12" t="s">
        <v>875</v>
      </c>
      <c r="S12" t="s">
        <v>232</v>
      </c>
      <c r="T12" t="s">
        <v>504</v>
      </c>
      <c r="U12" t="s">
        <v>43</v>
      </c>
      <c r="V12" t="s">
        <v>234</v>
      </c>
      <c r="W12" t="s">
        <v>42</v>
      </c>
      <c r="X12" t="s">
        <v>21</v>
      </c>
      <c r="Y12" t="s">
        <v>236</v>
      </c>
      <c r="Z12">
        <v>3679</v>
      </c>
      <c r="AA12">
        <v>3679</v>
      </c>
      <c r="AB12" t="s">
        <v>237</v>
      </c>
      <c r="AC12">
        <v>4.2300000000000004</v>
      </c>
      <c r="AD12">
        <v>15562.17</v>
      </c>
      <c r="AE12">
        <v>4525.17</v>
      </c>
      <c r="AF12" t="s">
        <v>870</v>
      </c>
      <c r="AG12">
        <v>11037</v>
      </c>
      <c r="AH12">
        <v>0.71</v>
      </c>
    </row>
    <row r="13" spans="1:34" x14ac:dyDescent="0.25">
      <c r="A13" t="s">
        <v>296</v>
      </c>
      <c r="B13">
        <v>12</v>
      </c>
      <c r="C13" t="s">
        <v>487</v>
      </c>
      <c r="D13" t="s">
        <v>229</v>
      </c>
      <c r="E13" t="s">
        <v>247</v>
      </c>
      <c r="F13" t="s">
        <v>524</v>
      </c>
      <c r="G13" s="25">
        <v>44202</v>
      </c>
      <c r="H13">
        <v>2</v>
      </c>
      <c r="I13">
        <v>6</v>
      </c>
      <c r="J13" t="s">
        <v>902</v>
      </c>
      <c r="K13" t="s">
        <v>510</v>
      </c>
      <c r="L13" t="s">
        <v>231</v>
      </c>
      <c r="M13" t="s">
        <v>872</v>
      </c>
      <c r="N13" t="s">
        <v>184</v>
      </c>
      <c r="O13" t="s">
        <v>903</v>
      </c>
      <c r="P13" t="s">
        <v>867</v>
      </c>
      <c r="Q13" t="s">
        <v>904</v>
      </c>
      <c r="R13" t="s">
        <v>905</v>
      </c>
      <c r="S13" t="s">
        <v>537</v>
      </c>
      <c r="T13" t="s">
        <v>504</v>
      </c>
      <c r="U13" t="s">
        <v>43</v>
      </c>
      <c r="V13" t="s">
        <v>234</v>
      </c>
      <c r="W13" t="s">
        <v>42</v>
      </c>
      <c r="X13" t="s">
        <v>21</v>
      </c>
      <c r="Y13" t="s">
        <v>236</v>
      </c>
      <c r="Z13">
        <v>2334</v>
      </c>
      <c r="AA13">
        <v>2334</v>
      </c>
      <c r="AB13" t="s">
        <v>237</v>
      </c>
      <c r="AC13">
        <v>4.6500000000000004</v>
      </c>
      <c r="AD13">
        <v>10853.1</v>
      </c>
      <c r="AE13">
        <v>2870.82</v>
      </c>
      <c r="AF13" t="s">
        <v>870</v>
      </c>
      <c r="AG13">
        <v>7982.28</v>
      </c>
      <c r="AH13">
        <v>0.74</v>
      </c>
    </row>
    <row r="14" spans="1:34" x14ac:dyDescent="0.25">
      <c r="A14" t="s">
        <v>341</v>
      </c>
      <c r="B14">
        <v>13</v>
      </c>
      <c r="C14" t="s">
        <v>487</v>
      </c>
      <c r="D14" t="s">
        <v>229</v>
      </c>
      <c r="E14" t="s">
        <v>326</v>
      </c>
      <c r="F14" t="s">
        <v>522</v>
      </c>
      <c r="G14" s="25">
        <v>44203</v>
      </c>
      <c r="H14">
        <v>2</v>
      </c>
      <c r="I14">
        <v>7</v>
      </c>
      <c r="J14" t="s">
        <v>906</v>
      </c>
      <c r="K14" t="s">
        <v>876</v>
      </c>
      <c r="L14" t="s">
        <v>231</v>
      </c>
      <c r="M14" t="s">
        <v>872</v>
      </c>
      <c r="N14" t="s">
        <v>184</v>
      </c>
      <c r="O14" t="s">
        <v>907</v>
      </c>
      <c r="P14" t="s">
        <v>867</v>
      </c>
      <c r="Q14" t="s">
        <v>908</v>
      </c>
      <c r="R14" t="s">
        <v>909</v>
      </c>
      <c r="S14" t="s">
        <v>232</v>
      </c>
      <c r="T14" t="s">
        <v>504</v>
      </c>
      <c r="U14" t="s">
        <v>43</v>
      </c>
      <c r="V14" t="s">
        <v>234</v>
      </c>
      <c r="W14" t="s">
        <v>42</v>
      </c>
      <c r="X14" t="s">
        <v>21</v>
      </c>
      <c r="Y14" t="s">
        <v>236</v>
      </c>
      <c r="Z14">
        <v>3415</v>
      </c>
      <c r="AA14">
        <v>3415</v>
      </c>
      <c r="AB14" t="s">
        <v>237</v>
      </c>
      <c r="AC14">
        <v>4.2300000000000004</v>
      </c>
      <c r="AD14">
        <v>14445.45</v>
      </c>
      <c r="AE14">
        <v>4200.45</v>
      </c>
      <c r="AF14" t="s">
        <v>870</v>
      </c>
      <c r="AG14">
        <v>10245</v>
      </c>
      <c r="AH14">
        <v>0.71</v>
      </c>
    </row>
    <row r="15" spans="1:34" x14ac:dyDescent="0.25">
      <c r="A15" t="s">
        <v>320</v>
      </c>
      <c r="B15">
        <v>14</v>
      </c>
      <c r="C15" t="s">
        <v>487</v>
      </c>
      <c r="D15" t="s">
        <v>229</v>
      </c>
      <c r="E15" t="s">
        <v>326</v>
      </c>
      <c r="F15" t="s">
        <v>522</v>
      </c>
      <c r="G15" s="25">
        <v>44203</v>
      </c>
      <c r="H15">
        <v>2</v>
      </c>
      <c r="I15">
        <v>7</v>
      </c>
      <c r="J15" t="s">
        <v>910</v>
      </c>
      <c r="K15" t="s">
        <v>510</v>
      </c>
      <c r="L15" t="s">
        <v>231</v>
      </c>
      <c r="M15" t="s">
        <v>911</v>
      </c>
      <c r="N15" t="s">
        <v>186</v>
      </c>
      <c r="O15" t="s">
        <v>912</v>
      </c>
      <c r="P15" t="s">
        <v>867</v>
      </c>
      <c r="Q15" t="s">
        <v>913</v>
      </c>
      <c r="R15" t="s">
        <v>914</v>
      </c>
      <c r="S15" t="s">
        <v>232</v>
      </c>
      <c r="T15" t="s">
        <v>504</v>
      </c>
      <c r="U15" t="s">
        <v>43</v>
      </c>
      <c r="V15" t="s">
        <v>234</v>
      </c>
      <c r="W15" t="s">
        <v>42</v>
      </c>
      <c r="X15" t="s">
        <v>21</v>
      </c>
      <c r="Y15" t="s">
        <v>236</v>
      </c>
      <c r="Z15">
        <v>3576</v>
      </c>
      <c r="AA15">
        <v>3576</v>
      </c>
      <c r="AB15" t="s">
        <v>237</v>
      </c>
      <c r="AC15">
        <v>4.2300000000000004</v>
      </c>
      <c r="AD15">
        <v>15126.48</v>
      </c>
      <c r="AE15">
        <v>4398.4799999999996</v>
      </c>
      <c r="AF15" t="s">
        <v>870</v>
      </c>
      <c r="AG15">
        <v>10728</v>
      </c>
      <c r="AH15">
        <v>0.71</v>
      </c>
    </row>
    <row r="16" spans="1:34" x14ac:dyDescent="0.25">
      <c r="A16" t="s">
        <v>319</v>
      </c>
      <c r="B16">
        <v>15</v>
      </c>
      <c r="C16" t="s">
        <v>487</v>
      </c>
      <c r="D16" t="s">
        <v>229</v>
      </c>
      <c r="E16" t="s">
        <v>326</v>
      </c>
      <c r="F16" t="s">
        <v>522</v>
      </c>
      <c r="G16" s="25">
        <v>44203</v>
      </c>
      <c r="H16">
        <v>2</v>
      </c>
      <c r="I16">
        <v>7</v>
      </c>
      <c r="J16" t="s">
        <v>906</v>
      </c>
      <c r="K16" t="s">
        <v>510</v>
      </c>
      <c r="L16" t="s">
        <v>231</v>
      </c>
      <c r="M16" t="s">
        <v>872</v>
      </c>
      <c r="N16" t="s">
        <v>184</v>
      </c>
      <c r="O16" t="s">
        <v>907</v>
      </c>
      <c r="P16" t="s">
        <v>867</v>
      </c>
      <c r="Q16" t="s">
        <v>908</v>
      </c>
      <c r="R16" t="s">
        <v>909</v>
      </c>
      <c r="S16" t="s">
        <v>232</v>
      </c>
      <c r="T16" t="s">
        <v>509</v>
      </c>
      <c r="U16" t="s">
        <v>45</v>
      </c>
      <c r="V16" t="s">
        <v>234</v>
      </c>
      <c r="W16" t="s">
        <v>44</v>
      </c>
      <c r="X16" t="s">
        <v>21</v>
      </c>
      <c r="Y16" t="s">
        <v>304</v>
      </c>
      <c r="Z16">
        <v>3749</v>
      </c>
      <c r="AA16">
        <v>3749</v>
      </c>
      <c r="AB16" t="s">
        <v>237</v>
      </c>
      <c r="AC16">
        <v>4.2300000000000004</v>
      </c>
      <c r="AD16">
        <v>15858.27</v>
      </c>
      <c r="AE16">
        <v>4611.2700000000004</v>
      </c>
      <c r="AF16" t="s">
        <v>870</v>
      </c>
      <c r="AG16">
        <v>11247</v>
      </c>
      <c r="AH16">
        <v>0.71</v>
      </c>
    </row>
    <row r="17" spans="1:34" x14ac:dyDescent="0.25">
      <c r="A17" t="s">
        <v>373</v>
      </c>
      <c r="B17">
        <v>16</v>
      </c>
      <c r="C17" t="s">
        <v>487</v>
      </c>
      <c r="D17" t="s">
        <v>229</v>
      </c>
      <c r="E17" t="s">
        <v>326</v>
      </c>
      <c r="F17" t="s">
        <v>522</v>
      </c>
      <c r="G17" s="25">
        <v>44203</v>
      </c>
      <c r="H17">
        <v>2</v>
      </c>
      <c r="I17">
        <v>7</v>
      </c>
      <c r="J17" t="s">
        <v>915</v>
      </c>
      <c r="K17" t="s">
        <v>510</v>
      </c>
      <c r="L17" t="s">
        <v>231</v>
      </c>
      <c r="M17" t="s">
        <v>916</v>
      </c>
      <c r="N17" t="s">
        <v>185</v>
      </c>
      <c r="O17" t="s">
        <v>917</v>
      </c>
      <c r="P17" t="s">
        <v>867</v>
      </c>
      <c r="Q17" t="s">
        <v>918</v>
      </c>
      <c r="R17" t="s">
        <v>919</v>
      </c>
      <c r="S17" t="s">
        <v>232</v>
      </c>
      <c r="T17" t="s">
        <v>509</v>
      </c>
      <c r="U17" t="s">
        <v>45</v>
      </c>
      <c r="V17" t="s">
        <v>234</v>
      </c>
      <c r="W17" t="s">
        <v>44</v>
      </c>
      <c r="X17" t="s">
        <v>21</v>
      </c>
      <c r="Y17" t="s">
        <v>304</v>
      </c>
      <c r="Z17">
        <v>3602</v>
      </c>
      <c r="AA17">
        <v>3602</v>
      </c>
      <c r="AB17" t="s">
        <v>237</v>
      </c>
      <c r="AC17">
        <v>4.2300000000000004</v>
      </c>
      <c r="AD17">
        <v>15236.46</v>
      </c>
      <c r="AE17">
        <v>4430.46</v>
      </c>
      <c r="AF17" t="s">
        <v>870</v>
      </c>
      <c r="AG17">
        <v>10806</v>
      </c>
      <c r="AH17">
        <v>0.71</v>
      </c>
    </row>
    <row r="18" spans="1:34" x14ac:dyDescent="0.25">
      <c r="A18" t="s">
        <v>356</v>
      </c>
      <c r="B18">
        <v>17</v>
      </c>
      <c r="C18" t="s">
        <v>487</v>
      </c>
      <c r="D18" t="s">
        <v>229</v>
      </c>
      <c r="E18" t="s">
        <v>381</v>
      </c>
      <c r="F18" t="s">
        <v>518</v>
      </c>
      <c r="G18" s="25">
        <v>44204</v>
      </c>
      <c r="H18">
        <v>2</v>
      </c>
      <c r="I18">
        <v>8</v>
      </c>
      <c r="J18" t="s">
        <v>920</v>
      </c>
      <c r="K18" t="s">
        <v>921</v>
      </c>
      <c r="L18" t="s">
        <v>231</v>
      </c>
      <c r="M18" t="s">
        <v>872</v>
      </c>
      <c r="N18" t="s">
        <v>184</v>
      </c>
      <c r="O18" t="s">
        <v>922</v>
      </c>
      <c r="P18" t="s">
        <v>867</v>
      </c>
      <c r="Q18" t="s">
        <v>923</v>
      </c>
      <c r="R18" t="s">
        <v>924</v>
      </c>
      <c r="S18" t="s">
        <v>232</v>
      </c>
      <c r="T18" t="s">
        <v>504</v>
      </c>
      <c r="U18" t="s">
        <v>43</v>
      </c>
      <c r="V18" t="s">
        <v>234</v>
      </c>
      <c r="W18" t="s">
        <v>42</v>
      </c>
      <c r="X18" t="s">
        <v>21</v>
      </c>
      <c r="Y18" t="s">
        <v>236</v>
      </c>
      <c r="Z18">
        <v>1009</v>
      </c>
      <c r="AA18">
        <v>1009</v>
      </c>
      <c r="AB18" t="s">
        <v>237</v>
      </c>
      <c r="AC18">
        <v>4.2300000000000004</v>
      </c>
      <c r="AD18">
        <v>4268.07</v>
      </c>
      <c r="AE18">
        <v>1241.07</v>
      </c>
      <c r="AF18" t="s">
        <v>870</v>
      </c>
      <c r="AG18">
        <v>3027</v>
      </c>
      <c r="AH18">
        <v>0.71</v>
      </c>
    </row>
    <row r="19" spans="1:34" x14ac:dyDescent="0.25">
      <c r="A19" t="s">
        <v>268</v>
      </c>
      <c r="B19">
        <v>18</v>
      </c>
      <c r="C19" t="s">
        <v>487</v>
      </c>
      <c r="D19" t="s">
        <v>229</v>
      </c>
      <c r="E19" t="s">
        <v>381</v>
      </c>
      <c r="F19" t="s">
        <v>518</v>
      </c>
      <c r="G19" s="25">
        <v>44204</v>
      </c>
      <c r="H19">
        <v>2</v>
      </c>
      <c r="I19">
        <v>8</v>
      </c>
      <c r="J19" t="s">
        <v>920</v>
      </c>
      <c r="K19" t="s">
        <v>876</v>
      </c>
      <c r="L19" t="s">
        <v>231</v>
      </c>
      <c r="M19" t="s">
        <v>872</v>
      </c>
      <c r="N19" t="s">
        <v>184</v>
      </c>
      <c r="O19" t="s">
        <v>922</v>
      </c>
      <c r="P19" t="s">
        <v>867</v>
      </c>
      <c r="Q19" t="s">
        <v>923</v>
      </c>
      <c r="R19" t="s">
        <v>924</v>
      </c>
      <c r="S19" t="s">
        <v>232</v>
      </c>
      <c r="T19" t="s">
        <v>509</v>
      </c>
      <c r="U19" t="s">
        <v>45</v>
      </c>
      <c r="V19" t="s">
        <v>234</v>
      </c>
      <c r="W19" t="s">
        <v>44</v>
      </c>
      <c r="X19" t="s">
        <v>21</v>
      </c>
      <c r="Y19" t="s">
        <v>304</v>
      </c>
      <c r="Z19">
        <v>2676</v>
      </c>
      <c r="AA19">
        <v>2676</v>
      </c>
      <c r="AB19" t="s">
        <v>237</v>
      </c>
      <c r="AC19">
        <v>4.2300000000000004</v>
      </c>
      <c r="AD19">
        <v>11319.48</v>
      </c>
      <c r="AE19">
        <v>3291.48</v>
      </c>
      <c r="AF19" t="s">
        <v>870</v>
      </c>
      <c r="AG19">
        <v>8028</v>
      </c>
      <c r="AH19">
        <v>0.71</v>
      </c>
    </row>
    <row r="20" spans="1:34" x14ac:dyDescent="0.25">
      <c r="A20" t="s">
        <v>271</v>
      </c>
      <c r="B20">
        <v>19</v>
      </c>
      <c r="C20" t="s">
        <v>487</v>
      </c>
      <c r="D20" t="s">
        <v>229</v>
      </c>
      <c r="E20" t="s">
        <v>381</v>
      </c>
      <c r="F20" t="s">
        <v>518</v>
      </c>
      <c r="G20" s="25">
        <v>44204</v>
      </c>
      <c r="H20">
        <v>2</v>
      </c>
      <c r="I20">
        <v>8</v>
      </c>
      <c r="J20" t="s">
        <v>920</v>
      </c>
      <c r="K20" t="s">
        <v>510</v>
      </c>
      <c r="L20" t="s">
        <v>231</v>
      </c>
      <c r="M20" t="s">
        <v>872</v>
      </c>
      <c r="N20" t="s">
        <v>184</v>
      </c>
      <c r="O20" t="s">
        <v>922</v>
      </c>
      <c r="P20" t="s">
        <v>867</v>
      </c>
      <c r="Q20" t="s">
        <v>923</v>
      </c>
      <c r="R20" t="s">
        <v>924</v>
      </c>
      <c r="S20" t="s">
        <v>232</v>
      </c>
      <c r="T20" t="s">
        <v>509</v>
      </c>
      <c r="U20" t="s">
        <v>45</v>
      </c>
      <c r="V20" t="s">
        <v>234</v>
      </c>
      <c r="W20" t="s">
        <v>44</v>
      </c>
      <c r="X20" t="s">
        <v>21</v>
      </c>
      <c r="Y20" t="s">
        <v>304</v>
      </c>
      <c r="Z20">
        <v>3568</v>
      </c>
      <c r="AA20">
        <v>3568</v>
      </c>
      <c r="AB20" t="s">
        <v>237</v>
      </c>
      <c r="AC20">
        <v>4.2300000000000004</v>
      </c>
      <c r="AD20">
        <v>15092.64</v>
      </c>
      <c r="AE20">
        <v>4388.6400000000003</v>
      </c>
      <c r="AF20" t="s">
        <v>870</v>
      </c>
      <c r="AG20">
        <v>10704</v>
      </c>
      <c r="AH20">
        <v>0.71</v>
      </c>
    </row>
    <row r="21" spans="1:34" x14ac:dyDescent="0.25">
      <c r="A21" t="s">
        <v>269</v>
      </c>
      <c r="B21">
        <v>20</v>
      </c>
      <c r="C21" t="s">
        <v>487</v>
      </c>
      <c r="D21" t="s">
        <v>229</v>
      </c>
      <c r="E21" t="s">
        <v>381</v>
      </c>
      <c r="F21" t="s">
        <v>518</v>
      </c>
      <c r="G21" s="25">
        <v>44204</v>
      </c>
      <c r="H21">
        <v>2</v>
      </c>
      <c r="I21">
        <v>8</v>
      </c>
      <c r="J21" t="s">
        <v>930</v>
      </c>
      <c r="K21" t="s">
        <v>510</v>
      </c>
      <c r="L21" t="s">
        <v>231</v>
      </c>
      <c r="M21" t="s">
        <v>931</v>
      </c>
      <c r="N21" t="s">
        <v>186</v>
      </c>
      <c r="O21" t="s">
        <v>932</v>
      </c>
      <c r="P21" t="s">
        <v>867</v>
      </c>
      <c r="Q21" t="s">
        <v>933</v>
      </c>
      <c r="R21" t="s">
        <v>934</v>
      </c>
      <c r="S21" t="s">
        <v>232</v>
      </c>
      <c r="T21" t="s">
        <v>509</v>
      </c>
      <c r="U21" t="s">
        <v>45</v>
      </c>
      <c r="V21" t="s">
        <v>234</v>
      </c>
      <c r="W21" t="s">
        <v>44</v>
      </c>
      <c r="X21" t="s">
        <v>21</v>
      </c>
      <c r="Y21" t="s">
        <v>304</v>
      </c>
      <c r="Z21">
        <v>3394</v>
      </c>
      <c r="AA21">
        <v>3394</v>
      </c>
      <c r="AB21" t="s">
        <v>237</v>
      </c>
      <c r="AC21">
        <v>4.2300000000000004</v>
      </c>
      <c r="AD21">
        <v>14356.62</v>
      </c>
      <c r="AE21">
        <v>4174.62</v>
      </c>
      <c r="AF21" t="s">
        <v>870</v>
      </c>
      <c r="AG21">
        <v>10182</v>
      </c>
      <c r="AH21">
        <v>0.71</v>
      </c>
    </row>
    <row r="22" spans="1:34" x14ac:dyDescent="0.25">
      <c r="A22" t="s">
        <v>386</v>
      </c>
      <c r="B22">
        <v>21</v>
      </c>
      <c r="C22" t="s">
        <v>487</v>
      </c>
      <c r="D22" t="s">
        <v>229</v>
      </c>
      <c r="E22" t="s">
        <v>381</v>
      </c>
      <c r="F22" t="s">
        <v>518</v>
      </c>
      <c r="G22" s="25">
        <v>44204</v>
      </c>
      <c r="H22">
        <v>2</v>
      </c>
      <c r="I22">
        <v>8</v>
      </c>
      <c r="J22" t="s">
        <v>925</v>
      </c>
      <c r="K22" t="s">
        <v>876</v>
      </c>
      <c r="L22" t="s">
        <v>231</v>
      </c>
      <c r="M22" t="s">
        <v>926</v>
      </c>
      <c r="N22" t="s">
        <v>185</v>
      </c>
      <c r="O22" t="s">
        <v>927</v>
      </c>
      <c r="P22" t="s">
        <v>867</v>
      </c>
      <c r="Q22" t="s">
        <v>928</v>
      </c>
      <c r="R22" t="s">
        <v>929</v>
      </c>
      <c r="S22" t="s">
        <v>232</v>
      </c>
      <c r="T22" t="s">
        <v>509</v>
      </c>
      <c r="U22" t="s">
        <v>45</v>
      </c>
      <c r="V22" t="s">
        <v>234</v>
      </c>
      <c r="W22" t="s">
        <v>44</v>
      </c>
      <c r="X22" t="s">
        <v>21</v>
      </c>
      <c r="Y22" t="s">
        <v>304</v>
      </c>
      <c r="Z22">
        <v>3111</v>
      </c>
      <c r="AA22">
        <v>3111</v>
      </c>
      <c r="AB22" t="s">
        <v>237</v>
      </c>
      <c r="AC22">
        <v>4.2300000000000004</v>
      </c>
      <c r="AD22">
        <v>13159.53</v>
      </c>
      <c r="AE22">
        <v>3826.53</v>
      </c>
      <c r="AF22" t="s">
        <v>870</v>
      </c>
      <c r="AG22">
        <v>9333</v>
      </c>
      <c r="AH22">
        <v>0.71</v>
      </c>
    </row>
    <row r="23" spans="1:34" x14ac:dyDescent="0.25">
      <c r="A23" t="s">
        <v>280</v>
      </c>
      <c r="B23">
        <v>22</v>
      </c>
      <c r="C23" t="s">
        <v>487</v>
      </c>
      <c r="D23" t="s">
        <v>229</v>
      </c>
      <c r="E23" t="s">
        <v>381</v>
      </c>
      <c r="F23" t="s">
        <v>518</v>
      </c>
      <c r="G23" s="25">
        <v>44204</v>
      </c>
      <c r="H23">
        <v>2</v>
      </c>
      <c r="I23">
        <v>8</v>
      </c>
      <c r="J23" t="s">
        <v>925</v>
      </c>
      <c r="K23" t="s">
        <v>510</v>
      </c>
      <c r="L23" t="s">
        <v>231</v>
      </c>
      <c r="M23" t="s">
        <v>926</v>
      </c>
      <c r="N23" t="s">
        <v>185</v>
      </c>
      <c r="O23" t="s">
        <v>927</v>
      </c>
      <c r="P23" t="s">
        <v>867</v>
      </c>
      <c r="Q23" t="s">
        <v>928</v>
      </c>
      <c r="R23" t="s">
        <v>929</v>
      </c>
      <c r="S23" t="s">
        <v>232</v>
      </c>
      <c r="T23" t="s">
        <v>509</v>
      </c>
      <c r="U23" t="s">
        <v>45</v>
      </c>
      <c r="V23" t="s">
        <v>234</v>
      </c>
      <c r="W23" t="s">
        <v>44</v>
      </c>
      <c r="X23" t="s">
        <v>21</v>
      </c>
      <c r="Y23" t="s">
        <v>304</v>
      </c>
      <c r="Z23">
        <v>3900</v>
      </c>
      <c r="AA23">
        <v>3900</v>
      </c>
      <c r="AB23" t="s">
        <v>237</v>
      </c>
      <c r="AC23">
        <v>4.2300000000000004</v>
      </c>
      <c r="AD23">
        <v>16497</v>
      </c>
      <c r="AE23">
        <v>4797</v>
      </c>
      <c r="AF23" t="s">
        <v>870</v>
      </c>
      <c r="AG23">
        <v>11700</v>
      </c>
      <c r="AH23">
        <v>0.71</v>
      </c>
    </row>
    <row r="24" spans="1:34" x14ac:dyDescent="0.25">
      <c r="A24" t="s">
        <v>255</v>
      </c>
      <c r="B24">
        <v>23</v>
      </c>
      <c r="C24" t="s">
        <v>487</v>
      </c>
      <c r="D24" t="s">
        <v>229</v>
      </c>
      <c r="E24" t="s">
        <v>371</v>
      </c>
      <c r="F24" t="s">
        <v>557</v>
      </c>
      <c r="G24" s="25">
        <v>44205</v>
      </c>
      <c r="H24">
        <v>2</v>
      </c>
      <c r="I24">
        <v>9</v>
      </c>
      <c r="J24" t="s">
        <v>935</v>
      </c>
      <c r="K24" t="s">
        <v>921</v>
      </c>
      <c r="L24" t="s">
        <v>231</v>
      </c>
      <c r="M24" t="s">
        <v>931</v>
      </c>
      <c r="N24" t="s">
        <v>186</v>
      </c>
      <c r="O24" t="s">
        <v>936</v>
      </c>
      <c r="P24" t="s">
        <v>867</v>
      </c>
      <c r="Q24" t="s">
        <v>937</v>
      </c>
      <c r="R24" t="s">
        <v>938</v>
      </c>
      <c r="S24" t="s">
        <v>239</v>
      </c>
      <c r="T24" t="s">
        <v>500</v>
      </c>
      <c r="U24" t="s">
        <v>265</v>
      </c>
      <c r="V24" t="s">
        <v>234</v>
      </c>
      <c r="W24" t="s">
        <v>52</v>
      </c>
      <c r="X24" t="s">
        <v>235</v>
      </c>
      <c r="Y24" t="s">
        <v>266</v>
      </c>
      <c r="Z24">
        <v>2742</v>
      </c>
      <c r="AA24">
        <v>2742</v>
      </c>
      <c r="AB24" t="s">
        <v>237</v>
      </c>
      <c r="AC24">
        <v>4.6100000000000003</v>
      </c>
      <c r="AD24">
        <v>12640.62</v>
      </c>
      <c r="AE24">
        <v>4442.04</v>
      </c>
      <c r="AF24" t="s">
        <v>870</v>
      </c>
      <c r="AG24">
        <v>8198.58</v>
      </c>
      <c r="AH24">
        <v>0.65</v>
      </c>
    </row>
    <row r="25" spans="1:34" x14ac:dyDescent="0.25">
      <c r="A25" t="s">
        <v>297</v>
      </c>
      <c r="B25">
        <v>24</v>
      </c>
      <c r="C25" t="s">
        <v>487</v>
      </c>
      <c r="D25" t="s">
        <v>229</v>
      </c>
      <c r="E25" t="s">
        <v>371</v>
      </c>
      <c r="F25" t="s">
        <v>557</v>
      </c>
      <c r="G25" s="25">
        <v>44205</v>
      </c>
      <c r="H25">
        <v>2</v>
      </c>
      <c r="I25">
        <v>9</v>
      </c>
      <c r="J25" t="s">
        <v>935</v>
      </c>
      <c r="K25" t="s">
        <v>876</v>
      </c>
      <c r="L25" t="s">
        <v>231</v>
      </c>
      <c r="M25" t="s">
        <v>931</v>
      </c>
      <c r="N25" t="s">
        <v>186</v>
      </c>
      <c r="O25" t="s">
        <v>936</v>
      </c>
      <c r="P25" t="s">
        <v>867</v>
      </c>
      <c r="Q25" t="s">
        <v>937</v>
      </c>
      <c r="R25" t="s">
        <v>938</v>
      </c>
      <c r="S25" t="s">
        <v>239</v>
      </c>
      <c r="T25" t="s">
        <v>500</v>
      </c>
      <c r="U25" t="s">
        <v>265</v>
      </c>
      <c r="V25" t="s">
        <v>234</v>
      </c>
      <c r="W25" t="s">
        <v>52</v>
      </c>
      <c r="X25" t="s">
        <v>235</v>
      </c>
      <c r="Y25" t="s">
        <v>266</v>
      </c>
      <c r="Z25">
        <v>2970</v>
      </c>
      <c r="AA25">
        <v>2970</v>
      </c>
      <c r="AB25" t="s">
        <v>237</v>
      </c>
      <c r="AC25">
        <v>4.6100000000000003</v>
      </c>
      <c r="AD25">
        <v>13691.7</v>
      </c>
      <c r="AE25">
        <v>4811.3999999999996</v>
      </c>
      <c r="AF25" t="s">
        <v>870</v>
      </c>
      <c r="AG25">
        <v>8880.2999999999993</v>
      </c>
      <c r="AH25">
        <v>0.65</v>
      </c>
    </row>
    <row r="26" spans="1:34" x14ac:dyDescent="0.25">
      <c r="A26" t="s">
        <v>333</v>
      </c>
      <c r="B26">
        <v>25</v>
      </c>
      <c r="C26" t="s">
        <v>487</v>
      </c>
      <c r="D26" t="s">
        <v>229</v>
      </c>
      <c r="E26" t="s">
        <v>371</v>
      </c>
      <c r="F26" t="s">
        <v>557</v>
      </c>
      <c r="G26" s="25">
        <v>44205</v>
      </c>
      <c r="H26">
        <v>2</v>
      </c>
      <c r="I26">
        <v>9</v>
      </c>
      <c r="J26" t="s">
        <v>935</v>
      </c>
      <c r="K26" t="s">
        <v>510</v>
      </c>
      <c r="L26" t="s">
        <v>231</v>
      </c>
      <c r="M26" t="s">
        <v>931</v>
      </c>
      <c r="N26" t="s">
        <v>186</v>
      </c>
      <c r="O26" t="s">
        <v>936</v>
      </c>
      <c r="P26" t="s">
        <v>867</v>
      </c>
      <c r="Q26" t="s">
        <v>937</v>
      </c>
      <c r="R26" t="s">
        <v>938</v>
      </c>
      <c r="S26" t="s">
        <v>239</v>
      </c>
      <c r="T26" t="s">
        <v>500</v>
      </c>
      <c r="U26" t="s">
        <v>265</v>
      </c>
      <c r="V26" t="s">
        <v>234</v>
      </c>
      <c r="W26" t="s">
        <v>52</v>
      </c>
      <c r="X26" t="s">
        <v>235</v>
      </c>
      <c r="Y26" t="s">
        <v>266</v>
      </c>
      <c r="Z26">
        <v>2837</v>
      </c>
      <c r="AA26">
        <v>2837</v>
      </c>
      <c r="AB26" t="s">
        <v>237</v>
      </c>
      <c r="AC26">
        <v>4.6100000000000003</v>
      </c>
      <c r="AD26">
        <v>13078.57</v>
      </c>
      <c r="AE26">
        <v>4595.9399999999996</v>
      </c>
      <c r="AF26" t="s">
        <v>870</v>
      </c>
      <c r="AG26">
        <v>8482.6299999999992</v>
      </c>
      <c r="AH26">
        <v>0.65</v>
      </c>
    </row>
    <row r="27" spans="1:34" x14ac:dyDescent="0.25">
      <c r="A27" t="s">
        <v>332</v>
      </c>
      <c r="B27">
        <v>26</v>
      </c>
      <c r="C27" t="s">
        <v>487</v>
      </c>
      <c r="D27" t="s">
        <v>229</v>
      </c>
      <c r="E27" t="s">
        <v>371</v>
      </c>
      <c r="F27" t="s">
        <v>557</v>
      </c>
      <c r="G27" s="25">
        <v>44205</v>
      </c>
      <c r="H27">
        <v>2</v>
      </c>
      <c r="I27">
        <v>9</v>
      </c>
      <c r="J27" t="s">
        <v>947</v>
      </c>
      <c r="K27" t="s">
        <v>510</v>
      </c>
      <c r="L27" t="s">
        <v>231</v>
      </c>
      <c r="M27" t="s">
        <v>872</v>
      </c>
      <c r="N27" t="s">
        <v>184</v>
      </c>
      <c r="O27" t="s">
        <v>948</v>
      </c>
      <c r="P27" t="s">
        <v>867</v>
      </c>
      <c r="Q27" t="s">
        <v>949</v>
      </c>
      <c r="R27" t="s">
        <v>950</v>
      </c>
      <c r="S27" t="s">
        <v>232</v>
      </c>
      <c r="T27" t="s">
        <v>500</v>
      </c>
      <c r="U27" t="s">
        <v>265</v>
      </c>
      <c r="V27" t="s">
        <v>234</v>
      </c>
      <c r="W27" t="s">
        <v>52</v>
      </c>
      <c r="X27" t="s">
        <v>235</v>
      </c>
      <c r="Y27" t="s">
        <v>266</v>
      </c>
      <c r="Z27">
        <v>936</v>
      </c>
      <c r="AA27">
        <v>936</v>
      </c>
      <c r="AB27" t="s">
        <v>237</v>
      </c>
      <c r="AC27">
        <v>4.6100000000000003</v>
      </c>
      <c r="AD27">
        <v>4314.96</v>
      </c>
      <c r="AE27">
        <v>1516.32</v>
      </c>
      <c r="AF27" t="s">
        <v>870</v>
      </c>
      <c r="AG27">
        <v>2798.64</v>
      </c>
      <c r="AH27">
        <v>0.65</v>
      </c>
    </row>
    <row r="28" spans="1:34" x14ac:dyDescent="0.25">
      <c r="A28" t="s">
        <v>384</v>
      </c>
      <c r="B28">
        <v>27</v>
      </c>
      <c r="C28" t="s">
        <v>487</v>
      </c>
      <c r="D28" t="s">
        <v>229</v>
      </c>
      <c r="E28" t="s">
        <v>371</v>
      </c>
      <c r="F28" t="s">
        <v>557</v>
      </c>
      <c r="G28" s="25">
        <v>44205</v>
      </c>
      <c r="H28">
        <v>2</v>
      </c>
      <c r="I28">
        <v>9</v>
      </c>
      <c r="J28" t="s">
        <v>939</v>
      </c>
      <c r="K28" t="s">
        <v>510</v>
      </c>
      <c r="L28" t="s">
        <v>231</v>
      </c>
      <c r="M28" t="s">
        <v>898</v>
      </c>
      <c r="N28" t="s">
        <v>185</v>
      </c>
      <c r="O28" t="s">
        <v>940</v>
      </c>
      <c r="P28" t="s">
        <v>867</v>
      </c>
      <c r="Q28" t="s">
        <v>941</v>
      </c>
      <c r="R28" t="s">
        <v>942</v>
      </c>
      <c r="S28" t="s">
        <v>232</v>
      </c>
      <c r="T28" t="s">
        <v>500</v>
      </c>
      <c r="U28" t="s">
        <v>265</v>
      </c>
      <c r="V28" t="s">
        <v>234</v>
      </c>
      <c r="W28" t="s">
        <v>52</v>
      </c>
      <c r="X28" t="s">
        <v>235</v>
      </c>
      <c r="Y28" t="s">
        <v>266</v>
      </c>
      <c r="Z28">
        <v>2792</v>
      </c>
      <c r="AA28">
        <v>2792</v>
      </c>
      <c r="AB28" t="s">
        <v>237</v>
      </c>
      <c r="AC28">
        <v>4.6100000000000003</v>
      </c>
      <c r="AD28">
        <v>12871.12</v>
      </c>
      <c r="AE28">
        <v>4523.04</v>
      </c>
      <c r="AF28" t="s">
        <v>870</v>
      </c>
      <c r="AG28">
        <v>8348.08</v>
      </c>
      <c r="AH28">
        <v>0.65</v>
      </c>
    </row>
    <row r="29" spans="1:34" x14ac:dyDescent="0.25">
      <c r="A29" t="s">
        <v>361</v>
      </c>
      <c r="B29">
        <v>28</v>
      </c>
      <c r="C29" t="s">
        <v>487</v>
      </c>
      <c r="D29" t="s">
        <v>229</v>
      </c>
      <c r="E29" t="s">
        <v>371</v>
      </c>
      <c r="F29" t="s">
        <v>557</v>
      </c>
      <c r="G29" s="25">
        <v>44205</v>
      </c>
      <c r="H29">
        <v>2</v>
      </c>
      <c r="I29">
        <v>9</v>
      </c>
      <c r="J29" t="s">
        <v>939</v>
      </c>
      <c r="K29" t="s">
        <v>876</v>
      </c>
      <c r="L29" t="s">
        <v>231</v>
      </c>
      <c r="M29" t="s">
        <v>898</v>
      </c>
      <c r="N29" t="s">
        <v>185</v>
      </c>
      <c r="O29" t="s">
        <v>940</v>
      </c>
      <c r="P29" t="s">
        <v>867</v>
      </c>
      <c r="Q29" t="s">
        <v>941</v>
      </c>
      <c r="R29" t="s">
        <v>942</v>
      </c>
      <c r="S29" t="s">
        <v>232</v>
      </c>
      <c r="T29" t="s">
        <v>500</v>
      </c>
      <c r="U29" t="s">
        <v>265</v>
      </c>
      <c r="V29" t="s">
        <v>234</v>
      </c>
      <c r="W29" t="s">
        <v>52</v>
      </c>
      <c r="X29" t="s">
        <v>235</v>
      </c>
      <c r="Y29" t="s">
        <v>266</v>
      </c>
      <c r="Z29">
        <v>2948</v>
      </c>
      <c r="AA29">
        <v>2948</v>
      </c>
      <c r="AB29" t="s">
        <v>237</v>
      </c>
      <c r="AC29">
        <v>4.6100000000000003</v>
      </c>
      <c r="AD29">
        <v>13590.28</v>
      </c>
      <c r="AE29">
        <v>4775.76</v>
      </c>
      <c r="AF29" t="s">
        <v>870</v>
      </c>
      <c r="AG29">
        <v>8814.52</v>
      </c>
      <c r="AH29">
        <v>0.65</v>
      </c>
    </row>
    <row r="30" spans="1:34" x14ac:dyDescent="0.25">
      <c r="A30" t="s">
        <v>360</v>
      </c>
      <c r="B30">
        <v>29</v>
      </c>
      <c r="C30" t="s">
        <v>487</v>
      </c>
      <c r="D30" t="s">
        <v>229</v>
      </c>
      <c r="E30" t="s">
        <v>371</v>
      </c>
      <c r="F30" t="s">
        <v>557</v>
      </c>
      <c r="G30" s="25">
        <v>44205</v>
      </c>
      <c r="H30">
        <v>2</v>
      </c>
      <c r="I30">
        <v>9</v>
      </c>
      <c r="J30" t="s">
        <v>943</v>
      </c>
      <c r="K30" t="s">
        <v>921</v>
      </c>
      <c r="L30" t="s">
        <v>231</v>
      </c>
      <c r="M30" t="s">
        <v>931</v>
      </c>
      <c r="N30" t="s">
        <v>186</v>
      </c>
      <c r="O30" t="s">
        <v>944</v>
      </c>
      <c r="P30" t="s">
        <v>867</v>
      </c>
      <c r="Q30" t="s">
        <v>945</v>
      </c>
      <c r="R30" t="s">
        <v>946</v>
      </c>
      <c r="S30" t="s">
        <v>232</v>
      </c>
      <c r="T30" t="s">
        <v>500</v>
      </c>
      <c r="U30" t="s">
        <v>265</v>
      </c>
      <c r="V30" t="s">
        <v>234</v>
      </c>
      <c r="W30" t="s">
        <v>52</v>
      </c>
      <c r="X30" t="s">
        <v>235</v>
      </c>
      <c r="Y30" t="s">
        <v>266</v>
      </c>
      <c r="Z30">
        <v>3085</v>
      </c>
      <c r="AA30">
        <v>3085</v>
      </c>
      <c r="AB30" t="s">
        <v>237</v>
      </c>
      <c r="AC30">
        <v>4.6100000000000003</v>
      </c>
      <c r="AD30">
        <v>14221.85</v>
      </c>
      <c r="AE30">
        <v>4997.7</v>
      </c>
      <c r="AF30" t="s">
        <v>870</v>
      </c>
      <c r="AG30">
        <v>9224.15</v>
      </c>
      <c r="AH30">
        <v>0.65</v>
      </c>
    </row>
    <row r="31" spans="1:34" x14ac:dyDescent="0.25">
      <c r="A31" t="s">
        <v>284</v>
      </c>
      <c r="B31">
        <v>30</v>
      </c>
      <c r="C31" t="s">
        <v>487</v>
      </c>
      <c r="D31" t="s">
        <v>229</v>
      </c>
      <c r="E31" t="s">
        <v>371</v>
      </c>
      <c r="F31" t="s">
        <v>557</v>
      </c>
      <c r="G31" s="25">
        <v>44205</v>
      </c>
      <c r="H31">
        <v>2</v>
      </c>
      <c r="I31">
        <v>9</v>
      </c>
      <c r="J31" t="s">
        <v>943</v>
      </c>
      <c r="K31" t="s">
        <v>876</v>
      </c>
      <c r="L31" t="s">
        <v>231</v>
      </c>
      <c r="M31" t="s">
        <v>931</v>
      </c>
      <c r="N31" t="s">
        <v>186</v>
      </c>
      <c r="O31" t="s">
        <v>944</v>
      </c>
      <c r="P31" t="s">
        <v>867</v>
      </c>
      <c r="Q31" t="s">
        <v>945</v>
      </c>
      <c r="R31" t="s">
        <v>946</v>
      </c>
      <c r="S31" t="s">
        <v>232</v>
      </c>
      <c r="T31" t="s">
        <v>500</v>
      </c>
      <c r="U31" t="s">
        <v>265</v>
      </c>
      <c r="V31" t="s">
        <v>234</v>
      </c>
      <c r="W31" t="s">
        <v>52</v>
      </c>
      <c r="X31" t="s">
        <v>235</v>
      </c>
      <c r="Y31" t="s">
        <v>266</v>
      </c>
      <c r="Z31">
        <v>2759</v>
      </c>
      <c r="AA31">
        <v>2759</v>
      </c>
      <c r="AB31" t="s">
        <v>237</v>
      </c>
      <c r="AC31">
        <v>4.6100000000000003</v>
      </c>
      <c r="AD31">
        <v>12718.99</v>
      </c>
      <c r="AE31">
        <v>4469.58</v>
      </c>
      <c r="AF31" t="s">
        <v>870</v>
      </c>
      <c r="AG31">
        <v>8249.41</v>
      </c>
      <c r="AH31">
        <v>0.65</v>
      </c>
    </row>
    <row r="32" spans="1:34" x14ac:dyDescent="0.25">
      <c r="A32" t="s">
        <v>282</v>
      </c>
      <c r="B32">
        <v>31</v>
      </c>
      <c r="C32" t="s">
        <v>487</v>
      </c>
      <c r="D32" t="s">
        <v>229</v>
      </c>
      <c r="E32" t="s">
        <v>371</v>
      </c>
      <c r="F32" t="s">
        <v>557</v>
      </c>
      <c r="G32" s="25">
        <v>44205</v>
      </c>
      <c r="H32">
        <v>2</v>
      </c>
      <c r="I32">
        <v>9</v>
      </c>
      <c r="J32" t="s">
        <v>943</v>
      </c>
      <c r="K32" t="s">
        <v>510</v>
      </c>
      <c r="L32" t="s">
        <v>231</v>
      </c>
      <c r="M32" t="s">
        <v>931</v>
      </c>
      <c r="N32" t="s">
        <v>186</v>
      </c>
      <c r="O32" t="s">
        <v>944</v>
      </c>
      <c r="P32" t="s">
        <v>867</v>
      </c>
      <c r="Q32" t="s">
        <v>945</v>
      </c>
      <c r="R32" t="s">
        <v>946</v>
      </c>
      <c r="S32" t="s">
        <v>232</v>
      </c>
      <c r="T32" t="s">
        <v>500</v>
      </c>
      <c r="U32" t="s">
        <v>265</v>
      </c>
      <c r="V32" t="s">
        <v>234</v>
      </c>
      <c r="W32" t="s">
        <v>52</v>
      </c>
      <c r="X32" t="s">
        <v>235</v>
      </c>
      <c r="Y32" t="s">
        <v>266</v>
      </c>
      <c r="Z32">
        <v>2931</v>
      </c>
      <c r="AA32">
        <v>2931</v>
      </c>
      <c r="AB32" t="s">
        <v>237</v>
      </c>
      <c r="AC32">
        <v>4.6100000000000003</v>
      </c>
      <c r="AD32">
        <v>13511.91</v>
      </c>
      <c r="AE32">
        <v>4748.22</v>
      </c>
      <c r="AF32" t="s">
        <v>870</v>
      </c>
      <c r="AG32">
        <v>8763.69</v>
      </c>
      <c r="AH32">
        <v>0.65</v>
      </c>
    </row>
    <row r="33" spans="1:34" x14ac:dyDescent="0.25">
      <c r="A33" t="s">
        <v>283</v>
      </c>
      <c r="B33">
        <v>32</v>
      </c>
      <c r="C33" t="s">
        <v>487</v>
      </c>
      <c r="D33" t="s">
        <v>229</v>
      </c>
      <c r="E33" t="s">
        <v>239</v>
      </c>
      <c r="F33" t="s">
        <v>578</v>
      </c>
      <c r="G33" s="25">
        <v>44206</v>
      </c>
      <c r="H33">
        <v>2</v>
      </c>
      <c r="I33">
        <v>10</v>
      </c>
      <c r="J33" t="s">
        <v>951</v>
      </c>
      <c r="K33" t="s">
        <v>510</v>
      </c>
      <c r="L33" t="s">
        <v>231</v>
      </c>
      <c r="M33" t="s">
        <v>872</v>
      </c>
      <c r="N33" t="s">
        <v>184</v>
      </c>
      <c r="O33" t="s">
        <v>922</v>
      </c>
      <c r="P33" t="s">
        <v>867</v>
      </c>
      <c r="Q33" t="s">
        <v>923</v>
      </c>
      <c r="R33" t="s">
        <v>924</v>
      </c>
      <c r="S33" t="s">
        <v>232</v>
      </c>
      <c r="T33" t="s">
        <v>508</v>
      </c>
      <c r="U33" t="s">
        <v>47</v>
      </c>
      <c r="V33" t="s">
        <v>234</v>
      </c>
      <c r="W33" t="s">
        <v>46</v>
      </c>
      <c r="X33" t="s">
        <v>21</v>
      </c>
      <c r="Y33" t="s">
        <v>288</v>
      </c>
      <c r="Z33">
        <v>4428</v>
      </c>
      <c r="AA33">
        <v>4428</v>
      </c>
      <c r="AB33" t="s">
        <v>237</v>
      </c>
      <c r="AC33">
        <v>3.79</v>
      </c>
      <c r="AD33">
        <v>16782.12</v>
      </c>
      <c r="AE33">
        <v>3498.12</v>
      </c>
      <c r="AF33" t="s">
        <v>870</v>
      </c>
      <c r="AG33">
        <v>13284</v>
      </c>
      <c r="AH33">
        <v>0.79</v>
      </c>
    </row>
    <row r="34" spans="1:34" x14ac:dyDescent="0.25">
      <c r="A34" t="s">
        <v>276</v>
      </c>
      <c r="B34">
        <v>33</v>
      </c>
      <c r="C34" t="s">
        <v>487</v>
      </c>
      <c r="D34" t="s">
        <v>229</v>
      </c>
      <c r="E34" t="s">
        <v>515</v>
      </c>
      <c r="F34" t="s">
        <v>516</v>
      </c>
      <c r="G34" s="25">
        <v>44207</v>
      </c>
      <c r="H34">
        <v>3</v>
      </c>
      <c r="I34">
        <v>11</v>
      </c>
      <c r="J34" t="s">
        <v>952</v>
      </c>
      <c r="K34" t="s">
        <v>510</v>
      </c>
      <c r="L34" t="s">
        <v>231</v>
      </c>
      <c r="M34" t="s">
        <v>926</v>
      </c>
      <c r="N34" t="s">
        <v>185</v>
      </c>
      <c r="O34" t="s">
        <v>953</v>
      </c>
      <c r="P34" t="s">
        <v>867</v>
      </c>
      <c r="Q34" t="s">
        <v>954</v>
      </c>
      <c r="R34" t="s">
        <v>955</v>
      </c>
      <c r="S34" t="s">
        <v>232</v>
      </c>
      <c r="T34" t="s">
        <v>508</v>
      </c>
      <c r="U34" t="s">
        <v>47</v>
      </c>
      <c r="V34" t="s">
        <v>234</v>
      </c>
      <c r="W34" t="s">
        <v>46</v>
      </c>
      <c r="X34" t="s">
        <v>21</v>
      </c>
      <c r="Y34" t="s">
        <v>288</v>
      </c>
      <c r="Z34">
        <v>4029</v>
      </c>
      <c r="AA34">
        <v>4029</v>
      </c>
      <c r="AB34" t="s">
        <v>237</v>
      </c>
      <c r="AC34">
        <v>3.79</v>
      </c>
      <c r="AD34">
        <v>15269.91</v>
      </c>
      <c r="AE34">
        <v>3182.91</v>
      </c>
      <c r="AF34" t="s">
        <v>870</v>
      </c>
      <c r="AG34">
        <v>12087</v>
      </c>
      <c r="AH34">
        <v>0.79</v>
      </c>
    </row>
    <row r="35" spans="1:34" x14ac:dyDescent="0.25">
      <c r="A35" t="s">
        <v>260</v>
      </c>
      <c r="B35">
        <v>34</v>
      </c>
      <c r="C35" t="s">
        <v>487</v>
      </c>
      <c r="D35" t="s">
        <v>229</v>
      </c>
      <c r="E35" t="s">
        <v>515</v>
      </c>
      <c r="F35" t="s">
        <v>516</v>
      </c>
      <c r="G35" s="25">
        <v>44207</v>
      </c>
      <c r="H35">
        <v>3</v>
      </c>
      <c r="I35">
        <v>11</v>
      </c>
      <c r="J35" t="s">
        <v>952</v>
      </c>
      <c r="K35" t="s">
        <v>956</v>
      </c>
      <c r="L35" t="s">
        <v>231</v>
      </c>
      <c r="M35" t="s">
        <v>926</v>
      </c>
      <c r="N35" t="s">
        <v>185</v>
      </c>
      <c r="O35" t="s">
        <v>953</v>
      </c>
      <c r="P35" t="s">
        <v>867</v>
      </c>
      <c r="Q35" t="s">
        <v>954</v>
      </c>
      <c r="R35" t="s">
        <v>955</v>
      </c>
      <c r="S35" t="s">
        <v>232</v>
      </c>
      <c r="T35" t="s">
        <v>508</v>
      </c>
      <c r="U35" t="s">
        <v>47</v>
      </c>
      <c r="V35" t="s">
        <v>234</v>
      </c>
      <c r="W35" t="s">
        <v>46</v>
      </c>
      <c r="X35" t="s">
        <v>21</v>
      </c>
      <c r="Y35" t="s">
        <v>288</v>
      </c>
      <c r="Z35">
        <v>4100</v>
      </c>
      <c r="AA35">
        <v>4100</v>
      </c>
      <c r="AB35" t="s">
        <v>237</v>
      </c>
      <c r="AC35">
        <v>3.79</v>
      </c>
      <c r="AD35">
        <v>15539</v>
      </c>
      <c r="AE35">
        <v>3239</v>
      </c>
      <c r="AF35" t="s">
        <v>870</v>
      </c>
      <c r="AG35">
        <v>12300</v>
      </c>
      <c r="AH35">
        <v>0.79</v>
      </c>
    </row>
    <row r="36" spans="1:34" x14ac:dyDescent="0.25">
      <c r="A36" t="s">
        <v>315</v>
      </c>
      <c r="B36">
        <v>35</v>
      </c>
      <c r="C36" t="s">
        <v>487</v>
      </c>
      <c r="D36" t="s">
        <v>229</v>
      </c>
      <c r="E36" t="s">
        <v>515</v>
      </c>
      <c r="F36" t="s">
        <v>516</v>
      </c>
      <c r="G36" s="25">
        <v>44207</v>
      </c>
      <c r="H36">
        <v>3</v>
      </c>
      <c r="I36">
        <v>11</v>
      </c>
      <c r="J36" t="s">
        <v>957</v>
      </c>
      <c r="K36" t="s">
        <v>510</v>
      </c>
      <c r="L36" t="s">
        <v>231</v>
      </c>
      <c r="M36" t="s">
        <v>872</v>
      </c>
      <c r="N36" t="s">
        <v>184</v>
      </c>
      <c r="O36" t="s">
        <v>958</v>
      </c>
      <c r="P36" t="s">
        <v>867</v>
      </c>
      <c r="Q36" t="s">
        <v>959</v>
      </c>
      <c r="R36" t="s">
        <v>960</v>
      </c>
      <c r="S36" t="s">
        <v>232</v>
      </c>
      <c r="T36" t="s">
        <v>508</v>
      </c>
      <c r="U36" t="s">
        <v>47</v>
      </c>
      <c r="V36" t="s">
        <v>234</v>
      </c>
      <c r="W36" t="s">
        <v>46</v>
      </c>
      <c r="X36" t="s">
        <v>21</v>
      </c>
      <c r="Y36" t="s">
        <v>288</v>
      </c>
      <c r="Z36">
        <v>4300</v>
      </c>
      <c r="AA36">
        <v>4300</v>
      </c>
      <c r="AB36" t="s">
        <v>237</v>
      </c>
      <c r="AC36">
        <v>3.79</v>
      </c>
      <c r="AD36">
        <v>16297</v>
      </c>
      <c r="AE36">
        <v>3397</v>
      </c>
      <c r="AF36" t="s">
        <v>870</v>
      </c>
      <c r="AG36">
        <v>12900</v>
      </c>
      <c r="AH36">
        <v>0.79</v>
      </c>
    </row>
    <row r="37" spans="1:34" x14ac:dyDescent="0.25">
      <c r="A37" t="s">
        <v>298</v>
      </c>
      <c r="B37">
        <v>36</v>
      </c>
      <c r="C37" t="s">
        <v>487</v>
      </c>
      <c r="D37" t="s">
        <v>229</v>
      </c>
      <c r="E37" t="s">
        <v>515</v>
      </c>
      <c r="F37" t="s">
        <v>516</v>
      </c>
      <c r="G37" s="25">
        <v>44207</v>
      </c>
      <c r="H37">
        <v>3</v>
      </c>
      <c r="I37">
        <v>11</v>
      </c>
      <c r="J37" t="s">
        <v>952</v>
      </c>
      <c r="K37" t="s">
        <v>876</v>
      </c>
      <c r="L37" t="s">
        <v>231</v>
      </c>
      <c r="M37" t="s">
        <v>926</v>
      </c>
      <c r="N37" t="s">
        <v>185</v>
      </c>
      <c r="O37" t="s">
        <v>953</v>
      </c>
      <c r="P37" t="s">
        <v>867</v>
      </c>
      <c r="Q37" t="s">
        <v>954</v>
      </c>
      <c r="R37" t="s">
        <v>955</v>
      </c>
      <c r="S37" t="s">
        <v>232</v>
      </c>
      <c r="T37" t="s">
        <v>491</v>
      </c>
      <c r="U37" t="s">
        <v>233</v>
      </c>
      <c r="V37" t="s">
        <v>234</v>
      </c>
      <c r="W37" t="s">
        <v>54</v>
      </c>
      <c r="X37" t="s">
        <v>235</v>
      </c>
      <c r="Y37" t="s">
        <v>236</v>
      </c>
      <c r="Z37">
        <v>3145</v>
      </c>
      <c r="AA37">
        <v>3145</v>
      </c>
      <c r="AB37" t="s">
        <v>237</v>
      </c>
      <c r="AC37">
        <v>5.26</v>
      </c>
      <c r="AD37">
        <v>16542.7</v>
      </c>
      <c r="AE37">
        <v>7139.15</v>
      </c>
      <c r="AF37" t="s">
        <v>870</v>
      </c>
      <c r="AG37">
        <v>9403.5499999999993</v>
      </c>
      <c r="AH37">
        <v>0.56999999999999995</v>
      </c>
    </row>
    <row r="38" spans="1:34" x14ac:dyDescent="0.25">
      <c r="A38" t="s">
        <v>331</v>
      </c>
      <c r="B38">
        <v>37</v>
      </c>
      <c r="C38" t="s">
        <v>487</v>
      </c>
      <c r="D38" t="s">
        <v>229</v>
      </c>
      <c r="E38" t="s">
        <v>515</v>
      </c>
      <c r="F38" t="s">
        <v>516</v>
      </c>
      <c r="G38" s="25">
        <v>44207</v>
      </c>
      <c r="H38">
        <v>3</v>
      </c>
      <c r="I38">
        <v>11</v>
      </c>
      <c r="J38" t="s">
        <v>952</v>
      </c>
      <c r="K38" t="s">
        <v>921</v>
      </c>
      <c r="L38" t="s">
        <v>231</v>
      </c>
      <c r="M38" t="s">
        <v>926</v>
      </c>
      <c r="N38" t="s">
        <v>185</v>
      </c>
      <c r="O38" t="s">
        <v>953</v>
      </c>
      <c r="P38" t="s">
        <v>867</v>
      </c>
      <c r="Q38" t="s">
        <v>954</v>
      </c>
      <c r="R38" t="s">
        <v>955</v>
      </c>
      <c r="S38" t="s">
        <v>232</v>
      </c>
      <c r="T38" t="s">
        <v>491</v>
      </c>
      <c r="U38" t="s">
        <v>233</v>
      </c>
      <c r="V38" t="s">
        <v>234</v>
      </c>
      <c r="W38" t="s">
        <v>54</v>
      </c>
      <c r="X38" t="s">
        <v>235</v>
      </c>
      <c r="Y38" t="s">
        <v>236</v>
      </c>
      <c r="Z38">
        <v>3119</v>
      </c>
      <c r="AA38">
        <v>3119</v>
      </c>
      <c r="AB38" t="s">
        <v>237</v>
      </c>
      <c r="AC38">
        <v>5.26</v>
      </c>
      <c r="AD38">
        <v>16405.939999999999</v>
      </c>
      <c r="AE38">
        <v>7080.13</v>
      </c>
      <c r="AF38" t="s">
        <v>870</v>
      </c>
      <c r="AG38">
        <v>9325.81</v>
      </c>
      <c r="AH38">
        <v>0.56999999999999995</v>
      </c>
    </row>
    <row r="39" spans="1:34" x14ac:dyDescent="0.25">
      <c r="A39" t="s">
        <v>358</v>
      </c>
      <c r="B39">
        <v>38</v>
      </c>
      <c r="C39" t="s">
        <v>487</v>
      </c>
      <c r="D39" t="s">
        <v>229</v>
      </c>
      <c r="E39" t="s">
        <v>515</v>
      </c>
      <c r="F39" t="s">
        <v>516</v>
      </c>
      <c r="G39" s="25">
        <v>44207</v>
      </c>
      <c r="H39">
        <v>3</v>
      </c>
      <c r="I39">
        <v>11</v>
      </c>
      <c r="J39" t="s">
        <v>957</v>
      </c>
      <c r="K39" t="s">
        <v>876</v>
      </c>
      <c r="L39" t="s">
        <v>231</v>
      </c>
      <c r="M39" t="s">
        <v>872</v>
      </c>
      <c r="N39" t="s">
        <v>184</v>
      </c>
      <c r="O39" t="s">
        <v>958</v>
      </c>
      <c r="P39" t="s">
        <v>867</v>
      </c>
      <c r="Q39" t="s">
        <v>959</v>
      </c>
      <c r="R39" t="s">
        <v>960</v>
      </c>
      <c r="S39" t="s">
        <v>232</v>
      </c>
      <c r="T39" t="s">
        <v>491</v>
      </c>
      <c r="U39" t="s">
        <v>233</v>
      </c>
      <c r="V39" t="s">
        <v>234</v>
      </c>
      <c r="W39" t="s">
        <v>54</v>
      </c>
      <c r="X39" t="s">
        <v>235</v>
      </c>
      <c r="Y39" t="s">
        <v>236</v>
      </c>
      <c r="Z39">
        <v>2736</v>
      </c>
      <c r="AA39">
        <v>2736</v>
      </c>
      <c r="AB39" t="s">
        <v>237</v>
      </c>
      <c r="AC39">
        <v>5.26</v>
      </c>
      <c r="AD39">
        <v>14391.36</v>
      </c>
      <c r="AE39">
        <v>6210.72</v>
      </c>
      <c r="AF39" t="s">
        <v>870</v>
      </c>
      <c r="AG39">
        <v>8180.64</v>
      </c>
      <c r="AH39">
        <v>0.56999999999999995</v>
      </c>
    </row>
    <row r="40" spans="1:34" x14ac:dyDescent="0.25">
      <c r="A40" t="s">
        <v>246</v>
      </c>
      <c r="B40">
        <v>39</v>
      </c>
      <c r="C40" t="s">
        <v>487</v>
      </c>
      <c r="D40" t="s">
        <v>229</v>
      </c>
      <c r="E40" t="s">
        <v>232</v>
      </c>
      <c r="F40" t="s">
        <v>520</v>
      </c>
      <c r="G40" s="25">
        <v>44208</v>
      </c>
      <c r="H40">
        <v>3</v>
      </c>
      <c r="I40">
        <v>12</v>
      </c>
      <c r="J40" t="s">
        <v>961</v>
      </c>
      <c r="K40" t="s">
        <v>876</v>
      </c>
      <c r="L40" t="s">
        <v>231</v>
      </c>
      <c r="M40" t="s">
        <v>872</v>
      </c>
      <c r="N40" t="s">
        <v>184</v>
      </c>
      <c r="O40" t="s">
        <v>962</v>
      </c>
      <c r="P40" t="s">
        <v>867</v>
      </c>
      <c r="Q40" t="s">
        <v>963</v>
      </c>
      <c r="R40" t="s">
        <v>964</v>
      </c>
      <c r="S40" t="s">
        <v>239</v>
      </c>
      <c r="T40" t="s">
        <v>491</v>
      </c>
      <c r="U40" t="s">
        <v>233</v>
      </c>
      <c r="V40" t="s">
        <v>234</v>
      </c>
      <c r="W40" t="s">
        <v>54</v>
      </c>
      <c r="X40" t="s">
        <v>235</v>
      </c>
      <c r="Y40" t="s">
        <v>236</v>
      </c>
      <c r="Z40">
        <v>970</v>
      </c>
      <c r="AA40">
        <v>970</v>
      </c>
      <c r="AB40" t="s">
        <v>237</v>
      </c>
      <c r="AC40">
        <v>5.26</v>
      </c>
      <c r="AD40">
        <v>5102.2</v>
      </c>
      <c r="AE40">
        <v>2201.9</v>
      </c>
      <c r="AF40" t="s">
        <v>870</v>
      </c>
      <c r="AG40">
        <v>2900.3</v>
      </c>
      <c r="AH40">
        <v>0.56999999999999995</v>
      </c>
    </row>
    <row r="41" spans="1:34" x14ac:dyDescent="0.25">
      <c r="A41" t="s">
        <v>294</v>
      </c>
      <c r="B41">
        <v>40</v>
      </c>
      <c r="C41" t="s">
        <v>487</v>
      </c>
      <c r="D41" t="s">
        <v>229</v>
      </c>
      <c r="E41" t="s">
        <v>232</v>
      </c>
      <c r="F41" t="s">
        <v>520</v>
      </c>
      <c r="G41" s="25">
        <v>44208</v>
      </c>
      <c r="H41">
        <v>3</v>
      </c>
      <c r="I41">
        <v>12</v>
      </c>
      <c r="J41" t="s">
        <v>961</v>
      </c>
      <c r="K41" t="s">
        <v>510</v>
      </c>
      <c r="L41" t="s">
        <v>231</v>
      </c>
      <c r="M41" t="s">
        <v>872</v>
      </c>
      <c r="N41" t="s">
        <v>184</v>
      </c>
      <c r="O41" t="s">
        <v>962</v>
      </c>
      <c r="P41" t="s">
        <v>867</v>
      </c>
      <c r="Q41" t="s">
        <v>963</v>
      </c>
      <c r="R41" t="s">
        <v>964</v>
      </c>
      <c r="S41" t="s">
        <v>239</v>
      </c>
      <c r="T41" t="s">
        <v>491</v>
      </c>
      <c r="U41" t="s">
        <v>233</v>
      </c>
      <c r="V41" t="s">
        <v>234</v>
      </c>
      <c r="W41" t="s">
        <v>54</v>
      </c>
      <c r="X41" t="s">
        <v>235</v>
      </c>
      <c r="Y41" t="s">
        <v>236</v>
      </c>
      <c r="Z41">
        <v>2667</v>
      </c>
      <c r="AA41">
        <v>2667</v>
      </c>
      <c r="AB41" t="s">
        <v>237</v>
      </c>
      <c r="AC41">
        <v>5.26</v>
      </c>
      <c r="AD41">
        <v>14028.42</v>
      </c>
      <c r="AE41">
        <v>6054.09</v>
      </c>
      <c r="AF41" t="s">
        <v>870</v>
      </c>
      <c r="AG41">
        <v>7974.33</v>
      </c>
      <c r="AH41">
        <v>0.56999999999999995</v>
      </c>
    </row>
    <row r="42" spans="1:34" x14ac:dyDescent="0.25">
      <c r="A42" t="s">
        <v>369</v>
      </c>
      <c r="B42">
        <v>41</v>
      </c>
      <c r="C42" t="s">
        <v>487</v>
      </c>
      <c r="D42" t="s">
        <v>229</v>
      </c>
      <c r="E42" t="s">
        <v>232</v>
      </c>
      <c r="F42" t="s">
        <v>520</v>
      </c>
      <c r="G42" s="25">
        <v>44208</v>
      </c>
      <c r="H42">
        <v>3</v>
      </c>
      <c r="I42">
        <v>12</v>
      </c>
      <c r="J42" t="s">
        <v>969</v>
      </c>
      <c r="K42" t="s">
        <v>956</v>
      </c>
      <c r="L42" t="s">
        <v>231</v>
      </c>
      <c r="M42" t="s">
        <v>911</v>
      </c>
      <c r="N42" t="s">
        <v>186</v>
      </c>
      <c r="O42" t="s">
        <v>970</v>
      </c>
      <c r="P42" t="s">
        <v>867</v>
      </c>
      <c r="Q42" t="s">
        <v>971</v>
      </c>
      <c r="R42" t="s">
        <v>972</v>
      </c>
      <c r="S42" t="s">
        <v>232</v>
      </c>
      <c r="T42" t="s">
        <v>508</v>
      </c>
      <c r="U42" t="s">
        <v>47</v>
      </c>
      <c r="V42" t="s">
        <v>234</v>
      </c>
      <c r="W42" t="s">
        <v>46</v>
      </c>
      <c r="X42" t="s">
        <v>21</v>
      </c>
      <c r="Y42" t="s">
        <v>288</v>
      </c>
      <c r="Z42">
        <v>3907</v>
      </c>
      <c r="AA42">
        <v>3907</v>
      </c>
      <c r="AB42" t="s">
        <v>237</v>
      </c>
      <c r="AC42">
        <v>3.79</v>
      </c>
      <c r="AD42">
        <v>14807.53</v>
      </c>
      <c r="AE42">
        <v>3086.53</v>
      </c>
      <c r="AF42" t="s">
        <v>870</v>
      </c>
      <c r="AG42">
        <v>11721</v>
      </c>
      <c r="AH42">
        <v>0.79</v>
      </c>
    </row>
    <row r="43" spans="1:34" x14ac:dyDescent="0.25">
      <c r="A43" t="s">
        <v>368</v>
      </c>
      <c r="B43">
        <v>42</v>
      </c>
      <c r="C43" t="s">
        <v>487</v>
      </c>
      <c r="D43" t="s">
        <v>229</v>
      </c>
      <c r="E43" t="s">
        <v>232</v>
      </c>
      <c r="F43" t="s">
        <v>520</v>
      </c>
      <c r="G43" s="25">
        <v>44208</v>
      </c>
      <c r="H43">
        <v>3</v>
      </c>
      <c r="I43">
        <v>12</v>
      </c>
      <c r="J43" t="s">
        <v>965</v>
      </c>
      <c r="K43" t="s">
        <v>510</v>
      </c>
      <c r="L43" t="s">
        <v>231</v>
      </c>
      <c r="M43" t="s">
        <v>173</v>
      </c>
      <c r="N43" t="s">
        <v>185</v>
      </c>
      <c r="O43" t="s">
        <v>966</v>
      </c>
      <c r="P43" t="s">
        <v>867</v>
      </c>
      <c r="Q43" t="s">
        <v>967</v>
      </c>
      <c r="R43" t="s">
        <v>968</v>
      </c>
      <c r="S43" t="s">
        <v>232</v>
      </c>
      <c r="T43" t="s">
        <v>508</v>
      </c>
      <c r="U43" t="s">
        <v>47</v>
      </c>
      <c r="V43" t="s">
        <v>234</v>
      </c>
      <c r="W43" t="s">
        <v>46</v>
      </c>
      <c r="X43" t="s">
        <v>21</v>
      </c>
      <c r="Y43" t="s">
        <v>288</v>
      </c>
      <c r="Z43">
        <v>3236</v>
      </c>
      <c r="AA43">
        <v>3236</v>
      </c>
      <c r="AB43" t="s">
        <v>237</v>
      </c>
      <c r="AC43">
        <v>3.79</v>
      </c>
      <c r="AD43">
        <v>12264.44</v>
      </c>
      <c r="AE43">
        <v>2556.44</v>
      </c>
      <c r="AF43" t="s">
        <v>870</v>
      </c>
      <c r="AG43">
        <v>9708</v>
      </c>
      <c r="AH43">
        <v>0.79</v>
      </c>
    </row>
    <row r="44" spans="1:34" x14ac:dyDescent="0.25">
      <c r="A44" t="s">
        <v>267</v>
      </c>
      <c r="B44">
        <v>43</v>
      </c>
      <c r="C44" t="s">
        <v>487</v>
      </c>
      <c r="D44" t="s">
        <v>229</v>
      </c>
      <c r="E44" t="s">
        <v>232</v>
      </c>
      <c r="F44" t="s">
        <v>520</v>
      </c>
      <c r="G44" s="25">
        <v>44208</v>
      </c>
      <c r="H44">
        <v>3</v>
      </c>
      <c r="I44">
        <v>12</v>
      </c>
      <c r="J44" t="s">
        <v>969</v>
      </c>
      <c r="K44" t="s">
        <v>510</v>
      </c>
      <c r="L44" t="s">
        <v>231</v>
      </c>
      <c r="M44" t="s">
        <v>911</v>
      </c>
      <c r="N44" t="s">
        <v>186</v>
      </c>
      <c r="O44" t="s">
        <v>970</v>
      </c>
      <c r="P44" t="s">
        <v>867</v>
      </c>
      <c r="Q44" t="s">
        <v>971</v>
      </c>
      <c r="R44" t="s">
        <v>972</v>
      </c>
      <c r="S44" t="s">
        <v>232</v>
      </c>
      <c r="T44" t="s">
        <v>491</v>
      </c>
      <c r="U44" t="s">
        <v>233</v>
      </c>
      <c r="V44" t="s">
        <v>234</v>
      </c>
      <c r="W44" t="s">
        <v>54</v>
      </c>
      <c r="X44" t="s">
        <v>235</v>
      </c>
      <c r="Y44" t="s">
        <v>236</v>
      </c>
      <c r="Z44">
        <v>3110</v>
      </c>
      <c r="AA44">
        <v>3110</v>
      </c>
      <c r="AB44" t="s">
        <v>237</v>
      </c>
      <c r="AC44">
        <v>5.26</v>
      </c>
      <c r="AD44">
        <v>16358.6</v>
      </c>
      <c r="AE44">
        <v>7059.7</v>
      </c>
      <c r="AF44" t="s">
        <v>870</v>
      </c>
      <c r="AG44">
        <v>9298.9</v>
      </c>
      <c r="AH44">
        <v>0.56999999999999995</v>
      </c>
    </row>
    <row r="45" spans="1:34" x14ac:dyDescent="0.25">
      <c r="A45" t="s">
        <v>305</v>
      </c>
      <c r="B45">
        <v>44</v>
      </c>
      <c r="C45" t="s">
        <v>487</v>
      </c>
      <c r="D45" t="s">
        <v>229</v>
      </c>
      <c r="E45" t="s">
        <v>232</v>
      </c>
      <c r="F45" t="s">
        <v>520</v>
      </c>
      <c r="G45" s="25">
        <v>44208</v>
      </c>
      <c r="H45">
        <v>3</v>
      </c>
      <c r="I45">
        <v>12</v>
      </c>
      <c r="J45" t="s">
        <v>969</v>
      </c>
      <c r="K45" t="s">
        <v>921</v>
      </c>
      <c r="L45" t="s">
        <v>231</v>
      </c>
      <c r="M45" t="s">
        <v>911</v>
      </c>
      <c r="N45" t="s">
        <v>186</v>
      </c>
      <c r="O45" t="s">
        <v>970</v>
      </c>
      <c r="P45" t="s">
        <v>867</v>
      </c>
      <c r="Q45" t="s">
        <v>971</v>
      </c>
      <c r="R45" t="s">
        <v>972</v>
      </c>
      <c r="S45" t="s">
        <v>232</v>
      </c>
      <c r="T45" t="s">
        <v>491</v>
      </c>
      <c r="U45" t="s">
        <v>233</v>
      </c>
      <c r="V45" t="s">
        <v>234</v>
      </c>
      <c r="W45" t="s">
        <v>54</v>
      </c>
      <c r="X45" t="s">
        <v>235</v>
      </c>
      <c r="Y45" t="s">
        <v>236</v>
      </c>
      <c r="Z45">
        <v>2719</v>
      </c>
      <c r="AA45">
        <v>2719</v>
      </c>
      <c r="AB45" t="s">
        <v>237</v>
      </c>
      <c r="AC45">
        <v>5.26</v>
      </c>
      <c r="AD45">
        <v>14301.94</v>
      </c>
      <c r="AE45">
        <v>6172.13</v>
      </c>
      <c r="AF45" t="s">
        <v>870</v>
      </c>
      <c r="AG45">
        <v>8129.81</v>
      </c>
      <c r="AH45">
        <v>0.56999999999999995</v>
      </c>
    </row>
    <row r="46" spans="1:34" x14ac:dyDescent="0.25">
      <c r="A46" t="s">
        <v>306</v>
      </c>
      <c r="B46">
        <v>45</v>
      </c>
      <c r="C46" t="s">
        <v>487</v>
      </c>
      <c r="D46" t="s">
        <v>229</v>
      </c>
      <c r="E46" t="s">
        <v>232</v>
      </c>
      <c r="F46" t="s">
        <v>520</v>
      </c>
      <c r="G46" s="25">
        <v>44208</v>
      </c>
      <c r="H46">
        <v>3</v>
      </c>
      <c r="I46">
        <v>12</v>
      </c>
      <c r="J46" t="s">
        <v>965</v>
      </c>
      <c r="K46" t="s">
        <v>921</v>
      </c>
      <c r="L46" t="s">
        <v>231</v>
      </c>
      <c r="M46" t="s">
        <v>173</v>
      </c>
      <c r="N46" t="s">
        <v>185</v>
      </c>
      <c r="O46" t="s">
        <v>966</v>
      </c>
      <c r="P46" t="s">
        <v>867</v>
      </c>
      <c r="Q46" t="s">
        <v>967</v>
      </c>
      <c r="R46" t="s">
        <v>968</v>
      </c>
      <c r="S46" t="s">
        <v>232</v>
      </c>
      <c r="T46" t="s">
        <v>491</v>
      </c>
      <c r="U46" t="s">
        <v>233</v>
      </c>
      <c r="V46" t="s">
        <v>234</v>
      </c>
      <c r="W46" t="s">
        <v>54</v>
      </c>
      <c r="X46" t="s">
        <v>235</v>
      </c>
      <c r="Y46" t="s">
        <v>236</v>
      </c>
      <c r="Z46">
        <v>2733</v>
      </c>
      <c r="AA46">
        <v>2733</v>
      </c>
      <c r="AB46" t="s">
        <v>237</v>
      </c>
      <c r="AC46">
        <v>5.26</v>
      </c>
      <c r="AD46">
        <v>14375.58</v>
      </c>
      <c r="AE46">
        <v>6203.91</v>
      </c>
      <c r="AF46" t="s">
        <v>870</v>
      </c>
      <c r="AG46">
        <v>8171.67</v>
      </c>
      <c r="AH46">
        <v>0.56999999999999995</v>
      </c>
    </row>
    <row r="47" spans="1:34" x14ac:dyDescent="0.25">
      <c r="A47" t="s">
        <v>289</v>
      </c>
      <c r="B47">
        <v>46</v>
      </c>
      <c r="C47" t="s">
        <v>487</v>
      </c>
      <c r="D47" t="s">
        <v>229</v>
      </c>
      <c r="E47" t="s">
        <v>232</v>
      </c>
      <c r="F47" t="s">
        <v>520</v>
      </c>
      <c r="G47" s="25">
        <v>44208</v>
      </c>
      <c r="H47">
        <v>3</v>
      </c>
      <c r="I47">
        <v>12</v>
      </c>
      <c r="J47" t="s">
        <v>965</v>
      </c>
      <c r="K47" t="s">
        <v>876</v>
      </c>
      <c r="L47" t="s">
        <v>231</v>
      </c>
      <c r="M47" t="s">
        <v>173</v>
      </c>
      <c r="N47" t="s">
        <v>185</v>
      </c>
      <c r="O47" t="s">
        <v>966</v>
      </c>
      <c r="P47" t="s">
        <v>867</v>
      </c>
      <c r="Q47" t="s">
        <v>967</v>
      </c>
      <c r="R47" t="s">
        <v>968</v>
      </c>
      <c r="S47" t="s">
        <v>232</v>
      </c>
      <c r="T47" t="s">
        <v>491</v>
      </c>
      <c r="U47" t="s">
        <v>233</v>
      </c>
      <c r="V47" t="s">
        <v>234</v>
      </c>
      <c r="W47" t="s">
        <v>54</v>
      </c>
      <c r="X47" t="s">
        <v>235</v>
      </c>
      <c r="Y47" t="s">
        <v>236</v>
      </c>
      <c r="Z47">
        <v>2801</v>
      </c>
      <c r="AA47">
        <v>2801</v>
      </c>
      <c r="AB47" t="s">
        <v>237</v>
      </c>
      <c r="AC47">
        <v>5.26</v>
      </c>
      <c r="AD47">
        <v>14733.26</v>
      </c>
      <c r="AE47">
        <v>6358.27</v>
      </c>
      <c r="AF47" t="s">
        <v>870</v>
      </c>
      <c r="AG47">
        <v>8374.99</v>
      </c>
      <c r="AH47">
        <v>0.56999999999999995</v>
      </c>
    </row>
    <row r="48" spans="1:34" x14ac:dyDescent="0.25">
      <c r="A48" t="s">
        <v>290</v>
      </c>
      <c r="B48">
        <v>47</v>
      </c>
      <c r="C48" t="s">
        <v>487</v>
      </c>
      <c r="D48" t="s">
        <v>229</v>
      </c>
      <c r="E48" t="s">
        <v>232</v>
      </c>
      <c r="F48" t="s">
        <v>520</v>
      </c>
      <c r="G48" s="25">
        <v>44208</v>
      </c>
      <c r="H48">
        <v>3</v>
      </c>
      <c r="I48">
        <v>12</v>
      </c>
      <c r="J48" t="s">
        <v>969</v>
      </c>
      <c r="K48" t="s">
        <v>876</v>
      </c>
      <c r="L48" t="s">
        <v>231</v>
      </c>
      <c r="M48" t="s">
        <v>911</v>
      </c>
      <c r="N48" t="s">
        <v>186</v>
      </c>
      <c r="O48" t="s">
        <v>970</v>
      </c>
      <c r="P48" t="s">
        <v>867</v>
      </c>
      <c r="Q48" t="s">
        <v>971</v>
      </c>
      <c r="R48" t="s">
        <v>972</v>
      </c>
      <c r="S48" t="s">
        <v>232</v>
      </c>
      <c r="T48" t="s">
        <v>502</v>
      </c>
      <c r="U48" t="s">
        <v>287</v>
      </c>
      <c r="V48" t="s">
        <v>234</v>
      </c>
      <c r="W48" t="s">
        <v>58</v>
      </c>
      <c r="X48" t="s">
        <v>235</v>
      </c>
      <c r="Y48" t="s">
        <v>288</v>
      </c>
      <c r="Z48">
        <v>2000</v>
      </c>
      <c r="AA48">
        <v>2000</v>
      </c>
      <c r="AB48" t="s">
        <v>237</v>
      </c>
      <c r="AC48">
        <v>4.38</v>
      </c>
      <c r="AD48">
        <v>8760</v>
      </c>
      <c r="AE48">
        <v>2780</v>
      </c>
      <c r="AF48" t="s">
        <v>870</v>
      </c>
      <c r="AG48">
        <v>5980</v>
      </c>
      <c r="AH48">
        <v>0.68</v>
      </c>
    </row>
    <row r="49" spans="1:34" x14ac:dyDescent="0.25">
      <c r="A49" t="s">
        <v>291</v>
      </c>
      <c r="B49">
        <v>48</v>
      </c>
      <c r="C49" t="s">
        <v>487</v>
      </c>
      <c r="D49" t="s">
        <v>229</v>
      </c>
      <c r="E49" t="s">
        <v>512</v>
      </c>
      <c r="F49" t="s">
        <v>513</v>
      </c>
      <c r="G49" s="25">
        <v>44209</v>
      </c>
      <c r="H49">
        <v>3</v>
      </c>
      <c r="I49">
        <v>13</v>
      </c>
      <c r="J49" t="s">
        <v>973</v>
      </c>
      <c r="K49" t="s">
        <v>921</v>
      </c>
      <c r="L49" t="s">
        <v>231</v>
      </c>
      <c r="M49" t="s">
        <v>926</v>
      </c>
      <c r="N49" t="s">
        <v>185</v>
      </c>
      <c r="O49" t="s">
        <v>974</v>
      </c>
      <c r="P49" t="s">
        <v>867</v>
      </c>
      <c r="Q49" t="s">
        <v>975</v>
      </c>
      <c r="R49" t="s">
        <v>976</v>
      </c>
      <c r="S49" t="s">
        <v>232</v>
      </c>
      <c r="T49" t="s">
        <v>502</v>
      </c>
      <c r="U49" t="s">
        <v>287</v>
      </c>
      <c r="V49" t="s">
        <v>234</v>
      </c>
      <c r="W49" t="s">
        <v>58</v>
      </c>
      <c r="X49" t="s">
        <v>235</v>
      </c>
      <c r="Y49" t="s">
        <v>288</v>
      </c>
      <c r="Z49">
        <v>3011</v>
      </c>
      <c r="AA49">
        <v>3011</v>
      </c>
      <c r="AB49" t="s">
        <v>237</v>
      </c>
      <c r="AC49">
        <v>4.38</v>
      </c>
      <c r="AD49">
        <v>13188.18</v>
      </c>
      <c r="AE49">
        <v>4185.29</v>
      </c>
      <c r="AF49" t="s">
        <v>870</v>
      </c>
      <c r="AG49">
        <v>9002.89</v>
      </c>
      <c r="AH49">
        <v>0.68</v>
      </c>
    </row>
    <row r="50" spans="1:34" x14ac:dyDescent="0.25">
      <c r="A50" t="s">
        <v>317</v>
      </c>
      <c r="B50">
        <v>49</v>
      </c>
      <c r="C50" t="s">
        <v>487</v>
      </c>
      <c r="D50" t="s">
        <v>229</v>
      </c>
      <c r="E50" t="s">
        <v>512</v>
      </c>
      <c r="F50" t="s">
        <v>513</v>
      </c>
      <c r="G50" s="25">
        <v>44209</v>
      </c>
      <c r="H50">
        <v>3</v>
      </c>
      <c r="I50">
        <v>13</v>
      </c>
      <c r="J50" t="s">
        <v>973</v>
      </c>
      <c r="K50" t="s">
        <v>510</v>
      </c>
      <c r="L50" t="s">
        <v>231</v>
      </c>
      <c r="M50" t="s">
        <v>926</v>
      </c>
      <c r="N50" t="s">
        <v>185</v>
      </c>
      <c r="O50" t="s">
        <v>974</v>
      </c>
      <c r="P50" t="s">
        <v>867</v>
      </c>
      <c r="Q50" t="s">
        <v>975</v>
      </c>
      <c r="R50" t="s">
        <v>976</v>
      </c>
      <c r="S50" t="s">
        <v>232</v>
      </c>
      <c r="T50" t="s">
        <v>502</v>
      </c>
      <c r="U50" t="s">
        <v>287</v>
      </c>
      <c r="V50" t="s">
        <v>234</v>
      </c>
      <c r="W50" t="s">
        <v>58</v>
      </c>
      <c r="X50" t="s">
        <v>235</v>
      </c>
      <c r="Y50" t="s">
        <v>288</v>
      </c>
      <c r="Z50">
        <v>3576</v>
      </c>
      <c r="AA50">
        <v>3576</v>
      </c>
      <c r="AB50" t="s">
        <v>237</v>
      </c>
      <c r="AC50">
        <v>4.38</v>
      </c>
      <c r="AD50">
        <v>15662.88</v>
      </c>
      <c r="AE50">
        <v>4970.6400000000003</v>
      </c>
      <c r="AF50" t="s">
        <v>870</v>
      </c>
      <c r="AG50">
        <v>10692.24</v>
      </c>
      <c r="AH50">
        <v>0.68</v>
      </c>
    </row>
    <row r="51" spans="1:34" x14ac:dyDescent="0.25">
      <c r="A51" t="s">
        <v>375</v>
      </c>
      <c r="B51">
        <v>50</v>
      </c>
      <c r="C51" t="s">
        <v>487</v>
      </c>
      <c r="D51" t="s">
        <v>229</v>
      </c>
      <c r="E51" t="s">
        <v>512</v>
      </c>
      <c r="F51" t="s">
        <v>513</v>
      </c>
      <c r="G51" s="25">
        <v>44209</v>
      </c>
      <c r="H51">
        <v>3</v>
      </c>
      <c r="I51">
        <v>13</v>
      </c>
      <c r="J51" t="s">
        <v>973</v>
      </c>
      <c r="K51" t="s">
        <v>956</v>
      </c>
      <c r="L51" t="s">
        <v>231</v>
      </c>
      <c r="M51" t="s">
        <v>926</v>
      </c>
      <c r="N51" t="s">
        <v>185</v>
      </c>
      <c r="O51" t="s">
        <v>974</v>
      </c>
      <c r="P51" t="s">
        <v>867</v>
      </c>
      <c r="Q51" t="s">
        <v>975</v>
      </c>
      <c r="R51" t="s">
        <v>976</v>
      </c>
      <c r="S51" t="s">
        <v>232</v>
      </c>
      <c r="T51" t="s">
        <v>502</v>
      </c>
      <c r="U51" t="s">
        <v>287</v>
      </c>
      <c r="V51" t="s">
        <v>234</v>
      </c>
      <c r="W51" t="s">
        <v>58</v>
      </c>
      <c r="X51" t="s">
        <v>235</v>
      </c>
      <c r="Y51" t="s">
        <v>288</v>
      </c>
      <c r="Z51">
        <v>3176</v>
      </c>
      <c r="AA51">
        <v>3176</v>
      </c>
      <c r="AB51" t="s">
        <v>237</v>
      </c>
      <c r="AC51">
        <v>4.38</v>
      </c>
      <c r="AD51">
        <v>13910.88</v>
      </c>
      <c r="AE51">
        <v>4414.6400000000003</v>
      </c>
      <c r="AF51" t="s">
        <v>870</v>
      </c>
      <c r="AG51">
        <v>9496.24</v>
      </c>
      <c r="AH51">
        <v>0.68</v>
      </c>
    </row>
    <row r="52" spans="1:34" x14ac:dyDescent="0.25">
      <c r="A52" t="s">
        <v>374</v>
      </c>
      <c r="B52">
        <v>51</v>
      </c>
      <c r="C52" t="s">
        <v>487</v>
      </c>
      <c r="D52" t="s">
        <v>229</v>
      </c>
      <c r="E52" t="s">
        <v>512</v>
      </c>
      <c r="F52" t="s">
        <v>513</v>
      </c>
      <c r="G52" s="25">
        <v>44209</v>
      </c>
      <c r="H52">
        <v>3</v>
      </c>
      <c r="I52">
        <v>13</v>
      </c>
      <c r="J52" t="s">
        <v>977</v>
      </c>
      <c r="K52" t="s">
        <v>510</v>
      </c>
      <c r="L52" t="s">
        <v>231</v>
      </c>
      <c r="M52" t="s">
        <v>888</v>
      </c>
      <c r="N52" t="s">
        <v>184</v>
      </c>
      <c r="O52" t="s">
        <v>978</v>
      </c>
      <c r="P52" t="s">
        <v>867</v>
      </c>
      <c r="Q52" t="s">
        <v>979</v>
      </c>
      <c r="R52" t="s">
        <v>980</v>
      </c>
      <c r="S52" t="s">
        <v>232</v>
      </c>
      <c r="T52" t="s">
        <v>502</v>
      </c>
      <c r="U52" t="s">
        <v>287</v>
      </c>
      <c r="V52" t="s">
        <v>234</v>
      </c>
      <c r="W52" t="s">
        <v>58</v>
      </c>
      <c r="X52" t="s">
        <v>235</v>
      </c>
      <c r="Y52" t="s">
        <v>288</v>
      </c>
      <c r="Z52">
        <v>3469</v>
      </c>
      <c r="AA52">
        <v>3469</v>
      </c>
      <c r="AB52" t="s">
        <v>237</v>
      </c>
      <c r="AC52">
        <v>4.38</v>
      </c>
      <c r="AD52">
        <v>15194.22</v>
      </c>
      <c r="AE52">
        <v>4821.91</v>
      </c>
      <c r="AF52" t="s">
        <v>870</v>
      </c>
      <c r="AG52">
        <v>10372.31</v>
      </c>
      <c r="AH52">
        <v>0.68</v>
      </c>
    </row>
    <row r="53" spans="1:34" x14ac:dyDescent="0.25">
      <c r="A53" t="s">
        <v>354</v>
      </c>
      <c r="B53">
        <v>52</v>
      </c>
      <c r="C53" t="s">
        <v>487</v>
      </c>
      <c r="D53" t="s">
        <v>229</v>
      </c>
      <c r="E53" t="s">
        <v>512</v>
      </c>
      <c r="F53" t="s">
        <v>513</v>
      </c>
      <c r="G53" s="25">
        <v>44209</v>
      </c>
      <c r="H53">
        <v>3</v>
      </c>
      <c r="I53">
        <v>13</v>
      </c>
      <c r="J53" t="s">
        <v>977</v>
      </c>
      <c r="K53" t="s">
        <v>921</v>
      </c>
      <c r="L53" t="s">
        <v>231</v>
      </c>
      <c r="M53" t="s">
        <v>888</v>
      </c>
      <c r="N53" t="s">
        <v>184</v>
      </c>
      <c r="O53" t="s">
        <v>978</v>
      </c>
      <c r="P53" t="s">
        <v>867</v>
      </c>
      <c r="Q53" t="s">
        <v>979</v>
      </c>
      <c r="R53" t="s">
        <v>980</v>
      </c>
      <c r="S53" t="s">
        <v>232</v>
      </c>
      <c r="T53" t="s">
        <v>502</v>
      </c>
      <c r="U53" t="s">
        <v>287</v>
      </c>
      <c r="V53" t="s">
        <v>234</v>
      </c>
      <c r="W53" t="s">
        <v>58</v>
      </c>
      <c r="X53" t="s">
        <v>235</v>
      </c>
      <c r="Y53" t="s">
        <v>288</v>
      </c>
      <c r="Z53">
        <v>1553</v>
      </c>
      <c r="AA53">
        <v>1553</v>
      </c>
      <c r="AB53" t="s">
        <v>237</v>
      </c>
      <c r="AC53">
        <v>4.38</v>
      </c>
      <c r="AD53">
        <v>6802.14</v>
      </c>
      <c r="AE53">
        <v>2158.67</v>
      </c>
      <c r="AF53" t="s">
        <v>870</v>
      </c>
      <c r="AG53">
        <v>4643.47</v>
      </c>
      <c r="AH53">
        <v>0.68</v>
      </c>
    </row>
    <row r="54" spans="1:34" x14ac:dyDescent="0.25">
      <c r="A54" t="s">
        <v>355</v>
      </c>
      <c r="B54">
        <v>53</v>
      </c>
      <c r="C54" t="s">
        <v>487</v>
      </c>
      <c r="D54" t="s">
        <v>229</v>
      </c>
      <c r="E54" t="s">
        <v>512</v>
      </c>
      <c r="F54" t="s">
        <v>513</v>
      </c>
      <c r="G54" s="25">
        <v>44209</v>
      </c>
      <c r="H54">
        <v>3</v>
      </c>
      <c r="I54">
        <v>13</v>
      </c>
      <c r="J54" t="s">
        <v>977</v>
      </c>
      <c r="K54" t="s">
        <v>876</v>
      </c>
      <c r="L54" t="s">
        <v>231</v>
      </c>
      <c r="M54" t="s">
        <v>888</v>
      </c>
      <c r="N54" t="s">
        <v>184</v>
      </c>
      <c r="O54" t="s">
        <v>978</v>
      </c>
      <c r="P54" t="s">
        <v>867</v>
      </c>
      <c r="Q54" t="s">
        <v>979</v>
      </c>
      <c r="R54" t="s">
        <v>980</v>
      </c>
      <c r="S54" t="s">
        <v>232</v>
      </c>
      <c r="T54" t="s">
        <v>502</v>
      </c>
      <c r="U54" t="s">
        <v>287</v>
      </c>
      <c r="V54" t="s">
        <v>234</v>
      </c>
      <c r="W54" t="s">
        <v>58</v>
      </c>
      <c r="X54" t="s">
        <v>235</v>
      </c>
      <c r="Y54" t="s">
        <v>288</v>
      </c>
      <c r="Z54">
        <v>3466</v>
      </c>
      <c r="AA54">
        <v>3466</v>
      </c>
      <c r="AB54" t="s">
        <v>237</v>
      </c>
      <c r="AC54">
        <v>4.38</v>
      </c>
      <c r="AD54">
        <v>15181.08</v>
      </c>
      <c r="AE54">
        <v>4817.74</v>
      </c>
      <c r="AF54" t="s">
        <v>870</v>
      </c>
      <c r="AG54">
        <v>10363.34</v>
      </c>
      <c r="AH54">
        <v>0.68</v>
      </c>
    </row>
    <row r="55" spans="1:34" x14ac:dyDescent="0.25">
      <c r="A55" t="s">
        <v>362</v>
      </c>
      <c r="B55">
        <v>54</v>
      </c>
      <c r="C55" t="s">
        <v>487</v>
      </c>
      <c r="D55" t="s">
        <v>229</v>
      </c>
      <c r="E55" t="s">
        <v>512</v>
      </c>
      <c r="F55" t="s">
        <v>513</v>
      </c>
      <c r="G55" s="25">
        <v>44209</v>
      </c>
      <c r="H55">
        <v>3</v>
      </c>
      <c r="I55">
        <v>13</v>
      </c>
      <c r="J55" t="s">
        <v>973</v>
      </c>
      <c r="K55" t="s">
        <v>876</v>
      </c>
      <c r="L55" t="s">
        <v>231</v>
      </c>
      <c r="M55" t="s">
        <v>926</v>
      </c>
      <c r="N55" t="s">
        <v>185</v>
      </c>
      <c r="O55" t="s">
        <v>974</v>
      </c>
      <c r="P55" t="s">
        <v>867</v>
      </c>
      <c r="Q55" t="s">
        <v>975</v>
      </c>
      <c r="R55" t="s">
        <v>976</v>
      </c>
      <c r="S55" t="s">
        <v>232</v>
      </c>
      <c r="T55" t="s">
        <v>502</v>
      </c>
      <c r="U55" t="s">
        <v>287</v>
      </c>
      <c r="V55" t="s">
        <v>234</v>
      </c>
      <c r="W55" t="s">
        <v>58</v>
      </c>
      <c r="X55" t="s">
        <v>235</v>
      </c>
      <c r="Y55" t="s">
        <v>288</v>
      </c>
      <c r="Z55">
        <v>3749</v>
      </c>
      <c r="AA55">
        <v>3749</v>
      </c>
      <c r="AB55" t="s">
        <v>237</v>
      </c>
      <c r="AC55">
        <v>4.38</v>
      </c>
      <c r="AD55">
        <v>16420.62</v>
      </c>
      <c r="AE55">
        <v>5211.1099999999997</v>
      </c>
      <c r="AF55" t="s">
        <v>870</v>
      </c>
      <c r="AG55">
        <v>11209.51</v>
      </c>
      <c r="AH55">
        <v>0.68</v>
      </c>
    </row>
    <row r="56" spans="1:34" x14ac:dyDescent="0.25">
      <c r="A56" t="s">
        <v>241</v>
      </c>
      <c r="B56">
        <v>55</v>
      </c>
      <c r="C56" t="s">
        <v>487</v>
      </c>
      <c r="D56" t="s">
        <v>229</v>
      </c>
      <c r="E56" t="s">
        <v>537</v>
      </c>
      <c r="F56" t="s">
        <v>538</v>
      </c>
      <c r="G56" s="25">
        <v>44210</v>
      </c>
      <c r="H56">
        <v>3</v>
      </c>
      <c r="I56">
        <v>14</v>
      </c>
      <c r="J56" t="s">
        <v>981</v>
      </c>
      <c r="K56" t="s">
        <v>510</v>
      </c>
      <c r="L56" t="s">
        <v>231</v>
      </c>
      <c r="M56" t="s">
        <v>931</v>
      </c>
      <c r="N56" t="s">
        <v>186</v>
      </c>
      <c r="O56" t="s">
        <v>982</v>
      </c>
      <c r="P56" t="s">
        <v>867</v>
      </c>
      <c r="Q56" t="s">
        <v>983</v>
      </c>
      <c r="R56" t="s">
        <v>984</v>
      </c>
      <c r="S56" t="s">
        <v>232</v>
      </c>
      <c r="T56" t="s">
        <v>503</v>
      </c>
      <c r="U56" t="s">
        <v>303</v>
      </c>
      <c r="V56" t="s">
        <v>234</v>
      </c>
      <c r="W56" t="s">
        <v>56</v>
      </c>
      <c r="X56" t="s">
        <v>235</v>
      </c>
      <c r="Y56" t="s">
        <v>304</v>
      </c>
      <c r="Z56">
        <v>3078</v>
      </c>
      <c r="AA56">
        <v>3078</v>
      </c>
      <c r="AB56" t="s">
        <v>237</v>
      </c>
      <c r="AC56">
        <v>5.27</v>
      </c>
      <c r="AD56">
        <v>16221.06</v>
      </c>
      <c r="AE56">
        <v>7017.84</v>
      </c>
      <c r="AF56" t="s">
        <v>870</v>
      </c>
      <c r="AG56">
        <v>9203.2199999999993</v>
      </c>
      <c r="AH56">
        <v>0.56999999999999995</v>
      </c>
    </row>
    <row r="57" spans="1:34" x14ac:dyDescent="0.25">
      <c r="A57" t="s">
        <v>259</v>
      </c>
      <c r="B57">
        <v>56</v>
      </c>
      <c r="C57" t="s">
        <v>487</v>
      </c>
      <c r="D57" t="s">
        <v>229</v>
      </c>
      <c r="E57" t="s">
        <v>537</v>
      </c>
      <c r="F57" t="s">
        <v>538</v>
      </c>
      <c r="G57" s="25">
        <v>44210</v>
      </c>
      <c r="H57">
        <v>3</v>
      </c>
      <c r="I57">
        <v>14</v>
      </c>
      <c r="J57" t="s">
        <v>981</v>
      </c>
      <c r="K57" t="s">
        <v>876</v>
      </c>
      <c r="L57" t="s">
        <v>231</v>
      </c>
      <c r="M57" t="s">
        <v>931</v>
      </c>
      <c r="N57" t="s">
        <v>186</v>
      </c>
      <c r="O57" t="s">
        <v>982</v>
      </c>
      <c r="P57" t="s">
        <v>867</v>
      </c>
      <c r="Q57" t="s">
        <v>983</v>
      </c>
      <c r="R57" t="s">
        <v>984</v>
      </c>
      <c r="S57" t="s">
        <v>232</v>
      </c>
      <c r="T57" t="s">
        <v>503</v>
      </c>
      <c r="U57" t="s">
        <v>303</v>
      </c>
      <c r="V57" t="s">
        <v>234</v>
      </c>
      <c r="W57" t="s">
        <v>56</v>
      </c>
      <c r="X57" t="s">
        <v>235</v>
      </c>
      <c r="Y57" t="s">
        <v>304</v>
      </c>
      <c r="Z57">
        <v>2878</v>
      </c>
      <c r="AA57">
        <v>2878</v>
      </c>
      <c r="AB57" t="s">
        <v>237</v>
      </c>
      <c r="AC57">
        <v>5.27</v>
      </c>
      <c r="AD57">
        <v>15167.06</v>
      </c>
      <c r="AE57">
        <v>6561.84</v>
      </c>
      <c r="AF57" t="s">
        <v>870</v>
      </c>
      <c r="AG57">
        <v>8605.2199999999993</v>
      </c>
      <c r="AH57">
        <v>0.56999999999999995</v>
      </c>
    </row>
    <row r="58" spans="1:34" x14ac:dyDescent="0.25">
      <c r="A58" t="s">
        <v>309</v>
      </c>
      <c r="B58">
        <v>57</v>
      </c>
      <c r="C58" t="s">
        <v>487</v>
      </c>
      <c r="D58" t="s">
        <v>229</v>
      </c>
      <c r="E58" t="s">
        <v>537</v>
      </c>
      <c r="F58" t="s">
        <v>538</v>
      </c>
      <c r="G58" s="25">
        <v>44210</v>
      </c>
      <c r="H58">
        <v>3</v>
      </c>
      <c r="I58">
        <v>14</v>
      </c>
      <c r="J58" t="s">
        <v>981</v>
      </c>
      <c r="K58" t="s">
        <v>921</v>
      </c>
      <c r="L58" t="s">
        <v>231</v>
      </c>
      <c r="M58" t="s">
        <v>931</v>
      </c>
      <c r="N58" t="s">
        <v>186</v>
      </c>
      <c r="O58" t="s">
        <v>982</v>
      </c>
      <c r="P58" t="s">
        <v>867</v>
      </c>
      <c r="Q58" t="s">
        <v>983</v>
      </c>
      <c r="R58" t="s">
        <v>984</v>
      </c>
      <c r="S58" t="s">
        <v>232</v>
      </c>
      <c r="T58" t="s">
        <v>503</v>
      </c>
      <c r="U58" t="s">
        <v>303</v>
      </c>
      <c r="V58" t="s">
        <v>234</v>
      </c>
      <c r="W58" t="s">
        <v>56</v>
      </c>
      <c r="X58" t="s">
        <v>235</v>
      </c>
      <c r="Y58" t="s">
        <v>304</v>
      </c>
      <c r="Z58">
        <v>2487</v>
      </c>
      <c r="AA58">
        <v>2487</v>
      </c>
      <c r="AB58" t="s">
        <v>237</v>
      </c>
      <c r="AC58">
        <v>5.27</v>
      </c>
      <c r="AD58">
        <v>13106.49</v>
      </c>
      <c r="AE58">
        <v>5670.36</v>
      </c>
      <c r="AF58" t="s">
        <v>870</v>
      </c>
      <c r="AG58">
        <v>7436.13</v>
      </c>
      <c r="AH58">
        <v>0.56999999999999995</v>
      </c>
    </row>
    <row r="59" spans="1:34" x14ac:dyDescent="0.25">
      <c r="A59" t="s">
        <v>307</v>
      </c>
      <c r="B59">
        <v>58</v>
      </c>
      <c r="C59" t="s">
        <v>487</v>
      </c>
      <c r="D59" t="s">
        <v>229</v>
      </c>
      <c r="E59" t="s">
        <v>537</v>
      </c>
      <c r="F59" t="s">
        <v>538</v>
      </c>
      <c r="G59" s="25">
        <v>44210</v>
      </c>
      <c r="H59">
        <v>3</v>
      </c>
      <c r="I59">
        <v>14</v>
      </c>
      <c r="J59" t="s">
        <v>981</v>
      </c>
      <c r="K59" t="s">
        <v>956</v>
      </c>
      <c r="L59" t="s">
        <v>231</v>
      </c>
      <c r="M59" t="s">
        <v>931</v>
      </c>
      <c r="N59" t="s">
        <v>186</v>
      </c>
      <c r="O59" t="s">
        <v>982</v>
      </c>
      <c r="P59" t="s">
        <v>867</v>
      </c>
      <c r="Q59" t="s">
        <v>983</v>
      </c>
      <c r="R59" t="s">
        <v>984</v>
      </c>
      <c r="S59" t="s">
        <v>232</v>
      </c>
      <c r="T59" t="s">
        <v>503</v>
      </c>
      <c r="U59" t="s">
        <v>303</v>
      </c>
      <c r="V59" t="s">
        <v>234</v>
      </c>
      <c r="W59" t="s">
        <v>56</v>
      </c>
      <c r="X59" t="s">
        <v>235</v>
      </c>
      <c r="Y59" t="s">
        <v>304</v>
      </c>
      <c r="Z59">
        <v>2708</v>
      </c>
      <c r="AA59">
        <v>2708</v>
      </c>
      <c r="AB59" t="s">
        <v>237</v>
      </c>
      <c r="AC59">
        <v>5.27</v>
      </c>
      <c r="AD59">
        <v>14271.16</v>
      </c>
      <c r="AE59">
        <v>6174.24</v>
      </c>
      <c r="AF59" t="s">
        <v>870</v>
      </c>
      <c r="AG59">
        <v>8096.92</v>
      </c>
      <c r="AH59">
        <v>0.56999999999999995</v>
      </c>
    </row>
    <row r="60" spans="1:34" x14ac:dyDescent="0.25">
      <c r="A60" t="s">
        <v>302</v>
      </c>
      <c r="B60">
        <v>59</v>
      </c>
      <c r="C60" t="s">
        <v>487</v>
      </c>
      <c r="D60" t="s">
        <v>229</v>
      </c>
      <c r="E60" t="s">
        <v>537</v>
      </c>
      <c r="F60" t="s">
        <v>538</v>
      </c>
      <c r="G60" s="25">
        <v>44210</v>
      </c>
      <c r="H60">
        <v>3</v>
      </c>
      <c r="I60">
        <v>14</v>
      </c>
      <c r="J60" t="s">
        <v>985</v>
      </c>
      <c r="K60" t="s">
        <v>921</v>
      </c>
      <c r="L60" t="s">
        <v>231</v>
      </c>
      <c r="M60" t="s">
        <v>926</v>
      </c>
      <c r="N60" t="s">
        <v>185</v>
      </c>
      <c r="O60" t="s">
        <v>953</v>
      </c>
      <c r="P60" t="s">
        <v>867</v>
      </c>
      <c r="Q60" t="s">
        <v>986</v>
      </c>
      <c r="R60" t="s">
        <v>987</v>
      </c>
      <c r="S60" t="s">
        <v>232</v>
      </c>
      <c r="T60" t="s">
        <v>503</v>
      </c>
      <c r="U60" t="s">
        <v>303</v>
      </c>
      <c r="V60" t="s">
        <v>234</v>
      </c>
      <c r="W60" t="s">
        <v>56</v>
      </c>
      <c r="X60" t="s">
        <v>235</v>
      </c>
      <c r="Y60" t="s">
        <v>304</v>
      </c>
      <c r="Z60">
        <v>2318</v>
      </c>
      <c r="AA60">
        <v>2318</v>
      </c>
      <c r="AB60" t="s">
        <v>237</v>
      </c>
      <c r="AC60">
        <v>5.27</v>
      </c>
      <c r="AD60">
        <v>12215.86</v>
      </c>
      <c r="AE60">
        <v>5285.04</v>
      </c>
      <c r="AF60" t="s">
        <v>870</v>
      </c>
      <c r="AG60">
        <v>6930.82</v>
      </c>
      <c r="AH60">
        <v>0.56999999999999995</v>
      </c>
    </row>
    <row r="61" spans="1:34" x14ac:dyDescent="0.25">
      <c r="A61" t="s">
        <v>299</v>
      </c>
      <c r="B61">
        <v>60</v>
      </c>
      <c r="C61" t="s">
        <v>487</v>
      </c>
      <c r="D61" t="s">
        <v>229</v>
      </c>
      <c r="E61" t="s">
        <v>537</v>
      </c>
      <c r="F61" t="s">
        <v>538</v>
      </c>
      <c r="G61" s="25">
        <v>44210</v>
      </c>
      <c r="H61">
        <v>3</v>
      </c>
      <c r="I61">
        <v>14</v>
      </c>
      <c r="J61" t="s">
        <v>985</v>
      </c>
      <c r="K61" t="s">
        <v>510</v>
      </c>
      <c r="L61" t="s">
        <v>231</v>
      </c>
      <c r="M61" t="s">
        <v>926</v>
      </c>
      <c r="N61" t="s">
        <v>185</v>
      </c>
      <c r="O61" t="s">
        <v>953</v>
      </c>
      <c r="P61" t="s">
        <v>867</v>
      </c>
      <c r="Q61" t="s">
        <v>986</v>
      </c>
      <c r="R61" t="s">
        <v>987</v>
      </c>
      <c r="S61" t="s">
        <v>232</v>
      </c>
      <c r="T61" t="s">
        <v>503</v>
      </c>
      <c r="U61" t="s">
        <v>303</v>
      </c>
      <c r="V61" t="s">
        <v>234</v>
      </c>
      <c r="W61" t="s">
        <v>56</v>
      </c>
      <c r="X61" t="s">
        <v>235</v>
      </c>
      <c r="Y61" t="s">
        <v>304</v>
      </c>
      <c r="Z61">
        <v>2497</v>
      </c>
      <c r="AA61">
        <v>2497</v>
      </c>
      <c r="AB61" t="s">
        <v>237</v>
      </c>
      <c r="AC61">
        <v>5.27</v>
      </c>
      <c r="AD61">
        <v>13159.19</v>
      </c>
      <c r="AE61">
        <v>5693.16</v>
      </c>
      <c r="AF61" t="s">
        <v>870</v>
      </c>
      <c r="AG61">
        <v>7466.03</v>
      </c>
      <c r="AH61">
        <v>0.56999999999999995</v>
      </c>
    </row>
    <row r="62" spans="1:34" x14ac:dyDescent="0.25">
      <c r="A62" t="s">
        <v>243</v>
      </c>
      <c r="B62">
        <v>61</v>
      </c>
      <c r="C62" t="s">
        <v>487</v>
      </c>
      <c r="D62" t="s">
        <v>229</v>
      </c>
      <c r="E62" t="s">
        <v>537</v>
      </c>
      <c r="F62" t="s">
        <v>538</v>
      </c>
      <c r="G62" s="25">
        <v>44210</v>
      </c>
      <c r="H62">
        <v>3</v>
      </c>
      <c r="I62">
        <v>14</v>
      </c>
      <c r="J62" t="s">
        <v>985</v>
      </c>
      <c r="K62" t="s">
        <v>876</v>
      </c>
      <c r="L62" t="s">
        <v>231</v>
      </c>
      <c r="M62" t="s">
        <v>926</v>
      </c>
      <c r="N62" t="s">
        <v>185</v>
      </c>
      <c r="O62" t="s">
        <v>953</v>
      </c>
      <c r="P62" t="s">
        <v>867</v>
      </c>
      <c r="Q62" t="s">
        <v>986</v>
      </c>
      <c r="R62" t="s">
        <v>987</v>
      </c>
      <c r="S62" t="s">
        <v>232</v>
      </c>
      <c r="T62" t="s">
        <v>503</v>
      </c>
      <c r="U62" t="s">
        <v>303</v>
      </c>
      <c r="V62" t="s">
        <v>234</v>
      </c>
      <c r="W62" t="s">
        <v>56</v>
      </c>
      <c r="X62" t="s">
        <v>235</v>
      </c>
      <c r="Y62" t="s">
        <v>304</v>
      </c>
      <c r="Z62">
        <v>3034</v>
      </c>
      <c r="AA62">
        <v>3034</v>
      </c>
      <c r="AB62" t="s">
        <v>237</v>
      </c>
      <c r="AC62">
        <v>5.27</v>
      </c>
      <c r="AD62">
        <v>15989.18</v>
      </c>
      <c r="AE62">
        <v>6917.52</v>
      </c>
      <c r="AF62" t="s">
        <v>870</v>
      </c>
      <c r="AG62">
        <v>9071.66</v>
      </c>
      <c r="AH62">
        <v>0.56999999999999995</v>
      </c>
    </row>
    <row r="63" spans="1:34" x14ac:dyDescent="0.25">
      <c r="A63" t="s">
        <v>244</v>
      </c>
      <c r="B63">
        <v>62</v>
      </c>
      <c r="C63" t="s">
        <v>487</v>
      </c>
      <c r="D63" t="s">
        <v>229</v>
      </c>
      <c r="E63" t="s">
        <v>575</v>
      </c>
      <c r="F63" t="s">
        <v>576</v>
      </c>
      <c r="G63" s="25">
        <v>44211</v>
      </c>
      <c r="H63">
        <v>3</v>
      </c>
      <c r="I63">
        <v>15</v>
      </c>
      <c r="J63" t="s">
        <v>988</v>
      </c>
      <c r="K63" t="s">
        <v>510</v>
      </c>
      <c r="L63" t="s">
        <v>231</v>
      </c>
      <c r="M63" t="s">
        <v>878</v>
      </c>
      <c r="N63" t="s">
        <v>185</v>
      </c>
      <c r="O63" t="s">
        <v>989</v>
      </c>
      <c r="P63" t="s">
        <v>867</v>
      </c>
      <c r="Q63" t="s">
        <v>990</v>
      </c>
      <c r="R63" t="s">
        <v>991</v>
      </c>
      <c r="S63" t="s">
        <v>232</v>
      </c>
      <c r="T63" t="s">
        <v>505</v>
      </c>
      <c r="U63" t="s">
        <v>41</v>
      </c>
      <c r="V63" t="s">
        <v>234</v>
      </c>
      <c r="W63" t="s">
        <v>40</v>
      </c>
      <c r="X63" t="s">
        <v>21</v>
      </c>
      <c r="Y63" t="s">
        <v>266</v>
      </c>
      <c r="Z63">
        <v>3461</v>
      </c>
      <c r="AA63">
        <v>3461</v>
      </c>
      <c r="AB63" t="s">
        <v>237</v>
      </c>
      <c r="AC63">
        <v>3.9</v>
      </c>
      <c r="AD63">
        <v>13497.9</v>
      </c>
      <c r="AE63">
        <v>3114.9</v>
      </c>
      <c r="AF63" t="s">
        <v>870</v>
      </c>
      <c r="AG63">
        <v>10383</v>
      </c>
      <c r="AH63">
        <v>0.77</v>
      </c>
    </row>
    <row r="64" spans="1:34" x14ac:dyDescent="0.25">
      <c r="A64" t="s">
        <v>245</v>
      </c>
      <c r="B64">
        <v>63</v>
      </c>
      <c r="C64" t="s">
        <v>487</v>
      </c>
      <c r="D64" t="s">
        <v>229</v>
      </c>
      <c r="E64" t="s">
        <v>575</v>
      </c>
      <c r="F64" t="s">
        <v>576</v>
      </c>
      <c r="G64" s="25">
        <v>44211</v>
      </c>
      <c r="H64">
        <v>3</v>
      </c>
      <c r="I64">
        <v>15</v>
      </c>
      <c r="J64" t="s">
        <v>988</v>
      </c>
      <c r="K64" t="s">
        <v>921</v>
      </c>
      <c r="L64" t="s">
        <v>231</v>
      </c>
      <c r="M64" t="s">
        <v>878</v>
      </c>
      <c r="N64" t="s">
        <v>185</v>
      </c>
      <c r="O64" t="s">
        <v>989</v>
      </c>
      <c r="P64" t="s">
        <v>867</v>
      </c>
      <c r="Q64" t="s">
        <v>990</v>
      </c>
      <c r="R64" t="s">
        <v>991</v>
      </c>
      <c r="S64" t="s">
        <v>232</v>
      </c>
      <c r="T64" t="s">
        <v>505</v>
      </c>
      <c r="U64" t="s">
        <v>41</v>
      </c>
      <c r="V64" t="s">
        <v>234</v>
      </c>
      <c r="W64" t="s">
        <v>40</v>
      </c>
      <c r="X64" t="s">
        <v>21</v>
      </c>
      <c r="Y64" t="s">
        <v>266</v>
      </c>
      <c r="Z64">
        <v>3449</v>
      </c>
      <c r="AA64">
        <v>3449</v>
      </c>
      <c r="AB64" t="s">
        <v>237</v>
      </c>
      <c r="AC64">
        <v>3.9</v>
      </c>
      <c r="AD64">
        <v>13451.1</v>
      </c>
      <c r="AE64">
        <v>3104.1</v>
      </c>
      <c r="AF64" t="s">
        <v>870</v>
      </c>
      <c r="AG64">
        <v>10347</v>
      </c>
      <c r="AH64">
        <v>0.77</v>
      </c>
    </row>
    <row r="65" spans="1:34" x14ac:dyDescent="0.25">
      <c r="A65" t="s">
        <v>310</v>
      </c>
      <c r="B65">
        <v>64</v>
      </c>
      <c r="C65" t="s">
        <v>487</v>
      </c>
      <c r="D65" t="s">
        <v>229</v>
      </c>
      <c r="E65" t="s">
        <v>575</v>
      </c>
      <c r="F65" t="s">
        <v>576</v>
      </c>
      <c r="G65" s="25">
        <v>44211</v>
      </c>
      <c r="H65">
        <v>3</v>
      </c>
      <c r="I65">
        <v>15</v>
      </c>
      <c r="J65" t="s">
        <v>988</v>
      </c>
      <c r="K65" t="s">
        <v>876</v>
      </c>
      <c r="L65" t="s">
        <v>231</v>
      </c>
      <c r="M65" t="s">
        <v>878</v>
      </c>
      <c r="N65" t="s">
        <v>185</v>
      </c>
      <c r="O65" t="s">
        <v>989</v>
      </c>
      <c r="P65" t="s">
        <v>867</v>
      </c>
      <c r="Q65" t="s">
        <v>990</v>
      </c>
      <c r="R65" t="s">
        <v>991</v>
      </c>
      <c r="S65" t="s">
        <v>232</v>
      </c>
      <c r="T65" t="s">
        <v>503</v>
      </c>
      <c r="U65" t="s">
        <v>303</v>
      </c>
      <c r="V65" t="s">
        <v>234</v>
      </c>
      <c r="W65" t="s">
        <v>56</v>
      </c>
      <c r="X65" t="s">
        <v>235</v>
      </c>
      <c r="Y65" t="s">
        <v>304</v>
      </c>
      <c r="Z65">
        <v>3126</v>
      </c>
      <c r="AA65">
        <v>3126</v>
      </c>
      <c r="AB65" t="s">
        <v>237</v>
      </c>
      <c r="AC65">
        <v>5.27</v>
      </c>
      <c r="AD65">
        <v>16474.02</v>
      </c>
      <c r="AE65">
        <v>7127.28</v>
      </c>
      <c r="AF65" t="s">
        <v>870</v>
      </c>
      <c r="AG65">
        <v>9346.74</v>
      </c>
      <c r="AH65">
        <v>0.56999999999999995</v>
      </c>
    </row>
    <row r="66" spans="1:34" x14ac:dyDescent="0.25">
      <c r="A66" t="s">
        <v>347</v>
      </c>
      <c r="B66">
        <v>65</v>
      </c>
      <c r="C66" t="s">
        <v>487</v>
      </c>
      <c r="D66" t="s">
        <v>229</v>
      </c>
      <c r="E66" t="s">
        <v>575</v>
      </c>
      <c r="F66" t="s">
        <v>576</v>
      </c>
      <c r="G66" s="25">
        <v>44211</v>
      </c>
      <c r="H66">
        <v>3</v>
      </c>
      <c r="I66">
        <v>15</v>
      </c>
      <c r="J66" t="s">
        <v>988</v>
      </c>
      <c r="K66" t="s">
        <v>956</v>
      </c>
      <c r="L66" t="s">
        <v>231</v>
      </c>
      <c r="M66" t="s">
        <v>878</v>
      </c>
      <c r="N66" t="s">
        <v>185</v>
      </c>
      <c r="O66" t="s">
        <v>989</v>
      </c>
      <c r="P66" t="s">
        <v>867</v>
      </c>
      <c r="Q66" t="s">
        <v>990</v>
      </c>
      <c r="R66" t="s">
        <v>991</v>
      </c>
      <c r="S66" t="s">
        <v>232</v>
      </c>
      <c r="T66" t="s">
        <v>503</v>
      </c>
      <c r="U66" t="s">
        <v>303</v>
      </c>
      <c r="V66" t="s">
        <v>234</v>
      </c>
      <c r="W66" t="s">
        <v>56</v>
      </c>
      <c r="X66" t="s">
        <v>235</v>
      </c>
      <c r="Y66" t="s">
        <v>304</v>
      </c>
      <c r="Z66">
        <v>1874</v>
      </c>
      <c r="AA66">
        <v>1874</v>
      </c>
      <c r="AB66" t="s">
        <v>237</v>
      </c>
      <c r="AC66">
        <v>5.27</v>
      </c>
      <c r="AD66">
        <v>9875.98</v>
      </c>
      <c r="AE66">
        <v>4272.72</v>
      </c>
      <c r="AF66" t="s">
        <v>870</v>
      </c>
      <c r="AG66">
        <v>5603.26</v>
      </c>
      <c r="AH66">
        <v>0.56999999999999995</v>
      </c>
    </row>
    <row r="67" spans="1:34" x14ac:dyDescent="0.25">
      <c r="A67" t="s">
        <v>346</v>
      </c>
      <c r="B67">
        <v>66</v>
      </c>
      <c r="C67" t="s">
        <v>487</v>
      </c>
      <c r="D67" t="s">
        <v>229</v>
      </c>
      <c r="E67" t="s">
        <v>575</v>
      </c>
      <c r="F67" t="s">
        <v>576</v>
      </c>
      <c r="G67" s="25">
        <v>44211</v>
      </c>
      <c r="H67">
        <v>3</v>
      </c>
      <c r="I67">
        <v>15</v>
      </c>
      <c r="J67" t="s">
        <v>992</v>
      </c>
      <c r="K67" t="s">
        <v>510</v>
      </c>
      <c r="L67" t="s">
        <v>231</v>
      </c>
      <c r="M67" t="s">
        <v>872</v>
      </c>
      <c r="N67" t="s">
        <v>184</v>
      </c>
      <c r="O67" t="s">
        <v>993</v>
      </c>
      <c r="P67" t="s">
        <v>867</v>
      </c>
      <c r="Q67" t="s">
        <v>994</v>
      </c>
      <c r="R67" t="s">
        <v>995</v>
      </c>
      <c r="S67" t="s">
        <v>537</v>
      </c>
      <c r="T67" t="s">
        <v>505</v>
      </c>
      <c r="U67" t="s">
        <v>41</v>
      </c>
      <c r="V67" t="s">
        <v>234</v>
      </c>
      <c r="W67" t="s">
        <v>40</v>
      </c>
      <c r="X67" t="s">
        <v>21</v>
      </c>
      <c r="Y67" t="s">
        <v>266</v>
      </c>
      <c r="Z67">
        <v>3661</v>
      </c>
      <c r="AA67">
        <v>3661</v>
      </c>
      <c r="AB67" t="s">
        <v>237</v>
      </c>
      <c r="AC67">
        <v>4.29</v>
      </c>
      <c r="AD67">
        <v>15705.69</v>
      </c>
      <c r="AE67">
        <v>3294.9</v>
      </c>
      <c r="AF67" t="s">
        <v>870</v>
      </c>
      <c r="AG67">
        <v>12410.79</v>
      </c>
      <c r="AH67">
        <v>0.79</v>
      </c>
    </row>
    <row r="68" spans="1:34" x14ac:dyDescent="0.25">
      <c r="A68" t="s">
        <v>330</v>
      </c>
      <c r="B68">
        <v>67</v>
      </c>
      <c r="C68" t="s">
        <v>487</v>
      </c>
      <c r="D68" t="s">
        <v>229</v>
      </c>
      <c r="E68" t="s">
        <v>575</v>
      </c>
      <c r="F68" t="s">
        <v>576</v>
      </c>
      <c r="G68" s="25">
        <v>44211</v>
      </c>
      <c r="H68">
        <v>3</v>
      </c>
      <c r="I68">
        <v>15</v>
      </c>
      <c r="J68" t="s">
        <v>996</v>
      </c>
      <c r="K68" t="s">
        <v>510</v>
      </c>
      <c r="L68" t="s">
        <v>231</v>
      </c>
      <c r="M68" t="s">
        <v>997</v>
      </c>
      <c r="N68" t="s">
        <v>185</v>
      </c>
      <c r="O68" t="s">
        <v>998</v>
      </c>
      <c r="P68" t="s">
        <v>867</v>
      </c>
      <c r="Q68" t="s">
        <v>999</v>
      </c>
      <c r="R68" t="s">
        <v>1000</v>
      </c>
      <c r="S68" t="s">
        <v>537</v>
      </c>
      <c r="T68" t="s">
        <v>505</v>
      </c>
      <c r="U68" t="s">
        <v>41</v>
      </c>
      <c r="V68" t="s">
        <v>234</v>
      </c>
      <c r="W68" t="s">
        <v>40</v>
      </c>
      <c r="X68" t="s">
        <v>21</v>
      </c>
      <c r="Y68" t="s">
        <v>266</v>
      </c>
      <c r="Z68">
        <v>2957</v>
      </c>
      <c r="AA68">
        <v>2957</v>
      </c>
      <c r="AB68" t="s">
        <v>237</v>
      </c>
      <c r="AC68">
        <v>4.29</v>
      </c>
      <c r="AD68">
        <v>12685.53</v>
      </c>
      <c r="AE68">
        <v>2661.3</v>
      </c>
      <c r="AF68" t="s">
        <v>870</v>
      </c>
      <c r="AG68">
        <v>10024.23</v>
      </c>
      <c r="AH68">
        <v>0.79</v>
      </c>
    </row>
    <row r="69" spans="1:34" x14ac:dyDescent="0.25">
      <c r="A69" t="s">
        <v>314</v>
      </c>
      <c r="B69">
        <v>68</v>
      </c>
      <c r="C69" t="s">
        <v>487</v>
      </c>
      <c r="D69" t="s">
        <v>229</v>
      </c>
      <c r="E69" t="s">
        <v>620</v>
      </c>
      <c r="F69" t="s">
        <v>621</v>
      </c>
      <c r="G69" s="25">
        <v>44212</v>
      </c>
      <c r="H69">
        <v>4</v>
      </c>
      <c r="I69">
        <v>16</v>
      </c>
      <c r="J69" t="s">
        <v>1001</v>
      </c>
      <c r="K69" t="s">
        <v>956</v>
      </c>
      <c r="L69" t="s">
        <v>231</v>
      </c>
      <c r="M69" t="s">
        <v>872</v>
      </c>
      <c r="N69" t="s">
        <v>184</v>
      </c>
      <c r="O69" t="s">
        <v>894</v>
      </c>
      <c r="P69" t="s">
        <v>867</v>
      </c>
      <c r="Q69" t="s">
        <v>895</v>
      </c>
      <c r="R69" t="s">
        <v>896</v>
      </c>
      <c r="S69" t="s">
        <v>232</v>
      </c>
      <c r="T69" t="s">
        <v>505</v>
      </c>
      <c r="U69" t="s">
        <v>41</v>
      </c>
      <c r="V69" t="s">
        <v>234</v>
      </c>
      <c r="W69" t="s">
        <v>40</v>
      </c>
      <c r="X69" t="s">
        <v>21</v>
      </c>
      <c r="Y69" t="s">
        <v>266</v>
      </c>
      <c r="Z69">
        <v>3554</v>
      </c>
      <c r="AA69">
        <v>3554</v>
      </c>
      <c r="AB69" t="s">
        <v>237</v>
      </c>
      <c r="AC69">
        <v>3.9</v>
      </c>
      <c r="AD69">
        <v>13860.6</v>
      </c>
      <c r="AE69">
        <v>3198.6</v>
      </c>
      <c r="AF69" t="s">
        <v>870</v>
      </c>
      <c r="AG69">
        <v>10662</v>
      </c>
      <c r="AH69">
        <v>0.77</v>
      </c>
    </row>
    <row r="70" spans="1:34" x14ac:dyDescent="0.25">
      <c r="A70" t="s">
        <v>311</v>
      </c>
      <c r="B70">
        <v>69</v>
      </c>
      <c r="C70" t="s">
        <v>487</v>
      </c>
      <c r="D70" t="s">
        <v>229</v>
      </c>
      <c r="E70" t="s">
        <v>620</v>
      </c>
      <c r="F70" t="s">
        <v>621</v>
      </c>
      <c r="G70" s="25">
        <v>44212</v>
      </c>
      <c r="H70">
        <v>4</v>
      </c>
      <c r="I70">
        <v>16</v>
      </c>
      <c r="J70" t="s">
        <v>1001</v>
      </c>
      <c r="K70" t="s">
        <v>876</v>
      </c>
      <c r="L70" t="s">
        <v>231</v>
      </c>
      <c r="M70" t="s">
        <v>872</v>
      </c>
      <c r="N70" t="s">
        <v>184</v>
      </c>
      <c r="O70" t="s">
        <v>894</v>
      </c>
      <c r="P70" t="s">
        <v>867</v>
      </c>
      <c r="Q70" t="s">
        <v>895</v>
      </c>
      <c r="R70" t="s">
        <v>896</v>
      </c>
      <c r="S70" t="s">
        <v>232</v>
      </c>
      <c r="T70" t="s">
        <v>504</v>
      </c>
      <c r="U70" t="s">
        <v>43</v>
      </c>
      <c r="V70" t="s">
        <v>234</v>
      </c>
      <c r="W70" t="s">
        <v>42</v>
      </c>
      <c r="X70" t="s">
        <v>21</v>
      </c>
      <c r="Y70" t="s">
        <v>236</v>
      </c>
      <c r="Z70">
        <v>3226</v>
      </c>
      <c r="AA70">
        <v>3226</v>
      </c>
      <c r="AB70" t="s">
        <v>237</v>
      </c>
      <c r="AC70">
        <v>4.2300000000000004</v>
      </c>
      <c r="AD70">
        <v>13645.98</v>
      </c>
      <c r="AE70">
        <v>3967.98</v>
      </c>
      <c r="AF70" t="s">
        <v>870</v>
      </c>
      <c r="AG70">
        <v>9678</v>
      </c>
      <c r="AH70">
        <v>0.71</v>
      </c>
    </row>
    <row r="71" spans="1:34" x14ac:dyDescent="0.25">
      <c r="A71" t="s">
        <v>312</v>
      </c>
      <c r="B71">
        <v>70</v>
      </c>
      <c r="C71" t="s">
        <v>487</v>
      </c>
      <c r="D71" t="s">
        <v>229</v>
      </c>
      <c r="E71" t="s">
        <v>620</v>
      </c>
      <c r="F71" t="s">
        <v>621</v>
      </c>
      <c r="G71" s="25">
        <v>44212</v>
      </c>
      <c r="H71">
        <v>4</v>
      </c>
      <c r="I71">
        <v>16</v>
      </c>
      <c r="J71" t="s">
        <v>1001</v>
      </c>
      <c r="K71" t="s">
        <v>921</v>
      </c>
      <c r="L71" t="s">
        <v>231</v>
      </c>
      <c r="M71" t="s">
        <v>872</v>
      </c>
      <c r="N71" t="s">
        <v>184</v>
      </c>
      <c r="O71" t="s">
        <v>894</v>
      </c>
      <c r="P71" t="s">
        <v>867</v>
      </c>
      <c r="Q71" t="s">
        <v>895</v>
      </c>
      <c r="R71" t="s">
        <v>896</v>
      </c>
      <c r="S71" t="s">
        <v>232</v>
      </c>
      <c r="T71" t="s">
        <v>504</v>
      </c>
      <c r="U71" t="s">
        <v>43</v>
      </c>
      <c r="V71" t="s">
        <v>234</v>
      </c>
      <c r="W71" t="s">
        <v>42</v>
      </c>
      <c r="X71" t="s">
        <v>21</v>
      </c>
      <c r="Y71" t="s">
        <v>236</v>
      </c>
      <c r="Z71">
        <v>3021</v>
      </c>
      <c r="AA71">
        <v>3021</v>
      </c>
      <c r="AB71" t="s">
        <v>237</v>
      </c>
      <c r="AC71">
        <v>4.2300000000000004</v>
      </c>
      <c r="AD71">
        <v>12778.83</v>
      </c>
      <c r="AE71">
        <v>3715.83</v>
      </c>
      <c r="AF71" t="s">
        <v>870</v>
      </c>
      <c r="AG71">
        <v>9063</v>
      </c>
      <c r="AH71">
        <v>0.71</v>
      </c>
    </row>
    <row r="72" spans="1:34" x14ac:dyDescent="0.25">
      <c r="A72" t="s">
        <v>313</v>
      </c>
      <c r="B72">
        <v>71</v>
      </c>
      <c r="C72" t="s">
        <v>487</v>
      </c>
      <c r="D72" t="s">
        <v>229</v>
      </c>
      <c r="E72" t="s">
        <v>620</v>
      </c>
      <c r="F72" t="s">
        <v>621</v>
      </c>
      <c r="G72" s="25">
        <v>44212</v>
      </c>
      <c r="H72">
        <v>4</v>
      </c>
      <c r="I72">
        <v>16</v>
      </c>
      <c r="J72" t="s">
        <v>1001</v>
      </c>
      <c r="K72" t="s">
        <v>510</v>
      </c>
      <c r="L72" t="s">
        <v>231</v>
      </c>
      <c r="M72" t="s">
        <v>872</v>
      </c>
      <c r="N72" t="s">
        <v>184</v>
      </c>
      <c r="O72" t="s">
        <v>894</v>
      </c>
      <c r="P72" t="s">
        <v>867</v>
      </c>
      <c r="Q72" t="s">
        <v>895</v>
      </c>
      <c r="R72" t="s">
        <v>896</v>
      </c>
      <c r="S72" t="s">
        <v>232</v>
      </c>
      <c r="T72" t="s">
        <v>504</v>
      </c>
      <c r="U72" t="s">
        <v>43</v>
      </c>
      <c r="V72" t="s">
        <v>234</v>
      </c>
      <c r="W72" t="s">
        <v>42</v>
      </c>
      <c r="X72" t="s">
        <v>21</v>
      </c>
      <c r="Y72" t="s">
        <v>236</v>
      </c>
      <c r="Z72">
        <v>3136</v>
      </c>
      <c r="AA72">
        <v>3136</v>
      </c>
      <c r="AB72" t="s">
        <v>237</v>
      </c>
      <c r="AC72">
        <v>4.2300000000000004</v>
      </c>
      <c r="AD72">
        <v>13265.28</v>
      </c>
      <c r="AE72">
        <v>3857.28</v>
      </c>
      <c r="AF72" t="s">
        <v>870</v>
      </c>
      <c r="AG72">
        <v>9408</v>
      </c>
      <c r="AH72">
        <v>0.71</v>
      </c>
    </row>
    <row r="73" spans="1:34" x14ac:dyDescent="0.25">
      <c r="A73" t="s">
        <v>342</v>
      </c>
      <c r="B73">
        <v>72</v>
      </c>
      <c r="C73" t="s">
        <v>487</v>
      </c>
      <c r="D73" t="s">
        <v>229</v>
      </c>
      <c r="E73" t="s">
        <v>620</v>
      </c>
      <c r="F73" t="s">
        <v>621</v>
      </c>
      <c r="G73" s="25">
        <v>44212</v>
      </c>
      <c r="H73">
        <v>4</v>
      </c>
      <c r="I73">
        <v>16</v>
      </c>
      <c r="J73" t="s">
        <v>1003</v>
      </c>
      <c r="K73" t="s">
        <v>510</v>
      </c>
      <c r="L73" t="s">
        <v>231</v>
      </c>
      <c r="M73" t="s">
        <v>997</v>
      </c>
      <c r="N73" t="s">
        <v>185</v>
      </c>
      <c r="O73" t="s">
        <v>1004</v>
      </c>
      <c r="P73" t="s">
        <v>867</v>
      </c>
      <c r="Q73" t="s">
        <v>1005</v>
      </c>
      <c r="R73" t="s">
        <v>1006</v>
      </c>
      <c r="S73" t="s">
        <v>537</v>
      </c>
      <c r="T73" t="s">
        <v>505</v>
      </c>
      <c r="U73" t="s">
        <v>41</v>
      </c>
      <c r="V73" t="s">
        <v>234</v>
      </c>
      <c r="W73" t="s">
        <v>40</v>
      </c>
      <c r="X73" t="s">
        <v>21</v>
      </c>
      <c r="Y73" t="s">
        <v>266</v>
      </c>
      <c r="Z73">
        <v>3217</v>
      </c>
      <c r="AA73">
        <v>3217</v>
      </c>
      <c r="AB73" t="s">
        <v>237</v>
      </c>
      <c r="AC73">
        <v>4.29</v>
      </c>
      <c r="AD73">
        <v>13800.93</v>
      </c>
      <c r="AE73">
        <v>2895.3</v>
      </c>
      <c r="AF73" t="s">
        <v>870</v>
      </c>
      <c r="AG73">
        <v>10905.63</v>
      </c>
      <c r="AH73">
        <v>0.79</v>
      </c>
    </row>
    <row r="74" spans="1:34" x14ac:dyDescent="0.25">
      <c r="A74" t="s">
        <v>343</v>
      </c>
      <c r="B74">
        <v>73</v>
      </c>
      <c r="C74" t="s">
        <v>487</v>
      </c>
      <c r="D74" t="s">
        <v>229</v>
      </c>
      <c r="E74" t="s">
        <v>620</v>
      </c>
      <c r="F74" t="s">
        <v>621</v>
      </c>
      <c r="G74" s="25">
        <v>44212</v>
      </c>
      <c r="H74">
        <v>4</v>
      </c>
      <c r="I74">
        <v>16</v>
      </c>
      <c r="J74" t="s">
        <v>1002</v>
      </c>
      <c r="K74" t="s">
        <v>510</v>
      </c>
      <c r="L74" t="s">
        <v>231</v>
      </c>
      <c r="M74" t="s">
        <v>883</v>
      </c>
      <c r="N74" t="s">
        <v>185</v>
      </c>
      <c r="O74" t="s">
        <v>884</v>
      </c>
      <c r="P74" t="s">
        <v>867</v>
      </c>
      <c r="Q74" t="s">
        <v>885</v>
      </c>
      <c r="R74" t="s">
        <v>886</v>
      </c>
      <c r="S74" t="s">
        <v>537</v>
      </c>
      <c r="T74" t="s">
        <v>505</v>
      </c>
      <c r="U74" t="s">
        <v>41</v>
      </c>
      <c r="V74" t="s">
        <v>234</v>
      </c>
      <c r="W74" t="s">
        <v>40</v>
      </c>
      <c r="X74" t="s">
        <v>21</v>
      </c>
      <c r="Y74" t="s">
        <v>266</v>
      </c>
      <c r="Z74">
        <v>3701</v>
      </c>
      <c r="AA74">
        <v>3701</v>
      </c>
      <c r="AB74" t="s">
        <v>237</v>
      </c>
      <c r="AC74">
        <v>4.29</v>
      </c>
      <c r="AD74">
        <v>15877.29</v>
      </c>
      <c r="AE74">
        <v>3330.9</v>
      </c>
      <c r="AF74" t="s">
        <v>870</v>
      </c>
      <c r="AG74">
        <v>12546.39</v>
      </c>
      <c r="AH74">
        <v>0.79</v>
      </c>
    </row>
    <row r="75" spans="1:34" x14ac:dyDescent="0.25">
      <c r="A75" t="s">
        <v>344</v>
      </c>
      <c r="B75">
        <v>74</v>
      </c>
      <c r="C75" t="s">
        <v>487</v>
      </c>
      <c r="D75" t="s">
        <v>229</v>
      </c>
      <c r="E75" t="s">
        <v>620</v>
      </c>
      <c r="F75" t="s">
        <v>621</v>
      </c>
      <c r="G75" s="25">
        <v>44212</v>
      </c>
      <c r="H75">
        <v>4</v>
      </c>
      <c r="I75">
        <v>16</v>
      </c>
      <c r="J75" t="s">
        <v>1007</v>
      </c>
      <c r="K75" t="s">
        <v>510</v>
      </c>
      <c r="L75" t="s">
        <v>231</v>
      </c>
      <c r="M75" t="s">
        <v>911</v>
      </c>
      <c r="N75" t="s">
        <v>186</v>
      </c>
      <c r="O75" t="s">
        <v>1008</v>
      </c>
      <c r="P75" t="s">
        <v>867</v>
      </c>
      <c r="Q75" t="s">
        <v>1009</v>
      </c>
      <c r="R75" t="s">
        <v>1010</v>
      </c>
      <c r="S75" t="s">
        <v>537</v>
      </c>
      <c r="T75" t="s">
        <v>504</v>
      </c>
      <c r="U75" t="s">
        <v>43</v>
      </c>
      <c r="V75" t="s">
        <v>234</v>
      </c>
      <c r="W75" t="s">
        <v>42</v>
      </c>
      <c r="X75" t="s">
        <v>21</v>
      </c>
      <c r="Y75" t="s">
        <v>236</v>
      </c>
      <c r="Z75">
        <v>1867</v>
      </c>
      <c r="AA75">
        <v>1867</v>
      </c>
      <c r="AB75" t="s">
        <v>237</v>
      </c>
      <c r="AC75">
        <v>4.6500000000000004</v>
      </c>
      <c r="AD75">
        <v>8681.5499999999993</v>
      </c>
      <c r="AE75">
        <v>2296.41</v>
      </c>
      <c r="AF75" t="s">
        <v>870</v>
      </c>
      <c r="AG75">
        <v>6385.14</v>
      </c>
      <c r="AH75">
        <v>0.74</v>
      </c>
    </row>
    <row r="76" spans="1:34" x14ac:dyDescent="0.25">
      <c r="A76" t="s">
        <v>338</v>
      </c>
      <c r="B76">
        <v>75</v>
      </c>
      <c r="C76" t="s">
        <v>487</v>
      </c>
      <c r="D76" t="s">
        <v>229</v>
      </c>
      <c r="E76" t="s">
        <v>534</v>
      </c>
      <c r="F76" t="s">
        <v>535</v>
      </c>
      <c r="G76" s="25">
        <v>44213</v>
      </c>
      <c r="H76">
        <v>4</v>
      </c>
      <c r="I76">
        <v>17</v>
      </c>
      <c r="J76" t="s">
        <v>1011</v>
      </c>
      <c r="K76" t="s">
        <v>510</v>
      </c>
      <c r="L76" t="s">
        <v>231</v>
      </c>
      <c r="M76" t="s">
        <v>865</v>
      </c>
      <c r="N76" t="s">
        <v>186</v>
      </c>
      <c r="O76" t="s">
        <v>1012</v>
      </c>
      <c r="P76" t="s">
        <v>867</v>
      </c>
      <c r="Q76" t="s">
        <v>1013</v>
      </c>
      <c r="R76" t="s">
        <v>1014</v>
      </c>
      <c r="S76" t="s">
        <v>232</v>
      </c>
      <c r="T76" t="s">
        <v>504</v>
      </c>
      <c r="U76" t="s">
        <v>43</v>
      </c>
      <c r="V76" t="s">
        <v>234</v>
      </c>
      <c r="W76" t="s">
        <v>42</v>
      </c>
      <c r="X76" t="s">
        <v>21</v>
      </c>
      <c r="Y76" t="s">
        <v>236</v>
      </c>
      <c r="Z76">
        <v>3589</v>
      </c>
      <c r="AA76">
        <v>3589</v>
      </c>
      <c r="AB76" t="s">
        <v>237</v>
      </c>
      <c r="AC76">
        <v>4.2300000000000004</v>
      </c>
      <c r="AD76">
        <v>15181.47</v>
      </c>
      <c r="AE76">
        <v>4414.47</v>
      </c>
      <c r="AF76" t="s">
        <v>870</v>
      </c>
      <c r="AG76">
        <v>10767</v>
      </c>
      <c r="AH76">
        <v>0.71</v>
      </c>
    </row>
    <row r="77" spans="1:34" x14ac:dyDescent="0.25">
      <c r="A77" t="s">
        <v>351</v>
      </c>
      <c r="B77">
        <v>76</v>
      </c>
      <c r="C77" t="s">
        <v>487</v>
      </c>
      <c r="D77" t="s">
        <v>229</v>
      </c>
      <c r="E77" t="s">
        <v>534</v>
      </c>
      <c r="F77" t="s">
        <v>535</v>
      </c>
      <c r="G77" s="25">
        <v>44213</v>
      </c>
      <c r="H77">
        <v>4</v>
      </c>
      <c r="I77">
        <v>17</v>
      </c>
      <c r="J77" t="s">
        <v>1011</v>
      </c>
      <c r="K77" t="s">
        <v>876</v>
      </c>
      <c r="L77" t="s">
        <v>231</v>
      </c>
      <c r="M77" t="s">
        <v>865</v>
      </c>
      <c r="N77" t="s">
        <v>186</v>
      </c>
      <c r="O77" t="s">
        <v>1012</v>
      </c>
      <c r="P77" t="s">
        <v>867</v>
      </c>
      <c r="Q77" t="s">
        <v>1013</v>
      </c>
      <c r="R77" t="s">
        <v>1014</v>
      </c>
      <c r="S77" t="s">
        <v>232</v>
      </c>
      <c r="T77" t="s">
        <v>509</v>
      </c>
      <c r="U77" t="s">
        <v>45</v>
      </c>
      <c r="V77" t="s">
        <v>234</v>
      </c>
      <c r="W77" t="s">
        <v>44</v>
      </c>
      <c r="X77" t="s">
        <v>21</v>
      </c>
      <c r="Y77" t="s">
        <v>304</v>
      </c>
      <c r="Z77">
        <v>3122</v>
      </c>
      <c r="AA77">
        <v>3122</v>
      </c>
      <c r="AB77" t="s">
        <v>237</v>
      </c>
      <c r="AC77">
        <v>4.2300000000000004</v>
      </c>
      <c r="AD77">
        <v>13206.06</v>
      </c>
      <c r="AE77">
        <v>3840.06</v>
      </c>
      <c r="AF77" t="s">
        <v>870</v>
      </c>
      <c r="AG77">
        <v>9366</v>
      </c>
      <c r="AH77">
        <v>0.71</v>
      </c>
    </row>
    <row r="78" spans="1:34" x14ac:dyDescent="0.25">
      <c r="A78" t="s">
        <v>350</v>
      </c>
      <c r="B78">
        <v>77</v>
      </c>
      <c r="C78" t="s">
        <v>487</v>
      </c>
      <c r="D78" t="s">
        <v>229</v>
      </c>
      <c r="E78" t="s">
        <v>534</v>
      </c>
      <c r="F78" t="s">
        <v>535</v>
      </c>
      <c r="G78" s="25">
        <v>44213</v>
      </c>
      <c r="H78">
        <v>4</v>
      </c>
      <c r="I78">
        <v>17</v>
      </c>
      <c r="J78" t="s">
        <v>1023</v>
      </c>
      <c r="K78" t="s">
        <v>510</v>
      </c>
      <c r="L78" t="s">
        <v>231</v>
      </c>
      <c r="M78" t="s">
        <v>872</v>
      </c>
      <c r="N78" t="s">
        <v>184</v>
      </c>
      <c r="O78" t="s">
        <v>1024</v>
      </c>
      <c r="P78" t="s">
        <v>867</v>
      </c>
      <c r="Q78" t="s">
        <v>1025</v>
      </c>
      <c r="R78" t="s">
        <v>1026</v>
      </c>
      <c r="S78" t="s">
        <v>537</v>
      </c>
      <c r="T78" t="s">
        <v>504</v>
      </c>
      <c r="U78" t="s">
        <v>43</v>
      </c>
      <c r="V78" t="s">
        <v>234</v>
      </c>
      <c r="W78" t="s">
        <v>42</v>
      </c>
      <c r="X78" t="s">
        <v>21</v>
      </c>
      <c r="Y78" t="s">
        <v>236</v>
      </c>
      <c r="Z78">
        <v>3116</v>
      </c>
      <c r="AA78">
        <v>3116</v>
      </c>
      <c r="AB78" t="s">
        <v>237</v>
      </c>
      <c r="AC78">
        <v>4.6500000000000004</v>
      </c>
      <c r="AD78">
        <v>14489.4</v>
      </c>
      <c r="AE78">
        <v>3832.68</v>
      </c>
      <c r="AF78" t="s">
        <v>870</v>
      </c>
      <c r="AG78">
        <v>10656.72</v>
      </c>
      <c r="AH78">
        <v>0.74</v>
      </c>
    </row>
    <row r="79" spans="1:34" x14ac:dyDescent="0.25">
      <c r="A79" t="s">
        <v>336</v>
      </c>
      <c r="B79">
        <v>78</v>
      </c>
      <c r="C79" t="s">
        <v>487</v>
      </c>
      <c r="D79" t="s">
        <v>229</v>
      </c>
      <c r="E79" t="s">
        <v>534</v>
      </c>
      <c r="F79" t="s">
        <v>535</v>
      </c>
      <c r="G79" s="25">
        <v>44213</v>
      </c>
      <c r="H79">
        <v>4</v>
      </c>
      <c r="I79">
        <v>17</v>
      </c>
      <c r="J79" t="s">
        <v>1019</v>
      </c>
      <c r="K79" t="s">
        <v>510</v>
      </c>
      <c r="L79" t="s">
        <v>231</v>
      </c>
      <c r="M79" t="s">
        <v>872</v>
      </c>
      <c r="N79" t="s">
        <v>184</v>
      </c>
      <c r="O79" t="s">
        <v>1020</v>
      </c>
      <c r="P79" t="s">
        <v>867</v>
      </c>
      <c r="Q79" t="s">
        <v>1021</v>
      </c>
      <c r="R79" t="s">
        <v>1022</v>
      </c>
      <c r="S79" t="s">
        <v>537</v>
      </c>
      <c r="T79" t="s">
        <v>504</v>
      </c>
      <c r="U79" t="s">
        <v>43</v>
      </c>
      <c r="V79" t="s">
        <v>234</v>
      </c>
      <c r="W79" t="s">
        <v>42</v>
      </c>
      <c r="X79" t="s">
        <v>21</v>
      </c>
      <c r="Y79" t="s">
        <v>236</v>
      </c>
      <c r="Z79">
        <v>2989</v>
      </c>
      <c r="AA79">
        <v>2989</v>
      </c>
      <c r="AB79" t="s">
        <v>237</v>
      </c>
      <c r="AC79">
        <v>4.6500000000000004</v>
      </c>
      <c r="AD79">
        <v>13898.85</v>
      </c>
      <c r="AE79">
        <v>3676.47</v>
      </c>
      <c r="AF79" t="s">
        <v>870</v>
      </c>
      <c r="AG79">
        <v>10222.379999999999</v>
      </c>
      <c r="AH79">
        <v>0.74</v>
      </c>
    </row>
    <row r="80" spans="1:34" x14ac:dyDescent="0.25">
      <c r="A80" t="s">
        <v>334</v>
      </c>
      <c r="B80">
        <v>79</v>
      </c>
      <c r="C80" t="s">
        <v>487</v>
      </c>
      <c r="D80" t="s">
        <v>229</v>
      </c>
      <c r="E80" t="s">
        <v>534</v>
      </c>
      <c r="F80" t="s">
        <v>535</v>
      </c>
      <c r="G80" s="25">
        <v>44213</v>
      </c>
      <c r="H80">
        <v>4</v>
      </c>
      <c r="I80">
        <v>17</v>
      </c>
      <c r="J80" t="s">
        <v>1015</v>
      </c>
      <c r="K80" t="s">
        <v>510</v>
      </c>
      <c r="L80" t="s">
        <v>231</v>
      </c>
      <c r="M80" t="s">
        <v>911</v>
      </c>
      <c r="N80" t="s">
        <v>186</v>
      </c>
      <c r="O80" t="s">
        <v>1016</v>
      </c>
      <c r="P80" t="s">
        <v>867</v>
      </c>
      <c r="Q80" t="s">
        <v>1017</v>
      </c>
      <c r="R80" t="s">
        <v>1018</v>
      </c>
      <c r="S80" t="s">
        <v>537</v>
      </c>
      <c r="T80" t="s">
        <v>504</v>
      </c>
      <c r="U80" t="s">
        <v>43</v>
      </c>
      <c r="V80" t="s">
        <v>234</v>
      </c>
      <c r="W80" t="s">
        <v>42</v>
      </c>
      <c r="X80" t="s">
        <v>21</v>
      </c>
      <c r="Y80" t="s">
        <v>236</v>
      </c>
      <c r="Z80">
        <v>2985</v>
      </c>
      <c r="AA80">
        <v>2985</v>
      </c>
      <c r="AB80" t="s">
        <v>237</v>
      </c>
      <c r="AC80">
        <v>4.6500000000000004</v>
      </c>
      <c r="AD80">
        <v>13880.25</v>
      </c>
      <c r="AE80">
        <v>3671.55</v>
      </c>
      <c r="AF80" t="s">
        <v>870</v>
      </c>
      <c r="AG80">
        <v>10208.700000000001</v>
      </c>
      <c r="AH80">
        <v>0.74</v>
      </c>
    </row>
    <row r="81" spans="1:34" x14ac:dyDescent="0.25">
      <c r="A81" t="s">
        <v>340</v>
      </c>
      <c r="B81">
        <v>80</v>
      </c>
      <c r="C81" t="s">
        <v>487</v>
      </c>
      <c r="D81" t="s">
        <v>229</v>
      </c>
      <c r="E81" t="s">
        <v>534</v>
      </c>
      <c r="F81" t="s">
        <v>535</v>
      </c>
      <c r="G81" s="25">
        <v>44213</v>
      </c>
      <c r="H81">
        <v>4</v>
      </c>
      <c r="I81">
        <v>17</v>
      </c>
      <c r="J81" t="s">
        <v>1027</v>
      </c>
      <c r="K81" t="s">
        <v>510</v>
      </c>
      <c r="L81" t="s">
        <v>231</v>
      </c>
      <c r="M81" t="s">
        <v>926</v>
      </c>
      <c r="N81" t="s">
        <v>185</v>
      </c>
      <c r="O81" t="s">
        <v>953</v>
      </c>
      <c r="P81" t="s">
        <v>867</v>
      </c>
      <c r="Q81" t="s">
        <v>1028</v>
      </c>
      <c r="R81" t="s">
        <v>1029</v>
      </c>
      <c r="S81" t="s">
        <v>537</v>
      </c>
      <c r="T81" t="s">
        <v>509</v>
      </c>
      <c r="U81" t="s">
        <v>45</v>
      </c>
      <c r="V81" t="s">
        <v>234</v>
      </c>
      <c r="W81" t="s">
        <v>44</v>
      </c>
      <c r="X81" t="s">
        <v>21</v>
      </c>
      <c r="Y81" t="s">
        <v>304</v>
      </c>
      <c r="Z81">
        <v>2967</v>
      </c>
      <c r="AA81">
        <v>2967</v>
      </c>
      <c r="AB81" t="s">
        <v>237</v>
      </c>
      <c r="AC81">
        <v>4.6500000000000004</v>
      </c>
      <c r="AD81">
        <v>13796.55</v>
      </c>
      <c r="AE81">
        <v>3649.41</v>
      </c>
      <c r="AF81" t="s">
        <v>870</v>
      </c>
      <c r="AG81">
        <v>10147.14</v>
      </c>
      <c r="AH81">
        <v>0.74</v>
      </c>
    </row>
    <row r="82" spans="1:34" x14ac:dyDescent="0.25">
      <c r="A82" t="s">
        <v>345</v>
      </c>
      <c r="B82">
        <v>81</v>
      </c>
      <c r="C82" t="s">
        <v>487</v>
      </c>
      <c r="D82" t="s">
        <v>229</v>
      </c>
      <c r="E82" t="s">
        <v>534</v>
      </c>
      <c r="F82" t="s">
        <v>535</v>
      </c>
      <c r="G82" s="25">
        <v>44213</v>
      </c>
      <c r="H82">
        <v>4</v>
      </c>
      <c r="I82">
        <v>17</v>
      </c>
      <c r="J82" t="s">
        <v>1030</v>
      </c>
      <c r="K82" t="s">
        <v>510</v>
      </c>
      <c r="L82" t="s">
        <v>231</v>
      </c>
      <c r="M82" t="s">
        <v>865</v>
      </c>
      <c r="N82" t="s">
        <v>186</v>
      </c>
      <c r="O82" t="s">
        <v>1012</v>
      </c>
      <c r="P82" t="s">
        <v>867</v>
      </c>
      <c r="Q82" t="s">
        <v>1031</v>
      </c>
      <c r="R82" t="s">
        <v>1032</v>
      </c>
      <c r="S82" t="s">
        <v>537</v>
      </c>
      <c r="T82" t="s">
        <v>509</v>
      </c>
      <c r="U82" t="s">
        <v>45</v>
      </c>
      <c r="V82" t="s">
        <v>234</v>
      </c>
      <c r="W82" t="s">
        <v>44</v>
      </c>
      <c r="X82" t="s">
        <v>21</v>
      </c>
      <c r="Y82" t="s">
        <v>304</v>
      </c>
      <c r="Z82">
        <v>1286</v>
      </c>
      <c r="AA82">
        <v>1286</v>
      </c>
      <c r="AB82" t="s">
        <v>237</v>
      </c>
      <c r="AC82">
        <v>4.6500000000000004</v>
      </c>
      <c r="AD82">
        <v>5979.9</v>
      </c>
      <c r="AE82">
        <v>1581.78</v>
      </c>
      <c r="AF82" t="s">
        <v>870</v>
      </c>
      <c r="AG82">
        <v>4398.12</v>
      </c>
      <c r="AH82">
        <v>0.74</v>
      </c>
    </row>
    <row r="83" spans="1:34" x14ac:dyDescent="0.25">
      <c r="A83" t="s">
        <v>327</v>
      </c>
      <c r="B83">
        <v>82</v>
      </c>
      <c r="C83" t="s">
        <v>487</v>
      </c>
      <c r="D83" t="s">
        <v>229</v>
      </c>
      <c r="E83" t="s">
        <v>552</v>
      </c>
      <c r="F83" t="s">
        <v>553</v>
      </c>
      <c r="G83" s="25">
        <v>44214</v>
      </c>
      <c r="H83">
        <v>4</v>
      </c>
      <c r="I83">
        <v>18</v>
      </c>
      <c r="J83" t="s">
        <v>1033</v>
      </c>
      <c r="K83" t="s">
        <v>921</v>
      </c>
      <c r="L83" t="s">
        <v>231</v>
      </c>
      <c r="M83" t="s">
        <v>883</v>
      </c>
      <c r="N83" t="s">
        <v>185</v>
      </c>
      <c r="O83" t="s">
        <v>1034</v>
      </c>
      <c r="P83" t="s">
        <v>867</v>
      </c>
      <c r="Q83" t="s">
        <v>1035</v>
      </c>
      <c r="R83" t="s">
        <v>1036</v>
      </c>
      <c r="S83" t="s">
        <v>232</v>
      </c>
      <c r="T83" t="s">
        <v>509</v>
      </c>
      <c r="U83" t="s">
        <v>45</v>
      </c>
      <c r="V83" t="s">
        <v>234</v>
      </c>
      <c r="W83" t="s">
        <v>44</v>
      </c>
      <c r="X83" t="s">
        <v>21</v>
      </c>
      <c r="Y83" t="s">
        <v>304</v>
      </c>
      <c r="Z83">
        <v>3932</v>
      </c>
      <c r="AA83">
        <v>3932</v>
      </c>
      <c r="AB83" t="s">
        <v>237</v>
      </c>
      <c r="AC83">
        <v>4.2300000000000004</v>
      </c>
      <c r="AD83">
        <v>16632.36</v>
      </c>
      <c r="AE83">
        <v>4836.3599999999997</v>
      </c>
      <c r="AF83" t="s">
        <v>870</v>
      </c>
      <c r="AG83">
        <v>11796</v>
      </c>
      <c r="AH83">
        <v>0.71</v>
      </c>
    </row>
    <row r="84" spans="1:34" x14ac:dyDescent="0.25">
      <c r="A84" t="s">
        <v>328</v>
      </c>
      <c r="B84">
        <v>83</v>
      </c>
      <c r="C84" t="s">
        <v>487</v>
      </c>
      <c r="D84" t="s">
        <v>229</v>
      </c>
      <c r="E84" t="s">
        <v>552</v>
      </c>
      <c r="F84" t="s">
        <v>553</v>
      </c>
      <c r="G84" s="25">
        <v>44214</v>
      </c>
      <c r="H84">
        <v>4</v>
      </c>
      <c r="I84">
        <v>18</v>
      </c>
      <c r="J84" t="s">
        <v>1033</v>
      </c>
      <c r="K84" t="s">
        <v>510</v>
      </c>
      <c r="L84" t="s">
        <v>231</v>
      </c>
      <c r="M84" t="s">
        <v>883</v>
      </c>
      <c r="N84" t="s">
        <v>185</v>
      </c>
      <c r="O84" t="s">
        <v>1034</v>
      </c>
      <c r="P84" t="s">
        <v>867</v>
      </c>
      <c r="Q84" t="s">
        <v>1035</v>
      </c>
      <c r="R84" t="s">
        <v>1036</v>
      </c>
      <c r="S84" t="s">
        <v>232</v>
      </c>
      <c r="T84" t="s">
        <v>509</v>
      </c>
      <c r="U84" t="s">
        <v>45</v>
      </c>
      <c r="V84" t="s">
        <v>234</v>
      </c>
      <c r="W84" t="s">
        <v>44</v>
      </c>
      <c r="X84" t="s">
        <v>21</v>
      </c>
      <c r="Y84" t="s">
        <v>304</v>
      </c>
      <c r="Z84">
        <v>3130</v>
      </c>
      <c r="AA84">
        <v>3130</v>
      </c>
      <c r="AB84" t="s">
        <v>237</v>
      </c>
      <c r="AC84">
        <v>4.2300000000000004</v>
      </c>
      <c r="AD84">
        <v>13239.9</v>
      </c>
      <c r="AE84">
        <v>3849.9</v>
      </c>
      <c r="AF84" t="s">
        <v>870</v>
      </c>
      <c r="AG84">
        <v>9390</v>
      </c>
      <c r="AH84">
        <v>0.71</v>
      </c>
    </row>
    <row r="85" spans="1:34" x14ac:dyDescent="0.25">
      <c r="A85" t="s">
        <v>321</v>
      </c>
      <c r="B85">
        <v>84</v>
      </c>
      <c r="C85" t="s">
        <v>487</v>
      </c>
      <c r="D85" t="s">
        <v>229</v>
      </c>
      <c r="E85" t="s">
        <v>552</v>
      </c>
      <c r="F85" t="s">
        <v>553</v>
      </c>
      <c r="G85" s="25">
        <v>44214</v>
      </c>
      <c r="H85">
        <v>4</v>
      </c>
      <c r="I85">
        <v>18</v>
      </c>
      <c r="J85" t="s">
        <v>1037</v>
      </c>
      <c r="K85" t="s">
        <v>510</v>
      </c>
      <c r="L85" t="s">
        <v>231</v>
      </c>
      <c r="M85" t="s">
        <v>872</v>
      </c>
      <c r="N85" t="s">
        <v>184</v>
      </c>
      <c r="O85" t="s">
        <v>907</v>
      </c>
      <c r="P85" t="s">
        <v>867</v>
      </c>
      <c r="Q85" t="s">
        <v>908</v>
      </c>
      <c r="R85" t="s">
        <v>909</v>
      </c>
      <c r="S85" t="s">
        <v>232</v>
      </c>
      <c r="T85" t="s">
        <v>509</v>
      </c>
      <c r="U85" t="s">
        <v>45</v>
      </c>
      <c r="V85" t="s">
        <v>234</v>
      </c>
      <c r="W85" t="s">
        <v>44</v>
      </c>
      <c r="X85" t="s">
        <v>21</v>
      </c>
      <c r="Y85" t="s">
        <v>304</v>
      </c>
      <c r="Z85">
        <v>3301</v>
      </c>
      <c r="AA85">
        <v>3301</v>
      </c>
      <c r="AB85" t="s">
        <v>237</v>
      </c>
      <c r="AC85">
        <v>4.2300000000000004</v>
      </c>
      <c r="AD85">
        <v>13963.23</v>
      </c>
      <c r="AE85">
        <v>4060.23</v>
      </c>
      <c r="AF85" t="s">
        <v>870</v>
      </c>
      <c r="AG85">
        <v>9903</v>
      </c>
      <c r="AH85">
        <v>0.71</v>
      </c>
    </row>
    <row r="86" spans="1:34" x14ac:dyDescent="0.25">
      <c r="A86" t="s">
        <v>323</v>
      </c>
      <c r="B86">
        <v>85</v>
      </c>
      <c r="C86" t="s">
        <v>487</v>
      </c>
      <c r="D86" t="s">
        <v>229</v>
      </c>
      <c r="E86" t="s">
        <v>552</v>
      </c>
      <c r="F86" t="s">
        <v>553</v>
      </c>
      <c r="G86" s="25">
        <v>44214</v>
      </c>
      <c r="H86">
        <v>4</v>
      </c>
      <c r="I86">
        <v>18</v>
      </c>
      <c r="J86" t="s">
        <v>1037</v>
      </c>
      <c r="K86" t="s">
        <v>876</v>
      </c>
      <c r="L86" t="s">
        <v>231</v>
      </c>
      <c r="M86" t="s">
        <v>872</v>
      </c>
      <c r="N86" t="s">
        <v>184</v>
      </c>
      <c r="O86" t="s">
        <v>907</v>
      </c>
      <c r="P86" t="s">
        <v>867</v>
      </c>
      <c r="Q86" t="s">
        <v>908</v>
      </c>
      <c r="R86" t="s">
        <v>909</v>
      </c>
      <c r="S86" t="s">
        <v>232</v>
      </c>
      <c r="T86" t="s">
        <v>509</v>
      </c>
      <c r="U86" t="s">
        <v>45</v>
      </c>
      <c r="V86" t="s">
        <v>234</v>
      </c>
      <c r="W86" t="s">
        <v>44</v>
      </c>
      <c r="X86" t="s">
        <v>21</v>
      </c>
      <c r="Y86" t="s">
        <v>304</v>
      </c>
      <c r="Z86">
        <v>3671</v>
      </c>
      <c r="AA86">
        <v>3671</v>
      </c>
      <c r="AB86" t="s">
        <v>237</v>
      </c>
      <c r="AC86">
        <v>4.2300000000000004</v>
      </c>
      <c r="AD86">
        <v>15528.33</v>
      </c>
      <c r="AE86">
        <v>4515.33</v>
      </c>
      <c r="AF86" t="s">
        <v>870</v>
      </c>
      <c r="AG86">
        <v>11013</v>
      </c>
      <c r="AH86">
        <v>0.71</v>
      </c>
    </row>
    <row r="87" spans="1:34" x14ac:dyDescent="0.25">
      <c r="A87" t="s">
        <v>353</v>
      </c>
      <c r="B87">
        <v>86</v>
      </c>
      <c r="C87" t="s">
        <v>487</v>
      </c>
      <c r="D87" t="s">
        <v>229</v>
      </c>
      <c r="E87" t="s">
        <v>552</v>
      </c>
      <c r="F87" t="s">
        <v>553</v>
      </c>
      <c r="G87" s="25">
        <v>44214</v>
      </c>
      <c r="H87">
        <v>4</v>
      </c>
      <c r="I87">
        <v>18</v>
      </c>
      <c r="J87" t="s">
        <v>1033</v>
      </c>
      <c r="K87" t="s">
        <v>956</v>
      </c>
      <c r="L87" t="s">
        <v>231</v>
      </c>
      <c r="M87" t="s">
        <v>883</v>
      </c>
      <c r="N87" t="s">
        <v>185</v>
      </c>
      <c r="O87" t="s">
        <v>1034</v>
      </c>
      <c r="P87" t="s">
        <v>867</v>
      </c>
      <c r="Q87" t="s">
        <v>1035</v>
      </c>
      <c r="R87" t="s">
        <v>1036</v>
      </c>
      <c r="S87" t="s">
        <v>232</v>
      </c>
      <c r="T87" t="s">
        <v>500</v>
      </c>
      <c r="U87" t="s">
        <v>265</v>
      </c>
      <c r="V87" t="s">
        <v>234</v>
      </c>
      <c r="W87" t="s">
        <v>52</v>
      </c>
      <c r="X87" t="s">
        <v>235</v>
      </c>
      <c r="Y87" t="s">
        <v>266</v>
      </c>
      <c r="Z87">
        <v>388</v>
      </c>
      <c r="AA87">
        <v>388</v>
      </c>
      <c r="AB87" t="s">
        <v>237</v>
      </c>
      <c r="AC87">
        <v>4.6100000000000003</v>
      </c>
      <c r="AD87">
        <v>1788.68</v>
      </c>
      <c r="AE87">
        <v>628.55999999999995</v>
      </c>
      <c r="AF87" t="s">
        <v>870</v>
      </c>
      <c r="AG87">
        <v>1160.1199999999999</v>
      </c>
      <c r="AH87">
        <v>0.65</v>
      </c>
    </row>
    <row r="88" spans="1:34" x14ac:dyDescent="0.25">
      <c r="A88" t="s">
        <v>337</v>
      </c>
      <c r="B88">
        <v>87</v>
      </c>
      <c r="C88" t="s">
        <v>487</v>
      </c>
      <c r="D88" t="s">
        <v>229</v>
      </c>
      <c r="E88" t="s">
        <v>552</v>
      </c>
      <c r="F88" t="s">
        <v>553</v>
      </c>
      <c r="G88" s="25">
        <v>44214</v>
      </c>
      <c r="H88">
        <v>4</v>
      </c>
      <c r="I88">
        <v>18</v>
      </c>
      <c r="J88" t="s">
        <v>1033</v>
      </c>
      <c r="K88" t="s">
        <v>876</v>
      </c>
      <c r="L88" t="s">
        <v>231</v>
      </c>
      <c r="M88" t="s">
        <v>883</v>
      </c>
      <c r="N88" t="s">
        <v>185</v>
      </c>
      <c r="O88" t="s">
        <v>1034</v>
      </c>
      <c r="P88" t="s">
        <v>867</v>
      </c>
      <c r="Q88" t="s">
        <v>1035</v>
      </c>
      <c r="R88" t="s">
        <v>1036</v>
      </c>
      <c r="S88" t="s">
        <v>232</v>
      </c>
      <c r="T88" t="s">
        <v>500</v>
      </c>
      <c r="U88" t="s">
        <v>265</v>
      </c>
      <c r="V88" t="s">
        <v>234</v>
      </c>
      <c r="W88" t="s">
        <v>52</v>
      </c>
      <c r="X88" t="s">
        <v>235</v>
      </c>
      <c r="Y88" t="s">
        <v>266</v>
      </c>
      <c r="Z88">
        <v>3112</v>
      </c>
      <c r="AA88">
        <v>3112</v>
      </c>
      <c r="AB88" t="s">
        <v>237</v>
      </c>
      <c r="AC88">
        <v>4.6100000000000003</v>
      </c>
      <c r="AD88">
        <v>14346.32</v>
      </c>
      <c r="AE88">
        <v>5041.4399999999996</v>
      </c>
      <c r="AF88" t="s">
        <v>870</v>
      </c>
      <c r="AG88">
        <v>9304.8799999999992</v>
      </c>
      <c r="AH88">
        <v>0.65</v>
      </c>
    </row>
    <row r="89" spans="1:34" x14ac:dyDescent="0.25">
      <c r="A89" t="s">
        <v>316</v>
      </c>
      <c r="B89">
        <v>88</v>
      </c>
      <c r="C89" t="s">
        <v>487</v>
      </c>
      <c r="D89" t="s">
        <v>229</v>
      </c>
      <c r="E89" t="s">
        <v>552</v>
      </c>
      <c r="F89" t="s">
        <v>553</v>
      </c>
      <c r="G89" s="25">
        <v>44214</v>
      </c>
      <c r="H89">
        <v>4</v>
      </c>
      <c r="I89">
        <v>18</v>
      </c>
      <c r="J89" t="s">
        <v>1038</v>
      </c>
      <c r="K89" t="s">
        <v>510</v>
      </c>
      <c r="L89" t="s">
        <v>231</v>
      </c>
      <c r="M89" t="s">
        <v>916</v>
      </c>
      <c r="N89" t="s">
        <v>185</v>
      </c>
      <c r="O89" t="s">
        <v>1039</v>
      </c>
      <c r="P89" t="s">
        <v>867</v>
      </c>
      <c r="Q89" t="s">
        <v>1040</v>
      </c>
      <c r="R89" t="s">
        <v>1041</v>
      </c>
      <c r="S89" t="s">
        <v>537</v>
      </c>
      <c r="T89" t="s">
        <v>509</v>
      </c>
      <c r="U89" t="s">
        <v>45</v>
      </c>
      <c r="V89" t="s">
        <v>234</v>
      </c>
      <c r="W89" t="s">
        <v>44</v>
      </c>
      <c r="X89" t="s">
        <v>21</v>
      </c>
      <c r="Y89" t="s">
        <v>304</v>
      </c>
      <c r="Z89">
        <v>2591</v>
      </c>
      <c r="AA89">
        <v>2591</v>
      </c>
      <c r="AB89" t="s">
        <v>237</v>
      </c>
      <c r="AC89">
        <v>4.6500000000000004</v>
      </c>
      <c r="AD89">
        <v>12048.15</v>
      </c>
      <c r="AE89">
        <v>3186.93</v>
      </c>
      <c r="AF89" t="s">
        <v>870</v>
      </c>
      <c r="AG89">
        <v>8861.2199999999993</v>
      </c>
      <c r="AH89">
        <v>0.74</v>
      </c>
    </row>
    <row r="90" spans="1:34" x14ac:dyDescent="0.25">
      <c r="A90" t="s">
        <v>329</v>
      </c>
      <c r="B90">
        <v>89</v>
      </c>
      <c r="C90" t="s">
        <v>487</v>
      </c>
      <c r="D90" t="s">
        <v>229</v>
      </c>
      <c r="E90" t="s">
        <v>531</v>
      </c>
      <c r="F90" t="s">
        <v>532</v>
      </c>
      <c r="G90" s="25">
        <v>44215</v>
      </c>
      <c r="H90">
        <v>4</v>
      </c>
      <c r="I90">
        <v>19</v>
      </c>
      <c r="J90" t="s">
        <v>1042</v>
      </c>
      <c r="K90" t="s">
        <v>510</v>
      </c>
      <c r="L90" t="s">
        <v>231</v>
      </c>
      <c r="M90" t="s">
        <v>926</v>
      </c>
      <c r="N90" t="s">
        <v>185</v>
      </c>
      <c r="O90" t="s">
        <v>1043</v>
      </c>
      <c r="P90" t="s">
        <v>867</v>
      </c>
      <c r="Q90" t="s">
        <v>1044</v>
      </c>
      <c r="R90" t="s">
        <v>1045</v>
      </c>
      <c r="S90" t="s">
        <v>239</v>
      </c>
      <c r="T90" t="s">
        <v>500</v>
      </c>
      <c r="U90" t="s">
        <v>265</v>
      </c>
      <c r="V90" t="s">
        <v>234</v>
      </c>
      <c r="W90" t="s">
        <v>52</v>
      </c>
      <c r="X90" t="s">
        <v>235</v>
      </c>
      <c r="Y90" t="s">
        <v>266</v>
      </c>
      <c r="Z90">
        <v>2274</v>
      </c>
      <c r="AA90">
        <v>2274</v>
      </c>
      <c r="AB90" t="s">
        <v>237</v>
      </c>
      <c r="AC90">
        <v>4.6100000000000003</v>
      </c>
      <c r="AD90">
        <v>10483.14</v>
      </c>
      <c r="AE90">
        <v>3683.88</v>
      </c>
      <c r="AF90" t="s">
        <v>870</v>
      </c>
      <c r="AG90">
        <v>6799.26</v>
      </c>
      <c r="AH90">
        <v>0.65</v>
      </c>
    </row>
    <row r="91" spans="1:34" x14ac:dyDescent="0.25">
      <c r="A91" t="s">
        <v>382</v>
      </c>
      <c r="B91">
        <v>90</v>
      </c>
      <c r="C91" t="s">
        <v>487</v>
      </c>
      <c r="D91" t="s">
        <v>229</v>
      </c>
      <c r="E91" t="s">
        <v>531</v>
      </c>
      <c r="F91" t="s">
        <v>532</v>
      </c>
      <c r="G91" s="25">
        <v>44215</v>
      </c>
      <c r="H91">
        <v>4</v>
      </c>
      <c r="I91">
        <v>19</v>
      </c>
      <c r="J91" t="s">
        <v>1046</v>
      </c>
      <c r="K91" t="s">
        <v>921</v>
      </c>
      <c r="L91" t="s">
        <v>231</v>
      </c>
      <c r="M91" t="s">
        <v>872</v>
      </c>
      <c r="N91" t="s">
        <v>184</v>
      </c>
      <c r="O91" t="s">
        <v>1047</v>
      </c>
      <c r="P91" t="s">
        <v>867</v>
      </c>
      <c r="Q91" t="s">
        <v>1048</v>
      </c>
      <c r="R91" t="s">
        <v>1049</v>
      </c>
      <c r="S91" t="s">
        <v>232</v>
      </c>
      <c r="T91" t="s">
        <v>504</v>
      </c>
      <c r="U91" t="s">
        <v>43</v>
      </c>
      <c r="V91" t="s">
        <v>234</v>
      </c>
      <c r="W91" t="s">
        <v>42</v>
      </c>
      <c r="X91" t="s">
        <v>21</v>
      </c>
      <c r="Y91" t="s">
        <v>236</v>
      </c>
      <c r="Z91">
        <v>71</v>
      </c>
      <c r="AA91">
        <v>71</v>
      </c>
      <c r="AB91" t="s">
        <v>237</v>
      </c>
      <c r="AC91">
        <v>4.2300000000000004</v>
      </c>
      <c r="AD91">
        <v>300.33</v>
      </c>
      <c r="AE91">
        <v>87.33</v>
      </c>
      <c r="AF91" t="s">
        <v>870</v>
      </c>
      <c r="AG91">
        <v>213</v>
      </c>
      <c r="AH91">
        <v>0.71</v>
      </c>
    </row>
    <row r="92" spans="1:34" x14ac:dyDescent="0.25">
      <c r="A92" t="s">
        <v>325</v>
      </c>
      <c r="B92">
        <v>91</v>
      </c>
      <c r="C92" t="s">
        <v>487</v>
      </c>
      <c r="D92" t="s">
        <v>229</v>
      </c>
      <c r="E92" t="s">
        <v>531</v>
      </c>
      <c r="F92" t="s">
        <v>532</v>
      </c>
      <c r="G92" s="25">
        <v>44215</v>
      </c>
      <c r="H92">
        <v>4</v>
      </c>
      <c r="I92">
        <v>19</v>
      </c>
      <c r="J92" t="s">
        <v>1046</v>
      </c>
      <c r="K92" t="s">
        <v>510</v>
      </c>
      <c r="L92" t="s">
        <v>231</v>
      </c>
      <c r="M92" t="s">
        <v>872</v>
      </c>
      <c r="N92" t="s">
        <v>184</v>
      </c>
      <c r="O92" t="s">
        <v>1047</v>
      </c>
      <c r="P92" t="s">
        <v>867</v>
      </c>
      <c r="Q92" t="s">
        <v>1048</v>
      </c>
      <c r="R92" t="s">
        <v>1049</v>
      </c>
      <c r="S92" t="s">
        <v>232</v>
      </c>
      <c r="T92" t="s">
        <v>500</v>
      </c>
      <c r="U92" t="s">
        <v>265</v>
      </c>
      <c r="V92" t="s">
        <v>234</v>
      </c>
      <c r="W92" t="s">
        <v>52</v>
      </c>
      <c r="X92" t="s">
        <v>235</v>
      </c>
      <c r="Y92" t="s">
        <v>266</v>
      </c>
      <c r="Z92">
        <v>2860</v>
      </c>
      <c r="AA92">
        <v>2860</v>
      </c>
      <c r="AB92" t="s">
        <v>237</v>
      </c>
      <c r="AC92">
        <v>4.6100000000000003</v>
      </c>
      <c r="AD92">
        <v>13184.6</v>
      </c>
      <c r="AE92">
        <v>4633.2</v>
      </c>
      <c r="AF92" t="s">
        <v>870</v>
      </c>
      <c r="AG92">
        <v>8551.4</v>
      </c>
      <c r="AH92">
        <v>0.65</v>
      </c>
    </row>
    <row r="93" spans="1:34" x14ac:dyDescent="0.25">
      <c r="A93" t="s">
        <v>378</v>
      </c>
      <c r="B93">
        <v>92</v>
      </c>
      <c r="C93" t="s">
        <v>487</v>
      </c>
      <c r="D93" t="s">
        <v>229</v>
      </c>
      <c r="E93" t="s">
        <v>531</v>
      </c>
      <c r="F93" t="s">
        <v>532</v>
      </c>
      <c r="G93" s="25">
        <v>44215</v>
      </c>
      <c r="H93">
        <v>4</v>
      </c>
      <c r="I93">
        <v>19</v>
      </c>
      <c r="J93" t="s">
        <v>1050</v>
      </c>
      <c r="K93" t="s">
        <v>510</v>
      </c>
      <c r="L93" t="s">
        <v>231</v>
      </c>
      <c r="M93" t="s">
        <v>883</v>
      </c>
      <c r="N93" t="s">
        <v>185</v>
      </c>
      <c r="O93" t="s">
        <v>1034</v>
      </c>
      <c r="P93" t="s">
        <v>867</v>
      </c>
      <c r="Q93" t="s">
        <v>1035</v>
      </c>
      <c r="R93" t="s">
        <v>1036</v>
      </c>
      <c r="S93" t="s">
        <v>232</v>
      </c>
      <c r="T93" t="s">
        <v>500</v>
      </c>
      <c r="U93" t="s">
        <v>265</v>
      </c>
      <c r="V93" t="s">
        <v>234</v>
      </c>
      <c r="W93" t="s">
        <v>52</v>
      </c>
      <c r="X93" t="s">
        <v>235</v>
      </c>
      <c r="Y93" t="s">
        <v>266</v>
      </c>
      <c r="Z93">
        <v>3459</v>
      </c>
      <c r="AA93">
        <v>3459</v>
      </c>
      <c r="AB93" t="s">
        <v>237</v>
      </c>
      <c r="AC93">
        <v>4.6100000000000003</v>
      </c>
      <c r="AD93">
        <v>15945.99</v>
      </c>
      <c r="AE93">
        <v>5603.58</v>
      </c>
      <c r="AF93" t="s">
        <v>870</v>
      </c>
      <c r="AG93">
        <v>10342.41</v>
      </c>
      <c r="AH93">
        <v>0.65</v>
      </c>
    </row>
    <row r="94" spans="1:34" x14ac:dyDescent="0.25">
      <c r="A94" t="s">
        <v>379</v>
      </c>
      <c r="B94">
        <v>93</v>
      </c>
      <c r="C94" t="s">
        <v>487</v>
      </c>
      <c r="D94" t="s">
        <v>229</v>
      </c>
      <c r="E94" t="s">
        <v>531</v>
      </c>
      <c r="F94" t="s">
        <v>532</v>
      </c>
      <c r="G94" s="25">
        <v>44215</v>
      </c>
      <c r="H94">
        <v>4</v>
      </c>
      <c r="I94">
        <v>19</v>
      </c>
      <c r="J94" t="s">
        <v>1050</v>
      </c>
      <c r="K94" t="s">
        <v>876</v>
      </c>
      <c r="L94" t="s">
        <v>231</v>
      </c>
      <c r="M94" t="s">
        <v>883</v>
      </c>
      <c r="N94" t="s">
        <v>185</v>
      </c>
      <c r="O94" t="s">
        <v>1034</v>
      </c>
      <c r="P94" t="s">
        <v>867</v>
      </c>
      <c r="Q94" t="s">
        <v>1035</v>
      </c>
      <c r="R94" t="s">
        <v>1036</v>
      </c>
      <c r="S94" t="s">
        <v>232</v>
      </c>
      <c r="T94" t="s">
        <v>500</v>
      </c>
      <c r="U94" t="s">
        <v>265</v>
      </c>
      <c r="V94" t="s">
        <v>234</v>
      </c>
      <c r="W94" t="s">
        <v>52</v>
      </c>
      <c r="X94" t="s">
        <v>235</v>
      </c>
      <c r="Y94" t="s">
        <v>266</v>
      </c>
      <c r="Z94">
        <v>2790</v>
      </c>
      <c r="AA94">
        <v>2790</v>
      </c>
      <c r="AB94" t="s">
        <v>237</v>
      </c>
      <c r="AC94">
        <v>4.6100000000000003</v>
      </c>
      <c r="AD94">
        <v>12861.9</v>
      </c>
      <c r="AE94">
        <v>4519.8</v>
      </c>
      <c r="AF94" t="s">
        <v>870</v>
      </c>
      <c r="AG94">
        <v>8342.1</v>
      </c>
      <c r="AH94">
        <v>0.65</v>
      </c>
    </row>
    <row r="95" spans="1:34" x14ac:dyDescent="0.25">
      <c r="A95" t="s">
        <v>380</v>
      </c>
      <c r="B95">
        <v>94</v>
      </c>
      <c r="C95" t="s">
        <v>487</v>
      </c>
      <c r="D95" t="s">
        <v>229</v>
      </c>
      <c r="E95" t="s">
        <v>531</v>
      </c>
      <c r="F95" t="s">
        <v>532</v>
      </c>
      <c r="G95" s="25">
        <v>44215</v>
      </c>
      <c r="H95">
        <v>4</v>
      </c>
      <c r="I95">
        <v>19</v>
      </c>
      <c r="J95" t="s">
        <v>1050</v>
      </c>
      <c r="K95" t="s">
        <v>921</v>
      </c>
      <c r="L95" t="s">
        <v>231</v>
      </c>
      <c r="M95" t="s">
        <v>883</v>
      </c>
      <c r="N95" t="s">
        <v>185</v>
      </c>
      <c r="O95" t="s">
        <v>1034</v>
      </c>
      <c r="P95" t="s">
        <v>867</v>
      </c>
      <c r="Q95" t="s">
        <v>1035</v>
      </c>
      <c r="R95" t="s">
        <v>1036</v>
      </c>
      <c r="S95" t="s">
        <v>232</v>
      </c>
      <c r="T95" t="s">
        <v>500</v>
      </c>
      <c r="U95" t="s">
        <v>265</v>
      </c>
      <c r="V95" t="s">
        <v>234</v>
      </c>
      <c r="W95" t="s">
        <v>52</v>
      </c>
      <c r="X95" t="s">
        <v>235</v>
      </c>
      <c r="Y95" t="s">
        <v>266</v>
      </c>
      <c r="Z95">
        <v>3332</v>
      </c>
      <c r="AA95">
        <v>3332</v>
      </c>
      <c r="AB95" t="s">
        <v>237</v>
      </c>
      <c r="AC95">
        <v>4.6100000000000003</v>
      </c>
      <c r="AD95">
        <v>15360.52</v>
      </c>
      <c r="AE95">
        <v>5397.84</v>
      </c>
      <c r="AF95" t="s">
        <v>870</v>
      </c>
      <c r="AG95">
        <v>9962.68</v>
      </c>
      <c r="AH95">
        <v>0.65</v>
      </c>
    </row>
    <row r="96" spans="1:34" x14ac:dyDescent="0.25">
      <c r="A96" t="s">
        <v>370</v>
      </c>
      <c r="B96">
        <v>95</v>
      </c>
      <c r="C96" t="s">
        <v>487</v>
      </c>
      <c r="D96" t="s">
        <v>229</v>
      </c>
      <c r="E96" t="s">
        <v>531</v>
      </c>
      <c r="F96" t="s">
        <v>532</v>
      </c>
      <c r="G96" s="25">
        <v>44215</v>
      </c>
      <c r="H96">
        <v>4</v>
      </c>
      <c r="I96">
        <v>19</v>
      </c>
      <c r="J96" t="s">
        <v>1050</v>
      </c>
      <c r="K96" t="s">
        <v>956</v>
      </c>
      <c r="L96" t="s">
        <v>231</v>
      </c>
      <c r="M96" t="s">
        <v>883</v>
      </c>
      <c r="N96" t="s">
        <v>185</v>
      </c>
      <c r="O96" t="s">
        <v>1034</v>
      </c>
      <c r="P96" t="s">
        <v>867</v>
      </c>
      <c r="Q96" t="s">
        <v>1035</v>
      </c>
      <c r="R96" t="s">
        <v>1036</v>
      </c>
      <c r="S96" t="s">
        <v>232</v>
      </c>
      <c r="T96" t="s">
        <v>500</v>
      </c>
      <c r="U96" t="s">
        <v>265</v>
      </c>
      <c r="V96" t="s">
        <v>234</v>
      </c>
      <c r="W96" t="s">
        <v>52</v>
      </c>
      <c r="X96" t="s">
        <v>235</v>
      </c>
      <c r="Y96" t="s">
        <v>266</v>
      </c>
      <c r="Z96">
        <v>2870</v>
      </c>
      <c r="AA96">
        <v>2870</v>
      </c>
      <c r="AB96" t="s">
        <v>237</v>
      </c>
      <c r="AC96">
        <v>4.6100000000000003</v>
      </c>
      <c r="AD96">
        <v>13230.7</v>
      </c>
      <c r="AE96">
        <v>4649.3999999999996</v>
      </c>
      <c r="AF96" t="s">
        <v>870</v>
      </c>
      <c r="AG96">
        <v>8581.2999999999993</v>
      </c>
      <c r="AH96">
        <v>0.65</v>
      </c>
    </row>
    <row r="97" spans="1:34" x14ac:dyDescent="0.25">
      <c r="A97" t="s">
        <v>383</v>
      </c>
      <c r="B97">
        <v>96</v>
      </c>
      <c r="C97" t="s">
        <v>487</v>
      </c>
      <c r="D97" t="s">
        <v>229</v>
      </c>
      <c r="E97" t="s">
        <v>531</v>
      </c>
      <c r="F97" t="s">
        <v>532</v>
      </c>
      <c r="G97" s="25">
        <v>44215</v>
      </c>
      <c r="H97">
        <v>4</v>
      </c>
      <c r="I97">
        <v>19</v>
      </c>
      <c r="J97" t="s">
        <v>1046</v>
      </c>
      <c r="K97" t="s">
        <v>876</v>
      </c>
      <c r="L97" t="s">
        <v>231</v>
      </c>
      <c r="M97" t="s">
        <v>872</v>
      </c>
      <c r="N97" t="s">
        <v>184</v>
      </c>
      <c r="O97" t="s">
        <v>1047</v>
      </c>
      <c r="P97" t="s">
        <v>867</v>
      </c>
      <c r="Q97" t="s">
        <v>1048</v>
      </c>
      <c r="R97" t="s">
        <v>1049</v>
      </c>
      <c r="S97" t="s">
        <v>232</v>
      </c>
      <c r="T97" t="s">
        <v>500</v>
      </c>
      <c r="U97" t="s">
        <v>265</v>
      </c>
      <c r="V97" t="s">
        <v>234</v>
      </c>
      <c r="W97" t="s">
        <v>52</v>
      </c>
      <c r="X97" t="s">
        <v>235</v>
      </c>
      <c r="Y97" t="s">
        <v>266</v>
      </c>
      <c r="Z97">
        <v>2915</v>
      </c>
      <c r="AA97">
        <v>2915</v>
      </c>
      <c r="AB97" t="s">
        <v>237</v>
      </c>
      <c r="AC97">
        <v>4.6100000000000003</v>
      </c>
      <c r="AD97">
        <v>13438.15</v>
      </c>
      <c r="AE97">
        <v>4722.3</v>
      </c>
      <c r="AF97" t="s">
        <v>870</v>
      </c>
      <c r="AG97">
        <v>8715.85</v>
      </c>
      <c r="AH97">
        <v>0.65</v>
      </c>
    </row>
    <row r="98" spans="1:34" x14ac:dyDescent="0.25">
      <c r="A98" t="s">
        <v>359</v>
      </c>
      <c r="B98">
        <v>97</v>
      </c>
      <c r="C98" t="s">
        <v>487</v>
      </c>
      <c r="D98" t="s">
        <v>229</v>
      </c>
      <c r="E98" t="s">
        <v>408</v>
      </c>
      <c r="F98" t="s">
        <v>527</v>
      </c>
      <c r="G98" s="25">
        <v>44216</v>
      </c>
      <c r="H98">
        <v>4</v>
      </c>
      <c r="I98">
        <v>20</v>
      </c>
      <c r="J98" t="s">
        <v>1051</v>
      </c>
      <c r="K98" t="s">
        <v>510</v>
      </c>
      <c r="L98" t="s">
        <v>231</v>
      </c>
      <c r="M98" t="s">
        <v>865</v>
      </c>
      <c r="N98" t="s">
        <v>186</v>
      </c>
      <c r="O98" t="s">
        <v>866</v>
      </c>
      <c r="P98" t="s">
        <v>867</v>
      </c>
      <c r="Q98" t="s">
        <v>868</v>
      </c>
      <c r="R98" t="s">
        <v>869</v>
      </c>
      <c r="S98" t="s">
        <v>232</v>
      </c>
      <c r="T98" t="s">
        <v>508</v>
      </c>
      <c r="U98" t="s">
        <v>47</v>
      </c>
      <c r="V98" t="s">
        <v>234</v>
      </c>
      <c r="W98" t="s">
        <v>46</v>
      </c>
      <c r="X98" t="s">
        <v>21</v>
      </c>
      <c r="Y98" t="s">
        <v>288</v>
      </c>
      <c r="Z98">
        <v>4223</v>
      </c>
      <c r="AA98">
        <v>4223</v>
      </c>
      <c r="AB98" t="s">
        <v>237</v>
      </c>
      <c r="AC98">
        <v>3.79</v>
      </c>
      <c r="AD98">
        <v>16005.17</v>
      </c>
      <c r="AE98">
        <v>3336.17</v>
      </c>
      <c r="AF98" t="s">
        <v>870</v>
      </c>
      <c r="AG98">
        <v>12669</v>
      </c>
      <c r="AH98">
        <v>0.79</v>
      </c>
    </row>
    <row r="99" spans="1:34" x14ac:dyDescent="0.25">
      <c r="A99" t="s">
        <v>250</v>
      </c>
      <c r="B99">
        <v>98</v>
      </c>
      <c r="C99" t="s">
        <v>487</v>
      </c>
      <c r="D99" t="s">
        <v>229</v>
      </c>
      <c r="E99" t="s">
        <v>408</v>
      </c>
      <c r="F99" t="s">
        <v>527</v>
      </c>
      <c r="G99" s="25">
        <v>44216</v>
      </c>
      <c r="H99">
        <v>4</v>
      </c>
      <c r="I99">
        <v>20</v>
      </c>
      <c r="J99" t="s">
        <v>1052</v>
      </c>
      <c r="K99" t="s">
        <v>510</v>
      </c>
      <c r="L99" t="s">
        <v>231</v>
      </c>
      <c r="M99" t="s">
        <v>926</v>
      </c>
      <c r="N99" t="s">
        <v>185</v>
      </c>
      <c r="O99" t="s">
        <v>1053</v>
      </c>
      <c r="P99" t="s">
        <v>867</v>
      </c>
      <c r="Q99" t="s">
        <v>1054</v>
      </c>
      <c r="R99" t="s">
        <v>1055</v>
      </c>
      <c r="S99" t="s">
        <v>232</v>
      </c>
      <c r="T99" t="s">
        <v>508</v>
      </c>
      <c r="U99" t="s">
        <v>47</v>
      </c>
      <c r="V99" t="s">
        <v>234</v>
      </c>
      <c r="W99" t="s">
        <v>46</v>
      </c>
      <c r="X99" t="s">
        <v>21</v>
      </c>
      <c r="Y99" t="s">
        <v>288</v>
      </c>
      <c r="Z99">
        <v>3356</v>
      </c>
      <c r="AA99">
        <v>3356</v>
      </c>
      <c r="AB99" t="s">
        <v>237</v>
      </c>
      <c r="AC99">
        <v>3.79</v>
      </c>
      <c r="AD99">
        <v>12719.24</v>
      </c>
      <c r="AE99">
        <v>2651.24</v>
      </c>
      <c r="AF99" t="s">
        <v>870</v>
      </c>
      <c r="AG99">
        <v>10068</v>
      </c>
      <c r="AH99">
        <v>0.79</v>
      </c>
    </row>
    <row r="100" spans="1:34" x14ac:dyDescent="0.25">
      <c r="A100" t="s">
        <v>251</v>
      </c>
      <c r="B100">
        <v>99</v>
      </c>
      <c r="C100" t="s">
        <v>487</v>
      </c>
      <c r="D100" t="s">
        <v>229</v>
      </c>
      <c r="E100" t="s">
        <v>408</v>
      </c>
      <c r="F100" t="s">
        <v>527</v>
      </c>
      <c r="G100" s="25">
        <v>44216</v>
      </c>
      <c r="H100">
        <v>4</v>
      </c>
      <c r="I100">
        <v>20</v>
      </c>
      <c r="J100" t="s">
        <v>1056</v>
      </c>
      <c r="K100" t="s">
        <v>510</v>
      </c>
      <c r="L100" t="s">
        <v>231</v>
      </c>
      <c r="M100" t="s">
        <v>872</v>
      </c>
      <c r="N100" t="s">
        <v>184</v>
      </c>
      <c r="O100" t="s">
        <v>1057</v>
      </c>
      <c r="P100" t="s">
        <v>867</v>
      </c>
      <c r="Q100" t="s">
        <v>1058</v>
      </c>
      <c r="R100" t="s">
        <v>1059</v>
      </c>
      <c r="S100" t="s">
        <v>537</v>
      </c>
      <c r="T100" t="s">
        <v>508</v>
      </c>
      <c r="U100" t="s">
        <v>47</v>
      </c>
      <c r="V100" t="s">
        <v>234</v>
      </c>
      <c r="W100" t="s">
        <v>46</v>
      </c>
      <c r="X100" t="s">
        <v>21</v>
      </c>
      <c r="Y100" t="s">
        <v>288</v>
      </c>
      <c r="Z100">
        <v>3794</v>
      </c>
      <c r="AA100">
        <v>3794</v>
      </c>
      <c r="AB100" t="s">
        <v>237</v>
      </c>
      <c r="AC100">
        <v>4.17</v>
      </c>
      <c r="AD100">
        <v>15820.98</v>
      </c>
      <c r="AE100">
        <v>2997.26</v>
      </c>
      <c r="AF100" t="s">
        <v>870</v>
      </c>
      <c r="AG100">
        <v>12823.72</v>
      </c>
      <c r="AH100">
        <v>0.81</v>
      </c>
    </row>
    <row r="101" spans="1:34" x14ac:dyDescent="0.25">
      <c r="A101" t="s">
        <v>238</v>
      </c>
      <c r="B101">
        <v>100</v>
      </c>
      <c r="C101" t="s">
        <v>487</v>
      </c>
      <c r="D101" t="s">
        <v>229</v>
      </c>
      <c r="E101" t="s">
        <v>408</v>
      </c>
      <c r="F101" t="s">
        <v>527</v>
      </c>
      <c r="G101" s="25">
        <v>44216</v>
      </c>
      <c r="H101">
        <v>4</v>
      </c>
      <c r="I101">
        <v>20</v>
      </c>
      <c r="J101" t="s">
        <v>1060</v>
      </c>
      <c r="K101" t="s">
        <v>510</v>
      </c>
      <c r="L101" t="s">
        <v>231</v>
      </c>
      <c r="M101" t="s">
        <v>931</v>
      </c>
      <c r="N101" t="s">
        <v>186</v>
      </c>
      <c r="O101" t="s">
        <v>1061</v>
      </c>
      <c r="P101" t="s">
        <v>867</v>
      </c>
      <c r="Q101" t="s">
        <v>1062</v>
      </c>
      <c r="R101" t="s">
        <v>1063</v>
      </c>
      <c r="S101" t="s">
        <v>537</v>
      </c>
      <c r="T101" t="s">
        <v>508</v>
      </c>
      <c r="U101" t="s">
        <v>47</v>
      </c>
      <c r="V101" t="s">
        <v>234</v>
      </c>
      <c r="W101" t="s">
        <v>46</v>
      </c>
      <c r="X101" t="s">
        <v>21</v>
      </c>
      <c r="Y101" t="s">
        <v>288</v>
      </c>
      <c r="Z101">
        <v>3768</v>
      </c>
      <c r="AA101">
        <v>3768</v>
      </c>
      <c r="AB101" t="s">
        <v>237</v>
      </c>
      <c r="AC101">
        <v>4.17</v>
      </c>
      <c r="AD101">
        <v>15712.56</v>
      </c>
      <c r="AE101">
        <v>2976.72</v>
      </c>
      <c r="AF101" t="s">
        <v>870</v>
      </c>
      <c r="AG101">
        <v>12735.84</v>
      </c>
      <c r="AH101">
        <v>0.81</v>
      </c>
    </row>
    <row r="102" spans="1:34" x14ac:dyDescent="0.25">
      <c r="A102" t="s">
        <v>248</v>
      </c>
      <c r="B102">
        <v>101</v>
      </c>
      <c r="C102" t="s">
        <v>487</v>
      </c>
      <c r="D102" t="s">
        <v>231</v>
      </c>
      <c r="E102" t="s">
        <v>229</v>
      </c>
      <c r="F102" t="s">
        <v>541</v>
      </c>
      <c r="G102" s="25">
        <v>44217</v>
      </c>
      <c r="H102">
        <v>5</v>
      </c>
      <c r="I102">
        <v>21</v>
      </c>
      <c r="J102" t="s">
        <v>1067</v>
      </c>
      <c r="K102" t="s">
        <v>510</v>
      </c>
      <c r="L102" t="s">
        <v>231</v>
      </c>
      <c r="M102" t="s">
        <v>872</v>
      </c>
      <c r="N102" t="s">
        <v>184</v>
      </c>
      <c r="O102" t="s">
        <v>962</v>
      </c>
      <c r="P102" t="s">
        <v>867</v>
      </c>
      <c r="Q102" t="s">
        <v>963</v>
      </c>
      <c r="R102" t="s">
        <v>964</v>
      </c>
      <c r="S102" t="s">
        <v>239</v>
      </c>
      <c r="T102" t="s">
        <v>491</v>
      </c>
      <c r="U102" t="s">
        <v>233</v>
      </c>
      <c r="V102" t="s">
        <v>234</v>
      </c>
      <c r="W102" t="s">
        <v>54</v>
      </c>
      <c r="X102" t="s">
        <v>235</v>
      </c>
      <c r="Y102" t="s">
        <v>236</v>
      </c>
      <c r="Z102">
        <v>148</v>
      </c>
      <c r="AA102">
        <v>148</v>
      </c>
      <c r="AB102" t="s">
        <v>237</v>
      </c>
      <c r="AC102">
        <v>5.26</v>
      </c>
      <c r="AD102">
        <v>778.48</v>
      </c>
      <c r="AE102">
        <v>335.96</v>
      </c>
      <c r="AF102" t="s">
        <v>870</v>
      </c>
      <c r="AG102">
        <v>442.52</v>
      </c>
      <c r="AH102">
        <v>0.56999999999999995</v>
      </c>
    </row>
    <row r="103" spans="1:34" x14ac:dyDescent="0.25">
      <c r="A103" t="s">
        <v>252</v>
      </c>
      <c r="B103">
        <v>102</v>
      </c>
      <c r="C103" t="s">
        <v>487</v>
      </c>
      <c r="D103" t="s">
        <v>231</v>
      </c>
      <c r="E103" t="s">
        <v>229</v>
      </c>
      <c r="F103" t="s">
        <v>541</v>
      </c>
      <c r="G103" s="25">
        <v>44217</v>
      </c>
      <c r="H103">
        <v>5</v>
      </c>
      <c r="I103">
        <v>21</v>
      </c>
      <c r="J103" t="s">
        <v>1068</v>
      </c>
      <c r="K103" t="s">
        <v>510</v>
      </c>
      <c r="L103" t="s">
        <v>231</v>
      </c>
      <c r="M103" t="s">
        <v>865</v>
      </c>
      <c r="N103" t="s">
        <v>186</v>
      </c>
      <c r="O103" t="s">
        <v>1069</v>
      </c>
      <c r="P103" t="s">
        <v>867</v>
      </c>
      <c r="Q103" t="s">
        <v>1070</v>
      </c>
      <c r="R103" t="s">
        <v>1071</v>
      </c>
      <c r="S103" t="s">
        <v>232</v>
      </c>
      <c r="T103" t="s">
        <v>508</v>
      </c>
      <c r="U103" t="s">
        <v>47</v>
      </c>
      <c r="V103" t="s">
        <v>234</v>
      </c>
      <c r="W103" t="s">
        <v>46</v>
      </c>
      <c r="X103" t="s">
        <v>21</v>
      </c>
      <c r="Y103" t="s">
        <v>288</v>
      </c>
      <c r="Z103">
        <v>3567</v>
      </c>
      <c r="AA103">
        <v>3567</v>
      </c>
      <c r="AB103" t="s">
        <v>237</v>
      </c>
      <c r="AC103">
        <v>3.79</v>
      </c>
      <c r="AD103">
        <v>13518.93</v>
      </c>
      <c r="AE103">
        <v>2817.93</v>
      </c>
      <c r="AF103" t="s">
        <v>870</v>
      </c>
      <c r="AG103">
        <v>10701</v>
      </c>
      <c r="AH103">
        <v>0.79</v>
      </c>
    </row>
    <row r="104" spans="1:34" x14ac:dyDescent="0.25">
      <c r="A104" t="s">
        <v>253</v>
      </c>
      <c r="B104">
        <v>103</v>
      </c>
      <c r="C104" t="s">
        <v>487</v>
      </c>
      <c r="D104" t="s">
        <v>231</v>
      </c>
      <c r="E104" t="s">
        <v>229</v>
      </c>
      <c r="F104" t="s">
        <v>541</v>
      </c>
      <c r="G104" s="25">
        <v>44217</v>
      </c>
      <c r="H104">
        <v>5</v>
      </c>
      <c r="I104">
        <v>21</v>
      </c>
      <c r="J104" t="s">
        <v>1068</v>
      </c>
      <c r="K104" t="s">
        <v>876</v>
      </c>
      <c r="L104" t="s">
        <v>231</v>
      </c>
      <c r="M104" t="s">
        <v>865</v>
      </c>
      <c r="N104" t="s">
        <v>186</v>
      </c>
      <c r="O104" t="s">
        <v>1069</v>
      </c>
      <c r="P104" t="s">
        <v>867</v>
      </c>
      <c r="Q104" t="s">
        <v>1070</v>
      </c>
      <c r="R104" t="s">
        <v>1071</v>
      </c>
      <c r="S104" t="s">
        <v>232</v>
      </c>
      <c r="T104" t="s">
        <v>508</v>
      </c>
      <c r="U104" t="s">
        <v>47</v>
      </c>
      <c r="V104" t="s">
        <v>234</v>
      </c>
      <c r="W104" t="s">
        <v>46</v>
      </c>
      <c r="X104" t="s">
        <v>21</v>
      </c>
      <c r="Y104" t="s">
        <v>288</v>
      </c>
      <c r="Z104">
        <v>3518</v>
      </c>
      <c r="AA104">
        <v>3518</v>
      </c>
      <c r="AB104" t="s">
        <v>237</v>
      </c>
      <c r="AC104">
        <v>3.79</v>
      </c>
      <c r="AD104">
        <v>13333.22</v>
      </c>
      <c r="AE104">
        <v>2779.22</v>
      </c>
      <c r="AF104" t="s">
        <v>870</v>
      </c>
      <c r="AG104">
        <v>10554</v>
      </c>
      <c r="AH104">
        <v>0.79</v>
      </c>
    </row>
    <row r="105" spans="1:34" x14ac:dyDescent="0.25">
      <c r="A105" t="s">
        <v>254</v>
      </c>
      <c r="B105">
        <v>104</v>
      </c>
      <c r="C105" t="s">
        <v>487</v>
      </c>
      <c r="D105" t="s">
        <v>231</v>
      </c>
      <c r="E105" t="s">
        <v>229</v>
      </c>
      <c r="F105" t="s">
        <v>541</v>
      </c>
      <c r="G105" s="25">
        <v>44217</v>
      </c>
      <c r="H105">
        <v>5</v>
      </c>
      <c r="I105">
        <v>21</v>
      </c>
      <c r="J105" t="s">
        <v>1072</v>
      </c>
      <c r="K105" t="s">
        <v>510</v>
      </c>
      <c r="L105" t="s">
        <v>231</v>
      </c>
      <c r="M105" t="s">
        <v>997</v>
      </c>
      <c r="N105" t="s">
        <v>185</v>
      </c>
      <c r="O105" t="s">
        <v>998</v>
      </c>
      <c r="P105" t="s">
        <v>867</v>
      </c>
      <c r="Q105" t="s">
        <v>1073</v>
      </c>
      <c r="R105" t="s">
        <v>1074</v>
      </c>
      <c r="S105" t="s">
        <v>232</v>
      </c>
      <c r="T105" t="s">
        <v>508</v>
      </c>
      <c r="U105" t="s">
        <v>47</v>
      </c>
      <c r="V105" t="s">
        <v>234</v>
      </c>
      <c r="W105" t="s">
        <v>46</v>
      </c>
      <c r="X105" t="s">
        <v>21</v>
      </c>
      <c r="Y105" t="s">
        <v>288</v>
      </c>
      <c r="Z105">
        <v>1774</v>
      </c>
      <c r="AA105">
        <v>1774</v>
      </c>
      <c r="AB105" t="s">
        <v>237</v>
      </c>
      <c r="AC105">
        <v>3.79</v>
      </c>
      <c r="AD105">
        <v>6723.46</v>
      </c>
      <c r="AE105">
        <v>1401.46</v>
      </c>
      <c r="AF105" t="s">
        <v>870</v>
      </c>
      <c r="AG105">
        <v>5322</v>
      </c>
      <c r="AH105">
        <v>0.79</v>
      </c>
    </row>
    <row r="106" spans="1:34" x14ac:dyDescent="0.25">
      <c r="A106" t="s">
        <v>352</v>
      </c>
      <c r="B106">
        <v>105</v>
      </c>
      <c r="C106" t="s">
        <v>487</v>
      </c>
      <c r="D106" t="s">
        <v>231</v>
      </c>
      <c r="E106" t="s">
        <v>229</v>
      </c>
      <c r="F106" t="s">
        <v>541</v>
      </c>
      <c r="G106" s="25">
        <v>44217</v>
      </c>
      <c r="H106">
        <v>5</v>
      </c>
      <c r="I106">
        <v>21</v>
      </c>
      <c r="J106" t="s">
        <v>1075</v>
      </c>
      <c r="K106" t="s">
        <v>510</v>
      </c>
      <c r="L106" t="s">
        <v>231</v>
      </c>
      <c r="M106" t="s">
        <v>1076</v>
      </c>
      <c r="N106" t="s">
        <v>185</v>
      </c>
      <c r="O106" t="s">
        <v>1077</v>
      </c>
      <c r="P106" t="s">
        <v>867</v>
      </c>
      <c r="Q106" t="s">
        <v>1078</v>
      </c>
      <c r="R106" t="s">
        <v>1079</v>
      </c>
      <c r="S106" t="s">
        <v>232</v>
      </c>
      <c r="T106" t="s">
        <v>491</v>
      </c>
      <c r="U106" t="s">
        <v>233</v>
      </c>
      <c r="V106" t="s">
        <v>234</v>
      </c>
      <c r="W106" t="s">
        <v>54</v>
      </c>
      <c r="X106" t="s">
        <v>235</v>
      </c>
      <c r="Y106" t="s">
        <v>236</v>
      </c>
      <c r="Z106">
        <v>2419</v>
      </c>
      <c r="AA106">
        <v>2419</v>
      </c>
      <c r="AB106" t="s">
        <v>237</v>
      </c>
      <c r="AC106">
        <v>5.26</v>
      </c>
      <c r="AD106">
        <v>12723.94</v>
      </c>
      <c r="AE106">
        <v>5491.13</v>
      </c>
      <c r="AF106" t="s">
        <v>870</v>
      </c>
      <c r="AG106">
        <v>7232.81</v>
      </c>
      <c r="AH106">
        <v>0.56999999999999995</v>
      </c>
    </row>
    <row r="107" spans="1:34" x14ac:dyDescent="0.25">
      <c r="A107" t="s">
        <v>387</v>
      </c>
      <c r="B107">
        <v>106</v>
      </c>
      <c r="C107" t="s">
        <v>487</v>
      </c>
      <c r="D107" t="s">
        <v>231</v>
      </c>
      <c r="E107" t="s">
        <v>229</v>
      </c>
      <c r="F107" t="s">
        <v>541</v>
      </c>
      <c r="G107" s="25">
        <v>44217</v>
      </c>
      <c r="H107">
        <v>5</v>
      </c>
      <c r="I107">
        <v>21</v>
      </c>
      <c r="J107" t="s">
        <v>1075</v>
      </c>
      <c r="K107" t="s">
        <v>876</v>
      </c>
      <c r="L107" t="s">
        <v>231</v>
      </c>
      <c r="M107" t="s">
        <v>1076</v>
      </c>
      <c r="N107" t="s">
        <v>185</v>
      </c>
      <c r="O107" t="s">
        <v>1077</v>
      </c>
      <c r="P107" t="s">
        <v>867</v>
      </c>
      <c r="Q107" t="s">
        <v>1078</v>
      </c>
      <c r="R107" t="s">
        <v>1079</v>
      </c>
      <c r="S107" t="s">
        <v>232</v>
      </c>
      <c r="T107" t="s">
        <v>491</v>
      </c>
      <c r="U107" t="s">
        <v>233</v>
      </c>
      <c r="V107" t="s">
        <v>234</v>
      </c>
      <c r="W107" t="s">
        <v>54</v>
      </c>
      <c r="X107" t="s">
        <v>235</v>
      </c>
      <c r="Y107" t="s">
        <v>236</v>
      </c>
      <c r="Z107">
        <v>2937</v>
      </c>
      <c r="AA107">
        <v>2937</v>
      </c>
      <c r="AB107" t="s">
        <v>237</v>
      </c>
      <c r="AC107">
        <v>5.26</v>
      </c>
      <c r="AD107">
        <v>15448.62</v>
      </c>
      <c r="AE107">
        <v>6666.99</v>
      </c>
      <c r="AF107" t="s">
        <v>870</v>
      </c>
      <c r="AG107">
        <v>8781.6299999999992</v>
      </c>
      <c r="AH107">
        <v>0.56999999999999995</v>
      </c>
    </row>
    <row r="108" spans="1:34" x14ac:dyDescent="0.25">
      <c r="A108" t="s">
        <v>367</v>
      </c>
      <c r="B108">
        <v>107</v>
      </c>
      <c r="C108" t="s">
        <v>487</v>
      </c>
      <c r="D108" t="s">
        <v>231</v>
      </c>
      <c r="E108" t="s">
        <v>229</v>
      </c>
      <c r="F108" t="s">
        <v>541</v>
      </c>
      <c r="G108" s="25">
        <v>44217</v>
      </c>
      <c r="H108">
        <v>5</v>
      </c>
      <c r="I108">
        <v>21</v>
      </c>
      <c r="J108" t="s">
        <v>1072</v>
      </c>
      <c r="K108" t="s">
        <v>876</v>
      </c>
      <c r="L108" t="s">
        <v>231</v>
      </c>
      <c r="M108" t="s">
        <v>997</v>
      </c>
      <c r="N108" t="s">
        <v>185</v>
      </c>
      <c r="O108" t="s">
        <v>998</v>
      </c>
      <c r="P108" t="s">
        <v>867</v>
      </c>
      <c r="Q108" t="s">
        <v>1073</v>
      </c>
      <c r="R108" t="s">
        <v>1074</v>
      </c>
      <c r="S108" t="s">
        <v>232</v>
      </c>
      <c r="T108" t="s">
        <v>491</v>
      </c>
      <c r="U108" t="s">
        <v>233</v>
      </c>
      <c r="V108" t="s">
        <v>234</v>
      </c>
      <c r="W108" t="s">
        <v>54</v>
      </c>
      <c r="X108" t="s">
        <v>235</v>
      </c>
      <c r="Y108" t="s">
        <v>236</v>
      </c>
      <c r="Z108">
        <v>2902</v>
      </c>
      <c r="AA108">
        <v>2902</v>
      </c>
      <c r="AB108" t="s">
        <v>237</v>
      </c>
      <c r="AC108">
        <v>5.26</v>
      </c>
      <c r="AD108">
        <v>15264.52</v>
      </c>
      <c r="AE108">
        <v>6587.54</v>
      </c>
      <c r="AF108" t="s">
        <v>870</v>
      </c>
      <c r="AG108">
        <v>8676.98</v>
      </c>
      <c r="AH108">
        <v>0.56999999999999995</v>
      </c>
    </row>
    <row r="109" spans="1:34" x14ac:dyDescent="0.25">
      <c r="A109" t="s">
        <v>272</v>
      </c>
      <c r="B109">
        <v>108</v>
      </c>
      <c r="C109" t="s">
        <v>487</v>
      </c>
      <c r="D109" t="s">
        <v>231</v>
      </c>
      <c r="E109" t="s">
        <v>229</v>
      </c>
      <c r="F109" t="s">
        <v>541</v>
      </c>
      <c r="G109" s="25">
        <v>44217</v>
      </c>
      <c r="H109">
        <v>5</v>
      </c>
      <c r="I109">
        <v>21</v>
      </c>
      <c r="J109" t="s">
        <v>1072</v>
      </c>
      <c r="K109" t="s">
        <v>921</v>
      </c>
      <c r="L109" t="s">
        <v>231</v>
      </c>
      <c r="M109" t="s">
        <v>997</v>
      </c>
      <c r="N109" t="s">
        <v>185</v>
      </c>
      <c r="O109" t="s">
        <v>998</v>
      </c>
      <c r="P109" t="s">
        <v>867</v>
      </c>
      <c r="Q109" t="s">
        <v>1073</v>
      </c>
      <c r="R109" t="s">
        <v>1074</v>
      </c>
      <c r="S109" t="s">
        <v>232</v>
      </c>
      <c r="T109" t="s">
        <v>491</v>
      </c>
      <c r="U109" t="s">
        <v>233</v>
      </c>
      <c r="V109" t="s">
        <v>234</v>
      </c>
      <c r="W109" t="s">
        <v>54</v>
      </c>
      <c r="X109" t="s">
        <v>235</v>
      </c>
      <c r="Y109" t="s">
        <v>236</v>
      </c>
      <c r="Z109">
        <v>2408</v>
      </c>
      <c r="AA109">
        <v>2408</v>
      </c>
      <c r="AB109" t="s">
        <v>237</v>
      </c>
      <c r="AC109">
        <v>5.26</v>
      </c>
      <c r="AD109">
        <v>12666.08</v>
      </c>
      <c r="AE109">
        <v>5466.16</v>
      </c>
      <c r="AF109" t="s">
        <v>870</v>
      </c>
      <c r="AG109">
        <v>7199.92</v>
      </c>
      <c r="AH109">
        <v>0.56999999999999995</v>
      </c>
    </row>
    <row r="110" spans="1:34" x14ac:dyDescent="0.25">
      <c r="A110" t="s">
        <v>273</v>
      </c>
      <c r="B110">
        <v>109</v>
      </c>
      <c r="C110" t="s">
        <v>487</v>
      </c>
      <c r="D110" t="s">
        <v>231</v>
      </c>
      <c r="E110" t="s">
        <v>229</v>
      </c>
      <c r="F110" t="s">
        <v>541</v>
      </c>
      <c r="G110" s="25">
        <v>44217</v>
      </c>
      <c r="H110">
        <v>5</v>
      </c>
      <c r="I110">
        <v>21</v>
      </c>
      <c r="J110" t="s">
        <v>1072</v>
      </c>
      <c r="K110" t="s">
        <v>956</v>
      </c>
      <c r="L110" t="s">
        <v>231</v>
      </c>
      <c r="M110" t="s">
        <v>997</v>
      </c>
      <c r="N110" t="s">
        <v>185</v>
      </c>
      <c r="O110" t="s">
        <v>998</v>
      </c>
      <c r="P110" t="s">
        <v>867</v>
      </c>
      <c r="Q110" t="s">
        <v>1073</v>
      </c>
      <c r="R110" t="s">
        <v>1074</v>
      </c>
      <c r="S110" t="s">
        <v>232</v>
      </c>
      <c r="T110" t="s">
        <v>491</v>
      </c>
      <c r="U110" t="s">
        <v>233</v>
      </c>
      <c r="V110" t="s">
        <v>234</v>
      </c>
      <c r="W110" t="s">
        <v>54</v>
      </c>
      <c r="X110" t="s">
        <v>235</v>
      </c>
      <c r="Y110" t="s">
        <v>236</v>
      </c>
      <c r="Z110">
        <v>3070</v>
      </c>
      <c r="AA110">
        <v>3070</v>
      </c>
      <c r="AB110" t="s">
        <v>237</v>
      </c>
      <c r="AC110">
        <v>5.26</v>
      </c>
      <c r="AD110">
        <v>16148.2</v>
      </c>
      <c r="AE110">
        <v>6968.9</v>
      </c>
      <c r="AF110" t="s">
        <v>870</v>
      </c>
      <c r="AG110">
        <v>9179.2999999999993</v>
      </c>
      <c r="AH110">
        <v>0.56999999999999995</v>
      </c>
    </row>
    <row r="111" spans="1:34" x14ac:dyDescent="0.25">
      <c r="A111" t="s">
        <v>285</v>
      </c>
      <c r="B111">
        <v>110</v>
      </c>
      <c r="C111" t="s">
        <v>487</v>
      </c>
      <c r="D111" t="s">
        <v>231</v>
      </c>
      <c r="E111" t="s">
        <v>229</v>
      </c>
      <c r="F111" t="s">
        <v>541</v>
      </c>
      <c r="G111" s="25">
        <v>44217</v>
      </c>
      <c r="H111">
        <v>5</v>
      </c>
      <c r="I111">
        <v>21</v>
      </c>
      <c r="J111" t="s">
        <v>1068</v>
      </c>
      <c r="K111" t="s">
        <v>921</v>
      </c>
      <c r="L111" t="s">
        <v>231</v>
      </c>
      <c r="M111" t="s">
        <v>865</v>
      </c>
      <c r="N111" t="s">
        <v>186</v>
      </c>
      <c r="O111" t="s">
        <v>1069</v>
      </c>
      <c r="P111" t="s">
        <v>867</v>
      </c>
      <c r="Q111" t="s">
        <v>1070</v>
      </c>
      <c r="R111" t="s">
        <v>1071</v>
      </c>
      <c r="S111" t="s">
        <v>232</v>
      </c>
      <c r="T111" t="s">
        <v>491</v>
      </c>
      <c r="U111" t="s">
        <v>233</v>
      </c>
      <c r="V111" t="s">
        <v>234</v>
      </c>
      <c r="W111" t="s">
        <v>54</v>
      </c>
      <c r="X111" t="s">
        <v>235</v>
      </c>
      <c r="Y111" t="s">
        <v>236</v>
      </c>
      <c r="Z111">
        <v>2924</v>
      </c>
      <c r="AA111">
        <v>2924</v>
      </c>
      <c r="AB111" t="s">
        <v>237</v>
      </c>
      <c r="AC111">
        <v>5.26</v>
      </c>
      <c r="AD111">
        <v>15380.24</v>
      </c>
      <c r="AE111">
        <v>6637.48</v>
      </c>
      <c r="AF111" t="s">
        <v>870</v>
      </c>
      <c r="AG111">
        <v>8742.76</v>
      </c>
      <c r="AH111">
        <v>0.56999999999999995</v>
      </c>
    </row>
    <row r="112" spans="1:34" x14ac:dyDescent="0.25">
      <c r="A112" t="s">
        <v>274</v>
      </c>
      <c r="B112">
        <v>111</v>
      </c>
      <c r="C112" t="s">
        <v>487</v>
      </c>
      <c r="D112" t="s">
        <v>231</v>
      </c>
      <c r="E112" t="s">
        <v>229</v>
      </c>
      <c r="F112" t="s">
        <v>541</v>
      </c>
      <c r="G112" s="25">
        <v>44217</v>
      </c>
      <c r="H112">
        <v>5</v>
      </c>
      <c r="I112">
        <v>21</v>
      </c>
      <c r="J112" t="s">
        <v>1068</v>
      </c>
      <c r="K112" t="s">
        <v>956</v>
      </c>
      <c r="L112" t="s">
        <v>231</v>
      </c>
      <c r="M112" t="s">
        <v>865</v>
      </c>
      <c r="N112" t="s">
        <v>186</v>
      </c>
      <c r="O112" t="s">
        <v>1069</v>
      </c>
      <c r="P112" t="s">
        <v>867</v>
      </c>
      <c r="Q112" t="s">
        <v>1070</v>
      </c>
      <c r="R112" t="s">
        <v>1071</v>
      </c>
      <c r="S112" t="s">
        <v>232</v>
      </c>
      <c r="T112" t="s">
        <v>491</v>
      </c>
      <c r="U112" t="s">
        <v>233</v>
      </c>
      <c r="V112" t="s">
        <v>234</v>
      </c>
      <c r="W112" t="s">
        <v>54</v>
      </c>
      <c r="X112" t="s">
        <v>235</v>
      </c>
      <c r="Y112" t="s">
        <v>236</v>
      </c>
      <c r="Z112">
        <v>2942</v>
      </c>
      <c r="AA112">
        <v>2942</v>
      </c>
      <c r="AB112" t="s">
        <v>237</v>
      </c>
      <c r="AC112">
        <v>5.26</v>
      </c>
      <c r="AD112">
        <v>15474.92</v>
      </c>
      <c r="AE112">
        <v>6678.34</v>
      </c>
      <c r="AF112" t="s">
        <v>870</v>
      </c>
      <c r="AG112">
        <v>8796.58</v>
      </c>
      <c r="AH112">
        <v>0.56999999999999995</v>
      </c>
    </row>
    <row r="113" spans="1:34" x14ac:dyDescent="0.25">
      <c r="A113" t="s">
        <v>264</v>
      </c>
      <c r="B113">
        <v>112</v>
      </c>
      <c r="C113" t="s">
        <v>487</v>
      </c>
      <c r="D113" t="s">
        <v>231</v>
      </c>
      <c r="E113" t="s">
        <v>231</v>
      </c>
      <c r="F113" t="s">
        <v>1080</v>
      </c>
      <c r="G113" s="25">
        <v>44218</v>
      </c>
      <c r="H113">
        <v>5</v>
      </c>
      <c r="I113">
        <v>22</v>
      </c>
      <c r="J113" t="s">
        <v>1081</v>
      </c>
      <c r="K113" t="s">
        <v>510</v>
      </c>
      <c r="L113" t="s">
        <v>231</v>
      </c>
      <c r="M113" t="s">
        <v>931</v>
      </c>
      <c r="N113" t="s">
        <v>186</v>
      </c>
      <c r="O113" t="s">
        <v>1082</v>
      </c>
      <c r="P113" t="s">
        <v>867</v>
      </c>
      <c r="Q113" t="s">
        <v>1083</v>
      </c>
      <c r="R113" t="s">
        <v>1084</v>
      </c>
      <c r="S113" t="s">
        <v>232</v>
      </c>
      <c r="T113" t="s">
        <v>491</v>
      </c>
      <c r="U113" t="s">
        <v>233</v>
      </c>
      <c r="V113" t="s">
        <v>234</v>
      </c>
      <c r="W113" t="s">
        <v>54</v>
      </c>
      <c r="X113" t="s">
        <v>235</v>
      </c>
      <c r="Y113" t="s">
        <v>236</v>
      </c>
      <c r="Z113">
        <v>2527</v>
      </c>
      <c r="AA113">
        <v>2527</v>
      </c>
      <c r="AB113" t="s">
        <v>237</v>
      </c>
      <c r="AC113">
        <v>5.26</v>
      </c>
      <c r="AD113">
        <v>13292.02</v>
      </c>
      <c r="AE113">
        <v>5736.29</v>
      </c>
      <c r="AF113" t="s">
        <v>870</v>
      </c>
      <c r="AG113">
        <v>7555.73</v>
      </c>
      <c r="AH113">
        <v>0.56999999999999995</v>
      </c>
    </row>
    <row r="114" spans="1:34" x14ac:dyDescent="0.25">
      <c r="A114" t="s">
        <v>385</v>
      </c>
      <c r="B114">
        <v>113</v>
      </c>
      <c r="C114" t="s">
        <v>487</v>
      </c>
      <c r="D114" t="s">
        <v>231</v>
      </c>
      <c r="E114" t="s">
        <v>231</v>
      </c>
      <c r="F114" t="s">
        <v>1080</v>
      </c>
      <c r="G114" s="25">
        <v>44218</v>
      </c>
      <c r="H114">
        <v>5</v>
      </c>
      <c r="I114">
        <v>22</v>
      </c>
      <c r="J114" t="s">
        <v>1081</v>
      </c>
      <c r="K114" t="s">
        <v>876</v>
      </c>
      <c r="L114" t="s">
        <v>231</v>
      </c>
      <c r="M114" t="s">
        <v>931</v>
      </c>
      <c r="N114" t="s">
        <v>186</v>
      </c>
      <c r="O114" t="s">
        <v>1082</v>
      </c>
      <c r="P114" t="s">
        <v>867</v>
      </c>
      <c r="Q114" t="s">
        <v>1083</v>
      </c>
      <c r="R114" t="s">
        <v>1084</v>
      </c>
      <c r="S114" t="s">
        <v>232</v>
      </c>
      <c r="T114" t="s">
        <v>491</v>
      </c>
      <c r="U114" t="s">
        <v>233</v>
      </c>
      <c r="V114" t="s">
        <v>234</v>
      </c>
      <c r="W114" t="s">
        <v>54</v>
      </c>
      <c r="X114" t="s">
        <v>235</v>
      </c>
      <c r="Y114" t="s">
        <v>236</v>
      </c>
      <c r="Z114">
        <v>1723</v>
      </c>
      <c r="AA114">
        <v>1723</v>
      </c>
      <c r="AB114" t="s">
        <v>237</v>
      </c>
      <c r="AC114">
        <v>5.26</v>
      </c>
      <c r="AD114">
        <v>9062.98</v>
      </c>
      <c r="AE114">
        <v>3911.21</v>
      </c>
      <c r="AF114" t="s">
        <v>870</v>
      </c>
      <c r="AG114">
        <v>5151.7700000000004</v>
      </c>
      <c r="AH114">
        <v>0.56999999999999995</v>
      </c>
    </row>
    <row r="115" spans="1:34" x14ac:dyDescent="0.25">
      <c r="A115" t="s">
        <v>277</v>
      </c>
      <c r="B115">
        <v>114</v>
      </c>
      <c r="C115" t="s">
        <v>487</v>
      </c>
      <c r="D115" t="s">
        <v>231</v>
      </c>
      <c r="E115" t="s">
        <v>322</v>
      </c>
      <c r="F115" t="s">
        <v>1085</v>
      </c>
      <c r="G115" s="25">
        <v>44221</v>
      </c>
      <c r="H115">
        <v>5</v>
      </c>
      <c r="I115">
        <v>25</v>
      </c>
      <c r="J115" t="s">
        <v>1087</v>
      </c>
      <c r="K115" t="s">
        <v>921</v>
      </c>
      <c r="L115" t="s">
        <v>231</v>
      </c>
      <c r="M115" t="s">
        <v>1076</v>
      </c>
      <c r="N115" t="s">
        <v>185</v>
      </c>
      <c r="O115" t="s">
        <v>1077</v>
      </c>
      <c r="P115" t="s">
        <v>867</v>
      </c>
      <c r="Q115" t="s">
        <v>1078</v>
      </c>
      <c r="R115" t="s">
        <v>1079</v>
      </c>
      <c r="S115" t="s">
        <v>232</v>
      </c>
      <c r="T115" t="s">
        <v>503</v>
      </c>
      <c r="U115" t="s">
        <v>303</v>
      </c>
      <c r="V115" t="s">
        <v>234</v>
      </c>
      <c r="W115" t="s">
        <v>56</v>
      </c>
      <c r="X115" t="s">
        <v>235</v>
      </c>
      <c r="Y115" t="s">
        <v>304</v>
      </c>
      <c r="Z115">
        <v>2953</v>
      </c>
      <c r="AA115">
        <v>2953</v>
      </c>
      <c r="AB115" t="s">
        <v>237</v>
      </c>
      <c r="AC115">
        <v>5.27</v>
      </c>
      <c r="AD115">
        <v>15562.31</v>
      </c>
      <c r="AE115">
        <v>6732.84</v>
      </c>
      <c r="AF115" t="s">
        <v>870</v>
      </c>
      <c r="AG115">
        <v>8829.4699999999993</v>
      </c>
      <c r="AH115">
        <v>0.56999999999999995</v>
      </c>
    </row>
    <row r="116" spans="1:34" x14ac:dyDescent="0.25">
      <c r="A116" t="s">
        <v>278</v>
      </c>
      <c r="B116">
        <v>115</v>
      </c>
      <c r="C116" t="s">
        <v>487</v>
      </c>
      <c r="D116" t="s">
        <v>231</v>
      </c>
      <c r="E116" t="s">
        <v>322</v>
      </c>
      <c r="F116" t="s">
        <v>1085</v>
      </c>
      <c r="G116" s="25">
        <v>44221</v>
      </c>
      <c r="H116">
        <v>5</v>
      </c>
      <c r="I116">
        <v>25</v>
      </c>
      <c r="J116" t="s">
        <v>1087</v>
      </c>
      <c r="K116" t="s">
        <v>510</v>
      </c>
      <c r="L116" t="s">
        <v>231</v>
      </c>
      <c r="M116" t="s">
        <v>1076</v>
      </c>
      <c r="N116" t="s">
        <v>185</v>
      </c>
      <c r="O116" t="s">
        <v>1077</v>
      </c>
      <c r="P116" t="s">
        <v>867</v>
      </c>
      <c r="Q116" t="s">
        <v>1078</v>
      </c>
      <c r="R116" t="s">
        <v>1079</v>
      </c>
      <c r="S116" t="s">
        <v>232</v>
      </c>
      <c r="T116" t="s">
        <v>503</v>
      </c>
      <c r="U116" t="s">
        <v>303</v>
      </c>
      <c r="V116" t="s">
        <v>234</v>
      </c>
      <c r="W116" t="s">
        <v>56</v>
      </c>
      <c r="X116" t="s">
        <v>235</v>
      </c>
      <c r="Y116" t="s">
        <v>304</v>
      </c>
      <c r="Z116">
        <v>3079</v>
      </c>
      <c r="AA116">
        <v>3079</v>
      </c>
      <c r="AB116" t="s">
        <v>237</v>
      </c>
      <c r="AC116">
        <v>5.27</v>
      </c>
      <c r="AD116">
        <v>16226.33</v>
      </c>
      <c r="AE116">
        <v>7020.12</v>
      </c>
      <c r="AF116" t="s">
        <v>870</v>
      </c>
      <c r="AG116">
        <v>9206.2099999999991</v>
      </c>
      <c r="AH116">
        <v>0.56999999999999995</v>
      </c>
    </row>
    <row r="117" spans="1:34" x14ac:dyDescent="0.25">
      <c r="A117" t="s">
        <v>279</v>
      </c>
      <c r="B117">
        <v>116</v>
      </c>
      <c r="C117" t="s">
        <v>487</v>
      </c>
      <c r="D117" t="s">
        <v>231</v>
      </c>
      <c r="E117" t="s">
        <v>322</v>
      </c>
      <c r="F117" t="s">
        <v>1085</v>
      </c>
      <c r="G117" s="25">
        <v>44221</v>
      </c>
      <c r="H117">
        <v>5</v>
      </c>
      <c r="I117">
        <v>25</v>
      </c>
      <c r="J117" t="s">
        <v>1087</v>
      </c>
      <c r="K117" t="s">
        <v>956</v>
      </c>
      <c r="L117" t="s">
        <v>231</v>
      </c>
      <c r="M117" t="s">
        <v>1076</v>
      </c>
      <c r="N117" t="s">
        <v>185</v>
      </c>
      <c r="O117" t="s">
        <v>1077</v>
      </c>
      <c r="P117" t="s">
        <v>867</v>
      </c>
      <c r="Q117" t="s">
        <v>1078</v>
      </c>
      <c r="R117" t="s">
        <v>1079</v>
      </c>
      <c r="S117" t="s">
        <v>232</v>
      </c>
      <c r="T117" t="s">
        <v>503</v>
      </c>
      <c r="U117" t="s">
        <v>303</v>
      </c>
      <c r="V117" t="s">
        <v>234</v>
      </c>
      <c r="W117" t="s">
        <v>56</v>
      </c>
      <c r="X117" t="s">
        <v>235</v>
      </c>
      <c r="Y117" t="s">
        <v>304</v>
      </c>
      <c r="Z117">
        <v>2489</v>
      </c>
      <c r="AA117">
        <v>2489</v>
      </c>
      <c r="AB117" t="s">
        <v>237</v>
      </c>
      <c r="AC117">
        <v>5.27</v>
      </c>
      <c r="AD117">
        <v>13117.03</v>
      </c>
      <c r="AE117">
        <v>5674.92</v>
      </c>
      <c r="AF117" t="s">
        <v>870</v>
      </c>
      <c r="AG117">
        <v>7442.11</v>
      </c>
      <c r="AH117">
        <v>0.56999999999999995</v>
      </c>
    </row>
    <row r="118" spans="1:34" x14ac:dyDescent="0.25">
      <c r="A118" t="s">
        <v>349</v>
      </c>
      <c r="B118">
        <v>117</v>
      </c>
      <c r="C118" t="s">
        <v>487</v>
      </c>
      <c r="D118" t="s">
        <v>231</v>
      </c>
      <c r="E118" t="s">
        <v>322</v>
      </c>
      <c r="F118" t="s">
        <v>1085</v>
      </c>
      <c r="G118" s="25">
        <v>44221</v>
      </c>
      <c r="H118">
        <v>5</v>
      </c>
      <c r="I118">
        <v>25</v>
      </c>
      <c r="J118" t="s">
        <v>1087</v>
      </c>
      <c r="K118" t="s">
        <v>876</v>
      </c>
      <c r="L118" t="s">
        <v>231</v>
      </c>
      <c r="M118" t="s">
        <v>1076</v>
      </c>
      <c r="N118" t="s">
        <v>185</v>
      </c>
      <c r="O118" t="s">
        <v>1077</v>
      </c>
      <c r="P118" t="s">
        <v>867</v>
      </c>
      <c r="Q118" t="s">
        <v>1078</v>
      </c>
      <c r="R118" t="s">
        <v>1079</v>
      </c>
      <c r="S118" t="s">
        <v>232</v>
      </c>
      <c r="T118" t="s">
        <v>503</v>
      </c>
      <c r="U118" t="s">
        <v>303</v>
      </c>
      <c r="V118" t="s">
        <v>234</v>
      </c>
      <c r="W118" t="s">
        <v>56</v>
      </c>
      <c r="X118" t="s">
        <v>235</v>
      </c>
      <c r="Y118" t="s">
        <v>304</v>
      </c>
      <c r="Z118">
        <v>3186</v>
      </c>
      <c r="AA118">
        <v>3186</v>
      </c>
      <c r="AB118" t="s">
        <v>237</v>
      </c>
      <c r="AC118">
        <v>5.27</v>
      </c>
      <c r="AD118">
        <v>16790.22</v>
      </c>
      <c r="AE118">
        <v>7264.08</v>
      </c>
      <c r="AF118" t="s">
        <v>870</v>
      </c>
      <c r="AG118">
        <v>9526.14</v>
      </c>
      <c r="AH118">
        <v>0.56999999999999995</v>
      </c>
    </row>
    <row r="119" spans="1:34" x14ac:dyDescent="0.25">
      <c r="A119" t="s">
        <v>372</v>
      </c>
      <c r="B119">
        <v>118</v>
      </c>
      <c r="C119" t="s">
        <v>487</v>
      </c>
      <c r="D119" t="s">
        <v>231</v>
      </c>
      <c r="E119" t="s">
        <v>322</v>
      </c>
      <c r="F119" t="s">
        <v>1085</v>
      </c>
      <c r="G119" s="25">
        <v>44221</v>
      </c>
      <c r="H119">
        <v>5</v>
      </c>
      <c r="I119">
        <v>25</v>
      </c>
      <c r="J119" t="s">
        <v>1086</v>
      </c>
      <c r="K119" t="s">
        <v>921</v>
      </c>
      <c r="L119" t="s">
        <v>231</v>
      </c>
      <c r="M119" t="s">
        <v>898</v>
      </c>
      <c r="N119" t="s">
        <v>185</v>
      </c>
      <c r="O119" t="s">
        <v>899</v>
      </c>
      <c r="P119" t="s">
        <v>867</v>
      </c>
      <c r="Q119" t="s">
        <v>900</v>
      </c>
      <c r="R119" t="s">
        <v>901</v>
      </c>
      <c r="S119" t="s">
        <v>232</v>
      </c>
      <c r="T119" t="s">
        <v>503</v>
      </c>
      <c r="U119" t="s">
        <v>303</v>
      </c>
      <c r="V119" t="s">
        <v>234</v>
      </c>
      <c r="W119" t="s">
        <v>56</v>
      </c>
      <c r="X119" t="s">
        <v>235</v>
      </c>
      <c r="Y119" t="s">
        <v>304</v>
      </c>
      <c r="Z119">
        <v>2349</v>
      </c>
      <c r="AA119">
        <v>2349</v>
      </c>
      <c r="AB119" t="s">
        <v>237</v>
      </c>
      <c r="AC119">
        <v>5.27</v>
      </c>
      <c r="AD119">
        <v>12379.23</v>
      </c>
      <c r="AE119">
        <v>5355.72</v>
      </c>
      <c r="AF119" t="s">
        <v>870</v>
      </c>
      <c r="AG119">
        <v>7023.51</v>
      </c>
      <c r="AH119">
        <v>0.56999999999999995</v>
      </c>
    </row>
    <row r="120" spans="1:34" x14ac:dyDescent="0.25">
      <c r="A120" t="s">
        <v>357</v>
      </c>
      <c r="B120">
        <v>119</v>
      </c>
      <c r="C120" t="s">
        <v>487</v>
      </c>
      <c r="D120" t="s">
        <v>231</v>
      </c>
      <c r="E120" t="s">
        <v>322</v>
      </c>
      <c r="F120" t="s">
        <v>1085</v>
      </c>
      <c r="G120" s="25">
        <v>44221</v>
      </c>
      <c r="H120">
        <v>5</v>
      </c>
      <c r="I120">
        <v>25</v>
      </c>
      <c r="J120" t="s">
        <v>1086</v>
      </c>
      <c r="K120" t="s">
        <v>510</v>
      </c>
      <c r="L120" t="s">
        <v>231</v>
      </c>
      <c r="M120" t="s">
        <v>898</v>
      </c>
      <c r="N120" t="s">
        <v>185</v>
      </c>
      <c r="O120" t="s">
        <v>899</v>
      </c>
      <c r="P120" t="s">
        <v>867</v>
      </c>
      <c r="Q120" t="s">
        <v>900</v>
      </c>
      <c r="R120" t="s">
        <v>901</v>
      </c>
      <c r="S120" t="s">
        <v>232</v>
      </c>
      <c r="T120" t="s">
        <v>503</v>
      </c>
      <c r="U120" t="s">
        <v>303</v>
      </c>
      <c r="V120" t="s">
        <v>234</v>
      </c>
      <c r="W120" t="s">
        <v>56</v>
      </c>
      <c r="X120" t="s">
        <v>235</v>
      </c>
      <c r="Y120" t="s">
        <v>304</v>
      </c>
      <c r="Z120">
        <v>2912</v>
      </c>
      <c r="AA120">
        <v>2912</v>
      </c>
      <c r="AB120" t="s">
        <v>237</v>
      </c>
      <c r="AC120">
        <v>5.27</v>
      </c>
      <c r="AD120">
        <v>15346.24</v>
      </c>
      <c r="AE120">
        <v>6639.36</v>
      </c>
      <c r="AF120" t="s">
        <v>870</v>
      </c>
      <c r="AG120">
        <v>8706.8799999999992</v>
      </c>
      <c r="AH120">
        <v>0.56999999999999995</v>
      </c>
    </row>
    <row r="121" spans="1:34" x14ac:dyDescent="0.25">
      <c r="A121" t="s">
        <v>270</v>
      </c>
      <c r="B121">
        <v>120</v>
      </c>
      <c r="C121" t="s">
        <v>487</v>
      </c>
      <c r="D121" t="s">
        <v>231</v>
      </c>
      <c r="E121" t="s">
        <v>322</v>
      </c>
      <c r="F121" t="s">
        <v>1085</v>
      </c>
      <c r="G121" s="25">
        <v>44221</v>
      </c>
      <c r="H121">
        <v>5</v>
      </c>
      <c r="I121">
        <v>25</v>
      </c>
      <c r="J121" t="s">
        <v>1086</v>
      </c>
      <c r="K121" t="s">
        <v>876</v>
      </c>
      <c r="L121" t="s">
        <v>231</v>
      </c>
      <c r="M121" t="s">
        <v>898</v>
      </c>
      <c r="N121" t="s">
        <v>185</v>
      </c>
      <c r="O121" t="s">
        <v>899</v>
      </c>
      <c r="P121" t="s">
        <v>867</v>
      </c>
      <c r="Q121" t="s">
        <v>900</v>
      </c>
      <c r="R121" t="s">
        <v>901</v>
      </c>
      <c r="S121" t="s">
        <v>232</v>
      </c>
      <c r="T121" t="s">
        <v>503</v>
      </c>
      <c r="U121" t="s">
        <v>303</v>
      </c>
      <c r="V121" t="s">
        <v>234</v>
      </c>
      <c r="W121" t="s">
        <v>56</v>
      </c>
      <c r="X121" t="s">
        <v>235</v>
      </c>
      <c r="Y121" t="s">
        <v>304</v>
      </c>
      <c r="Z121">
        <v>3157</v>
      </c>
      <c r="AA121">
        <v>3157</v>
      </c>
      <c r="AB121" t="s">
        <v>237</v>
      </c>
      <c r="AC121">
        <v>5.27</v>
      </c>
      <c r="AD121">
        <v>16637.39</v>
      </c>
      <c r="AE121">
        <v>7197.96</v>
      </c>
      <c r="AF121" t="s">
        <v>870</v>
      </c>
      <c r="AG121">
        <v>9439.43</v>
      </c>
      <c r="AH121">
        <v>0.56999999999999995</v>
      </c>
    </row>
    <row r="122" spans="1:34" x14ac:dyDescent="0.25">
      <c r="A122" t="s">
        <v>281</v>
      </c>
      <c r="B122">
        <v>121</v>
      </c>
      <c r="C122" t="s">
        <v>487</v>
      </c>
      <c r="D122" t="s">
        <v>231</v>
      </c>
      <c r="E122" t="s">
        <v>247</v>
      </c>
      <c r="F122" t="s">
        <v>1088</v>
      </c>
      <c r="G122" s="25">
        <v>44222</v>
      </c>
      <c r="H122">
        <v>6</v>
      </c>
      <c r="I122">
        <v>26</v>
      </c>
      <c r="J122" t="s">
        <v>1089</v>
      </c>
      <c r="K122" t="s">
        <v>876</v>
      </c>
      <c r="L122" t="s">
        <v>231</v>
      </c>
      <c r="M122" t="s">
        <v>872</v>
      </c>
      <c r="N122" t="s">
        <v>184</v>
      </c>
      <c r="O122" t="s">
        <v>962</v>
      </c>
      <c r="P122" t="s">
        <v>867</v>
      </c>
      <c r="Q122" t="s">
        <v>963</v>
      </c>
      <c r="R122" t="s">
        <v>964</v>
      </c>
      <c r="S122" t="s">
        <v>239</v>
      </c>
      <c r="T122" t="s">
        <v>500</v>
      </c>
      <c r="U122" t="s">
        <v>265</v>
      </c>
      <c r="V122" t="s">
        <v>234</v>
      </c>
      <c r="W122" t="s">
        <v>52</v>
      </c>
      <c r="X122" t="s">
        <v>235</v>
      </c>
      <c r="Y122" t="s">
        <v>266</v>
      </c>
      <c r="Z122">
        <v>422</v>
      </c>
      <c r="AA122">
        <v>422</v>
      </c>
      <c r="AB122" t="s">
        <v>237</v>
      </c>
      <c r="AC122">
        <v>4.6100000000000003</v>
      </c>
      <c r="AD122">
        <v>1945.42</v>
      </c>
      <c r="AE122">
        <v>683.64</v>
      </c>
      <c r="AF122" t="s">
        <v>870</v>
      </c>
      <c r="AG122">
        <v>1261.78</v>
      </c>
      <c r="AH122">
        <v>0.65</v>
      </c>
    </row>
    <row r="123" spans="1:34" x14ac:dyDescent="0.25">
      <c r="A123" t="s">
        <v>240</v>
      </c>
      <c r="B123">
        <v>122</v>
      </c>
      <c r="C123" t="s">
        <v>487</v>
      </c>
      <c r="D123" t="s">
        <v>231</v>
      </c>
      <c r="E123" t="s">
        <v>247</v>
      </c>
      <c r="F123" t="s">
        <v>1088</v>
      </c>
      <c r="G123" s="25">
        <v>44222</v>
      </c>
      <c r="H123">
        <v>6</v>
      </c>
      <c r="I123">
        <v>26</v>
      </c>
      <c r="J123" t="s">
        <v>1089</v>
      </c>
      <c r="K123" t="s">
        <v>510</v>
      </c>
      <c r="L123" t="s">
        <v>231</v>
      </c>
      <c r="M123" t="s">
        <v>872</v>
      </c>
      <c r="N123" t="s">
        <v>184</v>
      </c>
      <c r="O123" t="s">
        <v>962</v>
      </c>
      <c r="P123" t="s">
        <v>867</v>
      </c>
      <c r="Q123" t="s">
        <v>963</v>
      </c>
      <c r="R123" t="s">
        <v>964</v>
      </c>
      <c r="S123" t="s">
        <v>239</v>
      </c>
      <c r="T123" t="s">
        <v>500</v>
      </c>
      <c r="U123" t="s">
        <v>265</v>
      </c>
      <c r="V123" t="s">
        <v>234</v>
      </c>
      <c r="W123" t="s">
        <v>52</v>
      </c>
      <c r="X123" t="s">
        <v>235</v>
      </c>
      <c r="Y123" t="s">
        <v>266</v>
      </c>
      <c r="Z123">
        <v>3091</v>
      </c>
      <c r="AA123">
        <v>3091</v>
      </c>
      <c r="AB123" t="s">
        <v>237</v>
      </c>
      <c r="AC123">
        <v>4.6100000000000003</v>
      </c>
      <c r="AD123">
        <v>14249.51</v>
      </c>
      <c r="AE123">
        <v>5007.42</v>
      </c>
      <c r="AF123" t="s">
        <v>870</v>
      </c>
      <c r="AG123">
        <v>9242.09</v>
      </c>
      <c r="AH123">
        <v>0.65</v>
      </c>
    </row>
    <row r="124" spans="1:34" x14ac:dyDescent="0.25">
      <c r="A124" t="s">
        <v>257</v>
      </c>
      <c r="B124">
        <v>123</v>
      </c>
      <c r="C124" t="s">
        <v>487</v>
      </c>
      <c r="D124" t="s">
        <v>231</v>
      </c>
      <c r="E124" t="s">
        <v>247</v>
      </c>
      <c r="F124" t="s">
        <v>1088</v>
      </c>
      <c r="G124" s="25">
        <v>44222</v>
      </c>
      <c r="H124">
        <v>6</v>
      </c>
      <c r="I124">
        <v>26</v>
      </c>
      <c r="J124" t="s">
        <v>1090</v>
      </c>
      <c r="K124" t="s">
        <v>921</v>
      </c>
      <c r="L124" t="s">
        <v>231</v>
      </c>
      <c r="M124" t="s">
        <v>926</v>
      </c>
      <c r="N124" t="s">
        <v>185</v>
      </c>
      <c r="O124" t="s">
        <v>927</v>
      </c>
      <c r="P124" t="s">
        <v>867</v>
      </c>
      <c r="Q124" t="s">
        <v>928</v>
      </c>
      <c r="R124" t="s">
        <v>929</v>
      </c>
      <c r="S124" t="s">
        <v>232</v>
      </c>
      <c r="T124" t="s">
        <v>500</v>
      </c>
      <c r="U124" t="s">
        <v>265</v>
      </c>
      <c r="V124" t="s">
        <v>234</v>
      </c>
      <c r="W124" t="s">
        <v>52</v>
      </c>
      <c r="X124" t="s">
        <v>235</v>
      </c>
      <c r="Y124" t="s">
        <v>266</v>
      </c>
      <c r="Z124">
        <v>3406</v>
      </c>
      <c r="AA124">
        <v>3406</v>
      </c>
      <c r="AB124" t="s">
        <v>237</v>
      </c>
      <c r="AC124">
        <v>4.6100000000000003</v>
      </c>
      <c r="AD124">
        <v>15701.66</v>
      </c>
      <c r="AE124">
        <v>5517.72</v>
      </c>
      <c r="AF124" t="s">
        <v>870</v>
      </c>
      <c r="AG124">
        <v>10183.94</v>
      </c>
      <c r="AH124">
        <v>0.65</v>
      </c>
    </row>
    <row r="125" spans="1:34" x14ac:dyDescent="0.25">
      <c r="A125" t="s">
        <v>258</v>
      </c>
      <c r="B125">
        <v>124</v>
      </c>
      <c r="C125" t="s">
        <v>487</v>
      </c>
      <c r="D125" t="s">
        <v>231</v>
      </c>
      <c r="E125" t="s">
        <v>247</v>
      </c>
      <c r="F125" t="s">
        <v>1088</v>
      </c>
      <c r="G125" s="25">
        <v>44222</v>
      </c>
      <c r="H125">
        <v>6</v>
      </c>
      <c r="I125">
        <v>26</v>
      </c>
      <c r="J125" t="s">
        <v>1091</v>
      </c>
      <c r="K125" t="s">
        <v>921</v>
      </c>
      <c r="L125" t="s">
        <v>231</v>
      </c>
      <c r="M125" t="s">
        <v>872</v>
      </c>
      <c r="N125" t="s">
        <v>184</v>
      </c>
      <c r="O125" t="s">
        <v>1092</v>
      </c>
      <c r="P125" t="s">
        <v>867</v>
      </c>
      <c r="Q125" t="s">
        <v>1093</v>
      </c>
      <c r="R125" t="s">
        <v>1094</v>
      </c>
      <c r="S125" t="s">
        <v>232</v>
      </c>
      <c r="T125" t="s">
        <v>500</v>
      </c>
      <c r="U125" t="s">
        <v>265</v>
      </c>
      <c r="V125" t="s">
        <v>234</v>
      </c>
      <c r="W125" t="s">
        <v>52</v>
      </c>
      <c r="X125" t="s">
        <v>235</v>
      </c>
      <c r="Y125" t="s">
        <v>266</v>
      </c>
      <c r="Z125">
        <v>3033</v>
      </c>
      <c r="AA125">
        <v>3033</v>
      </c>
      <c r="AB125" t="s">
        <v>237</v>
      </c>
      <c r="AC125">
        <v>4.6100000000000003</v>
      </c>
      <c r="AD125">
        <v>13982.13</v>
      </c>
      <c r="AE125">
        <v>4913.46</v>
      </c>
      <c r="AF125" t="s">
        <v>870</v>
      </c>
      <c r="AG125">
        <v>9068.67</v>
      </c>
      <c r="AH125">
        <v>0.65</v>
      </c>
    </row>
    <row r="126" spans="1:34" x14ac:dyDescent="0.25">
      <c r="A126" t="s">
        <v>363</v>
      </c>
      <c r="B126">
        <v>125</v>
      </c>
      <c r="C126" t="s">
        <v>487</v>
      </c>
      <c r="D126" t="s">
        <v>231</v>
      </c>
      <c r="E126" t="s">
        <v>247</v>
      </c>
      <c r="F126" t="s">
        <v>1088</v>
      </c>
      <c r="G126" s="25">
        <v>44222</v>
      </c>
      <c r="H126">
        <v>6</v>
      </c>
      <c r="I126">
        <v>26</v>
      </c>
      <c r="J126" t="s">
        <v>1091</v>
      </c>
      <c r="K126" t="s">
        <v>876</v>
      </c>
      <c r="L126" t="s">
        <v>231</v>
      </c>
      <c r="M126" t="s">
        <v>872</v>
      </c>
      <c r="N126" t="s">
        <v>184</v>
      </c>
      <c r="O126" t="s">
        <v>1092</v>
      </c>
      <c r="P126" t="s">
        <v>867</v>
      </c>
      <c r="Q126" t="s">
        <v>1093</v>
      </c>
      <c r="R126" t="s">
        <v>1094</v>
      </c>
      <c r="S126" t="s">
        <v>232</v>
      </c>
      <c r="T126" t="s">
        <v>500</v>
      </c>
      <c r="U126" t="s">
        <v>265</v>
      </c>
      <c r="V126" t="s">
        <v>234</v>
      </c>
      <c r="W126" t="s">
        <v>52</v>
      </c>
      <c r="X126" t="s">
        <v>235</v>
      </c>
      <c r="Y126" t="s">
        <v>266</v>
      </c>
      <c r="Z126">
        <v>3108</v>
      </c>
      <c r="AA126">
        <v>3108</v>
      </c>
      <c r="AB126" t="s">
        <v>237</v>
      </c>
      <c r="AC126">
        <v>4.6100000000000003</v>
      </c>
      <c r="AD126">
        <v>14327.88</v>
      </c>
      <c r="AE126">
        <v>5034.96</v>
      </c>
      <c r="AF126" t="s">
        <v>870</v>
      </c>
      <c r="AG126">
        <v>9292.92</v>
      </c>
      <c r="AH126">
        <v>0.65</v>
      </c>
    </row>
    <row r="127" spans="1:34" x14ac:dyDescent="0.25">
      <c r="A127" t="s">
        <v>364</v>
      </c>
      <c r="B127">
        <v>126</v>
      </c>
      <c r="C127" t="s">
        <v>487</v>
      </c>
      <c r="D127" t="s">
        <v>231</v>
      </c>
      <c r="E127" t="s">
        <v>247</v>
      </c>
      <c r="F127" t="s">
        <v>1088</v>
      </c>
      <c r="G127" s="25">
        <v>44222</v>
      </c>
      <c r="H127">
        <v>6</v>
      </c>
      <c r="I127">
        <v>26</v>
      </c>
      <c r="J127" t="s">
        <v>1091</v>
      </c>
      <c r="K127" t="s">
        <v>510</v>
      </c>
      <c r="L127" t="s">
        <v>231</v>
      </c>
      <c r="M127" t="s">
        <v>872</v>
      </c>
      <c r="N127" t="s">
        <v>184</v>
      </c>
      <c r="O127" t="s">
        <v>1092</v>
      </c>
      <c r="P127" t="s">
        <v>867</v>
      </c>
      <c r="Q127" t="s">
        <v>1093</v>
      </c>
      <c r="R127" t="s">
        <v>1094</v>
      </c>
      <c r="S127" t="s">
        <v>232</v>
      </c>
      <c r="T127" t="s">
        <v>500</v>
      </c>
      <c r="U127" t="s">
        <v>265</v>
      </c>
      <c r="V127" t="s">
        <v>234</v>
      </c>
      <c r="W127" t="s">
        <v>52</v>
      </c>
      <c r="X127" t="s">
        <v>235</v>
      </c>
      <c r="Y127" t="s">
        <v>266</v>
      </c>
      <c r="Z127">
        <v>2940</v>
      </c>
      <c r="AA127">
        <v>2940</v>
      </c>
      <c r="AB127" t="s">
        <v>237</v>
      </c>
      <c r="AC127">
        <v>4.6100000000000003</v>
      </c>
      <c r="AD127">
        <v>13553.4</v>
      </c>
      <c r="AE127">
        <v>4762.8</v>
      </c>
      <c r="AF127" t="s">
        <v>870</v>
      </c>
      <c r="AG127">
        <v>8790.6</v>
      </c>
      <c r="AH127">
        <v>0.65</v>
      </c>
    </row>
    <row r="128" spans="1:34" x14ac:dyDescent="0.25">
      <c r="A128" t="s">
        <v>262</v>
      </c>
      <c r="B128">
        <v>127</v>
      </c>
      <c r="C128" t="s">
        <v>487</v>
      </c>
      <c r="D128" t="s">
        <v>231</v>
      </c>
      <c r="E128" t="s">
        <v>247</v>
      </c>
      <c r="F128" t="s">
        <v>1088</v>
      </c>
      <c r="G128" s="25">
        <v>44222</v>
      </c>
      <c r="H128">
        <v>6</v>
      </c>
      <c r="I128">
        <v>26</v>
      </c>
      <c r="J128" t="s">
        <v>1090</v>
      </c>
      <c r="K128" t="s">
        <v>876</v>
      </c>
      <c r="L128" t="s">
        <v>231</v>
      </c>
      <c r="M128" t="s">
        <v>926</v>
      </c>
      <c r="N128" t="s">
        <v>185</v>
      </c>
      <c r="O128" t="s">
        <v>927</v>
      </c>
      <c r="P128" t="s">
        <v>867</v>
      </c>
      <c r="Q128" t="s">
        <v>928</v>
      </c>
      <c r="R128" t="s">
        <v>929</v>
      </c>
      <c r="S128" t="s">
        <v>232</v>
      </c>
      <c r="T128" t="s">
        <v>503</v>
      </c>
      <c r="U128" t="s">
        <v>303</v>
      </c>
      <c r="V128" t="s">
        <v>234</v>
      </c>
      <c r="W128" t="s">
        <v>56</v>
      </c>
      <c r="X128" t="s">
        <v>235</v>
      </c>
      <c r="Y128" t="s">
        <v>304</v>
      </c>
      <c r="Z128">
        <v>1208</v>
      </c>
      <c r="AA128">
        <v>1208</v>
      </c>
      <c r="AB128" t="s">
        <v>237</v>
      </c>
      <c r="AC128">
        <v>5.27</v>
      </c>
      <c r="AD128">
        <v>6366.16</v>
      </c>
      <c r="AE128">
        <v>2754.24</v>
      </c>
      <c r="AF128" t="s">
        <v>870</v>
      </c>
      <c r="AG128">
        <v>3611.92</v>
      </c>
      <c r="AH128">
        <v>0.56999999999999995</v>
      </c>
    </row>
    <row r="129" spans="1:34" x14ac:dyDescent="0.25">
      <c r="A129" t="s">
        <v>263</v>
      </c>
      <c r="B129">
        <v>128</v>
      </c>
      <c r="C129" t="s">
        <v>487</v>
      </c>
      <c r="D129" t="s">
        <v>231</v>
      </c>
      <c r="E129" t="s">
        <v>247</v>
      </c>
      <c r="F129" t="s">
        <v>1088</v>
      </c>
      <c r="G129" s="25">
        <v>44222</v>
      </c>
      <c r="H129">
        <v>6</v>
      </c>
      <c r="I129">
        <v>26</v>
      </c>
      <c r="J129" t="s">
        <v>1090</v>
      </c>
      <c r="K129" t="s">
        <v>510</v>
      </c>
      <c r="L129" t="s">
        <v>231</v>
      </c>
      <c r="M129" t="s">
        <v>926</v>
      </c>
      <c r="N129" t="s">
        <v>185</v>
      </c>
      <c r="O129" t="s">
        <v>927</v>
      </c>
      <c r="P129" t="s">
        <v>867</v>
      </c>
      <c r="Q129" t="s">
        <v>928</v>
      </c>
      <c r="R129" t="s">
        <v>929</v>
      </c>
      <c r="S129" t="s">
        <v>232</v>
      </c>
      <c r="T129" t="s">
        <v>503</v>
      </c>
      <c r="U129" t="s">
        <v>303</v>
      </c>
      <c r="V129" t="s">
        <v>234</v>
      </c>
      <c r="W129" t="s">
        <v>56</v>
      </c>
      <c r="X129" t="s">
        <v>235</v>
      </c>
      <c r="Y129" t="s">
        <v>304</v>
      </c>
      <c r="Z129">
        <v>2667</v>
      </c>
      <c r="AA129">
        <v>2667</v>
      </c>
      <c r="AB129" t="s">
        <v>237</v>
      </c>
      <c r="AC129">
        <v>5.27</v>
      </c>
      <c r="AD129">
        <v>14055.09</v>
      </c>
      <c r="AE129">
        <v>6080.76</v>
      </c>
      <c r="AF129" t="s">
        <v>870</v>
      </c>
      <c r="AG129">
        <v>7974.33</v>
      </c>
      <c r="AH129">
        <v>0.56999999999999995</v>
      </c>
    </row>
    <row r="130" spans="1:34" x14ac:dyDescent="0.25">
      <c r="A130" t="s">
        <v>339</v>
      </c>
      <c r="B130">
        <v>129</v>
      </c>
      <c r="C130" t="s">
        <v>487</v>
      </c>
      <c r="D130" t="s">
        <v>231</v>
      </c>
      <c r="E130" t="s">
        <v>326</v>
      </c>
      <c r="F130" t="s">
        <v>1095</v>
      </c>
      <c r="G130" s="25">
        <v>44223</v>
      </c>
      <c r="H130">
        <v>6</v>
      </c>
      <c r="I130">
        <v>27</v>
      </c>
      <c r="J130" t="s">
        <v>1096</v>
      </c>
      <c r="K130" t="s">
        <v>510</v>
      </c>
      <c r="L130" t="s">
        <v>231</v>
      </c>
      <c r="M130" t="s">
        <v>872</v>
      </c>
      <c r="N130" t="s">
        <v>184</v>
      </c>
      <c r="O130" t="s">
        <v>894</v>
      </c>
      <c r="P130" t="s">
        <v>867</v>
      </c>
      <c r="Q130" t="s">
        <v>895</v>
      </c>
      <c r="R130" t="s">
        <v>896</v>
      </c>
      <c r="S130" t="s">
        <v>232</v>
      </c>
      <c r="T130" t="s">
        <v>505</v>
      </c>
      <c r="U130" t="s">
        <v>41</v>
      </c>
      <c r="V130" t="s">
        <v>234</v>
      </c>
      <c r="W130" t="s">
        <v>40</v>
      </c>
      <c r="X130" t="s">
        <v>21</v>
      </c>
      <c r="Y130" t="s">
        <v>266</v>
      </c>
      <c r="Z130">
        <v>3688</v>
      </c>
      <c r="AA130">
        <v>3688</v>
      </c>
      <c r="AB130" t="s">
        <v>237</v>
      </c>
      <c r="AC130">
        <v>3.9</v>
      </c>
      <c r="AD130">
        <v>14383.2</v>
      </c>
      <c r="AE130">
        <v>3319.2</v>
      </c>
      <c r="AF130" t="s">
        <v>870</v>
      </c>
      <c r="AG130">
        <v>11064</v>
      </c>
      <c r="AH130">
        <v>0.77</v>
      </c>
    </row>
    <row r="131" spans="1:34" x14ac:dyDescent="0.25">
      <c r="A131" t="s">
        <v>318</v>
      </c>
      <c r="B131">
        <v>130</v>
      </c>
      <c r="C131" t="s">
        <v>487</v>
      </c>
      <c r="D131" t="s">
        <v>231</v>
      </c>
      <c r="E131" t="s">
        <v>326</v>
      </c>
      <c r="F131" t="s">
        <v>1095</v>
      </c>
      <c r="G131" s="25">
        <v>44223</v>
      </c>
      <c r="H131">
        <v>6</v>
      </c>
      <c r="I131">
        <v>27</v>
      </c>
      <c r="J131" t="s">
        <v>1096</v>
      </c>
      <c r="K131" t="s">
        <v>921</v>
      </c>
      <c r="L131" t="s">
        <v>231</v>
      </c>
      <c r="M131" t="s">
        <v>872</v>
      </c>
      <c r="N131" t="s">
        <v>184</v>
      </c>
      <c r="O131" t="s">
        <v>894</v>
      </c>
      <c r="P131" t="s">
        <v>867</v>
      </c>
      <c r="Q131" t="s">
        <v>895</v>
      </c>
      <c r="R131" t="s">
        <v>896</v>
      </c>
      <c r="S131" t="s">
        <v>232</v>
      </c>
      <c r="T131" t="s">
        <v>505</v>
      </c>
      <c r="U131" t="s">
        <v>41</v>
      </c>
      <c r="V131" t="s">
        <v>234</v>
      </c>
      <c r="W131" t="s">
        <v>40</v>
      </c>
      <c r="X131" t="s">
        <v>21</v>
      </c>
      <c r="Y131" t="s">
        <v>266</v>
      </c>
      <c r="Z131">
        <v>3436</v>
      </c>
      <c r="AA131">
        <v>3436</v>
      </c>
      <c r="AB131" t="s">
        <v>237</v>
      </c>
      <c r="AC131">
        <v>3.9</v>
      </c>
      <c r="AD131">
        <v>13400.4</v>
      </c>
      <c r="AE131">
        <v>3092.4</v>
      </c>
      <c r="AF131" t="s">
        <v>870</v>
      </c>
      <c r="AG131">
        <v>10308</v>
      </c>
      <c r="AH131">
        <v>0.77</v>
      </c>
    </row>
    <row r="132" spans="1:34" x14ac:dyDescent="0.25">
      <c r="A132" t="s">
        <v>365</v>
      </c>
      <c r="B132">
        <v>131</v>
      </c>
      <c r="C132" t="s">
        <v>487</v>
      </c>
      <c r="D132" t="s">
        <v>231</v>
      </c>
      <c r="E132" t="s">
        <v>326</v>
      </c>
      <c r="F132" t="s">
        <v>1095</v>
      </c>
      <c r="G132" s="25">
        <v>44223</v>
      </c>
      <c r="H132">
        <v>6</v>
      </c>
      <c r="I132">
        <v>27</v>
      </c>
      <c r="J132" t="s">
        <v>1096</v>
      </c>
      <c r="K132" t="s">
        <v>956</v>
      </c>
      <c r="L132" t="s">
        <v>231</v>
      </c>
      <c r="M132" t="s">
        <v>872</v>
      </c>
      <c r="N132" t="s">
        <v>184</v>
      </c>
      <c r="O132" t="s">
        <v>894</v>
      </c>
      <c r="P132" t="s">
        <v>867</v>
      </c>
      <c r="Q132" t="s">
        <v>895</v>
      </c>
      <c r="R132" t="s">
        <v>896</v>
      </c>
      <c r="S132" t="s">
        <v>232</v>
      </c>
      <c r="T132" t="s">
        <v>505</v>
      </c>
      <c r="U132" t="s">
        <v>41</v>
      </c>
      <c r="V132" t="s">
        <v>234</v>
      </c>
      <c r="W132" t="s">
        <v>40</v>
      </c>
      <c r="X132" t="s">
        <v>21</v>
      </c>
      <c r="Y132" t="s">
        <v>266</v>
      </c>
      <c r="Z132">
        <v>3428</v>
      </c>
      <c r="AA132">
        <v>3428</v>
      </c>
      <c r="AB132" t="s">
        <v>237</v>
      </c>
      <c r="AC132">
        <v>3.9</v>
      </c>
      <c r="AD132">
        <v>13369.2</v>
      </c>
      <c r="AE132">
        <v>3085.2</v>
      </c>
      <c r="AF132" t="s">
        <v>870</v>
      </c>
      <c r="AG132">
        <v>10284</v>
      </c>
      <c r="AH132">
        <v>0.77</v>
      </c>
    </row>
    <row r="133" spans="1:34" x14ac:dyDescent="0.25">
      <c r="A133" t="s">
        <v>292</v>
      </c>
      <c r="B133">
        <v>132</v>
      </c>
      <c r="C133" t="s">
        <v>487</v>
      </c>
      <c r="D133" t="s">
        <v>231</v>
      </c>
      <c r="E133" t="s">
        <v>326</v>
      </c>
      <c r="F133" t="s">
        <v>1095</v>
      </c>
      <c r="G133" s="25">
        <v>44223</v>
      </c>
      <c r="H133">
        <v>6</v>
      </c>
      <c r="I133">
        <v>27</v>
      </c>
      <c r="J133" t="s">
        <v>1096</v>
      </c>
      <c r="K133" t="s">
        <v>876</v>
      </c>
      <c r="L133" t="s">
        <v>231</v>
      </c>
      <c r="M133" t="s">
        <v>872</v>
      </c>
      <c r="N133" t="s">
        <v>184</v>
      </c>
      <c r="O133" t="s">
        <v>894</v>
      </c>
      <c r="P133" t="s">
        <v>867</v>
      </c>
      <c r="Q133" t="s">
        <v>895</v>
      </c>
      <c r="R133" t="s">
        <v>896</v>
      </c>
      <c r="S133" t="s">
        <v>232</v>
      </c>
      <c r="T133" t="s">
        <v>505</v>
      </c>
      <c r="U133" t="s">
        <v>41</v>
      </c>
      <c r="V133" t="s">
        <v>234</v>
      </c>
      <c r="W133" t="s">
        <v>40</v>
      </c>
      <c r="X133" t="s">
        <v>21</v>
      </c>
      <c r="Y133" t="s">
        <v>266</v>
      </c>
      <c r="Z133">
        <v>3948</v>
      </c>
      <c r="AA133">
        <v>3948</v>
      </c>
      <c r="AB133" t="s">
        <v>237</v>
      </c>
      <c r="AC133">
        <v>3.9</v>
      </c>
      <c r="AD133">
        <v>15397.2</v>
      </c>
      <c r="AE133">
        <v>3553.2</v>
      </c>
      <c r="AF133" t="s">
        <v>870</v>
      </c>
      <c r="AG133">
        <v>11844</v>
      </c>
      <c r="AH133">
        <v>0.77</v>
      </c>
    </row>
    <row r="134" spans="1:34" x14ac:dyDescent="0.25">
      <c r="A134" t="s">
        <v>293</v>
      </c>
      <c r="B134">
        <v>133</v>
      </c>
      <c r="C134" t="s">
        <v>487</v>
      </c>
      <c r="D134" t="s">
        <v>231</v>
      </c>
      <c r="E134" t="s">
        <v>326</v>
      </c>
      <c r="F134" t="s">
        <v>1095</v>
      </c>
      <c r="G134" s="25">
        <v>44223</v>
      </c>
      <c r="H134">
        <v>6</v>
      </c>
      <c r="I134">
        <v>27</v>
      </c>
      <c r="J134" t="s">
        <v>1098</v>
      </c>
      <c r="K134" t="s">
        <v>510</v>
      </c>
      <c r="L134" t="s">
        <v>231</v>
      </c>
      <c r="M134" t="s">
        <v>883</v>
      </c>
      <c r="N134" t="s">
        <v>185</v>
      </c>
      <c r="O134" t="s">
        <v>884</v>
      </c>
      <c r="P134" t="s">
        <v>867</v>
      </c>
      <c r="Q134" t="s">
        <v>885</v>
      </c>
      <c r="R134" t="s">
        <v>886</v>
      </c>
      <c r="S134" t="s">
        <v>537</v>
      </c>
      <c r="T134" t="s">
        <v>505</v>
      </c>
      <c r="U134" t="s">
        <v>41</v>
      </c>
      <c r="V134" t="s">
        <v>234</v>
      </c>
      <c r="W134" t="s">
        <v>40</v>
      </c>
      <c r="X134" t="s">
        <v>21</v>
      </c>
      <c r="Y134" t="s">
        <v>266</v>
      </c>
      <c r="Z134">
        <v>3327</v>
      </c>
      <c r="AA134">
        <v>3327</v>
      </c>
      <c r="AB134" t="s">
        <v>237</v>
      </c>
      <c r="AC134">
        <v>4.29</v>
      </c>
      <c r="AD134">
        <v>14272.83</v>
      </c>
      <c r="AE134">
        <v>2994.3</v>
      </c>
      <c r="AF134" t="s">
        <v>870</v>
      </c>
      <c r="AG134">
        <v>11278.53</v>
      </c>
      <c r="AH134">
        <v>0.79</v>
      </c>
    </row>
    <row r="135" spans="1:34" x14ac:dyDescent="0.25">
      <c r="A135" t="s">
        <v>300</v>
      </c>
      <c r="B135">
        <v>134</v>
      </c>
      <c r="C135" t="s">
        <v>487</v>
      </c>
      <c r="D135" t="s">
        <v>231</v>
      </c>
      <c r="E135" t="s">
        <v>326</v>
      </c>
      <c r="F135" t="s">
        <v>1095</v>
      </c>
      <c r="G135" s="25">
        <v>44223</v>
      </c>
      <c r="H135">
        <v>6</v>
      </c>
      <c r="I135">
        <v>27</v>
      </c>
      <c r="J135" t="s">
        <v>1097</v>
      </c>
      <c r="K135" t="s">
        <v>510</v>
      </c>
      <c r="L135" t="s">
        <v>231</v>
      </c>
      <c r="M135" t="s">
        <v>865</v>
      </c>
      <c r="N135" t="s">
        <v>186</v>
      </c>
      <c r="O135" t="s">
        <v>1012</v>
      </c>
      <c r="P135" t="s">
        <v>867</v>
      </c>
      <c r="Q135" t="s">
        <v>1031</v>
      </c>
      <c r="R135" t="s">
        <v>1032</v>
      </c>
      <c r="S135" t="s">
        <v>537</v>
      </c>
      <c r="T135" t="s">
        <v>505</v>
      </c>
      <c r="U135" t="s">
        <v>41</v>
      </c>
      <c r="V135" t="s">
        <v>234</v>
      </c>
      <c r="W135" t="s">
        <v>40</v>
      </c>
      <c r="X135" t="s">
        <v>21</v>
      </c>
      <c r="Y135" t="s">
        <v>266</v>
      </c>
      <c r="Z135">
        <v>2548</v>
      </c>
      <c r="AA135">
        <v>2548</v>
      </c>
      <c r="AB135" t="s">
        <v>237</v>
      </c>
      <c r="AC135">
        <v>4.29</v>
      </c>
      <c r="AD135">
        <v>10930.92</v>
      </c>
      <c r="AE135">
        <v>2293.1999999999998</v>
      </c>
      <c r="AF135" t="s">
        <v>870</v>
      </c>
      <c r="AG135">
        <v>8637.7199999999993</v>
      </c>
      <c r="AH135">
        <v>0.79</v>
      </c>
    </row>
    <row r="136" spans="1:34" x14ac:dyDescent="0.25">
      <c r="A136" t="s">
        <v>301</v>
      </c>
      <c r="B136">
        <v>135</v>
      </c>
      <c r="C136" t="s">
        <v>487</v>
      </c>
      <c r="D136" t="s">
        <v>231</v>
      </c>
      <c r="E136" t="s">
        <v>381</v>
      </c>
      <c r="F136" t="s">
        <v>1099</v>
      </c>
      <c r="G136" s="25">
        <v>44224</v>
      </c>
      <c r="H136">
        <v>6</v>
      </c>
      <c r="I136">
        <v>28</v>
      </c>
      <c r="J136" t="s">
        <v>1100</v>
      </c>
      <c r="K136" t="s">
        <v>510</v>
      </c>
      <c r="L136" t="s">
        <v>231</v>
      </c>
      <c r="M136" t="s">
        <v>926</v>
      </c>
      <c r="N136" t="s">
        <v>185</v>
      </c>
      <c r="O136" t="s">
        <v>1053</v>
      </c>
      <c r="P136" t="s">
        <v>867</v>
      </c>
      <c r="Q136" t="s">
        <v>1054</v>
      </c>
      <c r="R136" t="s">
        <v>1055</v>
      </c>
      <c r="S136" t="s">
        <v>232</v>
      </c>
      <c r="T136" t="s">
        <v>505</v>
      </c>
      <c r="U136" t="s">
        <v>41</v>
      </c>
      <c r="V136" t="s">
        <v>234</v>
      </c>
      <c r="W136" t="s">
        <v>40</v>
      </c>
      <c r="X136" t="s">
        <v>21</v>
      </c>
      <c r="Y136" t="s">
        <v>266</v>
      </c>
      <c r="Z136">
        <v>4009</v>
      </c>
      <c r="AA136">
        <v>4009</v>
      </c>
      <c r="AB136" t="s">
        <v>237</v>
      </c>
      <c r="AC136">
        <v>3.9</v>
      </c>
      <c r="AD136">
        <v>15635.1</v>
      </c>
      <c r="AE136">
        <v>3608.1</v>
      </c>
      <c r="AF136" t="s">
        <v>870</v>
      </c>
      <c r="AG136">
        <v>12027</v>
      </c>
      <c r="AH136">
        <v>0.77</v>
      </c>
    </row>
    <row r="137" spans="1:34" x14ac:dyDescent="0.25">
      <c r="A137" t="s">
        <v>286</v>
      </c>
      <c r="B137">
        <v>136</v>
      </c>
      <c r="C137" t="s">
        <v>487</v>
      </c>
      <c r="D137" t="s">
        <v>231</v>
      </c>
      <c r="E137" t="s">
        <v>381</v>
      </c>
      <c r="F137" t="s">
        <v>1099</v>
      </c>
      <c r="G137" s="25">
        <v>44224</v>
      </c>
      <c r="H137">
        <v>6</v>
      </c>
      <c r="I137">
        <v>28</v>
      </c>
      <c r="J137" t="s">
        <v>1120</v>
      </c>
      <c r="K137" t="s">
        <v>510</v>
      </c>
      <c r="L137" t="s">
        <v>231</v>
      </c>
      <c r="M137" t="s">
        <v>911</v>
      </c>
      <c r="N137" t="s">
        <v>186</v>
      </c>
      <c r="O137" t="s">
        <v>1121</v>
      </c>
      <c r="P137" t="s">
        <v>867</v>
      </c>
      <c r="Q137" t="s">
        <v>1122</v>
      </c>
      <c r="R137" t="s">
        <v>1123</v>
      </c>
      <c r="S137" t="s">
        <v>537</v>
      </c>
      <c r="T137" t="s">
        <v>505</v>
      </c>
      <c r="U137" t="s">
        <v>41</v>
      </c>
      <c r="V137" t="s">
        <v>234</v>
      </c>
      <c r="W137" t="s">
        <v>40</v>
      </c>
      <c r="X137" t="s">
        <v>21</v>
      </c>
      <c r="Y137" t="s">
        <v>266</v>
      </c>
      <c r="Z137">
        <v>698</v>
      </c>
      <c r="AA137">
        <v>698</v>
      </c>
      <c r="AB137" t="s">
        <v>237</v>
      </c>
      <c r="AC137">
        <v>4.29</v>
      </c>
      <c r="AD137">
        <v>2994.42</v>
      </c>
      <c r="AE137">
        <v>628.20000000000005</v>
      </c>
      <c r="AF137" t="s">
        <v>870</v>
      </c>
      <c r="AG137">
        <v>2366.2199999999998</v>
      </c>
      <c r="AH137">
        <v>0.79</v>
      </c>
    </row>
    <row r="138" spans="1:34" x14ac:dyDescent="0.25">
      <c r="A138" t="s">
        <v>308</v>
      </c>
      <c r="B138">
        <v>137</v>
      </c>
      <c r="C138" t="s">
        <v>487</v>
      </c>
      <c r="D138" t="s">
        <v>231</v>
      </c>
      <c r="E138" t="s">
        <v>381</v>
      </c>
      <c r="F138" t="s">
        <v>1099</v>
      </c>
      <c r="G138" s="25">
        <v>44224</v>
      </c>
      <c r="H138">
        <v>6</v>
      </c>
      <c r="I138">
        <v>28</v>
      </c>
      <c r="J138" t="s">
        <v>1101</v>
      </c>
      <c r="K138" t="s">
        <v>510</v>
      </c>
      <c r="L138" t="s">
        <v>231</v>
      </c>
      <c r="M138" t="s">
        <v>872</v>
      </c>
      <c r="N138" t="s">
        <v>184</v>
      </c>
      <c r="O138" t="s">
        <v>1102</v>
      </c>
      <c r="P138" t="s">
        <v>867</v>
      </c>
      <c r="Q138" t="s">
        <v>1103</v>
      </c>
      <c r="R138" t="s">
        <v>1104</v>
      </c>
      <c r="S138" t="s">
        <v>537</v>
      </c>
      <c r="T138" t="s">
        <v>505</v>
      </c>
      <c r="U138" t="s">
        <v>41</v>
      </c>
      <c r="V138" t="s">
        <v>234</v>
      </c>
      <c r="W138" t="s">
        <v>40</v>
      </c>
      <c r="X138" t="s">
        <v>21</v>
      </c>
      <c r="Y138" t="s">
        <v>266</v>
      </c>
      <c r="Z138">
        <v>3024</v>
      </c>
      <c r="AA138">
        <v>3024</v>
      </c>
      <c r="AB138" t="s">
        <v>237</v>
      </c>
      <c r="AC138">
        <v>4.29</v>
      </c>
      <c r="AD138">
        <v>12972.96</v>
      </c>
      <c r="AE138">
        <v>2721.6</v>
      </c>
      <c r="AF138" t="s">
        <v>870</v>
      </c>
      <c r="AG138">
        <v>10251.36</v>
      </c>
      <c r="AH138">
        <v>0.79</v>
      </c>
    </row>
    <row r="139" spans="1:34" x14ac:dyDescent="0.25">
      <c r="A139" t="s">
        <v>539</v>
      </c>
      <c r="B139">
        <v>138</v>
      </c>
      <c r="C139" t="s">
        <v>487</v>
      </c>
      <c r="D139" t="s">
        <v>231</v>
      </c>
      <c r="E139" t="s">
        <v>381</v>
      </c>
      <c r="F139" t="s">
        <v>1099</v>
      </c>
      <c r="G139" s="25">
        <v>44224</v>
      </c>
      <c r="H139">
        <v>6</v>
      </c>
      <c r="I139">
        <v>28</v>
      </c>
      <c r="J139" t="s">
        <v>1105</v>
      </c>
      <c r="K139" t="s">
        <v>510</v>
      </c>
      <c r="L139" t="s">
        <v>231</v>
      </c>
      <c r="M139" t="s">
        <v>888</v>
      </c>
      <c r="N139" t="s">
        <v>184</v>
      </c>
      <c r="O139" t="s">
        <v>1106</v>
      </c>
      <c r="P139" t="s">
        <v>867</v>
      </c>
      <c r="Q139" t="s">
        <v>1107</v>
      </c>
      <c r="R139" t="s">
        <v>1108</v>
      </c>
      <c r="S139" t="s">
        <v>537</v>
      </c>
      <c r="T139" t="s">
        <v>505</v>
      </c>
      <c r="U139" t="s">
        <v>41</v>
      </c>
      <c r="V139" t="s">
        <v>234</v>
      </c>
      <c r="W139" t="s">
        <v>40</v>
      </c>
      <c r="X139" t="s">
        <v>21</v>
      </c>
      <c r="Y139" t="s">
        <v>266</v>
      </c>
      <c r="Z139">
        <v>3176</v>
      </c>
      <c r="AA139">
        <v>3176</v>
      </c>
      <c r="AB139" t="s">
        <v>237</v>
      </c>
      <c r="AC139">
        <v>4.29</v>
      </c>
      <c r="AD139">
        <v>13625.04</v>
      </c>
      <c r="AE139">
        <v>2858.4</v>
      </c>
      <c r="AF139" t="s">
        <v>870</v>
      </c>
      <c r="AG139">
        <v>10766.64</v>
      </c>
      <c r="AH139">
        <v>0.79</v>
      </c>
    </row>
    <row r="140" spans="1:34" x14ac:dyDescent="0.25">
      <c r="A140" t="s">
        <v>801</v>
      </c>
      <c r="B140">
        <v>139</v>
      </c>
      <c r="C140" t="s">
        <v>487</v>
      </c>
      <c r="D140" t="s">
        <v>231</v>
      </c>
      <c r="E140" t="s">
        <v>381</v>
      </c>
      <c r="F140" t="s">
        <v>1099</v>
      </c>
      <c r="G140" s="25">
        <v>44224</v>
      </c>
      <c r="H140">
        <v>6</v>
      </c>
      <c r="I140">
        <v>28</v>
      </c>
      <c r="J140" t="s">
        <v>1109</v>
      </c>
      <c r="K140" t="s">
        <v>510</v>
      </c>
      <c r="L140" t="s">
        <v>231</v>
      </c>
      <c r="M140" t="s">
        <v>872</v>
      </c>
      <c r="N140" t="s">
        <v>184</v>
      </c>
      <c r="O140" t="s">
        <v>1110</v>
      </c>
      <c r="P140" t="s">
        <v>867</v>
      </c>
      <c r="Q140" t="s">
        <v>1111</v>
      </c>
      <c r="R140" t="s">
        <v>1112</v>
      </c>
      <c r="S140" t="s">
        <v>537</v>
      </c>
      <c r="T140" t="s">
        <v>505</v>
      </c>
      <c r="U140" t="s">
        <v>41</v>
      </c>
      <c r="V140" t="s">
        <v>234</v>
      </c>
      <c r="W140" t="s">
        <v>40</v>
      </c>
      <c r="X140" t="s">
        <v>21</v>
      </c>
      <c r="Y140" t="s">
        <v>266</v>
      </c>
      <c r="Z140">
        <v>3007</v>
      </c>
      <c r="AA140">
        <v>3007</v>
      </c>
      <c r="AB140" t="s">
        <v>237</v>
      </c>
      <c r="AC140">
        <v>4.29</v>
      </c>
      <c r="AD140">
        <v>12900.03</v>
      </c>
      <c r="AE140">
        <v>2706.3</v>
      </c>
      <c r="AF140" t="s">
        <v>870</v>
      </c>
      <c r="AG140">
        <v>10193.73</v>
      </c>
      <c r="AH140">
        <v>0.79</v>
      </c>
    </row>
    <row r="141" spans="1:34" x14ac:dyDescent="0.25">
      <c r="A141" t="s">
        <v>602</v>
      </c>
      <c r="B141">
        <v>140</v>
      </c>
      <c r="C141" t="s">
        <v>487</v>
      </c>
      <c r="D141" t="s">
        <v>231</v>
      </c>
      <c r="E141" t="s">
        <v>381</v>
      </c>
      <c r="F141" t="s">
        <v>1099</v>
      </c>
      <c r="G141" s="25">
        <v>44224</v>
      </c>
      <c r="H141">
        <v>6</v>
      </c>
      <c r="I141">
        <v>28</v>
      </c>
      <c r="J141" t="s">
        <v>1113</v>
      </c>
      <c r="K141" t="s">
        <v>510</v>
      </c>
      <c r="L141" t="s">
        <v>231</v>
      </c>
      <c r="M141" t="s">
        <v>1114</v>
      </c>
      <c r="N141" t="s">
        <v>185</v>
      </c>
      <c r="O141" t="s">
        <v>1115</v>
      </c>
      <c r="P141" t="s">
        <v>867</v>
      </c>
      <c r="Q141" t="s">
        <v>1116</v>
      </c>
      <c r="R141" t="s">
        <v>1117</v>
      </c>
      <c r="S141" t="s">
        <v>537</v>
      </c>
      <c r="T141" t="s">
        <v>505</v>
      </c>
      <c r="U141" t="s">
        <v>41</v>
      </c>
      <c r="V141" t="s">
        <v>234</v>
      </c>
      <c r="W141" t="s">
        <v>40</v>
      </c>
      <c r="X141" t="s">
        <v>21</v>
      </c>
      <c r="Y141" t="s">
        <v>266</v>
      </c>
      <c r="Z141">
        <v>3156</v>
      </c>
      <c r="AA141">
        <v>3156</v>
      </c>
      <c r="AB141" t="s">
        <v>237</v>
      </c>
      <c r="AC141">
        <v>4.29</v>
      </c>
      <c r="AD141">
        <v>13539.24</v>
      </c>
      <c r="AE141">
        <v>2840.4</v>
      </c>
      <c r="AF141" t="s">
        <v>870</v>
      </c>
      <c r="AG141">
        <v>10698.84</v>
      </c>
      <c r="AH141">
        <v>0.79</v>
      </c>
    </row>
    <row r="142" spans="1:34" x14ac:dyDescent="0.25">
      <c r="A142" t="s">
        <v>558</v>
      </c>
      <c r="B142">
        <v>141</v>
      </c>
      <c r="C142" t="s">
        <v>487</v>
      </c>
      <c r="D142" t="s">
        <v>231</v>
      </c>
      <c r="E142" t="s">
        <v>381</v>
      </c>
      <c r="F142" t="s">
        <v>1099</v>
      </c>
      <c r="G142" s="25">
        <v>44224</v>
      </c>
      <c r="H142">
        <v>6</v>
      </c>
      <c r="I142">
        <v>28</v>
      </c>
      <c r="J142" t="s">
        <v>1118</v>
      </c>
      <c r="K142" t="s">
        <v>510</v>
      </c>
      <c r="L142" t="s">
        <v>231</v>
      </c>
      <c r="M142" t="s">
        <v>926</v>
      </c>
      <c r="N142" t="s">
        <v>185</v>
      </c>
      <c r="O142" t="s">
        <v>953</v>
      </c>
      <c r="P142" t="s">
        <v>867</v>
      </c>
      <c r="Q142" t="s">
        <v>1028</v>
      </c>
      <c r="R142" t="s">
        <v>1029</v>
      </c>
      <c r="S142" t="s">
        <v>537</v>
      </c>
      <c r="T142" t="s">
        <v>505</v>
      </c>
      <c r="U142" t="s">
        <v>41</v>
      </c>
      <c r="V142" t="s">
        <v>234</v>
      </c>
      <c r="W142" t="s">
        <v>40</v>
      </c>
      <c r="X142" t="s">
        <v>21</v>
      </c>
      <c r="Y142" t="s">
        <v>266</v>
      </c>
      <c r="Z142">
        <v>3095</v>
      </c>
      <c r="AA142">
        <v>3095</v>
      </c>
      <c r="AB142" t="s">
        <v>237</v>
      </c>
      <c r="AC142">
        <v>4.29</v>
      </c>
      <c r="AD142">
        <v>13277.55</v>
      </c>
      <c r="AE142">
        <v>2785.5</v>
      </c>
      <c r="AF142" t="s">
        <v>870</v>
      </c>
      <c r="AG142">
        <v>10492.05</v>
      </c>
      <c r="AH142">
        <v>0.79</v>
      </c>
    </row>
    <row r="143" spans="1:34" x14ac:dyDescent="0.25">
      <c r="A143" t="s">
        <v>573</v>
      </c>
      <c r="B143">
        <v>142</v>
      </c>
      <c r="C143" t="s">
        <v>487</v>
      </c>
      <c r="D143" t="s">
        <v>231</v>
      </c>
      <c r="E143" t="s">
        <v>381</v>
      </c>
      <c r="F143" t="s">
        <v>1099</v>
      </c>
      <c r="G143" s="25">
        <v>44224</v>
      </c>
      <c r="H143">
        <v>6</v>
      </c>
      <c r="I143">
        <v>28</v>
      </c>
      <c r="J143" t="s">
        <v>1119</v>
      </c>
      <c r="K143" t="s">
        <v>510</v>
      </c>
      <c r="L143" t="s">
        <v>231</v>
      </c>
      <c r="M143" t="s">
        <v>997</v>
      </c>
      <c r="N143" t="s">
        <v>185</v>
      </c>
      <c r="O143" t="s">
        <v>1004</v>
      </c>
      <c r="P143" t="s">
        <v>867</v>
      </c>
      <c r="Q143" t="s">
        <v>1005</v>
      </c>
      <c r="R143" t="s">
        <v>1006</v>
      </c>
      <c r="S143" t="s">
        <v>537</v>
      </c>
      <c r="T143" t="s">
        <v>505</v>
      </c>
      <c r="U143" t="s">
        <v>41</v>
      </c>
      <c r="V143" t="s">
        <v>234</v>
      </c>
      <c r="W143" t="s">
        <v>40</v>
      </c>
      <c r="X143" t="s">
        <v>21</v>
      </c>
      <c r="Y143" t="s">
        <v>266</v>
      </c>
      <c r="Z143">
        <v>3835</v>
      </c>
      <c r="AA143">
        <v>3835</v>
      </c>
      <c r="AB143" t="s">
        <v>237</v>
      </c>
      <c r="AC143">
        <v>4.29</v>
      </c>
      <c r="AD143">
        <v>16452.150000000001</v>
      </c>
      <c r="AE143">
        <v>3451.5</v>
      </c>
      <c r="AF143" t="s">
        <v>870</v>
      </c>
      <c r="AG143">
        <v>13000.65</v>
      </c>
      <c r="AH143">
        <v>0.79</v>
      </c>
    </row>
    <row r="144" spans="1:34" x14ac:dyDescent="0.25">
      <c r="A144" t="s">
        <v>570</v>
      </c>
      <c r="B144">
        <v>143</v>
      </c>
      <c r="C144" t="s">
        <v>487</v>
      </c>
      <c r="D144" t="s">
        <v>231</v>
      </c>
      <c r="E144" t="s">
        <v>371</v>
      </c>
      <c r="F144" t="s">
        <v>1124</v>
      </c>
      <c r="G144" s="25">
        <v>44225</v>
      </c>
      <c r="H144">
        <v>6</v>
      </c>
      <c r="I144">
        <v>29</v>
      </c>
      <c r="J144" t="s">
        <v>1136</v>
      </c>
      <c r="K144" t="s">
        <v>510</v>
      </c>
      <c r="L144" t="s">
        <v>231</v>
      </c>
      <c r="M144" t="s">
        <v>865</v>
      </c>
      <c r="N144" t="s">
        <v>186</v>
      </c>
      <c r="O144" t="s">
        <v>1012</v>
      </c>
      <c r="P144" t="s">
        <v>867</v>
      </c>
      <c r="Q144" t="s">
        <v>1137</v>
      </c>
      <c r="R144" t="s">
        <v>1138</v>
      </c>
      <c r="S144" t="s">
        <v>537</v>
      </c>
      <c r="T144" t="s">
        <v>505</v>
      </c>
      <c r="U144" t="s">
        <v>41</v>
      </c>
      <c r="V144" t="s">
        <v>234</v>
      </c>
      <c r="W144" t="s">
        <v>40</v>
      </c>
      <c r="X144" t="s">
        <v>21</v>
      </c>
      <c r="Y144" t="s">
        <v>266</v>
      </c>
      <c r="Z144">
        <v>3909</v>
      </c>
      <c r="AA144">
        <v>3909</v>
      </c>
      <c r="AB144" t="s">
        <v>237</v>
      </c>
      <c r="AC144">
        <v>4.29</v>
      </c>
      <c r="AD144">
        <v>16769.61</v>
      </c>
      <c r="AE144">
        <v>3518.1</v>
      </c>
      <c r="AF144" t="s">
        <v>870</v>
      </c>
      <c r="AG144">
        <v>13251.51</v>
      </c>
      <c r="AH144">
        <v>0.79</v>
      </c>
    </row>
    <row r="145" spans="1:34" x14ac:dyDescent="0.25">
      <c r="A145" t="s">
        <v>566</v>
      </c>
      <c r="B145">
        <v>144</v>
      </c>
      <c r="C145" t="s">
        <v>487</v>
      </c>
      <c r="D145" t="s">
        <v>231</v>
      </c>
      <c r="E145" t="s">
        <v>371</v>
      </c>
      <c r="F145" t="s">
        <v>1124</v>
      </c>
      <c r="G145" s="25">
        <v>44225</v>
      </c>
      <c r="H145">
        <v>6</v>
      </c>
      <c r="I145">
        <v>29</v>
      </c>
      <c r="J145" t="s">
        <v>1133</v>
      </c>
      <c r="K145" t="s">
        <v>510</v>
      </c>
      <c r="L145" t="s">
        <v>231</v>
      </c>
      <c r="M145" t="s">
        <v>931</v>
      </c>
      <c r="N145" t="s">
        <v>186</v>
      </c>
      <c r="O145" t="s">
        <v>1130</v>
      </c>
      <c r="P145" t="s">
        <v>867</v>
      </c>
      <c r="Q145" t="s">
        <v>1134</v>
      </c>
      <c r="R145" t="s">
        <v>1135</v>
      </c>
      <c r="S145" t="s">
        <v>537</v>
      </c>
      <c r="T145" t="s">
        <v>505</v>
      </c>
      <c r="U145" t="s">
        <v>41</v>
      </c>
      <c r="V145" t="s">
        <v>234</v>
      </c>
      <c r="W145" t="s">
        <v>40</v>
      </c>
      <c r="X145" t="s">
        <v>21</v>
      </c>
      <c r="Y145" t="s">
        <v>266</v>
      </c>
      <c r="Z145">
        <v>3859</v>
      </c>
      <c r="AA145">
        <v>3859</v>
      </c>
      <c r="AB145" t="s">
        <v>237</v>
      </c>
      <c r="AC145">
        <v>4.29</v>
      </c>
      <c r="AD145">
        <v>16555.11</v>
      </c>
      <c r="AE145">
        <v>3473.1</v>
      </c>
      <c r="AF145" t="s">
        <v>870</v>
      </c>
      <c r="AG145">
        <v>13082.01</v>
      </c>
      <c r="AH145">
        <v>0.79</v>
      </c>
    </row>
    <row r="146" spans="1:34" x14ac:dyDescent="0.25">
      <c r="A146" t="s">
        <v>599</v>
      </c>
      <c r="B146">
        <v>145</v>
      </c>
      <c r="C146" t="s">
        <v>487</v>
      </c>
      <c r="D146" t="s">
        <v>231</v>
      </c>
      <c r="E146" t="s">
        <v>371</v>
      </c>
      <c r="F146" t="s">
        <v>1124</v>
      </c>
      <c r="G146" s="25">
        <v>44225</v>
      </c>
      <c r="H146">
        <v>6</v>
      </c>
      <c r="I146">
        <v>29</v>
      </c>
      <c r="J146" t="s">
        <v>1129</v>
      </c>
      <c r="K146" t="s">
        <v>510</v>
      </c>
      <c r="L146" t="s">
        <v>231</v>
      </c>
      <c r="M146" t="s">
        <v>931</v>
      </c>
      <c r="N146" t="s">
        <v>186</v>
      </c>
      <c r="O146" t="s">
        <v>1130</v>
      </c>
      <c r="P146" t="s">
        <v>867</v>
      </c>
      <c r="Q146" t="s">
        <v>1131</v>
      </c>
      <c r="R146" t="s">
        <v>1132</v>
      </c>
      <c r="S146" t="s">
        <v>537</v>
      </c>
      <c r="T146" t="s">
        <v>505</v>
      </c>
      <c r="U146" t="s">
        <v>41</v>
      </c>
      <c r="V146" t="s">
        <v>234</v>
      </c>
      <c r="W146" t="s">
        <v>40</v>
      </c>
      <c r="X146" t="s">
        <v>21</v>
      </c>
      <c r="Y146" t="s">
        <v>266</v>
      </c>
      <c r="Z146">
        <v>3200</v>
      </c>
      <c r="AA146">
        <v>3200</v>
      </c>
      <c r="AB146" t="s">
        <v>237</v>
      </c>
      <c r="AC146">
        <v>4.29</v>
      </c>
      <c r="AD146">
        <v>13728</v>
      </c>
      <c r="AE146">
        <v>2880</v>
      </c>
      <c r="AF146" t="s">
        <v>870</v>
      </c>
      <c r="AG146">
        <v>10848</v>
      </c>
      <c r="AH146">
        <v>0.79</v>
      </c>
    </row>
    <row r="147" spans="1:34" x14ac:dyDescent="0.25">
      <c r="A147" t="s">
        <v>521</v>
      </c>
      <c r="B147">
        <v>146</v>
      </c>
      <c r="C147" t="s">
        <v>487</v>
      </c>
      <c r="D147" t="s">
        <v>231</v>
      </c>
      <c r="E147" t="s">
        <v>371</v>
      </c>
      <c r="F147" t="s">
        <v>1124</v>
      </c>
      <c r="G147" s="25">
        <v>44225</v>
      </c>
      <c r="H147">
        <v>6</v>
      </c>
      <c r="I147">
        <v>29</v>
      </c>
      <c r="J147" t="s">
        <v>1125</v>
      </c>
      <c r="K147" t="s">
        <v>510</v>
      </c>
      <c r="L147" t="s">
        <v>231</v>
      </c>
      <c r="M147" t="s">
        <v>888</v>
      </c>
      <c r="N147" t="s">
        <v>184</v>
      </c>
      <c r="O147" t="s">
        <v>1126</v>
      </c>
      <c r="P147" t="s">
        <v>867</v>
      </c>
      <c r="Q147" t="s">
        <v>1127</v>
      </c>
      <c r="R147" t="s">
        <v>1128</v>
      </c>
      <c r="S147" t="s">
        <v>537</v>
      </c>
      <c r="T147" t="s">
        <v>505</v>
      </c>
      <c r="U147" t="s">
        <v>41</v>
      </c>
      <c r="V147" t="s">
        <v>234</v>
      </c>
      <c r="W147" t="s">
        <v>40</v>
      </c>
      <c r="X147" t="s">
        <v>21</v>
      </c>
      <c r="Y147" t="s">
        <v>266</v>
      </c>
      <c r="Z147">
        <v>3915</v>
      </c>
      <c r="AA147">
        <v>3915</v>
      </c>
      <c r="AB147" t="s">
        <v>237</v>
      </c>
      <c r="AC147">
        <v>4.29</v>
      </c>
      <c r="AD147">
        <v>16795.349999999999</v>
      </c>
      <c r="AE147">
        <v>3523.5</v>
      </c>
      <c r="AF147" t="s">
        <v>870</v>
      </c>
      <c r="AG147">
        <v>13271.85</v>
      </c>
      <c r="AH147">
        <v>0.79</v>
      </c>
    </row>
    <row r="148" spans="1:34" x14ac:dyDescent="0.25">
      <c r="A148" t="s">
        <v>699</v>
      </c>
      <c r="B148">
        <v>147</v>
      </c>
      <c r="C148" t="s">
        <v>487</v>
      </c>
      <c r="D148" t="s">
        <v>231</v>
      </c>
      <c r="E148" t="s">
        <v>239</v>
      </c>
      <c r="F148" t="s">
        <v>1139</v>
      </c>
      <c r="G148" s="25">
        <v>44226</v>
      </c>
      <c r="H148">
        <v>6</v>
      </c>
      <c r="I148">
        <v>30</v>
      </c>
      <c r="J148" t="s">
        <v>1141</v>
      </c>
      <c r="K148" t="s">
        <v>510</v>
      </c>
      <c r="L148" t="s">
        <v>231</v>
      </c>
      <c r="M148" t="s">
        <v>872</v>
      </c>
      <c r="N148" t="s">
        <v>184</v>
      </c>
      <c r="O148" t="s">
        <v>922</v>
      </c>
      <c r="P148" t="s">
        <v>867</v>
      </c>
      <c r="Q148" t="s">
        <v>923</v>
      </c>
      <c r="R148" t="s">
        <v>924</v>
      </c>
      <c r="S148" t="s">
        <v>232</v>
      </c>
      <c r="T148" t="s">
        <v>505</v>
      </c>
      <c r="U148" t="s">
        <v>41</v>
      </c>
      <c r="V148" t="s">
        <v>234</v>
      </c>
      <c r="W148" t="s">
        <v>40</v>
      </c>
      <c r="X148" t="s">
        <v>21</v>
      </c>
      <c r="Y148" t="s">
        <v>266</v>
      </c>
      <c r="Z148">
        <v>3505</v>
      </c>
      <c r="AA148">
        <v>3505</v>
      </c>
      <c r="AB148" t="s">
        <v>237</v>
      </c>
      <c r="AC148">
        <v>3.9</v>
      </c>
      <c r="AD148">
        <v>13669.5</v>
      </c>
      <c r="AE148">
        <v>3154.5</v>
      </c>
      <c r="AF148" t="s">
        <v>870</v>
      </c>
      <c r="AG148">
        <v>10515</v>
      </c>
      <c r="AH148">
        <v>0.77</v>
      </c>
    </row>
    <row r="149" spans="1:34" x14ac:dyDescent="0.25">
      <c r="A149" t="s">
        <v>756</v>
      </c>
      <c r="B149">
        <v>148</v>
      </c>
      <c r="C149" t="s">
        <v>487</v>
      </c>
      <c r="D149" t="s">
        <v>231</v>
      </c>
      <c r="E149" t="s">
        <v>239</v>
      </c>
      <c r="F149" t="s">
        <v>1139</v>
      </c>
      <c r="G149" s="25">
        <v>44226</v>
      </c>
      <c r="H149">
        <v>6</v>
      </c>
      <c r="I149">
        <v>30</v>
      </c>
      <c r="J149" t="s">
        <v>1141</v>
      </c>
      <c r="K149" t="s">
        <v>876</v>
      </c>
      <c r="L149" t="s">
        <v>231</v>
      </c>
      <c r="M149" t="s">
        <v>872</v>
      </c>
      <c r="N149" t="s">
        <v>184</v>
      </c>
      <c r="O149" t="s">
        <v>922</v>
      </c>
      <c r="P149" t="s">
        <v>867</v>
      </c>
      <c r="Q149" t="s">
        <v>923</v>
      </c>
      <c r="R149" t="s">
        <v>924</v>
      </c>
      <c r="S149" t="s">
        <v>232</v>
      </c>
      <c r="T149" t="s">
        <v>505</v>
      </c>
      <c r="U149" t="s">
        <v>41</v>
      </c>
      <c r="V149" t="s">
        <v>234</v>
      </c>
      <c r="W149" t="s">
        <v>40</v>
      </c>
      <c r="X149" t="s">
        <v>21</v>
      </c>
      <c r="Y149" t="s">
        <v>266</v>
      </c>
      <c r="Z149">
        <v>3441</v>
      </c>
      <c r="AA149">
        <v>3441</v>
      </c>
      <c r="AB149" t="s">
        <v>237</v>
      </c>
      <c r="AC149">
        <v>3.9</v>
      </c>
      <c r="AD149">
        <v>13419.9</v>
      </c>
      <c r="AE149">
        <v>3096.9</v>
      </c>
      <c r="AF149" t="s">
        <v>870</v>
      </c>
      <c r="AG149">
        <v>10323</v>
      </c>
      <c r="AH149">
        <v>0.77</v>
      </c>
    </row>
    <row r="150" spans="1:34" x14ac:dyDescent="0.25">
      <c r="A150" t="s">
        <v>781</v>
      </c>
      <c r="B150">
        <v>149</v>
      </c>
      <c r="C150" t="s">
        <v>487</v>
      </c>
      <c r="D150" t="s">
        <v>231</v>
      </c>
      <c r="E150" t="s">
        <v>239</v>
      </c>
      <c r="F150" t="s">
        <v>1139</v>
      </c>
      <c r="G150" s="25">
        <v>44226</v>
      </c>
      <c r="H150">
        <v>6</v>
      </c>
      <c r="I150">
        <v>30</v>
      </c>
      <c r="J150" t="s">
        <v>1141</v>
      </c>
      <c r="K150" t="s">
        <v>921</v>
      </c>
      <c r="L150" t="s">
        <v>231</v>
      </c>
      <c r="M150" t="s">
        <v>872</v>
      </c>
      <c r="N150" t="s">
        <v>184</v>
      </c>
      <c r="O150" t="s">
        <v>922</v>
      </c>
      <c r="P150" t="s">
        <v>867</v>
      </c>
      <c r="Q150" t="s">
        <v>923</v>
      </c>
      <c r="R150" t="s">
        <v>924</v>
      </c>
      <c r="S150" t="s">
        <v>232</v>
      </c>
      <c r="T150" t="s">
        <v>505</v>
      </c>
      <c r="U150" t="s">
        <v>41</v>
      </c>
      <c r="V150" t="s">
        <v>234</v>
      </c>
      <c r="W150" t="s">
        <v>40</v>
      </c>
      <c r="X150" t="s">
        <v>21</v>
      </c>
      <c r="Y150" t="s">
        <v>266</v>
      </c>
      <c r="Z150">
        <v>3352</v>
      </c>
      <c r="AA150">
        <v>3352</v>
      </c>
      <c r="AB150" t="s">
        <v>237</v>
      </c>
      <c r="AC150">
        <v>3.9</v>
      </c>
      <c r="AD150">
        <v>13072.8</v>
      </c>
      <c r="AE150">
        <v>3016.8</v>
      </c>
      <c r="AF150" t="s">
        <v>870</v>
      </c>
      <c r="AG150">
        <v>10056</v>
      </c>
      <c r="AH150">
        <v>0.77</v>
      </c>
    </row>
    <row r="151" spans="1:34" x14ac:dyDescent="0.25">
      <c r="A151" t="s">
        <v>820</v>
      </c>
      <c r="B151">
        <v>150</v>
      </c>
      <c r="C151" t="s">
        <v>487</v>
      </c>
      <c r="D151" t="s">
        <v>231</v>
      </c>
      <c r="E151" t="s">
        <v>239</v>
      </c>
      <c r="F151" t="s">
        <v>1139</v>
      </c>
      <c r="G151" s="25">
        <v>44226</v>
      </c>
      <c r="H151">
        <v>6</v>
      </c>
      <c r="I151">
        <v>30</v>
      </c>
      <c r="J151" t="s">
        <v>1140</v>
      </c>
      <c r="K151" t="s">
        <v>876</v>
      </c>
      <c r="L151" t="s">
        <v>231</v>
      </c>
      <c r="M151" t="s">
        <v>872</v>
      </c>
      <c r="N151" t="s">
        <v>184</v>
      </c>
      <c r="O151" t="s">
        <v>1047</v>
      </c>
      <c r="P151" t="s">
        <v>867</v>
      </c>
      <c r="Q151" t="s">
        <v>1048</v>
      </c>
      <c r="R151" t="s">
        <v>1049</v>
      </c>
      <c r="S151" t="s">
        <v>232</v>
      </c>
      <c r="T151" t="s">
        <v>505</v>
      </c>
      <c r="U151" t="s">
        <v>41</v>
      </c>
      <c r="V151" t="s">
        <v>234</v>
      </c>
      <c r="W151" t="s">
        <v>40</v>
      </c>
      <c r="X151" t="s">
        <v>21</v>
      </c>
      <c r="Y151" t="s">
        <v>266</v>
      </c>
      <c r="Z151">
        <v>3694</v>
      </c>
      <c r="AA151">
        <v>3694</v>
      </c>
      <c r="AB151" t="s">
        <v>237</v>
      </c>
      <c r="AC151">
        <v>3.9</v>
      </c>
      <c r="AD151">
        <v>14406.6</v>
      </c>
      <c r="AE151">
        <v>3324.6</v>
      </c>
      <c r="AF151" t="s">
        <v>870</v>
      </c>
      <c r="AG151">
        <v>11082</v>
      </c>
      <c r="AH151">
        <v>0.77</v>
      </c>
    </row>
    <row r="152" spans="1:34" x14ac:dyDescent="0.25">
      <c r="A152" t="s">
        <v>585</v>
      </c>
      <c r="B152">
        <v>151</v>
      </c>
      <c r="C152" t="s">
        <v>487</v>
      </c>
      <c r="D152" t="s">
        <v>231</v>
      </c>
      <c r="E152" t="s">
        <v>239</v>
      </c>
      <c r="F152" t="s">
        <v>1139</v>
      </c>
      <c r="G152" s="25">
        <v>44226</v>
      </c>
      <c r="H152">
        <v>6</v>
      </c>
      <c r="I152">
        <v>30</v>
      </c>
      <c r="J152" t="s">
        <v>1140</v>
      </c>
      <c r="K152" t="s">
        <v>510</v>
      </c>
      <c r="L152" t="s">
        <v>231</v>
      </c>
      <c r="M152" t="s">
        <v>872</v>
      </c>
      <c r="N152" t="s">
        <v>184</v>
      </c>
      <c r="O152" t="s">
        <v>1047</v>
      </c>
      <c r="P152" t="s">
        <v>867</v>
      </c>
      <c r="Q152" t="s">
        <v>1048</v>
      </c>
      <c r="R152" t="s">
        <v>1049</v>
      </c>
      <c r="S152" t="s">
        <v>232</v>
      </c>
      <c r="T152" t="s">
        <v>509</v>
      </c>
      <c r="U152" t="s">
        <v>45</v>
      </c>
      <c r="V152" t="s">
        <v>234</v>
      </c>
      <c r="W152" t="s">
        <v>44</v>
      </c>
      <c r="X152" t="s">
        <v>21</v>
      </c>
      <c r="Y152" t="s">
        <v>304</v>
      </c>
      <c r="Z152">
        <v>500</v>
      </c>
      <c r="AA152">
        <v>500</v>
      </c>
      <c r="AB152" t="s">
        <v>237</v>
      </c>
      <c r="AC152">
        <v>4.2300000000000004</v>
      </c>
      <c r="AD152">
        <v>2115</v>
      </c>
      <c r="AE152">
        <v>615</v>
      </c>
      <c r="AF152" t="s">
        <v>870</v>
      </c>
      <c r="AG152">
        <v>1500</v>
      </c>
      <c r="AH152">
        <v>0.71</v>
      </c>
    </row>
    <row r="153" spans="1:34" x14ac:dyDescent="0.25">
      <c r="A153" t="s">
        <v>819</v>
      </c>
      <c r="B153">
        <v>152</v>
      </c>
      <c r="C153" t="s">
        <v>487</v>
      </c>
      <c r="D153" t="s">
        <v>231</v>
      </c>
      <c r="E153" t="s">
        <v>239</v>
      </c>
      <c r="F153" t="s">
        <v>1139</v>
      </c>
      <c r="G153" s="25">
        <v>44226</v>
      </c>
      <c r="H153">
        <v>6</v>
      </c>
      <c r="I153">
        <v>30</v>
      </c>
      <c r="J153" t="s">
        <v>1142</v>
      </c>
      <c r="K153" t="s">
        <v>510</v>
      </c>
      <c r="L153" t="s">
        <v>231</v>
      </c>
      <c r="M153" t="s">
        <v>911</v>
      </c>
      <c r="N153" t="s">
        <v>186</v>
      </c>
      <c r="O153" t="s">
        <v>1143</v>
      </c>
      <c r="P153" t="s">
        <v>867</v>
      </c>
      <c r="Q153" t="s">
        <v>1144</v>
      </c>
      <c r="R153" t="s">
        <v>1145</v>
      </c>
      <c r="S153" t="s">
        <v>537</v>
      </c>
      <c r="T153" t="s">
        <v>505</v>
      </c>
      <c r="U153" t="s">
        <v>41</v>
      </c>
      <c r="V153" t="s">
        <v>234</v>
      </c>
      <c r="W153" t="s">
        <v>40</v>
      </c>
      <c r="X153" t="s">
        <v>21</v>
      </c>
      <c r="Y153" t="s">
        <v>266</v>
      </c>
      <c r="Z153">
        <v>3775</v>
      </c>
      <c r="AA153">
        <v>3775</v>
      </c>
      <c r="AB153" t="s">
        <v>237</v>
      </c>
      <c r="AC153">
        <v>4.29</v>
      </c>
      <c r="AD153">
        <v>16194.75</v>
      </c>
      <c r="AE153">
        <v>3397.5</v>
      </c>
      <c r="AF153" t="s">
        <v>870</v>
      </c>
      <c r="AG153">
        <v>12797.25</v>
      </c>
      <c r="AH153">
        <v>0.79</v>
      </c>
    </row>
    <row r="154" spans="1:34" x14ac:dyDescent="0.25">
      <c r="A154" t="s">
        <v>815</v>
      </c>
      <c r="B154">
        <v>153</v>
      </c>
      <c r="C154" t="s">
        <v>487</v>
      </c>
      <c r="D154" t="s">
        <v>231</v>
      </c>
      <c r="E154" t="s">
        <v>239</v>
      </c>
      <c r="F154" t="s">
        <v>1139</v>
      </c>
      <c r="G154" s="25">
        <v>44226</v>
      </c>
      <c r="H154">
        <v>6</v>
      </c>
      <c r="I154">
        <v>30</v>
      </c>
      <c r="J154" t="s">
        <v>1146</v>
      </c>
      <c r="K154" t="s">
        <v>510</v>
      </c>
      <c r="L154" t="s">
        <v>231</v>
      </c>
      <c r="M154" t="s">
        <v>931</v>
      </c>
      <c r="N154" t="s">
        <v>186</v>
      </c>
      <c r="O154" t="s">
        <v>1061</v>
      </c>
      <c r="P154" t="s">
        <v>867</v>
      </c>
      <c r="Q154" t="s">
        <v>1062</v>
      </c>
      <c r="R154" t="s">
        <v>1063</v>
      </c>
      <c r="S154" t="s">
        <v>537</v>
      </c>
      <c r="T154" t="s">
        <v>505</v>
      </c>
      <c r="U154" t="s">
        <v>41</v>
      </c>
      <c r="V154" t="s">
        <v>234</v>
      </c>
      <c r="W154" t="s">
        <v>40</v>
      </c>
      <c r="X154" t="s">
        <v>21</v>
      </c>
      <c r="Y154" t="s">
        <v>266</v>
      </c>
      <c r="Z154">
        <v>3849</v>
      </c>
      <c r="AA154">
        <v>3849</v>
      </c>
      <c r="AB154" t="s">
        <v>237</v>
      </c>
      <c r="AC154">
        <v>4.29</v>
      </c>
      <c r="AD154">
        <v>16512.21</v>
      </c>
      <c r="AE154">
        <v>3464.1</v>
      </c>
      <c r="AF154" t="s">
        <v>870</v>
      </c>
      <c r="AG154">
        <v>13048.11</v>
      </c>
      <c r="AH154">
        <v>0.79</v>
      </c>
    </row>
    <row r="155" spans="1:34" x14ac:dyDescent="0.25">
      <c r="A155" t="s">
        <v>708</v>
      </c>
      <c r="B155">
        <v>154</v>
      </c>
      <c r="C155" t="s">
        <v>487</v>
      </c>
      <c r="D155" t="s">
        <v>231</v>
      </c>
      <c r="E155" t="s">
        <v>239</v>
      </c>
      <c r="F155" t="s">
        <v>1139</v>
      </c>
      <c r="G155" s="25">
        <v>44226</v>
      </c>
      <c r="H155">
        <v>6</v>
      </c>
      <c r="I155">
        <v>30</v>
      </c>
      <c r="J155" t="s">
        <v>1147</v>
      </c>
      <c r="K155" t="s">
        <v>510</v>
      </c>
      <c r="L155" t="s">
        <v>231</v>
      </c>
      <c r="M155" t="s">
        <v>872</v>
      </c>
      <c r="N155" t="s">
        <v>184</v>
      </c>
      <c r="O155" t="s">
        <v>1024</v>
      </c>
      <c r="P155" t="s">
        <v>867</v>
      </c>
      <c r="Q155" t="s">
        <v>1148</v>
      </c>
      <c r="R155" t="s">
        <v>1149</v>
      </c>
      <c r="S155" t="s">
        <v>537</v>
      </c>
      <c r="T155" t="s">
        <v>505</v>
      </c>
      <c r="U155" t="s">
        <v>41</v>
      </c>
      <c r="V155" t="s">
        <v>234</v>
      </c>
      <c r="W155" t="s">
        <v>40</v>
      </c>
      <c r="X155" t="s">
        <v>21</v>
      </c>
      <c r="Y155" t="s">
        <v>266</v>
      </c>
      <c r="Z155">
        <v>3419</v>
      </c>
      <c r="AA155">
        <v>3419</v>
      </c>
      <c r="AB155" t="s">
        <v>237</v>
      </c>
      <c r="AC155">
        <v>4.29</v>
      </c>
      <c r="AD155">
        <v>14667.51</v>
      </c>
      <c r="AE155">
        <v>3077.1</v>
      </c>
      <c r="AF155" t="s">
        <v>870</v>
      </c>
      <c r="AG155">
        <v>11590.41</v>
      </c>
      <c r="AH155">
        <v>0.79</v>
      </c>
    </row>
    <row r="156" spans="1:34" x14ac:dyDescent="0.25">
      <c r="A156" t="s">
        <v>629</v>
      </c>
      <c r="B156">
        <v>155</v>
      </c>
      <c r="C156" t="s">
        <v>487</v>
      </c>
      <c r="D156" t="s">
        <v>231</v>
      </c>
      <c r="E156" t="s">
        <v>515</v>
      </c>
      <c r="F156" t="s">
        <v>1150</v>
      </c>
      <c r="G156" s="25">
        <v>44227</v>
      </c>
      <c r="H156">
        <v>7</v>
      </c>
      <c r="I156">
        <v>31</v>
      </c>
      <c r="J156" t="s">
        <v>1152</v>
      </c>
      <c r="K156" t="s">
        <v>956</v>
      </c>
      <c r="L156" t="s">
        <v>231</v>
      </c>
      <c r="M156" t="s">
        <v>865</v>
      </c>
      <c r="N156" t="s">
        <v>186</v>
      </c>
      <c r="O156" t="s">
        <v>1069</v>
      </c>
      <c r="P156" t="s">
        <v>867</v>
      </c>
      <c r="Q156" t="s">
        <v>1153</v>
      </c>
      <c r="R156" t="s">
        <v>1154</v>
      </c>
      <c r="S156" t="s">
        <v>232</v>
      </c>
      <c r="T156" t="s">
        <v>509</v>
      </c>
      <c r="U156" t="s">
        <v>45</v>
      </c>
      <c r="V156" t="s">
        <v>234</v>
      </c>
      <c r="W156" t="s">
        <v>44</v>
      </c>
      <c r="X156" t="s">
        <v>21</v>
      </c>
      <c r="Y156" t="s">
        <v>304</v>
      </c>
      <c r="Z156">
        <v>3025</v>
      </c>
      <c r="AA156">
        <v>3025</v>
      </c>
      <c r="AB156" t="s">
        <v>237</v>
      </c>
      <c r="AC156">
        <v>4.2300000000000004</v>
      </c>
      <c r="AD156">
        <v>12795.75</v>
      </c>
      <c r="AE156">
        <v>3720.75</v>
      </c>
      <c r="AF156" t="s">
        <v>870</v>
      </c>
      <c r="AG156">
        <v>9075</v>
      </c>
      <c r="AH156">
        <v>0.71</v>
      </c>
    </row>
    <row r="157" spans="1:34" x14ac:dyDescent="0.25">
      <c r="A157" t="s">
        <v>626</v>
      </c>
      <c r="B157">
        <v>156</v>
      </c>
      <c r="C157" t="s">
        <v>487</v>
      </c>
      <c r="D157" t="s">
        <v>231</v>
      </c>
      <c r="E157" t="s">
        <v>515</v>
      </c>
      <c r="F157" t="s">
        <v>1150</v>
      </c>
      <c r="G157" s="25">
        <v>44227</v>
      </c>
      <c r="H157">
        <v>7</v>
      </c>
      <c r="I157">
        <v>31</v>
      </c>
      <c r="J157" t="s">
        <v>1152</v>
      </c>
      <c r="K157" t="s">
        <v>510</v>
      </c>
      <c r="L157" t="s">
        <v>231</v>
      </c>
      <c r="M157" t="s">
        <v>865</v>
      </c>
      <c r="N157" t="s">
        <v>186</v>
      </c>
      <c r="O157" t="s">
        <v>1069</v>
      </c>
      <c r="P157" t="s">
        <v>867</v>
      </c>
      <c r="Q157" t="s">
        <v>1153</v>
      </c>
      <c r="R157" t="s">
        <v>1154</v>
      </c>
      <c r="S157" t="s">
        <v>232</v>
      </c>
      <c r="T157" t="s">
        <v>509</v>
      </c>
      <c r="U157" t="s">
        <v>45</v>
      </c>
      <c r="V157" t="s">
        <v>234</v>
      </c>
      <c r="W157" t="s">
        <v>44</v>
      </c>
      <c r="X157" t="s">
        <v>21</v>
      </c>
      <c r="Y157" t="s">
        <v>304</v>
      </c>
      <c r="Z157">
        <v>3736</v>
      </c>
      <c r="AA157">
        <v>3736</v>
      </c>
      <c r="AB157" t="s">
        <v>237</v>
      </c>
      <c r="AC157">
        <v>4.2300000000000004</v>
      </c>
      <c r="AD157">
        <v>15803.28</v>
      </c>
      <c r="AE157">
        <v>4595.28</v>
      </c>
      <c r="AF157" t="s">
        <v>870</v>
      </c>
      <c r="AG157">
        <v>11208</v>
      </c>
      <c r="AH157">
        <v>0.71</v>
      </c>
    </row>
    <row r="158" spans="1:34" x14ac:dyDescent="0.25">
      <c r="A158" t="s">
        <v>791</v>
      </c>
      <c r="B158">
        <v>157</v>
      </c>
      <c r="C158" t="s">
        <v>487</v>
      </c>
      <c r="D158" t="s">
        <v>231</v>
      </c>
      <c r="E158" t="s">
        <v>515</v>
      </c>
      <c r="F158" t="s">
        <v>1150</v>
      </c>
      <c r="G158" s="25">
        <v>44227</v>
      </c>
      <c r="H158">
        <v>7</v>
      </c>
      <c r="I158">
        <v>31</v>
      </c>
      <c r="J158" t="s">
        <v>1151</v>
      </c>
      <c r="K158" t="s">
        <v>876</v>
      </c>
      <c r="L158" t="s">
        <v>231</v>
      </c>
      <c r="M158" t="s">
        <v>898</v>
      </c>
      <c r="N158" t="s">
        <v>185</v>
      </c>
      <c r="O158" t="s">
        <v>899</v>
      </c>
      <c r="P158" t="s">
        <v>867</v>
      </c>
      <c r="Q158" t="s">
        <v>900</v>
      </c>
      <c r="R158" t="s">
        <v>901</v>
      </c>
      <c r="S158" t="s">
        <v>232</v>
      </c>
      <c r="T158" t="s">
        <v>509</v>
      </c>
      <c r="U158" t="s">
        <v>45</v>
      </c>
      <c r="V158" t="s">
        <v>234</v>
      </c>
      <c r="W158" t="s">
        <v>44</v>
      </c>
      <c r="X158" t="s">
        <v>21</v>
      </c>
      <c r="Y158" t="s">
        <v>304</v>
      </c>
      <c r="Z158">
        <v>3649</v>
      </c>
      <c r="AA158">
        <v>3649</v>
      </c>
      <c r="AB158" t="s">
        <v>237</v>
      </c>
      <c r="AC158">
        <v>4.2300000000000004</v>
      </c>
      <c r="AD158">
        <v>15435.27</v>
      </c>
      <c r="AE158">
        <v>4488.2700000000004</v>
      </c>
      <c r="AF158" t="s">
        <v>870</v>
      </c>
      <c r="AG158">
        <v>10947</v>
      </c>
      <c r="AH158">
        <v>0.71</v>
      </c>
    </row>
    <row r="159" spans="1:34" x14ac:dyDescent="0.25">
      <c r="A159" t="s">
        <v>734</v>
      </c>
      <c r="B159">
        <v>158</v>
      </c>
      <c r="C159" t="s">
        <v>487</v>
      </c>
      <c r="D159" t="s">
        <v>231</v>
      </c>
      <c r="E159" t="s">
        <v>515</v>
      </c>
      <c r="F159" t="s">
        <v>1150</v>
      </c>
      <c r="G159" s="25">
        <v>44227</v>
      </c>
      <c r="H159">
        <v>7</v>
      </c>
      <c r="I159">
        <v>31</v>
      </c>
      <c r="J159" t="s">
        <v>1151</v>
      </c>
      <c r="K159" t="s">
        <v>510</v>
      </c>
      <c r="L159" t="s">
        <v>231</v>
      </c>
      <c r="M159" t="s">
        <v>898</v>
      </c>
      <c r="N159" t="s">
        <v>185</v>
      </c>
      <c r="O159" t="s">
        <v>899</v>
      </c>
      <c r="P159" t="s">
        <v>867</v>
      </c>
      <c r="Q159" t="s">
        <v>900</v>
      </c>
      <c r="R159" t="s">
        <v>901</v>
      </c>
      <c r="S159" t="s">
        <v>232</v>
      </c>
      <c r="T159" t="s">
        <v>509</v>
      </c>
      <c r="U159" t="s">
        <v>45</v>
      </c>
      <c r="V159" t="s">
        <v>234</v>
      </c>
      <c r="W159" t="s">
        <v>44</v>
      </c>
      <c r="X159" t="s">
        <v>21</v>
      </c>
      <c r="Y159" t="s">
        <v>304</v>
      </c>
      <c r="Z159">
        <v>3542</v>
      </c>
      <c r="AA159">
        <v>3542</v>
      </c>
      <c r="AB159" t="s">
        <v>237</v>
      </c>
      <c r="AC159">
        <v>4.2300000000000004</v>
      </c>
      <c r="AD159">
        <v>14982.66</v>
      </c>
      <c r="AE159">
        <v>4356.66</v>
      </c>
      <c r="AF159" t="s">
        <v>870</v>
      </c>
      <c r="AG159">
        <v>10626</v>
      </c>
      <c r="AH159">
        <v>0.71</v>
      </c>
    </row>
    <row r="160" spans="1:34" x14ac:dyDescent="0.25">
      <c r="A160" t="s">
        <v>676</v>
      </c>
      <c r="B160">
        <v>159</v>
      </c>
      <c r="C160" t="s">
        <v>487</v>
      </c>
      <c r="D160" t="s">
        <v>231</v>
      </c>
      <c r="E160" t="s">
        <v>515</v>
      </c>
      <c r="F160" t="s">
        <v>1150</v>
      </c>
      <c r="G160" s="25">
        <v>44227</v>
      </c>
      <c r="H160">
        <v>7</v>
      </c>
      <c r="I160">
        <v>31</v>
      </c>
      <c r="J160" t="s">
        <v>1152</v>
      </c>
      <c r="K160" t="s">
        <v>876</v>
      </c>
      <c r="L160" t="s">
        <v>231</v>
      </c>
      <c r="M160" t="s">
        <v>865</v>
      </c>
      <c r="N160" t="s">
        <v>186</v>
      </c>
      <c r="O160" t="s">
        <v>1069</v>
      </c>
      <c r="P160" t="s">
        <v>867</v>
      </c>
      <c r="Q160" t="s">
        <v>1153</v>
      </c>
      <c r="R160" t="s">
        <v>1154</v>
      </c>
      <c r="S160" t="s">
        <v>232</v>
      </c>
      <c r="T160" t="s">
        <v>502</v>
      </c>
      <c r="U160" t="s">
        <v>287</v>
      </c>
      <c r="V160" t="s">
        <v>234</v>
      </c>
      <c r="W160" t="s">
        <v>58</v>
      </c>
      <c r="X160" t="s">
        <v>235</v>
      </c>
      <c r="Y160" t="s">
        <v>288</v>
      </c>
      <c r="Z160">
        <v>3609</v>
      </c>
      <c r="AA160">
        <v>3609</v>
      </c>
      <c r="AB160" t="s">
        <v>237</v>
      </c>
      <c r="AC160">
        <v>4.38</v>
      </c>
      <c r="AD160">
        <v>15807.42</v>
      </c>
      <c r="AE160">
        <v>5016.51</v>
      </c>
      <c r="AF160" t="s">
        <v>870</v>
      </c>
      <c r="AG160">
        <v>10790.91</v>
      </c>
      <c r="AH160">
        <v>0.68</v>
      </c>
    </row>
    <row r="161" spans="1:34" x14ac:dyDescent="0.25">
      <c r="A161" t="s">
        <v>605</v>
      </c>
      <c r="B161">
        <v>160</v>
      </c>
      <c r="C161" t="s">
        <v>487</v>
      </c>
      <c r="D161" t="s">
        <v>231</v>
      </c>
      <c r="E161" t="s">
        <v>515</v>
      </c>
      <c r="F161" t="s">
        <v>1150</v>
      </c>
      <c r="G161" s="25">
        <v>44227</v>
      </c>
      <c r="H161">
        <v>7</v>
      </c>
      <c r="I161">
        <v>31</v>
      </c>
      <c r="J161" t="s">
        <v>1152</v>
      </c>
      <c r="K161" t="s">
        <v>921</v>
      </c>
      <c r="L161" t="s">
        <v>231</v>
      </c>
      <c r="M161" t="s">
        <v>865</v>
      </c>
      <c r="N161" t="s">
        <v>186</v>
      </c>
      <c r="O161" t="s">
        <v>1069</v>
      </c>
      <c r="P161" t="s">
        <v>867</v>
      </c>
      <c r="Q161" t="s">
        <v>1153</v>
      </c>
      <c r="R161" t="s">
        <v>1154</v>
      </c>
      <c r="S161" t="s">
        <v>232</v>
      </c>
      <c r="T161" t="s">
        <v>502</v>
      </c>
      <c r="U161" t="s">
        <v>287</v>
      </c>
      <c r="V161" t="s">
        <v>234</v>
      </c>
      <c r="W161" t="s">
        <v>58</v>
      </c>
      <c r="X161" t="s">
        <v>235</v>
      </c>
      <c r="Y161" t="s">
        <v>288</v>
      </c>
      <c r="Z161">
        <v>1016</v>
      </c>
      <c r="AA161">
        <v>1016</v>
      </c>
      <c r="AB161" t="s">
        <v>237</v>
      </c>
      <c r="AC161">
        <v>4.38</v>
      </c>
      <c r="AD161">
        <v>4450.08</v>
      </c>
      <c r="AE161">
        <v>1412.24</v>
      </c>
      <c r="AF161" t="s">
        <v>870</v>
      </c>
      <c r="AG161">
        <v>3037.84</v>
      </c>
      <c r="AH161">
        <v>0.68</v>
      </c>
    </row>
    <row r="162" spans="1:34" x14ac:dyDescent="0.25">
      <c r="A162" t="s">
        <v>845</v>
      </c>
      <c r="B162">
        <v>161</v>
      </c>
      <c r="C162" t="s">
        <v>487</v>
      </c>
      <c r="D162" t="s">
        <v>231</v>
      </c>
      <c r="E162" t="s">
        <v>515</v>
      </c>
      <c r="F162" t="s">
        <v>1150</v>
      </c>
      <c r="G162" s="25">
        <v>44227</v>
      </c>
      <c r="H162">
        <v>7</v>
      </c>
      <c r="I162">
        <v>31</v>
      </c>
      <c r="J162" t="s">
        <v>1155</v>
      </c>
      <c r="K162" t="s">
        <v>510</v>
      </c>
      <c r="L162" t="s">
        <v>231</v>
      </c>
      <c r="M162" t="s">
        <v>926</v>
      </c>
      <c r="N162" t="s">
        <v>185</v>
      </c>
      <c r="O162" t="s">
        <v>1156</v>
      </c>
      <c r="P162" t="s">
        <v>867</v>
      </c>
      <c r="Q162" t="s">
        <v>1157</v>
      </c>
      <c r="R162" t="s">
        <v>1158</v>
      </c>
      <c r="S162" t="s">
        <v>537</v>
      </c>
      <c r="T162" t="s">
        <v>505</v>
      </c>
      <c r="U162" t="s">
        <v>41</v>
      </c>
      <c r="V162" t="s">
        <v>234</v>
      </c>
      <c r="W162" t="s">
        <v>40</v>
      </c>
      <c r="X162" t="s">
        <v>21</v>
      </c>
      <c r="Y162" t="s">
        <v>266</v>
      </c>
      <c r="Z162">
        <v>3707</v>
      </c>
      <c r="AA162">
        <v>3707</v>
      </c>
      <c r="AB162" t="s">
        <v>237</v>
      </c>
      <c r="AC162">
        <v>4.29</v>
      </c>
      <c r="AD162">
        <v>15903.03</v>
      </c>
      <c r="AE162">
        <v>3336.3</v>
      </c>
      <c r="AF162" t="s">
        <v>870</v>
      </c>
      <c r="AG162">
        <v>12566.73</v>
      </c>
      <c r="AH162">
        <v>0.79</v>
      </c>
    </row>
    <row r="163" spans="1:34" x14ac:dyDescent="0.25">
      <c r="A163" t="s">
        <v>671</v>
      </c>
      <c r="B163">
        <v>162</v>
      </c>
      <c r="C163" t="s">
        <v>487</v>
      </c>
      <c r="D163" t="s">
        <v>231</v>
      </c>
      <c r="E163" t="s">
        <v>515</v>
      </c>
      <c r="F163" t="s">
        <v>1150</v>
      </c>
      <c r="G163" s="25">
        <v>44227</v>
      </c>
      <c r="H163">
        <v>7</v>
      </c>
      <c r="I163">
        <v>31</v>
      </c>
      <c r="J163" t="s">
        <v>1159</v>
      </c>
      <c r="K163" t="s">
        <v>510</v>
      </c>
      <c r="L163" t="s">
        <v>231</v>
      </c>
      <c r="M163" t="s">
        <v>865</v>
      </c>
      <c r="N163" t="s">
        <v>186</v>
      </c>
      <c r="O163" t="s">
        <v>1012</v>
      </c>
      <c r="P163" t="s">
        <v>867</v>
      </c>
      <c r="Q163" t="s">
        <v>1160</v>
      </c>
      <c r="R163" t="s">
        <v>1161</v>
      </c>
      <c r="S163" t="s">
        <v>537</v>
      </c>
      <c r="T163" t="s">
        <v>509</v>
      </c>
      <c r="U163" t="s">
        <v>45</v>
      </c>
      <c r="V163" t="s">
        <v>234</v>
      </c>
      <c r="W163" t="s">
        <v>44</v>
      </c>
      <c r="X163" t="s">
        <v>21</v>
      </c>
      <c r="Y163" t="s">
        <v>304</v>
      </c>
      <c r="Z163">
        <v>1548</v>
      </c>
      <c r="AA163">
        <v>1548</v>
      </c>
      <c r="AB163" t="s">
        <v>237</v>
      </c>
      <c r="AC163">
        <v>4.6500000000000004</v>
      </c>
      <c r="AD163">
        <v>7198.2</v>
      </c>
      <c r="AE163">
        <v>1904.04</v>
      </c>
      <c r="AF163" t="s">
        <v>870</v>
      </c>
      <c r="AG163">
        <v>5294.16</v>
      </c>
      <c r="AH163">
        <v>0.74</v>
      </c>
    </row>
    <row r="164" spans="1:34" x14ac:dyDescent="0.25">
      <c r="A164" t="s">
        <v>618</v>
      </c>
      <c r="B164">
        <v>163</v>
      </c>
      <c r="C164" t="s">
        <v>487</v>
      </c>
      <c r="D164" t="s">
        <v>231</v>
      </c>
      <c r="E164" t="s">
        <v>232</v>
      </c>
      <c r="F164" t="s">
        <v>1162</v>
      </c>
      <c r="G164" s="25">
        <v>44228</v>
      </c>
      <c r="H164">
        <v>7</v>
      </c>
      <c r="I164">
        <v>32</v>
      </c>
      <c r="J164" t="s">
        <v>1163</v>
      </c>
      <c r="K164" t="s">
        <v>510</v>
      </c>
      <c r="L164" t="s">
        <v>231</v>
      </c>
      <c r="M164" t="s">
        <v>872</v>
      </c>
      <c r="N164" t="s">
        <v>184</v>
      </c>
      <c r="O164" t="s">
        <v>1164</v>
      </c>
      <c r="P164" t="s">
        <v>867</v>
      </c>
      <c r="Q164" t="s">
        <v>1165</v>
      </c>
      <c r="R164" t="s">
        <v>1166</v>
      </c>
      <c r="S164" t="s">
        <v>239</v>
      </c>
      <c r="T164" t="s">
        <v>502</v>
      </c>
      <c r="U164" t="s">
        <v>287</v>
      </c>
      <c r="V164" t="s">
        <v>234</v>
      </c>
      <c r="W164" t="s">
        <v>58</v>
      </c>
      <c r="X164" t="s">
        <v>235</v>
      </c>
      <c r="Y164" t="s">
        <v>288</v>
      </c>
      <c r="Z164">
        <v>3158</v>
      </c>
      <c r="AA164">
        <v>3158</v>
      </c>
      <c r="AB164" t="s">
        <v>237</v>
      </c>
      <c r="AC164">
        <v>4.38</v>
      </c>
      <c r="AD164">
        <v>13832.04</v>
      </c>
      <c r="AE164">
        <v>4389.62</v>
      </c>
      <c r="AF164" t="s">
        <v>870</v>
      </c>
      <c r="AG164">
        <v>9442.42</v>
      </c>
      <c r="AH164">
        <v>0.68</v>
      </c>
    </row>
    <row r="165" spans="1:34" x14ac:dyDescent="0.25">
      <c r="A165" t="s">
        <v>640</v>
      </c>
      <c r="B165">
        <v>164</v>
      </c>
      <c r="C165" t="s">
        <v>487</v>
      </c>
      <c r="D165" t="s">
        <v>231</v>
      </c>
      <c r="E165" t="s">
        <v>232</v>
      </c>
      <c r="F165" t="s">
        <v>1162</v>
      </c>
      <c r="G165" s="25">
        <v>44228</v>
      </c>
      <c r="H165">
        <v>7</v>
      </c>
      <c r="I165">
        <v>32</v>
      </c>
      <c r="J165" t="s">
        <v>1167</v>
      </c>
      <c r="K165" t="s">
        <v>510</v>
      </c>
      <c r="L165" t="s">
        <v>231</v>
      </c>
      <c r="M165" t="s">
        <v>865</v>
      </c>
      <c r="N165" t="s">
        <v>186</v>
      </c>
      <c r="O165" t="s">
        <v>1012</v>
      </c>
      <c r="P165" t="s">
        <v>867</v>
      </c>
      <c r="Q165" t="s">
        <v>1168</v>
      </c>
      <c r="R165" t="s">
        <v>1169</v>
      </c>
      <c r="S165" t="s">
        <v>232</v>
      </c>
      <c r="T165" t="s">
        <v>504</v>
      </c>
      <c r="U165" t="s">
        <v>43</v>
      </c>
      <c r="V165" t="s">
        <v>234</v>
      </c>
      <c r="W165" t="s">
        <v>42</v>
      </c>
      <c r="X165" t="s">
        <v>21</v>
      </c>
      <c r="Y165" t="s">
        <v>236</v>
      </c>
      <c r="Z165">
        <v>750</v>
      </c>
      <c r="AA165">
        <v>750</v>
      </c>
      <c r="AB165" t="s">
        <v>237</v>
      </c>
      <c r="AC165">
        <v>4.2300000000000004</v>
      </c>
      <c r="AD165">
        <v>3172.5</v>
      </c>
      <c r="AE165">
        <v>922.5</v>
      </c>
      <c r="AF165" t="s">
        <v>870</v>
      </c>
      <c r="AG165">
        <v>2250</v>
      </c>
      <c r="AH165">
        <v>0.71</v>
      </c>
    </row>
    <row r="166" spans="1:34" x14ac:dyDescent="0.25">
      <c r="A166" t="s">
        <v>847</v>
      </c>
      <c r="B166">
        <v>165</v>
      </c>
      <c r="C166" t="s">
        <v>487</v>
      </c>
      <c r="D166" t="s">
        <v>231</v>
      </c>
      <c r="E166" t="s">
        <v>232</v>
      </c>
      <c r="F166" t="s">
        <v>1162</v>
      </c>
      <c r="G166" s="25">
        <v>44228</v>
      </c>
      <c r="H166">
        <v>7</v>
      </c>
      <c r="I166">
        <v>32</v>
      </c>
      <c r="J166" t="s">
        <v>1167</v>
      </c>
      <c r="K166" t="s">
        <v>921</v>
      </c>
      <c r="L166" t="s">
        <v>231</v>
      </c>
      <c r="M166" t="s">
        <v>865</v>
      </c>
      <c r="N166" t="s">
        <v>186</v>
      </c>
      <c r="O166" t="s">
        <v>1012</v>
      </c>
      <c r="P166" t="s">
        <v>867</v>
      </c>
      <c r="Q166" t="s">
        <v>1168</v>
      </c>
      <c r="R166" t="s">
        <v>1169</v>
      </c>
      <c r="S166" t="s">
        <v>232</v>
      </c>
      <c r="T166" t="s">
        <v>502</v>
      </c>
      <c r="U166" t="s">
        <v>287</v>
      </c>
      <c r="V166" t="s">
        <v>234</v>
      </c>
      <c r="W166" t="s">
        <v>58</v>
      </c>
      <c r="X166" t="s">
        <v>235</v>
      </c>
      <c r="Y166" t="s">
        <v>288</v>
      </c>
      <c r="Z166">
        <v>2918</v>
      </c>
      <c r="AA166">
        <v>2918</v>
      </c>
      <c r="AB166" t="s">
        <v>237</v>
      </c>
      <c r="AC166">
        <v>4.38</v>
      </c>
      <c r="AD166">
        <v>12780.84</v>
      </c>
      <c r="AE166">
        <v>4056.02</v>
      </c>
      <c r="AF166" t="s">
        <v>870</v>
      </c>
      <c r="AG166">
        <v>8724.82</v>
      </c>
      <c r="AH166">
        <v>0.68</v>
      </c>
    </row>
    <row r="167" spans="1:34" x14ac:dyDescent="0.25">
      <c r="A167" t="s">
        <v>632</v>
      </c>
      <c r="B167">
        <v>166</v>
      </c>
      <c r="C167" t="s">
        <v>487</v>
      </c>
      <c r="D167" t="s">
        <v>231</v>
      </c>
      <c r="E167" t="s">
        <v>232</v>
      </c>
      <c r="F167" t="s">
        <v>1162</v>
      </c>
      <c r="G167" s="25">
        <v>44228</v>
      </c>
      <c r="H167">
        <v>7</v>
      </c>
      <c r="I167">
        <v>32</v>
      </c>
      <c r="J167" t="s">
        <v>1167</v>
      </c>
      <c r="K167" t="s">
        <v>876</v>
      </c>
      <c r="L167" t="s">
        <v>231</v>
      </c>
      <c r="M167" t="s">
        <v>865</v>
      </c>
      <c r="N167" t="s">
        <v>186</v>
      </c>
      <c r="O167" t="s">
        <v>1012</v>
      </c>
      <c r="P167" t="s">
        <v>867</v>
      </c>
      <c r="Q167" t="s">
        <v>1168</v>
      </c>
      <c r="R167" t="s">
        <v>1169</v>
      </c>
      <c r="S167" t="s">
        <v>232</v>
      </c>
      <c r="T167" t="s">
        <v>502</v>
      </c>
      <c r="U167" t="s">
        <v>287</v>
      </c>
      <c r="V167" t="s">
        <v>234</v>
      </c>
      <c r="W167" t="s">
        <v>58</v>
      </c>
      <c r="X167" t="s">
        <v>235</v>
      </c>
      <c r="Y167" t="s">
        <v>288</v>
      </c>
      <c r="Z167">
        <v>3542</v>
      </c>
      <c r="AA167">
        <v>3542</v>
      </c>
      <c r="AB167" t="s">
        <v>237</v>
      </c>
      <c r="AC167">
        <v>4.38</v>
      </c>
      <c r="AD167">
        <v>15513.96</v>
      </c>
      <c r="AE167">
        <v>4923.38</v>
      </c>
      <c r="AF167" t="s">
        <v>870</v>
      </c>
      <c r="AG167">
        <v>10590.58</v>
      </c>
      <c r="AH167">
        <v>0.68</v>
      </c>
    </row>
    <row r="168" spans="1:34" x14ac:dyDescent="0.25">
      <c r="A168" t="s">
        <v>668</v>
      </c>
      <c r="B168">
        <v>167</v>
      </c>
      <c r="C168" t="s">
        <v>487</v>
      </c>
      <c r="D168" t="s">
        <v>231</v>
      </c>
      <c r="E168" t="s">
        <v>232</v>
      </c>
      <c r="F168" t="s">
        <v>1162</v>
      </c>
      <c r="G168" s="25">
        <v>44228</v>
      </c>
      <c r="H168">
        <v>7</v>
      </c>
      <c r="I168">
        <v>32</v>
      </c>
      <c r="J168" t="s">
        <v>1170</v>
      </c>
      <c r="K168" t="s">
        <v>921</v>
      </c>
      <c r="L168" t="s">
        <v>231</v>
      </c>
      <c r="M168" t="s">
        <v>997</v>
      </c>
      <c r="N168" t="s">
        <v>185</v>
      </c>
      <c r="O168" t="s">
        <v>1171</v>
      </c>
      <c r="P168" t="s">
        <v>867</v>
      </c>
      <c r="Q168" t="s">
        <v>1172</v>
      </c>
      <c r="R168" t="s">
        <v>1173</v>
      </c>
      <c r="S168" t="s">
        <v>232</v>
      </c>
      <c r="T168" t="s">
        <v>502</v>
      </c>
      <c r="U168" t="s">
        <v>287</v>
      </c>
      <c r="V168" t="s">
        <v>234</v>
      </c>
      <c r="W168" t="s">
        <v>58</v>
      </c>
      <c r="X168" t="s">
        <v>235</v>
      </c>
      <c r="Y168" t="s">
        <v>288</v>
      </c>
      <c r="Z168">
        <v>3016</v>
      </c>
      <c r="AA168">
        <v>3016</v>
      </c>
      <c r="AB168" t="s">
        <v>237</v>
      </c>
      <c r="AC168">
        <v>4.38</v>
      </c>
      <c r="AD168">
        <v>13210.08</v>
      </c>
      <c r="AE168">
        <v>4192.24</v>
      </c>
      <c r="AF168" t="s">
        <v>870</v>
      </c>
      <c r="AG168">
        <v>9017.84</v>
      </c>
      <c r="AH168">
        <v>0.68</v>
      </c>
    </row>
    <row r="169" spans="1:34" x14ac:dyDescent="0.25">
      <c r="A169" t="s">
        <v>598</v>
      </c>
      <c r="B169">
        <v>168</v>
      </c>
      <c r="C169" t="s">
        <v>487</v>
      </c>
      <c r="D169" t="s">
        <v>231</v>
      </c>
      <c r="E169" t="s">
        <v>232</v>
      </c>
      <c r="F169" t="s">
        <v>1162</v>
      </c>
      <c r="G169" s="25">
        <v>44228</v>
      </c>
      <c r="H169">
        <v>7</v>
      </c>
      <c r="I169">
        <v>32</v>
      </c>
      <c r="J169" t="s">
        <v>1170</v>
      </c>
      <c r="K169" t="s">
        <v>876</v>
      </c>
      <c r="L169" t="s">
        <v>231</v>
      </c>
      <c r="M169" t="s">
        <v>997</v>
      </c>
      <c r="N169" t="s">
        <v>185</v>
      </c>
      <c r="O169" t="s">
        <v>1171</v>
      </c>
      <c r="P169" t="s">
        <v>867</v>
      </c>
      <c r="Q169" t="s">
        <v>1172</v>
      </c>
      <c r="R169" t="s">
        <v>1173</v>
      </c>
      <c r="S169" t="s">
        <v>232</v>
      </c>
      <c r="T169" t="s">
        <v>502</v>
      </c>
      <c r="U169" t="s">
        <v>287</v>
      </c>
      <c r="V169" t="s">
        <v>234</v>
      </c>
      <c r="W169" t="s">
        <v>58</v>
      </c>
      <c r="X169" t="s">
        <v>235</v>
      </c>
      <c r="Y169" t="s">
        <v>288</v>
      </c>
      <c r="Z169">
        <v>3639</v>
      </c>
      <c r="AA169">
        <v>3639</v>
      </c>
      <c r="AB169" t="s">
        <v>237</v>
      </c>
      <c r="AC169">
        <v>4.38</v>
      </c>
      <c r="AD169">
        <v>15938.82</v>
      </c>
      <c r="AE169">
        <v>5058.21</v>
      </c>
      <c r="AF169" t="s">
        <v>870</v>
      </c>
      <c r="AG169">
        <v>10880.61</v>
      </c>
      <c r="AH169">
        <v>0.68</v>
      </c>
    </row>
    <row r="170" spans="1:34" x14ac:dyDescent="0.25">
      <c r="A170" t="s">
        <v>853</v>
      </c>
      <c r="B170">
        <v>169</v>
      </c>
      <c r="C170" t="s">
        <v>487</v>
      </c>
      <c r="D170" t="s">
        <v>231</v>
      </c>
      <c r="E170" t="s">
        <v>232</v>
      </c>
      <c r="F170" t="s">
        <v>1162</v>
      </c>
      <c r="G170" s="25">
        <v>44228</v>
      </c>
      <c r="H170">
        <v>7</v>
      </c>
      <c r="I170">
        <v>32</v>
      </c>
      <c r="J170" t="s">
        <v>1170</v>
      </c>
      <c r="K170" t="s">
        <v>510</v>
      </c>
      <c r="L170" t="s">
        <v>231</v>
      </c>
      <c r="M170" t="s">
        <v>997</v>
      </c>
      <c r="N170" t="s">
        <v>185</v>
      </c>
      <c r="O170" t="s">
        <v>1171</v>
      </c>
      <c r="P170" t="s">
        <v>867</v>
      </c>
      <c r="Q170" t="s">
        <v>1172</v>
      </c>
      <c r="R170" t="s">
        <v>1173</v>
      </c>
      <c r="S170" t="s">
        <v>232</v>
      </c>
      <c r="T170" t="s">
        <v>502</v>
      </c>
      <c r="U170" t="s">
        <v>287</v>
      </c>
      <c r="V170" t="s">
        <v>234</v>
      </c>
      <c r="W170" t="s">
        <v>58</v>
      </c>
      <c r="X170" t="s">
        <v>235</v>
      </c>
      <c r="Y170" t="s">
        <v>288</v>
      </c>
      <c r="Z170">
        <v>3102</v>
      </c>
      <c r="AA170">
        <v>3102</v>
      </c>
      <c r="AB170" t="s">
        <v>237</v>
      </c>
      <c r="AC170">
        <v>4.38</v>
      </c>
      <c r="AD170">
        <v>13586.76</v>
      </c>
      <c r="AE170">
        <v>4311.78</v>
      </c>
      <c r="AF170" t="s">
        <v>870</v>
      </c>
      <c r="AG170">
        <v>9274.98</v>
      </c>
      <c r="AH170">
        <v>0.68</v>
      </c>
    </row>
    <row r="171" spans="1:34" x14ac:dyDescent="0.25">
      <c r="A171" t="s">
        <v>696</v>
      </c>
      <c r="B171">
        <v>170</v>
      </c>
      <c r="C171" t="s">
        <v>487</v>
      </c>
      <c r="D171" t="s">
        <v>231</v>
      </c>
      <c r="E171" t="s">
        <v>512</v>
      </c>
      <c r="F171" t="s">
        <v>1174</v>
      </c>
      <c r="G171" s="25">
        <v>44229</v>
      </c>
      <c r="H171">
        <v>7</v>
      </c>
      <c r="I171">
        <v>33</v>
      </c>
      <c r="J171" t="s">
        <v>1179</v>
      </c>
      <c r="K171" t="s">
        <v>510</v>
      </c>
      <c r="L171" t="s">
        <v>231</v>
      </c>
      <c r="M171" t="s">
        <v>872</v>
      </c>
      <c r="N171" t="s">
        <v>184</v>
      </c>
      <c r="O171" t="s">
        <v>1180</v>
      </c>
      <c r="P171" t="s">
        <v>867</v>
      </c>
      <c r="Q171" t="s">
        <v>1181</v>
      </c>
      <c r="R171" t="s">
        <v>1182</v>
      </c>
      <c r="S171" t="s">
        <v>232</v>
      </c>
      <c r="T171" t="s">
        <v>504</v>
      </c>
      <c r="U171" t="s">
        <v>43</v>
      </c>
      <c r="V171" t="s">
        <v>234</v>
      </c>
      <c r="W171" t="s">
        <v>42</v>
      </c>
      <c r="X171" t="s">
        <v>21</v>
      </c>
      <c r="Y171" t="s">
        <v>236</v>
      </c>
      <c r="Z171">
        <v>3497</v>
      </c>
      <c r="AA171">
        <v>3497</v>
      </c>
      <c r="AB171" t="s">
        <v>237</v>
      </c>
      <c r="AC171">
        <v>4.2300000000000004</v>
      </c>
      <c r="AD171">
        <v>14792.31</v>
      </c>
      <c r="AE171">
        <v>4301.3100000000004</v>
      </c>
      <c r="AF171" t="s">
        <v>870</v>
      </c>
      <c r="AG171">
        <v>10491</v>
      </c>
      <c r="AH171">
        <v>0.71</v>
      </c>
    </row>
    <row r="172" spans="1:34" x14ac:dyDescent="0.25">
      <c r="A172" t="s">
        <v>726</v>
      </c>
      <c r="B172">
        <v>171</v>
      </c>
      <c r="C172" t="s">
        <v>487</v>
      </c>
      <c r="D172" t="s">
        <v>231</v>
      </c>
      <c r="E172" t="s">
        <v>512</v>
      </c>
      <c r="F172" t="s">
        <v>1174</v>
      </c>
      <c r="G172" s="25">
        <v>44229</v>
      </c>
      <c r="H172">
        <v>7</v>
      </c>
      <c r="I172">
        <v>33</v>
      </c>
      <c r="J172" t="s">
        <v>1175</v>
      </c>
      <c r="K172" t="s">
        <v>876</v>
      </c>
      <c r="L172" t="s">
        <v>231</v>
      </c>
      <c r="M172" t="s">
        <v>872</v>
      </c>
      <c r="N172" t="s">
        <v>184</v>
      </c>
      <c r="O172" t="s">
        <v>1176</v>
      </c>
      <c r="P172" t="s">
        <v>867</v>
      </c>
      <c r="Q172" t="s">
        <v>1177</v>
      </c>
      <c r="R172" t="s">
        <v>1178</v>
      </c>
      <c r="S172" t="s">
        <v>232</v>
      </c>
      <c r="T172" t="s">
        <v>504</v>
      </c>
      <c r="U172" t="s">
        <v>43</v>
      </c>
      <c r="V172" t="s">
        <v>234</v>
      </c>
      <c r="W172" t="s">
        <v>42</v>
      </c>
      <c r="X172" t="s">
        <v>21</v>
      </c>
      <c r="Y172" t="s">
        <v>236</v>
      </c>
      <c r="Z172">
        <v>3291</v>
      </c>
      <c r="AA172">
        <v>3291</v>
      </c>
      <c r="AB172" t="s">
        <v>237</v>
      </c>
      <c r="AC172">
        <v>4.2300000000000004</v>
      </c>
      <c r="AD172">
        <v>13920.93</v>
      </c>
      <c r="AE172">
        <v>4047.93</v>
      </c>
      <c r="AF172" t="s">
        <v>870</v>
      </c>
      <c r="AG172">
        <v>9873</v>
      </c>
      <c r="AH172">
        <v>0.71</v>
      </c>
    </row>
    <row r="173" spans="1:34" x14ac:dyDescent="0.25">
      <c r="A173" t="s">
        <v>517</v>
      </c>
      <c r="B173">
        <v>172</v>
      </c>
      <c r="C173" t="s">
        <v>487</v>
      </c>
      <c r="D173" t="s">
        <v>231</v>
      </c>
      <c r="E173" t="s">
        <v>512</v>
      </c>
      <c r="F173" t="s">
        <v>1174</v>
      </c>
      <c r="G173" s="25">
        <v>44229</v>
      </c>
      <c r="H173">
        <v>7</v>
      </c>
      <c r="I173">
        <v>33</v>
      </c>
      <c r="J173" t="s">
        <v>1175</v>
      </c>
      <c r="K173" t="s">
        <v>510</v>
      </c>
      <c r="L173" t="s">
        <v>231</v>
      </c>
      <c r="M173" t="s">
        <v>872</v>
      </c>
      <c r="N173" t="s">
        <v>184</v>
      </c>
      <c r="O173" t="s">
        <v>1176</v>
      </c>
      <c r="P173" t="s">
        <v>867</v>
      </c>
      <c r="Q173" t="s">
        <v>1177</v>
      </c>
      <c r="R173" t="s">
        <v>1178</v>
      </c>
      <c r="S173" t="s">
        <v>232</v>
      </c>
      <c r="T173" t="s">
        <v>504</v>
      </c>
      <c r="U173" t="s">
        <v>43</v>
      </c>
      <c r="V173" t="s">
        <v>234</v>
      </c>
      <c r="W173" t="s">
        <v>42</v>
      </c>
      <c r="X173" t="s">
        <v>21</v>
      </c>
      <c r="Y173" t="s">
        <v>236</v>
      </c>
      <c r="Z173">
        <v>3304</v>
      </c>
      <c r="AA173">
        <v>3304</v>
      </c>
      <c r="AB173" t="s">
        <v>237</v>
      </c>
      <c r="AC173">
        <v>4.2300000000000004</v>
      </c>
      <c r="AD173">
        <v>13975.92</v>
      </c>
      <c r="AE173">
        <v>4063.92</v>
      </c>
      <c r="AF173" t="s">
        <v>870</v>
      </c>
      <c r="AG173">
        <v>9912</v>
      </c>
      <c r="AH173">
        <v>0.71</v>
      </c>
    </row>
    <row r="174" spans="1:34" x14ac:dyDescent="0.25">
      <c r="A174" t="s">
        <v>651</v>
      </c>
      <c r="B174">
        <v>173</v>
      </c>
      <c r="C174" t="s">
        <v>487</v>
      </c>
      <c r="D174" t="s">
        <v>231</v>
      </c>
      <c r="E174" t="s">
        <v>512</v>
      </c>
      <c r="F174" t="s">
        <v>1174</v>
      </c>
      <c r="G174" s="25">
        <v>44229</v>
      </c>
      <c r="H174">
        <v>7</v>
      </c>
      <c r="I174">
        <v>33</v>
      </c>
      <c r="J174" t="s">
        <v>1188</v>
      </c>
      <c r="K174" t="s">
        <v>510</v>
      </c>
      <c r="L174" t="s">
        <v>231</v>
      </c>
      <c r="M174" t="s">
        <v>883</v>
      </c>
      <c r="N174" t="s">
        <v>185</v>
      </c>
      <c r="O174" t="s">
        <v>1189</v>
      </c>
      <c r="P174" t="s">
        <v>867</v>
      </c>
      <c r="Q174" t="s">
        <v>1190</v>
      </c>
      <c r="R174" t="s">
        <v>1191</v>
      </c>
      <c r="S174" t="s">
        <v>537</v>
      </c>
      <c r="T174" t="s">
        <v>504</v>
      </c>
      <c r="U174" t="s">
        <v>43</v>
      </c>
      <c r="V174" t="s">
        <v>234</v>
      </c>
      <c r="W174" t="s">
        <v>42</v>
      </c>
      <c r="X174" t="s">
        <v>21</v>
      </c>
      <c r="Y174" t="s">
        <v>236</v>
      </c>
      <c r="Z174">
        <v>3223</v>
      </c>
      <c r="AA174">
        <v>3223</v>
      </c>
      <c r="AB174" t="s">
        <v>237</v>
      </c>
      <c r="AC174">
        <v>4.6500000000000004</v>
      </c>
      <c r="AD174">
        <v>14986.95</v>
      </c>
      <c r="AE174">
        <v>3964.29</v>
      </c>
      <c r="AF174" t="s">
        <v>870</v>
      </c>
      <c r="AG174">
        <v>11022.66</v>
      </c>
      <c r="AH174">
        <v>0.74</v>
      </c>
    </row>
    <row r="175" spans="1:34" x14ac:dyDescent="0.25">
      <c r="A175" t="s">
        <v>863</v>
      </c>
      <c r="B175">
        <v>174</v>
      </c>
      <c r="C175" t="s">
        <v>487</v>
      </c>
      <c r="D175" t="s">
        <v>231</v>
      </c>
      <c r="E175" t="s">
        <v>512</v>
      </c>
      <c r="F175" t="s">
        <v>1174</v>
      </c>
      <c r="G175" s="25">
        <v>44229</v>
      </c>
      <c r="H175">
        <v>7</v>
      </c>
      <c r="I175">
        <v>33</v>
      </c>
      <c r="J175" t="s">
        <v>1183</v>
      </c>
      <c r="K175" t="s">
        <v>510</v>
      </c>
      <c r="L175" t="s">
        <v>231</v>
      </c>
      <c r="M175" t="s">
        <v>1184</v>
      </c>
      <c r="N175" t="s">
        <v>186</v>
      </c>
      <c r="O175" t="s">
        <v>1185</v>
      </c>
      <c r="P175" t="s">
        <v>867</v>
      </c>
      <c r="Q175" t="s">
        <v>1186</v>
      </c>
      <c r="R175" t="s">
        <v>1187</v>
      </c>
      <c r="S175" t="s">
        <v>537</v>
      </c>
      <c r="T175" t="s">
        <v>504</v>
      </c>
      <c r="U175" t="s">
        <v>43</v>
      </c>
      <c r="V175" t="s">
        <v>234</v>
      </c>
      <c r="W175" t="s">
        <v>42</v>
      </c>
      <c r="X175" t="s">
        <v>21</v>
      </c>
      <c r="Y175" t="s">
        <v>236</v>
      </c>
      <c r="Z175">
        <v>3086</v>
      </c>
      <c r="AA175">
        <v>3086</v>
      </c>
      <c r="AB175" t="s">
        <v>237</v>
      </c>
      <c r="AC175">
        <v>4.6500000000000004</v>
      </c>
      <c r="AD175">
        <v>14349.9</v>
      </c>
      <c r="AE175">
        <v>3795.78</v>
      </c>
      <c r="AF175" t="s">
        <v>870</v>
      </c>
      <c r="AG175">
        <v>10554.12</v>
      </c>
      <c r="AH175">
        <v>0.74</v>
      </c>
    </row>
    <row r="176" spans="1:34" x14ac:dyDescent="0.25">
      <c r="A176" t="s">
        <v>654</v>
      </c>
      <c r="B176">
        <v>175</v>
      </c>
      <c r="C176" t="s">
        <v>487</v>
      </c>
      <c r="D176" t="s">
        <v>231</v>
      </c>
      <c r="E176" t="s">
        <v>537</v>
      </c>
      <c r="F176" t="s">
        <v>1192</v>
      </c>
      <c r="G176" s="25">
        <v>44230</v>
      </c>
      <c r="H176">
        <v>7</v>
      </c>
      <c r="I176">
        <v>34</v>
      </c>
      <c r="J176" t="s">
        <v>1193</v>
      </c>
      <c r="K176" t="s">
        <v>921</v>
      </c>
      <c r="L176" t="s">
        <v>231</v>
      </c>
      <c r="M176" t="s">
        <v>931</v>
      </c>
      <c r="N176" t="s">
        <v>186</v>
      </c>
      <c r="O176" t="s">
        <v>1194</v>
      </c>
      <c r="P176" t="s">
        <v>867</v>
      </c>
      <c r="Q176" t="s">
        <v>1195</v>
      </c>
      <c r="R176" t="s">
        <v>1196</v>
      </c>
      <c r="S176" t="s">
        <v>232</v>
      </c>
      <c r="T176" t="s">
        <v>504</v>
      </c>
      <c r="U176" t="s">
        <v>43</v>
      </c>
      <c r="V176" t="s">
        <v>234</v>
      </c>
      <c r="W176" t="s">
        <v>42</v>
      </c>
      <c r="X176" t="s">
        <v>21</v>
      </c>
      <c r="Y176" t="s">
        <v>236</v>
      </c>
      <c r="Z176">
        <v>3444</v>
      </c>
      <c r="AA176">
        <v>3444</v>
      </c>
      <c r="AB176" t="s">
        <v>237</v>
      </c>
      <c r="AC176">
        <v>4.2300000000000004</v>
      </c>
      <c r="AD176">
        <v>14568.12</v>
      </c>
      <c r="AE176">
        <v>4236.12</v>
      </c>
      <c r="AF176" t="s">
        <v>870</v>
      </c>
      <c r="AG176">
        <v>10332</v>
      </c>
      <c r="AH176">
        <v>0.71</v>
      </c>
    </row>
    <row r="177" spans="1:34" x14ac:dyDescent="0.25">
      <c r="A177" t="s">
        <v>858</v>
      </c>
      <c r="B177">
        <v>176</v>
      </c>
      <c r="C177" t="s">
        <v>487</v>
      </c>
      <c r="D177" t="s">
        <v>231</v>
      </c>
      <c r="E177" t="s">
        <v>537</v>
      </c>
      <c r="F177" t="s">
        <v>1192</v>
      </c>
      <c r="G177" s="25">
        <v>44230</v>
      </c>
      <c r="H177">
        <v>7</v>
      </c>
      <c r="I177">
        <v>34</v>
      </c>
      <c r="J177" t="s">
        <v>1193</v>
      </c>
      <c r="K177" t="s">
        <v>956</v>
      </c>
      <c r="L177" t="s">
        <v>231</v>
      </c>
      <c r="M177" t="s">
        <v>931</v>
      </c>
      <c r="N177" t="s">
        <v>186</v>
      </c>
      <c r="O177" t="s">
        <v>1194</v>
      </c>
      <c r="P177" t="s">
        <v>867</v>
      </c>
      <c r="Q177" t="s">
        <v>1195</v>
      </c>
      <c r="R177" t="s">
        <v>1196</v>
      </c>
      <c r="S177" t="s">
        <v>232</v>
      </c>
      <c r="T177" t="s">
        <v>504</v>
      </c>
      <c r="U177" t="s">
        <v>43</v>
      </c>
      <c r="V177" t="s">
        <v>234</v>
      </c>
      <c r="W177" t="s">
        <v>42</v>
      </c>
      <c r="X177" t="s">
        <v>21</v>
      </c>
      <c r="Y177" t="s">
        <v>236</v>
      </c>
      <c r="Z177">
        <v>3379</v>
      </c>
      <c r="AA177">
        <v>3379</v>
      </c>
      <c r="AB177" t="s">
        <v>237</v>
      </c>
      <c r="AC177">
        <v>4.2300000000000004</v>
      </c>
      <c r="AD177">
        <v>14293.17</v>
      </c>
      <c r="AE177">
        <v>4156.17</v>
      </c>
      <c r="AF177" t="s">
        <v>870</v>
      </c>
      <c r="AG177">
        <v>10137</v>
      </c>
      <c r="AH177">
        <v>0.71</v>
      </c>
    </row>
    <row r="178" spans="1:34" x14ac:dyDescent="0.25">
      <c r="A178" t="s">
        <v>685</v>
      </c>
      <c r="B178">
        <v>177</v>
      </c>
      <c r="C178" t="s">
        <v>487</v>
      </c>
      <c r="D178" t="s">
        <v>231</v>
      </c>
      <c r="E178" t="s">
        <v>537</v>
      </c>
      <c r="F178" t="s">
        <v>1192</v>
      </c>
      <c r="G178" s="25">
        <v>44230</v>
      </c>
      <c r="H178">
        <v>7</v>
      </c>
      <c r="I178">
        <v>34</v>
      </c>
      <c r="J178" t="s">
        <v>1197</v>
      </c>
      <c r="K178" t="s">
        <v>510</v>
      </c>
      <c r="L178" t="s">
        <v>231</v>
      </c>
      <c r="M178" t="s">
        <v>926</v>
      </c>
      <c r="N178" t="s">
        <v>185</v>
      </c>
      <c r="O178" t="s">
        <v>927</v>
      </c>
      <c r="P178" t="s">
        <v>867</v>
      </c>
      <c r="Q178" t="s">
        <v>928</v>
      </c>
      <c r="R178" t="s">
        <v>929</v>
      </c>
      <c r="S178" t="s">
        <v>232</v>
      </c>
      <c r="T178" t="s">
        <v>504</v>
      </c>
      <c r="U178" t="s">
        <v>43</v>
      </c>
      <c r="V178" t="s">
        <v>234</v>
      </c>
      <c r="W178" t="s">
        <v>42</v>
      </c>
      <c r="X178" t="s">
        <v>21</v>
      </c>
      <c r="Y178" t="s">
        <v>236</v>
      </c>
      <c r="Z178">
        <v>3478</v>
      </c>
      <c r="AA178">
        <v>3478</v>
      </c>
      <c r="AB178" t="s">
        <v>237</v>
      </c>
      <c r="AC178">
        <v>4.2300000000000004</v>
      </c>
      <c r="AD178">
        <v>14711.94</v>
      </c>
      <c r="AE178">
        <v>4277.9399999999996</v>
      </c>
      <c r="AF178" t="s">
        <v>870</v>
      </c>
      <c r="AG178">
        <v>10434</v>
      </c>
      <c r="AH178">
        <v>0.71</v>
      </c>
    </row>
    <row r="179" spans="1:34" x14ac:dyDescent="0.25">
      <c r="A179" t="s">
        <v>794</v>
      </c>
      <c r="B179">
        <v>178</v>
      </c>
      <c r="C179" t="s">
        <v>487</v>
      </c>
      <c r="D179" t="s">
        <v>231</v>
      </c>
      <c r="E179" t="s">
        <v>537</v>
      </c>
      <c r="F179" t="s">
        <v>1192</v>
      </c>
      <c r="G179" s="25">
        <v>44230</v>
      </c>
      <c r="H179">
        <v>7</v>
      </c>
      <c r="I179">
        <v>34</v>
      </c>
      <c r="J179" t="s">
        <v>1197</v>
      </c>
      <c r="K179" t="s">
        <v>876</v>
      </c>
      <c r="L179" t="s">
        <v>231</v>
      </c>
      <c r="M179" t="s">
        <v>926</v>
      </c>
      <c r="N179" t="s">
        <v>185</v>
      </c>
      <c r="O179" t="s">
        <v>927</v>
      </c>
      <c r="P179" t="s">
        <v>867</v>
      </c>
      <c r="Q179" t="s">
        <v>928</v>
      </c>
      <c r="R179" t="s">
        <v>929</v>
      </c>
      <c r="S179" t="s">
        <v>232</v>
      </c>
      <c r="T179" t="s">
        <v>504</v>
      </c>
      <c r="U179" t="s">
        <v>43</v>
      </c>
      <c r="V179" t="s">
        <v>234</v>
      </c>
      <c r="W179" t="s">
        <v>42</v>
      </c>
      <c r="X179" t="s">
        <v>21</v>
      </c>
      <c r="Y179" t="s">
        <v>236</v>
      </c>
      <c r="Z179">
        <v>3226</v>
      </c>
      <c r="AA179">
        <v>3226</v>
      </c>
      <c r="AB179" t="s">
        <v>237</v>
      </c>
      <c r="AC179">
        <v>4.2300000000000004</v>
      </c>
      <c r="AD179">
        <v>13645.98</v>
      </c>
      <c r="AE179">
        <v>3967.98</v>
      </c>
      <c r="AF179" t="s">
        <v>870</v>
      </c>
      <c r="AG179">
        <v>9678</v>
      </c>
      <c r="AH179">
        <v>0.71</v>
      </c>
    </row>
    <row r="180" spans="1:34" x14ac:dyDescent="0.25">
      <c r="A180" t="s">
        <v>736</v>
      </c>
      <c r="B180">
        <v>179</v>
      </c>
      <c r="C180" t="s">
        <v>487</v>
      </c>
      <c r="D180" t="s">
        <v>231</v>
      </c>
      <c r="E180" t="s">
        <v>537</v>
      </c>
      <c r="F180" t="s">
        <v>1192</v>
      </c>
      <c r="G180" s="25">
        <v>44230</v>
      </c>
      <c r="H180">
        <v>7</v>
      </c>
      <c r="I180">
        <v>34</v>
      </c>
      <c r="J180" t="s">
        <v>1198</v>
      </c>
      <c r="K180" t="s">
        <v>510</v>
      </c>
      <c r="L180" t="s">
        <v>231</v>
      </c>
      <c r="M180" t="s">
        <v>872</v>
      </c>
      <c r="N180" t="s">
        <v>184</v>
      </c>
      <c r="O180" t="s">
        <v>1199</v>
      </c>
      <c r="P180" t="s">
        <v>867</v>
      </c>
      <c r="Q180" t="s">
        <v>1200</v>
      </c>
      <c r="R180" t="s">
        <v>1201</v>
      </c>
      <c r="S180" t="s">
        <v>232</v>
      </c>
      <c r="T180" t="s">
        <v>504</v>
      </c>
      <c r="U180" t="s">
        <v>43</v>
      </c>
      <c r="V180" t="s">
        <v>234</v>
      </c>
      <c r="W180" t="s">
        <v>42</v>
      </c>
      <c r="X180" t="s">
        <v>21</v>
      </c>
      <c r="Y180" t="s">
        <v>236</v>
      </c>
      <c r="Z180">
        <v>2979</v>
      </c>
      <c r="AA180">
        <v>2979</v>
      </c>
      <c r="AB180" t="s">
        <v>237</v>
      </c>
      <c r="AC180">
        <v>4.2300000000000004</v>
      </c>
      <c r="AD180">
        <v>12601.17</v>
      </c>
      <c r="AE180">
        <v>3664.17</v>
      </c>
      <c r="AF180" t="s">
        <v>870</v>
      </c>
      <c r="AG180">
        <v>8937</v>
      </c>
      <c r="AH180">
        <v>0.71</v>
      </c>
    </row>
    <row r="181" spans="1:34" x14ac:dyDescent="0.25">
      <c r="A181" t="s">
        <v>788</v>
      </c>
      <c r="B181">
        <v>180</v>
      </c>
      <c r="C181" t="s">
        <v>487</v>
      </c>
      <c r="D181" t="s">
        <v>231</v>
      </c>
      <c r="E181" t="s">
        <v>537</v>
      </c>
      <c r="F181" t="s">
        <v>1192</v>
      </c>
      <c r="G181" s="25">
        <v>44230</v>
      </c>
      <c r="H181">
        <v>7</v>
      </c>
      <c r="I181">
        <v>34</v>
      </c>
      <c r="J181" t="s">
        <v>1193</v>
      </c>
      <c r="K181" t="s">
        <v>876</v>
      </c>
      <c r="L181" t="s">
        <v>231</v>
      </c>
      <c r="M181" t="s">
        <v>931</v>
      </c>
      <c r="N181" t="s">
        <v>186</v>
      </c>
      <c r="O181" t="s">
        <v>1194</v>
      </c>
      <c r="P181" t="s">
        <v>867</v>
      </c>
      <c r="Q181" t="s">
        <v>1195</v>
      </c>
      <c r="R181" t="s">
        <v>1196</v>
      </c>
      <c r="S181" t="s">
        <v>232</v>
      </c>
      <c r="T181" t="s">
        <v>504</v>
      </c>
      <c r="U181" t="s">
        <v>43</v>
      </c>
      <c r="V181" t="s">
        <v>234</v>
      </c>
      <c r="W181" t="s">
        <v>42</v>
      </c>
      <c r="X181" t="s">
        <v>21</v>
      </c>
      <c r="Y181" t="s">
        <v>236</v>
      </c>
      <c r="Z181">
        <v>3735</v>
      </c>
      <c r="AA181">
        <v>3735</v>
      </c>
      <c r="AB181" t="s">
        <v>237</v>
      </c>
      <c r="AC181">
        <v>4.2300000000000004</v>
      </c>
      <c r="AD181">
        <v>15799.05</v>
      </c>
      <c r="AE181">
        <v>4594.05</v>
      </c>
      <c r="AF181" t="s">
        <v>870</v>
      </c>
      <c r="AG181">
        <v>11205</v>
      </c>
      <c r="AH181">
        <v>0.71</v>
      </c>
    </row>
    <row r="182" spans="1:34" x14ac:dyDescent="0.25">
      <c r="A182" t="s">
        <v>732</v>
      </c>
      <c r="B182">
        <v>181</v>
      </c>
      <c r="C182" t="s">
        <v>487</v>
      </c>
      <c r="D182" t="s">
        <v>231</v>
      </c>
      <c r="E182" t="s">
        <v>537</v>
      </c>
      <c r="F182" t="s">
        <v>1192</v>
      </c>
      <c r="G182" s="25">
        <v>44230</v>
      </c>
      <c r="H182">
        <v>7</v>
      </c>
      <c r="I182">
        <v>34</v>
      </c>
      <c r="J182" t="s">
        <v>1193</v>
      </c>
      <c r="K182" t="s">
        <v>510</v>
      </c>
      <c r="L182" t="s">
        <v>231</v>
      </c>
      <c r="M182" t="s">
        <v>931</v>
      </c>
      <c r="N182" t="s">
        <v>186</v>
      </c>
      <c r="O182" t="s">
        <v>1194</v>
      </c>
      <c r="P182" t="s">
        <v>867</v>
      </c>
      <c r="Q182" t="s">
        <v>1195</v>
      </c>
      <c r="R182" t="s">
        <v>1196</v>
      </c>
      <c r="S182" t="s">
        <v>232</v>
      </c>
      <c r="T182" t="s">
        <v>504</v>
      </c>
      <c r="U182" t="s">
        <v>43</v>
      </c>
      <c r="V182" t="s">
        <v>234</v>
      </c>
      <c r="W182" t="s">
        <v>42</v>
      </c>
      <c r="X182" t="s">
        <v>21</v>
      </c>
      <c r="Y182" t="s">
        <v>236</v>
      </c>
      <c r="Z182">
        <v>3424</v>
      </c>
      <c r="AA182">
        <v>3424</v>
      </c>
      <c r="AB182" t="s">
        <v>237</v>
      </c>
      <c r="AC182">
        <v>4.2300000000000004</v>
      </c>
      <c r="AD182">
        <v>14483.52</v>
      </c>
      <c r="AE182">
        <v>4211.5200000000004</v>
      </c>
      <c r="AF182" t="s">
        <v>870</v>
      </c>
      <c r="AG182">
        <v>10272</v>
      </c>
      <c r="AH182">
        <v>0.71</v>
      </c>
    </row>
    <row r="183" spans="1:34" x14ac:dyDescent="0.25">
      <c r="A183" t="s">
        <v>674</v>
      </c>
      <c r="B183">
        <v>182</v>
      </c>
      <c r="C183" t="s">
        <v>487</v>
      </c>
      <c r="D183" t="s">
        <v>231</v>
      </c>
      <c r="E183" t="s">
        <v>537</v>
      </c>
      <c r="F183" t="s">
        <v>1192</v>
      </c>
      <c r="G183" s="25">
        <v>44230</v>
      </c>
      <c r="H183">
        <v>7</v>
      </c>
      <c r="I183">
        <v>34</v>
      </c>
      <c r="J183" t="s">
        <v>1202</v>
      </c>
      <c r="K183" t="s">
        <v>510</v>
      </c>
      <c r="L183" t="s">
        <v>231</v>
      </c>
      <c r="M183" t="s">
        <v>872</v>
      </c>
      <c r="N183" t="s">
        <v>184</v>
      </c>
      <c r="O183" t="s">
        <v>1203</v>
      </c>
      <c r="P183" t="s">
        <v>867</v>
      </c>
      <c r="Q183" t="s">
        <v>1204</v>
      </c>
      <c r="R183" t="s">
        <v>1205</v>
      </c>
      <c r="S183" t="s">
        <v>537</v>
      </c>
      <c r="T183" t="s">
        <v>504</v>
      </c>
      <c r="U183" t="s">
        <v>43</v>
      </c>
      <c r="V183" t="s">
        <v>234</v>
      </c>
      <c r="W183" t="s">
        <v>42</v>
      </c>
      <c r="X183" t="s">
        <v>21</v>
      </c>
      <c r="Y183" t="s">
        <v>236</v>
      </c>
      <c r="Z183">
        <v>3114</v>
      </c>
      <c r="AA183">
        <v>3114</v>
      </c>
      <c r="AB183" t="s">
        <v>237</v>
      </c>
      <c r="AC183">
        <v>4.6500000000000004</v>
      </c>
      <c r="AD183">
        <v>14480.1</v>
      </c>
      <c r="AE183">
        <v>3830.22</v>
      </c>
      <c r="AF183" t="s">
        <v>870</v>
      </c>
      <c r="AG183">
        <v>10649.88</v>
      </c>
      <c r="AH183">
        <v>0.74</v>
      </c>
    </row>
    <row r="184" spans="1:34" x14ac:dyDescent="0.25">
      <c r="A184" t="s">
        <v>690</v>
      </c>
      <c r="B184">
        <v>183</v>
      </c>
      <c r="C184" t="s">
        <v>487</v>
      </c>
      <c r="D184" t="s">
        <v>231</v>
      </c>
      <c r="E184" t="s">
        <v>537</v>
      </c>
      <c r="F184" t="s">
        <v>1192</v>
      </c>
      <c r="G184" s="25">
        <v>44230</v>
      </c>
      <c r="H184">
        <v>7</v>
      </c>
      <c r="I184">
        <v>34</v>
      </c>
      <c r="J184" t="s">
        <v>1206</v>
      </c>
      <c r="K184" t="s">
        <v>510</v>
      </c>
      <c r="L184" t="s">
        <v>231</v>
      </c>
      <c r="M184" t="s">
        <v>1184</v>
      </c>
      <c r="N184" t="s">
        <v>186</v>
      </c>
      <c r="O184" t="s">
        <v>1207</v>
      </c>
      <c r="P184" t="s">
        <v>867</v>
      </c>
      <c r="Q184" t="s">
        <v>1208</v>
      </c>
      <c r="R184" t="s">
        <v>1209</v>
      </c>
      <c r="S184" t="s">
        <v>537</v>
      </c>
      <c r="T184" t="s">
        <v>504</v>
      </c>
      <c r="U184" t="s">
        <v>43</v>
      </c>
      <c r="V184" t="s">
        <v>234</v>
      </c>
      <c r="W184" t="s">
        <v>42</v>
      </c>
      <c r="X184" t="s">
        <v>21</v>
      </c>
      <c r="Y184" t="s">
        <v>236</v>
      </c>
      <c r="Z184">
        <v>3408</v>
      </c>
      <c r="AA184">
        <v>3408</v>
      </c>
      <c r="AB184" t="s">
        <v>237</v>
      </c>
      <c r="AC184">
        <v>4.6500000000000004</v>
      </c>
      <c r="AD184">
        <v>15847.2</v>
      </c>
      <c r="AE184">
        <v>4191.84</v>
      </c>
      <c r="AF184" t="s">
        <v>870</v>
      </c>
      <c r="AG184">
        <v>11655.36</v>
      </c>
      <c r="AH184">
        <v>0.74</v>
      </c>
    </row>
    <row r="185" spans="1:34" x14ac:dyDescent="0.25">
      <c r="A185" t="s">
        <v>722</v>
      </c>
      <c r="B185">
        <v>184</v>
      </c>
      <c r="C185" t="s">
        <v>487</v>
      </c>
      <c r="D185" t="s">
        <v>231</v>
      </c>
      <c r="E185" t="s">
        <v>575</v>
      </c>
      <c r="F185" t="s">
        <v>1210</v>
      </c>
      <c r="G185" s="25">
        <v>44231</v>
      </c>
      <c r="H185">
        <v>7</v>
      </c>
      <c r="I185">
        <v>35</v>
      </c>
      <c r="J185" t="s">
        <v>1211</v>
      </c>
      <c r="K185" t="s">
        <v>510</v>
      </c>
      <c r="L185" t="s">
        <v>231</v>
      </c>
      <c r="M185" t="s">
        <v>872</v>
      </c>
      <c r="N185" t="s">
        <v>184</v>
      </c>
      <c r="O185" t="s">
        <v>1212</v>
      </c>
      <c r="P185" t="s">
        <v>867</v>
      </c>
      <c r="Q185" t="s">
        <v>1213</v>
      </c>
      <c r="R185" t="s">
        <v>1214</v>
      </c>
      <c r="S185" t="s">
        <v>232</v>
      </c>
      <c r="T185" t="s">
        <v>504</v>
      </c>
      <c r="U185" t="s">
        <v>43</v>
      </c>
      <c r="V185" t="s">
        <v>234</v>
      </c>
      <c r="W185" t="s">
        <v>42</v>
      </c>
      <c r="X185" t="s">
        <v>21</v>
      </c>
      <c r="Y185" t="s">
        <v>236</v>
      </c>
      <c r="Z185">
        <v>3321</v>
      </c>
      <c r="AA185">
        <v>3321</v>
      </c>
      <c r="AB185" t="s">
        <v>237</v>
      </c>
      <c r="AC185">
        <v>4.2300000000000004</v>
      </c>
      <c r="AD185">
        <v>14047.83</v>
      </c>
      <c r="AE185">
        <v>4084.83</v>
      </c>
      <c r="AF185" t="s">
        <v>870</v>
      </c>
      <c r="AG185">
        <v>9963</v>
      </c>
      <c r="AH185">
        <v>0.71</v>
      </c>
    </row>
    <row r="186" spans="1:34" x14ac:dyDescent="0.25">
      <c r="A186" t="s">
        <v>556</v>
      </c>
      <c r="B186">
        <v>185</v>
      </c>
      <c r="C186" t="s">
        <v>487</v>
      </c>
      <c r="D186" t="s">
        <v>231</v>
      </c>
      <c r="E186" t="s">
        <v>575</v>
      </c>
      <c r="F186" t="s">
        <v>1210</v>
      </c>
      <c r="G186" s="25">
        <v>44231</v>
      </c>
      <c r="H186">
        <v>7</v>
      </c>
      <c r="I186">
        <v>35</v>
      </c>
      <c r="J186" t="s">
        <v>1211</v>
      </c>
      <c r="K186" t="s">
        <v>876</v>
      </c>
      <c r="L186" t="s">
        <v>231</v>
      </c>
      <c r="M186" t="s">
        <v>872</v>
      </c>
      <c r="N186" t="s">
        <v>184</v>
      </c>
      <c r="O186" t="s">
        <v>1212</v>
      </c>
      <c r="P186" t="s">
        <v>867</v>
      </c>
      <c r="Q186" t="s">
        <v>1213</v>
      </c>
      <c r="R186" t="s">
        <v>1214</v>
      </c>
      <c r="S186" t="s">
        <v>232</v>
      </c>
      <c r="T186" t="s">
        <v>504</v>
      </c>
      <c r="U186" t="s">
        <v>43</v>
      </c>
      <c r="V186" t="s">
        <v>234</v>
      </c>
      <c r="W186" t="s">
        <v>42</v>
      </c>
      <c r="X186" t="s">
        <v>21</v>
      </c>
      <c r="Y186" t="s">
        <v>236</v>
      </c>
      <c r="Z186">
        <v>3645</v>
      </c>
      <c r="AA186">
        <v>3645</v>
      </c>
      <c r="AB186" t="s">
        <v>237</v>
      </c>
      <c r="AC186">
        <v>4.2300000000000004</v>
      </c>
      <c r="AD186">
        <v>15418.35</v>
      </c>
      <c r="AE186">
        <v>4483.3500000000004</v>
      </c>
      <c r="AF186" t="s">
        <v>870</v>
      </c>
      <c r="AG186">
        <v>10935</v>
      </c>
      <c r="AH186">
        <v>0.71</v>
      </c>
    </row>
    <row r="187" spans="1:34" x14ac:dyDescent="0.25">
      <c r="A187" t="s">
        <v>695</v>
      </c>
      <c r="B187">
        <v>186</v>
      </c>
      <c r="C187" t="s">
        <v>487</v>
      </c>
      <c r="D187" t="s">
        <v>231</v>
      </c>
      <c r="E187" t="s">
        <v>620</v>
      </c>
      <c r="F187" t="s">
        <v>1215</v>
      </c>
      <c r="G187" s="25">
        <v>44232</v>
      </c>
      <c r="H187">
        <v>8</v>
      </c>
      <c r="I187">
        <v>36</v>
      </c>
      <c r="J187" t="s">
        <v>1217</v>
      </c>
      <c r="K187" t="s">
        <v>510</v>
      </c>
      <c r="L187" t="s">
        <v>231</v>
      </c>
      <c r="M187" t="s">
        <v>926</v>
      </c>
      <c r="N187" t="s">
        <v>185</v>
      </c>
      <c r="O187" t="s">
        <v>953</v>
      </c>
      <c r="P187" t="s">
        <v>867</v>
      </c>
      <c r="Q187" t="s">
        <v>954</v>
      </c>
      <c r="R187" t="s">
        <v>955</v>
      </c>
      <c r="S187" t="s">
        <v>232</v>
      </c>
      <c r="T187" t="s">
        <v>504</v>
      </c>
      <c r="U187" t="s">
        <v>43</v>
      </c>
      <c r="V187" t="s">
        <v>234</v>
      </c>
      <c r="W187" t="s">
        <v>42</v>
      </c>
      <c r="X187" t="s">
        <v>21</v>
      </c>
      <c r="Y187" t="s">
        <v>236</v>
      </c>
      <c r="Z187">
        <v>3765</v>
      </c>
      <c r="AA187">
        <v>3765</v>
      </c>
      <c r="AB187" t="s">
        <v>237</v>
      </c>
      <c r="AC187">
        <v>4.2300000000000004</v>
      </c>
      <c r="AD187">
        <v>15925.95</v>
      </c>
      <c r="AE187">
        <v>4630.95</v>
      </c>
      <c r="AF187" t="s">
        <v>870</v>
      </c>
      <c r="AG187">
        <v>11295</v>
      </c>
      <c r="AH187">
        <v>0.71</v>
      </c>
    </row>
    <row r="188" spans="1:34" x14ac:dyDescent="0.25">
      <c r="A188" t="s">
        <v>569</v>
      </c>
      <c r="B188">
        <v>187</v>
      </c>
      <c r="C188" t="s">
        <v>487</v>
      </c>
      <c r="D188" t="s">
        <v>231</v>
      </c>
      <c r="E188" t="s">
        <v>620</v>
      </c>
      <c r="F188" t="s">
        <v>1215</v>
      </c>
      <c r="G188" s="25">
        <v>44232</v>
      </c>
      <c r="H188">
        <v>8</v>
      </c>
      <c r="I188">
        <v>36</v>
      </c>
      <c r="J188" t="s">
        <v>1217</v>
      </c>
      <c r="K188" t="s">
        <v>876</v>
      </c>
      <c r="L188" t="s">
        <v>231</v>
      </c>
      <c r="M188" t="s">
        <v>926</v>
      </c>
      <c r="N188" t="s">
        <v>185</v>
      </c>
      <c r="O188" t="s">
        <v>953</v>
      </c>
      <c r="P188" t="s">
        <v>867</v>
      </c>
      <c r="Q188" t="s">
        <v>954</v>
      </c>
      <c r="R188" t="s">
        <v>955</v>
      </c>
      <c r="S188" t="s">
        <v>232</v>
      </c>
      <c r="T188" t="s">
        <v>504</v>
      </c>
      <c r="U188" t="s">
        <v>43</v>
      </c>
      <c r="V188" t="s">
        <v>234</v>
      </c>
      <c r="W188" t="s">
        <v>42</v>
      </c>
      <c r="X188" t="s">
        <v>21</v>
      </c>
      <c r="Y188" t="s">
        <v>236</v>
      </c>
      <c r="Z188">
        <v>3836</v>
      </c>
      <c r="AA188">
        <v>3836</v>
      </c>
      <c r="AB188" t="s">
        <v>237</v>
      </c>
      <c r="AC188">
        <v>4.2300000000000004</v>
      </c>
      <c r="AD188">
        <v>16226.28</v>
      </c>
      <c r="AE188">
        <v>4718.28</v>
      </c>
      <c r="AF188" t="s">
        <v>870</v>
      </c>
      <c r="AG188">
        <v>11508</v>
      </c>
      <c r="AH188">
        <v>0.71</v>
      </c>
    </row>
    <row r="189" spans="1:34" x14ac:dyDescent="0.25">
      <c r="A189" t="s">
        <v>565</v>
      </c>
      <c r="B189">
        <v>188</v>
      </c>
      <c r="C189" t="s">
        <v>487</v>
      </c>
      <c r="D189" t="s">
        <v>231</v>
      </c>
      <c r="E189" t="s">
        <v>620</v>
      </c>
      <c r="F189" t="s">
        <v>1215</v>
      </c>
      <c r="G189" s="25">
        <v>44232</v>
      </c>
      <c r="H189">
        <v>8</v>
      </c>
      <c r="I189">
        <v>36</v>
      </c>
      <c r="J189" t="s">
        <v>1216</v>
      </c>
      <c r="K189" t="s">
        <v>876</v>
      </c>
      <c r="L189" t="s">
        <v>231</v>
      </c>
      <c r="M189" t="s">
        <v>865</v>
      </c>
      <c r="N189" t="s">
        <v>186</v>
      </c>
      <c r="O189" t="s">
        <v>1069</v>
      </c>
      <c r="P189" t="s">
        <v>867</v>
      </c>
      <c r="Q189" t="s">
        <v>1070</v>
      </c>
      <c r="R189" t="s">
        <v>1071</v>
      </c>
      <c r="S189" t="s">
        <v>232</v>
      </c>
      <c r="T189" t="s">
        <v>504</v>
      </c>
      <c r="U189" t="s">
        <v>43</v>
      </c>
      <c r="V189" t="s">
        <v>234</v>
      </c>
      <c r="W189" t="s">
        <v>42</v>
      </c>
      <c r="X189" t="s">
        <v>21</v>
      </c>
      <c r="Y189" t="s">
        <v>236</v>
      </c>
      <c r="Z189">
        <v>3968</v>
      </c>
      <c r="AA189">
        <v>3968</v>
      </c>
      <c r="AB189" t="s">
        <v>237</v>
      </c>
      <c r="AC189">
        <v>4.2300000000000004</v>
      </c>
      <c r="AD189">
        <v>16784.64</v>
      </c>
      <c r="AE189">
        <v>4880.6400000000003</v>
      </c>
      <c r="AF189" t="s">
        <v>870</v>
      </c>
      <c r="AG189">
        <v>11904</v>
      </c>
      <c r="AH189">
        <v>0.71</v>
      </c>
    </row>
    <row r="190" spans="1:34" x14ac:dyDescent="0.25">
      <c r="A190" t="s">
        <v>824</v>
      </c>
      <c r="B190">
        <v>189</v>
      </c>
      <c r="C190" t="s">
        <v>487</v>
      </c>
      <c r="D190" t="s">
        <v>231</v>
      </c>
      <c r="E190" t="s">
        <v>620</v>
      </c>
      <c r="F190" t="s">
        <v>1215</v>
      </c>
      <c r="G190" s="25">
        <v>44232</v>
      </c>
      <c r="H190">
        <v>8</v>
      </c>
      <c r="I190">
        <v>36</v>
      </c>
      <c r="J190" t="s">
        <v>1216</v>
      </c>
      <c r="K190" t="s">
        <v>510</v>
      </c>
      <c r="L190" t="s">
        <v>231</v>
      </c>
      <c r="M190" t="s">
        <v>865</v>
      </c>
      <c r="N190" t="s">
        <v>186</v>
      </c>
      <c r="O190" t="s">
        <v>1069</v>
      </c>
      <c r="P190" t="s">
        <v>867</v>
      </c>
      <c r="Q190" t="s">
        <v>1070</v>
      </c>
      <c r="R190" t="s">
        <v>1071</v>
      </c>
      <c r="S190" t="s">
        <v>232</v>
      </c>
      <c r="T190" t="s">
        <v>504</v>
      </c>
      <c r="U190" t="s">
        <v>43</v>
      </c>
      <c r="V190" t="s">
        <v>234</v>
      </c>
      <c r="W190" t="s">
        <v>42</v>
      </c>
      <c r="X190" t="s">
        <v>21</v>
      </c>
      <c r="Y190" t="s">
        <v>236</v>
      </c>
      <c r="Z190">
        <v>3943</v>
      </c>
      <c r="AA190">
        <v>3943</v>
      </c>
      <c r="AB190" t="s">
        <v>237</v>
      </c>
      <c r="AC190">
        <v>4.2300000000000004</v>
      </c>
      <c r="AD190">
        <v>16678.89</v>
      </c>
      <c r="AE190">
        <v>4849.8900000000003</v>
      </c>
      <c r="AF190" t="s">
        <v>870</v>
      </c>
      <c r="AG190">
        <v>11829</v>
      </c>
      <c r="AH190">
        <v>0.71</v>
      </c>
    </row>
    <row r="191" spans="1:34" x14ac:dyDescent="0.25">
      <c r="A191" t="s">
        <v>771</v>
      </c>
      <c r="B191">
        <v>190</v>
      </c>
      <c r="C191" t="s">
        <v>487</v>
      </c>
      <c r="D191" t="s">
        <v>231</v>
      </c>
      <c r="E191" t="s">
        <v>620</v>
      </c>
      <c r="F191" t="s">
        <v>1215</v>
      </c>
      <c r="G191" s="25">
        <v>44232</v>
      </c>
      <c r="H191">
        <v>8</v>
      </c>
      <c r="I191">
        <v>36</v>
      </c>
      <c r="J191" t="s">
        <v>1218</v>
      </c>
      <c r="K191" t="s">
        <v>510</v>
      </c>
      <c r="L191" t="s">
        <v>231</v>
      </c>
      <c r="M191" t="s">
        <v>888</v>
      </c>
      <c r="N191" t="s">
        <v>184</v>
      </c>
      <c r="O191" t="s">
        <v>1219</v>
      </c>
      <c r="P191" t="s">
        <v>867</v>
      </c>
      <c r="Q191" t="s">
        <v>1220</v>
      </c>
      <c r="R191" t="s">
        <v>1221</v>
      </c>
      <c r="S191" t="s">
        <v>232</v>
      </c>
      <c r="T191" t="s">
        <v>509</v>
      </c>
      <c r="U191" t="s">
        <v>45</v>
      </c>
      <c r="V191" t="s">
        <v>234</v>
      </c>
      <c r="W191" t="s">
        <v>44</v>
      </c>
      <c r="X191" t="s">
        <v>21</v>
      </c>
      <c r="Y191" t="s">
        <v>304</v>
      </c>
      <c r="Z191">
        <v>3140</v>
      </c>
      <c r="AA191">
        <v>3140</v>
      </c>
      <c r="AB191" t="s">
        <v>237</v>
      </c>
      <c r="AC191">
        <v>4.2300000000000004</v>
      </c>
      <c r="AD191">
        <v>13282.2</v>
      </c>
      <c r="AE191">
        <v>3862.2</v>
      </c>
      <c r="AF191" t="s">
        <v>870</v>
      </c>
      <c r="AG191">
        <v>9420</v>
      </c>
      <c r="AH191">
        <v>0.71</v>
      </c>
    </row>
    <row r="192" spans="1:34" x14ac:dyDescent="0.25">
      <c r="A192" t="s">
        <v>581</v>
      </c>
      <c r="B192">
        <v>191</v>
      </c>
      <c r="C192" t="s">
        <v>487</v>
      </c>
      <c r="D192" t="s">
        <v>231</v>
      </c>
      <c r="E192" t="s">
        <v>552</v>
      </c>
      <c r="F192" t="s">
        <v>1222</v>
      </c>
      <c r="G192" s="25">
        <v>44234</v>
      </c>
      <c r="H192">
        <v>8</v>
      </c>
      <c r="I192">
        <v>38</v>
      </c>
      <c r="J192" t="s">
        <v>1223</v>
      </c>
      <c r="K192" t="s">
        <v>510</v>
      </c>
      <c r="L192" t="s">
        <v>231</v>
      </c>
      <c r="M192" t="s">
        <v>872</v>
      </c>
      <c r="N192" t="s">
        <v>184</v>
      </c>
      <c r="O192" t="s">
        <v>1224</v>
      </c>
      <c r="P192" t="s">
        <v>867</v>
      </c>
      <c r="Q192" t="s">
        <v>1225</v>
      </c>
      <c r="R192" t="s">
        <v>1226</v>
      </c>
      <c r="S192" t="s">
        <v>232</v>
      </c>
      <c r="T192" t="s">
        <v>509</v>
      </c>
      <c r="U192" t="s">
        <v>45</v>
      </c>
      <c r="V192" t="s">
        <v>234</v>
      </c>
      <c r="W192" t="s">
        <v>44</v>
      </c>
      <c r="X192" t="s">
        <v>21</v>
      </c>
      <c r="Y192" t="s">
        <v>304</v>
      </c>
      <c r="Z192">
        <v>3573</v>
      </c>
      <c r="AA192">
        <v>3573</v>
      </c>
      <c r="AB192" t="s">
        <v>237</v>
      </c>
      <c r="AC192">
        <v>4.2300000000000004</v>
      </c>
      <c r="AD192">
        <v>15113.79</v>
      </c>
      <c r="AE192">
        <v>4394.79</v>
      </c>
      <c r="AF192" t="s">
        <v>870</v>
      </c>
      <c r="AG192">
        <v>10719</v>
      </c>
      <c r="AH192">
        <v>0.71</v>
      </c>
    </row>
    <row r="193" spans="1:34" x14ac:dyDescent="0.25">
      <c r="A193" t="s">
        <v>758</v>
      </c>
      <c r="B193">
        <v>192</v>
      </c>
      <c r="C193" t="s">
        <v>487</v>
      </c>
      <c r="D193" t="s">
        <v>231</v>
      </c>
      <c r="E193" t="s">
        <v>552</v>
      </c>
      <c r="F193" t="s">
        <v>1222</v>
      </c>
      <c r="G193" s="25">
        <v>44234</v>
      </c>
      <c r="H193">
        <v>8</v>
      </c>
      <c r="I193">
        <v>38</v>
      </c>
      <c r="J193" t="s">
        <v>1227</v>
      </c>
      <c r="K193" t="s">
        <v>510</v>
      </c>
      <c r="L193" t="s">
        <v>231</v>
      </c>
      <c r="M193" t="s">
        <v>872</v>
      </c>
      <c r="N193" t="s">
        <v>184</v>
      </c>
      <c r="O193" t="s">
        <v>1092</v>
      </c>
      <c r="P193" t="s">
        <v>867</v>
      </c>
      <c r="Q193" t="s">
        <v>1093</v>
      </c>
      <c r="R193" t="s">
        <v>1094</v>
      </c>
      <c r="S193" t="s">
        <v>232</v>
      </c>
      <c r="T193" t="s">
        <v>509</v>
      </c>
      <c r="U193" t="s">
        <v>45</v>
      </c>
      <c r="V193" t="s">
        <v>234</v>
      </c>
      <c r="W193" t="s">
        <v>44</v>
      </c>
      <c r="X193" t="s">
        <v>21</v>
      </c>
      <c r="Y193" t="s">
        <v>304</v>
      </c>
      <c r="Z193">
        <v>3544</v>
      </c>
      <c r="AA193">
        <v>3544</v>
      </c>
      <c r="AB193" t="s">
        <v>237</v>
      </c>
      <c r="AC193">
        <v>4.2300000000000004</v>
      </c>
      <c r="AD193">
        <v>14991.12</v>
      </c>
      <c r="AE193">
        <v>4359.12</v>
      </c>
      <c r="AF193" t="s">
        <v>870</v>
      </c>
      <c r="AG193">
        <v>10632</v>
      </c>
      <c r="AH193">
        <v>0.71</v>
      </c>
    </row>
    <row r="194" spans="1:34" x14ac:dyDescent="0.25">
      <c r="A194" t="s">
        <v>780</v>
      </c>
      <c r="B194">
        <v>193</v>
      </c>
      <c r="C194" t="s">
        <v>487</v>
      </c>
      <c r="D194" t="s">
        <v>231</v>
      </c>
      <c r="E194" t="s">
        <v>552</v>
      </c>
      <c r="F194" t="s">
        <v>1222</v>
      </c>
      <c r="G194" s="25">
        <v>44234</v>
      </c>
      <c r="H194">
        <v>8</v>
      </c>
      <c r="I194">
        <v>38</v>
      </c>
      <c r="J194" t="s">
        <v>1228</v>
      </c>
      <c r="K194" t="s">
        <v>510</v>
      </c>
      <c r="L194" t="s">
        <v>231</v>
      </c>
      <c r="M194" t="s">
        <v>865</v>
      </c>
      <c r="N194" t="s">
        <v>186</v>
      </c>
      <c r="O194" t="s">
        <v>1012</v>
      </c>
      <c r="P194" t="s">
        <v>867</v>
      </c>
      <c r="Q194" t="s">
        <v>1013</v>
      </c>
      <c r="R194" t="s">
        <v>1229</v>
      </c>
      <c r="S194" t="s">
        <v>537</v>
      </c>
      <c r="T194" t="s">
        <v>504</v>
      </c>
      <c r="U194" t="s">
        <v>43</v>
      </c>
      <c r="V194" t="s">
        <v>234</v>
      </c>
      <c r="W194" t="s">
        <v>42</v>
      </c>
      <c r="X194" t="s">
        <v>21</v>
      </c>
      <c r="Y194" t="s">
        <v>236</v>
      </c>
      <c r="Z194">
        <v>3184</v>
      </c>
      <c r="AA194">
        <v>3184</v>
      </c>
      <c r="AB194" t="s">
        <v>237</v>
      </c>
      <c r="AC194">
        <v>4.6500000000000004</v>
      </c>
      <c r="AD194">
        <v>14805.6</v>
      </c>
      <c r="AE194">
        <v>3916.32</v>
      </c>
      <c r="AF194" t="s">
        <v>870</v>
      </c>
      <c r="AG194">
        <v>10889.28</v>
      </c>
      <c r="AH194">
        <v>0.74</v>
      </c>
    </row>
    <row r="195" spans="1:34" x14ac:dyDescent="0.25">
      <c r="A195" t="s">
        <v>596</v>
      </c>
      <c r="B195">
        <v>194</v>
      </c>
      <c r="C195" t="s">
        <v>487</v>
      </c>
      <c r="D195" t="s">
        <v>231</v>
      </c>
      <c r="E195" t="s">
        <v>531</v>
      </c>
      <c r="F195" t="s">
        <v>1230</v>
      </c>
      <c r="G195" s="25">
        <v>44235</v>
      </c>
      <c r="H195">
        <v>8</v>
      </c>
      <c r="I195">
        <v>39</v>
      </c>
      <c r="J195" t="s">
        <v>1231</v>
      </c>
      <c r="K195" t="s">
        <v>510</v>
      </c>
      <c r="L195" t="s">
        <v>231</v>
      </c>
      <c r="M195" t="s">
        <v>931</v>
      </c>
      <c r="N195" t="s">
        <v>186</v>
      </c>
      <c r="O195" t="s">
        <v>1130</v>
      </c>
      <c r="P195" t="s">
        <v>867</v>
      </c>
      <c r="Q195" t="s">
        <v>1134</v>
      </c>
      <c r="R195" t="s">
        <v>1135</v>
      </c>
      <c r="S195" t="s">
        <v>537</v>
      </c>
      <c r="T195" t="s">
        <v>504</v>
      </c>
      <c r="U195" t="s">
        <v>43</v>
      </c>
      <c r="V195" t="s">
        <v>234</v>
      </c>
      <c r="W195" t="s">
        <v>42</v>
      </c>
      <c r="X195" t="s">
        <v>21</v>
      </c>
      <c r="Y195" t="s">
        <v>236</v>
      </c>
      <c r="Z195">
        <v>3387</v>
      </c>
      <c r="AA195">
        <v>3387</v>
      </c>
      <c r="AB195" t="s">
        <v>237</v>
      </c>
      <c r="AC195">
        <v>4.6500000000000004</v>
      </c>
      <c r="AD195">
        <v>15749.55</v>
      </c>
      <c r="AE195">
        <v>4166.01</v>
      </c>
      <c r="AF195" t="s">
        <v>870</v>
      </c>
      <c r="AG195">
        <v>11583.54</v>
      </c>
      <c r="AH195">
        <v>0.74</v>
      </c>
    </row>
    <row r="196" spans="1:34" x14ac:dyDescent="0.25">
      <c r="A196" t="s">
        <v>584</v>
      </c>
      <c r="B196">
        <v>195</v>
      </c>
      <c r="C196" t="s">
        <v>487</v>
      </c>
      <c r="D196" t="s">
        <v>231</v>
      </c>
      <c r="E196" t="s">
        <v>531</v>
      </c>
      <c r="F196" t="s">
        <v>1230</v>
      </c>
      <c r="G196" s="25">
        <v>44235</v>
      </c>
      <c r="H196">
        <v>8</v>
      </c>
      <c r="I196">
        <v>39</v>
      </c>
      <c r="J196" t="s">
        <v>1232</v>
      </c>
      <c r="K196" t="s">
        <v>510</v>
      </c>
      <c r="L196" t="s">
        <v>231</v>
      </c>
      <c r="M196" t="s">
        <v>931</v>
      </c>
      <c r="N196" t="s">
        <v>186</v>
      </c>
      <c r="O196" t="s">
        <v>1061</v>
      </c>
      <c r="P196" t="s">
        <v>867</v>
      </c>
      <c r="Q196" t="s">
        <v>1062</v>
      </c>
      <c r="R196" t="s">
        <v>1063</v>
      </c>
      <c r="S196" t="s">
        <v>537</v>
      </c>
      <c r="T196" t="s">
        <v>509</v>
      </c>
      <c r="U196" t="s">
        <v>45</v>
      </c>
      <c r="V196" t="s">
        <v>234</v>
      </c>
      <c r="W196" t="s">
        <v>44</v>
      </c>
      <c r="X196" t="s">
        <v>21</v>
      </c>
      <c r="Y196" t="s">
        <v>304</v>
      </c>
      <c r="Z196">
        <v>3149</v>
      </c>
      <c r="AA196">
        <v>3149</v>
      </c>
      <c r="AB196" t="s">
        <v>237</v>
      </c>
      <c r="AC196">
        <v>4.6500000000000004</v>
      </c>
      <c r="AD196">
        <v>14642.85</v>
      </c>
      <c r="AE196">
        <v>3873.27</v>
      </c>
      <c r="AF196" t="s">
        <v>870</v>
      </c>
      <c r="AG196">
        <v>10769.58</v>
      </c>
      <c r="AH196">
        <v>0.74</v>
      </c>
    </row>
    <row r="197" spans="1:34" x14ac:dyDescent="0.25">
      <c r="A197" t="s">
        <v>592</v>
      </c>
      <c r="B197">
        <v>196</v>
      </c>
      <c r="C197" t="s">
        <v>487</v>
      </c>
      <c r="D197" t="s">
        <v>231</v>
      </c>
      <c r="E197" t="s">
        <v>531</v>
      </c>
      <c r="F197" t="s">
        <v>1230</v>
      </c>
      <c r="G197" s="25">
        <v>44235</v>
      </c>
      <c r="H197">
        <v>8</v>
      </c>
      <c r="I197">
        <v>39</v>
      </c>
      <c r="J197" t="s">
        <v>1233</v>
      </c>
      <c r="K197" t="s">
        <v>510</v>
      </c>
      <c r="L197" t="s">
        <v>231</v>
      </c>
      <c r="M197" t="s">
        <v>926</v>
      </c>
      <c r="N197" t="s">
        <v>185</v>
      </c>
      <c r="O197" t="s">
        <v>953</v>
      </c>
      <c r="P197" t="s">
        <v>867</v>
      </c>
      <c r="Q197" t="s">
        <v>1028</v>
      </c>
      <c r="R197" t="s">
        <v>1029</v>
      </c>
      <c r="S197" t="s">
        <v>537</v>
      </c>
      <c r="T197" t="s">
        <v>509</v>
      </c>
      <c r="U197" t="s">
        <v>45</v>
      </c>
      <c r="V197" t="s">
        <v>234</v>
      </c>
      <c r="W197" t="s">
        <v>44</v>
      </c>
      <c r="X197" t="s">
        <v>21</v>
      </c>
      <c r="Y197" t="s">
        <v>304</v>
      </c>
      <c r="Z197">
        <v>2931</v>
      </c>
      <c r="AA197">
        <v>2931</v>
      </c>
      <c r="AB197" t="s">
        <v>237</v>
      </c>
      <c r="AC197">
        <v>4.6500000000000004</v>
      </c>
      <c r="AD197">
        <v>13629.15</v>
      </c>
      <c r="AE197">
        <v>3605.13</v>
      </c>
      <c r="AF197" t="s">
        <v>870</v>
      </c>
      <c r="AG197">
        <v>10024.02</v>
      </c>
      <c r="AH197">
        <v>0.74</v>
      </c>
    </row>
    <row r="198" spans="1:34" x14ac:dyDescent="0.25">
      <c r="A198" t="s">
        <v>814</v>
      </c>
      <c r="B198">
        <v>197</v>
      </c>
      <c r="C198" t="s">
        <v>487</v>
      </c>
      <c r="D198" t="s">
        <v>231</v>
      </c>
      <c r="E198" t="s">
        <v>408</v>
      </c>
      <c r="F198" t="s">
        <v>1234</v>
      </c>
      <c r="G198" s="25">
        <v>44236</v>
      </c>
      <c r="H198">
        <v>8</v>
      </c>
      <c r="I198">
        <v>40</v>
      </c>
      <c r="J198" t="s">
        <v>1235</v>
      </c>
      <c r="K198" t="s">
        <v>921</v>
      </c>
      <c r="L198" t="s">
        <v>231</v>
      </c>
      <c r="M198" t="s">
        <v>931</v>
      </c>
      <c r="N198" t="s">
        <v>186</v>
      </c>
      <c r="O198" t="s">
        <v>1236</v>
      </c>
      <c r="P198" t="s">
        <v>867</v>
      </c>
      <c r="Q198" t="s">
        <v>1237</v>
      </c>
      <c r="R198" t="s">
        <v>1238</v>
      </c>
      <c r="S198" t="s">
        <v>232</v>
      </c>
      <c r="T198" t="s">
        <v>504</v>
      </c>
      <c r="U198" t="s">
        <v>43</v>
      </c>
      <c r="V198" t="s">
        <v>234</v>
      </c>
      <c r="W198" t="s">
        <v>42</v>
      </c>
      <c r="X198" t="s">
        <v>21</v>
      </c>
      <c r="Y198" t="s">
        <v>236</v>
      </c>
      <c r="Z198">
        <v>3447</v>
      </c>
      <c r="AA198">
        <v>3447</v>
      </c>
      <c r="AB198" t="s">
        <v>237</v>
      </c>
      <c r="AC198">
        <v>4.2300000000000004</v>
      </c>
      <c r="AD198">
        <v>14580.81</v>
      </c>
      <c r="AE198">
        <v>4239.8100000000004</v>
      </c>
      <c r="AF198" t="s">
        <v>870</v>
      </c>
      <c r="AG198">
        <v>10341</v>
      </c>
      <c r="AH198">
        <v>0.71</v>
      </c>
    </row>
    <row r="199" spans="1:34" x14ac:dyDescent="0.25">
      <c r="A199" t="s">
        <v>707</v>
      </c>
      <c r="B199">
        <v>198</v>
      </c>
      <c r="C199" t="s">
        <v>487</v>
      </c>
      <c r="D199" t="s">
        <v>231</v>
      </c>
      <c r="E199" t="s">
        <v>408</v>
      </c>
      <c r="F199" t="s">
        <v>1234</v>
      </c>
      <c r="G199" s="25">
        <v>44236</v>
      </c>
      <c r="H199">
        <v>8</v>
      </c>
      <c r="I199">
        <v>40</v>
      </c>
      <c r="J199" t="s">
        <v>1239</v>
      </c>
      <c r="K199" t="s">
        <v>510</v>
      </c>
      <c r="L199" t="s">
        <v>231</v>
      </c>
      <c r="M199" t="s">
        <v>865</v>
      </c>
      <c r="N199" t="s">
        <v>186</v>
      </c>
      <c r="O199" t="s">
        <v>1069</v>
      </c>
      <c r="P199" t="s">
        <v>867</v>
      </c>
      <c r="Q199" t="s">
        <v>1153</v>
      </c>
      <c r="R199" t="s">
        <v>1154</v>
      </c>
      <c r="S199" t="s">
        <v>232</v>
      </c>
      <c r="T199" t="s">
        <v>504</v>
      </c>
      <c r="U199" t="s">
        <v>43</v>
      </c>
      <c r="V199" t="s">
        <v>234</v>
      </c>
      <c r="W199" t="s">
        <v>42</v>
      </c>
      <c r="X199" t="s">
        <v>21</v>
      </c>
      <c r="Y199" t="s">
        <v>236</v>
      </c>
      <c r="Z199">
        <v>3169</v>
      </c>
      <c r="AA199">
        <v>3169</v>
      </c>
      <c r="AB199" t="s">
        <v>237</v>
      </c>
      <c r="AC199">
        <v>4.2300000000000004</v>
      </c>
      <c r="AD199">
        <v>13404.87</v>
      </c>
      <c r="AE199">
        <v>3897.87</v>
      </c>
      <c r="AF199" t="s">
        <v>870</v>
      </c>
      <c r="AG199">
        <v>9507</v>
      </c>
      <c r="AH199">
        <v>0.71</v>
      </c>
    </row>
    <row r="200" spans="1:34" x14ac:dyDescent="0.25">
      <c r="A200" t="s">
        <v>628</v>
      </c>
      <c r="B200">
        <v>199</v>
      </c>
      <c r="C200" t="s">
        <v>487</v>
      </c>
      <c r="D200" t="s">
        <v>231</v>
      </c>
      <c r="E200" t="s">
        <v>408</v>
      </c>
      <c r="F200" t="s">
        <v>1234</v>
      </c>
      <c r="G200" s="25">
        <v>44236</v>
      </c>
      <c r="H200">
        <v>8</v>
      </c>
      <c r="I200">
        <v>40</v>
      </c>
      <c r="J200" t="s">
        <v>1235</v>
      </c>
      <c r="K200" t="s">
        <v>510</v>
      </c>
      <c r="L200" t="s">
        <v>231</v>
      </c>
      <c r="M200" t="s">
        <v>931</v>
      </c>
      <c r="N200" t="s">
        <v>186</v>
      </c>
      <c r="O200" t="s">
        <v>1236</v>
      </c>
      <c r="P200" t="s">
        <v>867</v>
      </c>
      <c r="Q200" t="s">
        <v>1237</v>
      </c>
      <c r="R200" t="s">
        <v>1238</v>
      </c>
      <c r="S200" t="s">
        <v>232</v>
      </c>
      <c r="T200" t="s">
        <v>509</v>
      </c>
      <c r="U200" t="s">
        <v>45</v>
      </c>
      <c r="V200" t="s">
        <v>234</v>
      </c>
      <c r="W200" t="s">
        <v>44</v>
      </c>
      <c r="X200" t="s">
        <v>21</v>
      </c>
      <c r="Y200" t="s">
        <v>304</v>
      </c>
      <c r="Z200">
        <v>3799</v>
      </c>
      <c r="AA200">
        <v>3799</v>
      </c>
      <c r="AB200" t="s">
        <v>237</v>
      </c>
      <c r="AC200">
        <v>4.2300000000000004</v>
      </c>
      <c r="AD200">
        <v>16069.77</v>
      </c>
      <c r="AE200">
        <v>4672.7700000000004</v>
      </c>
      <c r="AF200" t="s">
        <v>870</v>
      </c>
      <c r="AG200">
        <v>11397</v>
      </c>
      <c r="AH200">
        <v>0.71</v>
      </c>
    </row>
    <row r="201" spans="1:34" x14ac:dyDescent="0.25">
      <c r="A201" t="s">
        <v>838</v>
      </c>
      <c r="B201">
        <v>200</v>
      </c>
      <c r="C201" t="s">
        <v>487</v>
      </c>
      <c r="D201" t="s">
        <v>231</v>
      </c>
      <c r="E201" t="s">
        <v>408</v>
      </c>
      <c r="F201" t="s">
        <v>1234</v>
      </c>
      <c r="G201" s="25">
        <v>44236</v>
      </c>
      <c r="H201">
        <v>8</v>
      </c>
      <c r="I201">
        <v>40</v>
      </c>
      <c r="J201" t="s">
        <v>1239</v>
      </c>
      <c r="K201" t="s">
        <v>876</v>
      </c>
      <c r="L201" t="s">
        <v>231</v>
      </c>
      <c r="M201" t="s">
        <v>865</v>
      </c>
      <c r="N201" t="s">
        <v>186</v>
      </c>
      <c r="O201" t="s">
        <v>1069</v>
      </c>
      <c r="P201" t="s">
        <v>867</v>
      </c>
      <c r="Q201" t="s">
        <v>1153</v>
      </c>
      <c r="R201" t="s">
        <v>1154</v>
      </c>
      <c r="S201" t="s">
        <v>232</v>
      </c>
      <c r="T201" t="s">
        <v>509</v>
      </c>
      <c r="U201" t="s">
        <v>45</v>
      </c>
      <c r="V201" t="s">
        <v>234</v>
      </c>
      <c r="W201" t="s">
        <v>44</v>
      </c>
      <c r="X201" t="s">
        <v>21</v>
      </c>
      <c r="Y201" t="s">
        <v>304</v>
      </c>
      <c r="Z201">
        <v>3214</v>
      </c>
      <c r="AA201">
        <v>3214</v>
      </c>
      <c r="AB201" t="s">
        <v>237</v>
      </c>
      <c r="AC201">
        <v>4.2300000000000004</v>
      </c>
      <c r="AD201">
        <v>13595.22</v>
      </c>
      <c r="AE201">
        <v>3953.22</v>
      </c>
      <c r="AF201" t="s">
        <v>870</v>
      </c>
      <c r="AG201">
        <v>9642</v>
      </c>
      <c r="AH201">
        <v>0.71</v>
      </c>
    </row>
    <row r="202" spans="1:34" x14ac:dyDescent="0.25">
      <c r="A202" t="s">
        <v>790</v>
      </c>
      <c r="B202">
        <v>201</v>
      </c>
      <c r="C202" t="s">
        <v>487</v>
      </c>
      <c r="D202" t="s">
        <v>231</v>
      </c>
      <c r="E202" t="s">
        <v>408</v>
      </c>
      <c r="F202" t="s">
        <v>1234</v>
      </c>
      <c r="G202" s="25">
        <v>44236</v>
      </c>
      <c r="H202">
        <v>8</v>
      </c>
      <c r="I202">
        <v>40</v>
      </c>
      <c r="J202" t="s">
        <v>1235</v>
      </c>
      <c r="K202" t="s">
        <v>876</v>
      </c>
      <c r="L202" t="s">
        <v>231</v>
      </c>
      <c r="M202" t="s">
        <v>931</v>
      </c>
      <c r="N202" t="s">
        <v>186</v>
      </c>
      <c r="O202" t="s">
        <v>1236</v>
      </c>
      <c r="P202" t="s">
        <v>867</v>
      </c>
      <c r="Q202" t="s">
        <v>1237</v>
      </c>
      <c r="R202" t="s">
        <v>1238</v>
      </c>
      <c r="S202" t="s">
        <v>232</v>
      </c>
      <c r="T202" t="s">
        <v>508</v>
      </c>
      <c r="U202" t="s">
        <v>47</v>
      </c>
      <c r="V202" t="s">
        <v>234</v>
      </c>
      <c r="W202" t="s">
        <v>46</v>
      </c>
      <c r="X202" t="s">
        <v>21</v>
      </c>
      <c r="Y202" t="s">
        <v>288</v>
      </c>
      <c r="Z202">
        <v>3690</v>
      </c>
      <c r="AA202">
        <v>3690</v>
      </c>
      <c r="AB202" t="s">
        <v>237</v>
      </c>
      <c r="AC202">
        <v>3.79</v>
      </c>
      <c r="AD202">
        <v>13985.1</v>
      </c>
      <c r="AE202">
        <v>2915.1</v>
      </c>
      <c r="AF202" t="s">
        <v>870</v>
      </c>
      <c r="AG202">
        <v>11070</v>
      </c>
      <c r="AH202">
        <v>0.79</v>
      </c>
    </row>
    <row r="203" spans="1:34" x14ac:dyDescent="0.25">
      <c r="A203" t="s">
        <v>611</v>
      </c>
      <c r="B203">
        <v>202</v>
      </c>
      <c r="C203" t="s">
        <v>487</v>
      </c>
      <c r="D203" t="s">
        <v>231</v>
      </c>
      <c r="E203" t="s">
        <v>408</v>
      </c>
      <c r="F203" t="s">
        <v>1234</v>
      </c>
      <c r="G203" s="25">
        <v>44236</v>
      </c>
      <c r="H203">
        <v>8</v>
      </c>
      <c r="I203">
        <v>40</v>
      </c>
      <c r="J203" t="s">
        <v>1239</v>
      </c>
      <c r="K203" t="s">
        <v>956</v>
      </c>
      <c r="L203" t="s">
        <v>231</v>
      </c>
      <c r="M203" t="s">
        <v>865</v>
      </c>
      <c r="N203" t="s">
        <v>186</v>
      </c>
      <c r="O203" t="s">
        <v>1069</v>
      </c>
      <c r="P203" t="s">
        <v>867</v>
      </c>
      <c r="Q203" t="s">
        <v>1153</v>
      </c>
      <c r="R203" t="s">
        <v>1154</v>
      </c>
      <c r="S203" t="s">
        <v>232</v>
      </c>
      <c r="T203" t="s">
        <v>508</v>
      </c>
      <c r="U203" t="s">
        <v>47</v>
      </c>
      <c r="V203" t="s">
        <v>234</v>
      </c>
      <c r="W203" t="s">
        <v>46</v>
      </c>
      <c r="X203" t="s">
        <v>21</v>
      </c>
      <c r="Y203" t="s">
        <v>288</v>
      </c>
      <c r="Z203">
        <v>3654</v>
      </c>
      <c r="AA203">
        <v>3654</v>
      </c>
      <c r="AB203" t="s">
        <v>237</v>
      </c>
      <c r="AC203">
        <v>3.79</v>
      </c>
      <c r="AD203">
        <v>13848.66</v>
      </c>
      <c r="AE203">
        <v>2886.66</v>
      </c>
      <c r="AF203" t="s">
        <v>870</v>
      </c>
      <c r="AG203">
        <v>10962</v>
      </c>
      <c r="AH203">
        <v>0.79</v>
      </c>
    </row>
    <row r="204" spans="1:34" x14ac:dyDescent="0.25">
      <c r="A204" t="s">
        <v>786</v>
      </c>
      <c r="B204">
        <v>203</v>
      </c>
      <c r="C204" t="s">
        <v>487</v>
      </c>
      <c r="D204" t="s">
        <v>231</v>
      </c>
      <c r="E204" t="s">
        <v>408</v>
      </c>
      <c r="F204" t="s">
        <v>1234</v>
      </c>
      <c r="G204" s="25">
        <v>44236</v>
      </c>
      <c r="H204">
        <v>8</v>
      </c>
      <c r="I204">
        <v>40</v>
      </c>
      <c r="J204" t="s">
        <v>1239</v>
      </c>
      <c r="K204" t="s">
        <v>921</v>
      </c>
      <c r="L204" t="s">
        <v>231</v>
      </c>
      <c r="M204" t="s">
        <v>865</v>
      </c>
      <c r="N204" t="s">
        <v>186</v>
      </c>
      <c r="O204" t="s">
        <v>1069</v>
      </c>
      <c r="P204" t="s">
        <v>867</v>
      </c>
      <c r="Q204" t="s">
        <v>1153</v>
      </c>
      <c r="R204" t="s">
        <v>1154</v>
      </c>
      <c r="S204" t="s">
        <v>232</v>
      </c>
      <c r="T204" t="s">
        <v>508</v>
      </c>
      <c r="U204" t="s">
        <v>47</v>
      </c>
      <c r="V204" t="s">
        <v>234</v>
      </c>
      <c r="W204" t="s">
        <v>46</v>
      </c>
      <c r="X204" t="s">
        <v>21</v>
      </c>
      <c r="Y204" t="s">
        <v>288</v>
      </c>
      <c r="Z204">
        <v>4207</v>
      </c>
      <c r="AA204">
        <v>4207</v>
      </c>
      <c r="AB204" t="s">
        <v>237</v>
      </c>
      <c r="AC204">
        <v>3.79</v>
      </c>
      <c r="AD204">
        <v>15944.53</v>
      </c>
      <c r="AE204">
        <v>3323.53</v>
      </c>
      <c r="AF204" t="s">
        <v>870</v>
      </c>
      <c r="AG204">
        <v>12621</v>
      </c>
      <c r="AH204">
        <v>0.79</v>
      </c>
    </row>
    <row r="205" spans="1:34" x14ac:dyDescent="0.25">
      <c r="A205" t="s">
        <v>730</v>
      </c>
      <c r="B205">
        <v>204</v>
      </c>
      <c r="C205" t="s">
        <v>487</v>
      </c>
      <c r="D205" t="s">
        <v>231</v>
      </c>
      <c r="E205" t="s">
        <v>408</v>
      </c>
      <c r="F205" t="s">
        <v>1234</v>
      </c>
      <c r="G205" s="25">
        <v>44236</v>
      </c>
      <c r="H205">
        <v>8</v>
      </c>
      <c r="I205">
        <v>40</v>
      </c>
      <c r="J205" t="s">
        <v>1240</v>
      </c>
      <c r="K205" t="s">
        <v>510</v>
      </c>
      <c r="L205" t="s">
        <v>231</v>
      </c>
      <c r="M205" t="s">
        <v>865</v>
      </c>
      <c r="N205" t="s">
        <v>186</v>
      </c>
      <c r="O205" t="s">
        <v>1012</v>
      </c>
      <c r="P205" t="s">
        <v>867</v>
      </c>
      <c r="Q205" t="s">
        <v>1160</v>
      </c>
      <c r="R205" t="s">
        <v>1161</v>
      </c>
      <c r="S205" t="s">
        <v>537</v>
      </c>
      <c r="T205" t="s">
        <v>509</v>
      </c>
      <c r="U205" t="s">
        <v>45</v>
      </c>
      <c r="V205" t="s">
        <v>234</v>
      </c>
      <c r="W205" t="s">
        <v>44</v>
      </c>
      <c r="X205" t="s">
        <v>21</v>
      </c>
      <c r="Y205" t="s">
        <v>304</v>
      </c>
      <c r="Z205">
        <v>2722</v>
      </c>
      <c r="AA205">
        <v>2722</v>
      </c>
      <c r="AB205" t="s">
        <v>237</v>
      </c>
      <c r="AC205">
        <v>4.6500000000000004</v>
      </c>
      <c r="AD205">
        <v>12657.3</v>
      </c>
      <c r="AE205">
        <v>3348.06</v>
      </c>
      <c r="AF205" t="s">
        <v>870</v>
      </c>
      <c r="AG205">
        <v>9309.24</v>
      </c>
      <c r="AH205">
        <v>0.74</v>
      </c>
    </row>
    <row r="206" spans="1:34" x14ac:dyDescent="0.25">
      <c r="A206" t="s">
        <v>844</v>
      </c>
      <c r="B206">
        <v>205</v>
      </c>
      <c r="C206" t="s">
        <v>487</v>
      </c>
      <c r="D206" t="s">
        <v>256</v>
      </c>
      <c r="E206" t="s">
        <v>229</v>
      </c>
      <c r="F206" t="s">
        <v>1241</v>
      </c>
      <c r="G206" s="25">
        <v>44237</v>
      </c>
      <c r="H206">
        <v>9</v>
      </c>
      <c r="I206">
        <v>41</v>
      </c>
      <c r="J206" t="s">
        <v>1242</v>
      </c>
      <c r="K206" t="s">
        <v>510</v>
      </c>
      <c r="L206" t="s">
        <v>231</v>
      </c>
      <c r="M206" t="s">
        <v>997</v>
      </c>
      <c r="N206" t="s">
        <v>185</v>
      </c>
      <c r="O206" t="s">
        <v>1243</v>
      </c>
      <c r="P206" t="s">
        <v>867</v>
      </c>
      <c r="Q206" t="s">
        <v>1244</v>
      </c>
      <c r="R206" t="s">
        <v>1245</v>
      </c>
      <c r="S206" t="s">
        <v>537</v>
      </c>
      <c r="T206" t="s">
        <v>504</v>
      </c>
      <c r="U206" t="s">
        <v>43</v>
      </c>
      <c r="V206" t="s">
        <v>234</v>
      </c>
      <c r="W206" t="s">
        <v>42</v>
      </c>
      <c r="X206" t="s">
        <v>21</v>
      </c>
      <c r="Y206" t="s">
        <v>236</v>
      </c>
      <c r="Z206">
        <v>2904</v>
      </c>
      <c r="AA206">
        <v>2904</v>
      </c>
      <c r="AB206" t="s">
        <v>237</v>
      </c>
      <c r="AC206">
        <v>4.6500000000000004</v>
      </c>
      <c r="AD206">
        <v>13503.6</v>
      </c>
      <c r="AE206">
        <v>3571.92</v>
      </c>
      <c r="AF206" t="s">
        <v>870</v>
      </c>
      <c r="AG206">
        <v>9931.68</v>
      </c>
      <c r="AH206">
        <v>0.74</v>
      </c>
    </row>
    <row r="207" spans="1:34" x14ac:dyDescent="0.25">
      <c r="A207" t="s">
        <v>778</v>
      </c>
      <c r="B207">
        <v>206</v>
      </c>
      <c r="C207" t="s">
        <v>487</v>
      </c>
      <c r="D207" t="s">
        <v>256</v>
      </c>
      <c r="E207" t="s">
        <v>229</v>
      </c>
      <c r="F207" t="s">
        <v>1241</v>
      </c>
      <c r="G207" s="25">
        <v>44237</v>
      </c>
      <c r="H207">
        <v>9</v>
      </c>
      <c r="I207">
        <v>41</v>
      </c>
      <c r="J207" t="s">
        <v>1246</v>
      </c>
      <c r="K207" t="s">
        <v>510</v>
      </c>
      <c r="L207" t="s">
        <v>231</v>
      </c>
      <c r="M207" t="s">
        <v>872</v>
      </c>
      <c r="N207" t="s">
        <v>184</v>
      </c>
      <c r="O207" t="s">
        <v>1199</v>
      </c>
      <c r="P207" t="s">
        <v>867</v>
      </c>
      <c r="Q207" t="s">
        <v>1247</v>
      </c>
      <c r="R207" t="s">
        <v>1248</v>
      </c>
      <c r="S207" t="s">
        <v>537</v>
      </c>
      <c r="T207" t="s">
        <v>509</v>
      </c>
      <c r="U207" t="s">
        <v>45</v>
      </c>
      <c r="V207" t="s">
        <v>234</v>
      </c>
      <c r="W207" t="s">
        <v>44</v>
      </c>
      <c r="X207" t="s">
        <v>21</v>
      </c>
      <c r="Y207" t="s">
        <v>304</v>
      </c>
      <c r="Z207">
        <v>3153</v>
      </c>
      <c r="AA207">
        <v>3153</v>
      </c>
      <c r="AB207" t="s">
        <v>237</v>
      </c>
      <c r="AC207">
        <v>4.6500000000000004</v>
      </c>
      <c r="AD207">
        <v>14661.45</v>
      </c>
      <c r="AE207">
        <v>3878.19</v>
      </c>
      <c r="AF207" t="s">
        <v>870</v>
      </c>
      <c r="AG207">
        <v>10783.26</v>
      </c>
      <c r="AH207">
        <v>0.74</v>
      </c>
    </row>
    <row r="208" spans="1:34" x14ac:dyDescent="0.25">
      <c r="A208" t="s">
        <v>617</v>
      </c>
      <c r="B208">
        <v>207</v>
      </c>
      <c r="C208" t="s">
        <v>487</v>
      </c>
      <c r="D208" t="s">
        <v>256</v>
      </c>
      <c r="E208" t="s">
        <v>231</v>
      </c>
      <c r="F208" t="s">
        <v>1249</v>
      </c>
      <c r="G208" s="25">
        <v>44238</v>
      </c>
      <c r="H208">
        <v>9</v>
      </c>
      <c r="I208">
        <v>42</v>
      </c>
      <c r="J208" t="s">
        <v>1250</v>
      </c>
      <c r="K208" t="s">
        <v>510</v>
      </c>
      <c r="L208" t="s">
        <v>231</v>
      </c>
      <c r="M208" t="s">
        <v>931</v>
      </c>
      <c r="N208" t="s">
        <v>186</v>
      </c>
      <c r="O208" t="s">
        <v>1251</v>
      </c>
      <c r="P208" t="s">
        <v>867</v>
      </c>
      <c r="Q208" t="s">
        <v>1252</v>
      </c>
      <c r="R208" t="s">
        <v>1253</v>
      </c>
      <c r="S208" t="s">
        <v>239</v>
      </c>
      <c r="T208" t="s">
        <v>491</v>
      </c>
      <c r="U208" t="s">
        <v>233</v>
      </c>
      <c r="V208" t="s">
        <v>234</v>
      </c>
      <c r="W208" t="s">
        <v>54</v>
      </c>
      <c r="X208" t="s">
        <v>235</v>
      </c>
      <c r="Y208" t="s">
        <v>236</v>
      </c>
      <c r="Z208">
        <v>3082</v>
      </c>
      <c r="AA208">
        <v>3082</v>
      </c>
      <c r="AB208" t="s">
        <v>237</v>
      </c>
      <c r="AC208">
        <v>5.26</v>
      </c>
      <c r="AD208">
        <v>16211.32</v>
      </c>
      <c r="AE208">
        <v>6996.14</v>
      </c>
      <c r="AF208" t="s">
        <v>870</v>
      </c>
      <c r="AG208">
        <v>9215.18</v>
      </c>
      <c r="AH208">
        <v>0.56999999999999995</v>
      </c>
    </row>
    <row r="209" spans="1:34" x14ac:dyDescent="0.25">
      <c r="A209" t="s">
        <v>755</v>
      </c>
      <c r="B209">
        <v>208</v>
      </c>
      <c r="C209" t="s">
        <v>487</v>
      </c>
      <c r="D209" t="s">
        <v>256</v>
      </c>
      <c r="E209" t="s">
        <v>231</v>
      </c>
      <c r="F209" t="s">
        <v>1249</v>
      </c>
      <c r="G209" s="25">
        <v>44238</v>
      </c>
      <c r="H209">
        <v>9</v>
      </c>
      <c r="I209">
        <v>42</v>
      </c>
      <c r="J209" t="s">
        <v>1250</v>
      </c>
      <c r="K209" t="s">
        <v>876</v>
      </c>
      <c r="L209" t="s">
        <v>231</v>
      </c>
      <c r="M209" t="s">
        <v>931</v>
      </c>
      <c r="N209" t="s">
        <v>186</v>
      </c>
      <c r="O209" t="s">
        <v>1251</v>
      </c>
      <c r="P209" t="s">
        <v>867</v>
      </c>
      <c r="Q209" t="s">
        <v>1252</v>
      </c>
      <c r="R209" t="s">
        <v>1253</v>
      </c>
      <c r="S209" t="s">
        <v>239</v>
      </c>
      <c r="T209" t="s">
        <v>491</v>
      </c>
      <c r="U209" t="s">
        <v>233</v>
      </c>
      <c r="V209" t="s">
        <v>234</v>
      </c>
      <c r="W209" t="s">
        <v>54</v>
      </c>
      <c r="X209" t="s">
        <v>235</v>
      </c>
      <c r="Y209" t="s">
        <v>236</v>
      </c>
      <c r="Z209">
        <v>2614</v>
      </c>
      <c r="AA209">
        <v>2614</v>
      </c>
      <c r="AB209" t="s">
        <v>237</v>
      </c>
      <c r="AC209">
        <v>5.26</v>
      </c>
      <c r="AD209">
        <v>13749.64</v>
      </c>
      <c r="AE209">
        <v>5933.78</v>
      </c>
      <c r="AF209" t="s">
        <v>870</v>
      </c>
      <c r="AG209">
        <v>7815.86</v>
      </c>
      <c r="AH209">
        <v>0.56999999999999995</v>
      </c>
    </row>
    <row r="210" spans="1:34" x14ac:dyDescent="0.25">
      <c r="A210" t="s">
        <v>637</v>
      </c>
      <c r="B210">
        <v>209</v>
      </c>
      <c r="C210" t="s">
        <v>487</v>
      </c>
      <c r="D210" t="s">
        <v>256</v>
      </c>
      <c r="E210" t="s">
        <v>231</v>
      </c>
      <c r="F210" t="s">
        <v>1249</v>
      </c>
      <c r="G210" s="25">
        <v>44238</v>
      </c>
      <c r="H210">
        <v>9</v>
      </c>
      <c r="I210">
        <v>42</v>
      </c>
      <c r="J210" t="s">
        <v>1250</v>
      </c>
      <c r="K210" t="s">
        <v>921</v>
      </c>
      <c r="L210" t="s">
        <v>231</v>
      </c>
      <c r="M210" t="s">
        <v>931</v>
      </c>
      <c r="N210" t="s">
        <v>186</v>
      </c>
      <c r="O210" t="s">
        <v>1251</v>
      </c>
      <c r="P210" t="s">
        <v>867</v>
      </c>
      <c r="Q210" t="s">
        <v>1252</v>
      </c>
      <c r="R210" t="s">
        <v>1253</v>
      </c>
      <c r="S210" t="s">
        <v>239</v>
      </c>
      <c r="T210" t="s">
        <v>491</v>
      </c>
      <c r="U210" t="s">
        <v>233</v>
      </c>
      <c r="V210" t="s">
        <v>234</v>
      </c>
      <c r="W210" t="s">
        <v>54</v>
      </c>
      <c r="X210" t="s">
        <v>235</v>
      </c>
      <c r="Y210" t="s">
        <v>236</v>
      </c>
      <c r="Z210">
        <v>3156</v>
      </c>
      <c r="AA210">
        <v>3156</v>
      </c>
      <c r="AB210" t="s">
        <v>237</v>
      </c>
      <c r="AC210">
        <v>5.26</v>
      </c>
      <c r="AD210">
        <v>16600.560000000001</v>
      </c>
      <c r="AE210">
        <v>7164.12</v>
      </c>
      <c r="AF210" t="s">
        <v>870</v>
      </c>
      <c r="AG210">
        <v>9436.44</v>
      </c>
      <c r="AH210">
        <v>0.56999999999999995</v>
      </c>
    </row>
    <row r="211" spans="1:34" x14ac:dyDescent="0.25">
      <c r="A211" t="s">
        <v>631</v>
      </c>
      <c r="B211">
        <v>210</v>
      </c>
      <c r="C211" t="s">
        <v>487</v>
      </c>
      <c r="D211" t="s">
        <v>256</v>
      </c>
      <c r="E211" t="s">
        <v>231</v>
      </c>
      <c r="F211" t="s">
        <v>1249</v>
      </c>
      <c r="G211" s="25">
        <v>44238</v>
      </c>
      <c r="H211">
        <v>9</v>
      </c>
      <c r="I211">
        <v>42</v>
      </c>
      <c r="J211" t="s">
        <v>1254</v>
      </c>
      <c r="K211" t="s">
        <v>876</v>
      </c>
      <c r="L211" t="s">
        <v>231</v>
      </c>
      <c r="M211" t="s">
        <v>1114</v>
      </c>
      <c r="N211" t="s">
        <v>185</v>
      </c>
      <c r="O211" t="s">
        <v>1255</v>
      </c>
      <c r="P211" t="s">
        <v>867</v>
      </c>
      <c r="Q211" t="s">
        <v>1256</v>
      </c>
      <c r="R211" t="s">
        <v>1257</v>
      </c>
      <c r="S211" t="s">
        <v>232</v>
      </c>
      <c r="T211" t="s">
        <v>509</v>
      </c>
      <c r="U211" t="s">
        <v>45</v>
      </c>
      <c r="V211" t="s">
        <v>234</v>
      </c>
      <c r="W211" t="s">
        <v>44</v>
      </c>
      <c r="X211" t="s">
        <v>21</v>
      </c>
      <c r="Y211" t="s">
        <v>304</v>
      </c>
      <c r="Z211">
        <v>3663</v>
      </c>
      <c r="AA211">
        <v>3663</v>
      </c>
      <c r="AB211" t="s">
        <v>237</v>
      </c>
      <c r="AC211">
        <v>4.4400000000000004</v>
      </c>
      <c r="AD211">
        <v>16263.72</v>
      </c>
      <c r="AE211">
        <v>4505.49</v>
      </c>
      <c r="AF211" t="s">
        <v>870</v>
      </c>
      <c r="AG211">
        <v>11758.23</v>
      </c>
      <c r="AH211">
        <v>0.72</v>
      </c>
    </row>
    <row r="212" spans="1:34" x14ac:dyDescent="0.25">
      <c r="A212" t="s">
        <v>775</v>
      </c>
      <c r="B212">
        <v>211</v>
      </c>
      <c r="C212" t="s">
        <v>487</v>
      </c>
      <c r="D212" t="s">
        <v>256</v>
      </c>
      <c r="E212" t="s">
        <v>231</v>
      </c>
      <c r="F212" t="s">
        <v>1249</v>
      </c>
      <c r="G212" s="25">
        <v>44238</v>
      </c>
      <c r="H212">
        <v>9</v>
      </c>
      <c r="I212">
        <v>42</v>
      </c>
      <c r="J212" t="s">
        <v>1254</v>
      </c>
      <c r="K212" t="s">
        <v>921</v>
      </c>
      <c r="L212" t="s">
        <v>231</v>
      </c>
      <c r="M212" t="s">
        <v>1114</v>
      </c>
      <c r="N212" t="s">
        <v>185</v>
      </c>
      <c r="O212" t="s">
        <v>1255</v>
      </c>
      <c r="P212" t="s">
        <v>867</v>
      </c>
      <c r="Q212" t="s">
        <v>1256</v>
      </c>
      <c r="R212" t="s">
        <v>1257</v>
      </c>
      <c r="S212" t="s">
        <v>232</v>
      </c>
      <c r="T212" t="s">
        <v>509</v>
      </c>
      <c r="U212" t="s">
        <v>45</v>
      </c>
      <c r="V212" t="s">
        <v>234</v>
      </c>
      <c r="W212" t="s">
        <v>44</v>
      </c>
      <c r="X212" t="s">
        <v>21</v>
      </c>
      <c r="Y212" t="s">
        <v>304</v>
      </c>
      <c r="Z212">
        <v>3679</v>
      </c>
      <c r="AA212">
        <v>3679</v>
      </c>
      <c r="AB212" t="s">
        <v>237</v>
      </c>
      <c r="AC212">
        <v>4.4400000000000004</v>
      </c>
      <c r="AD212">
        <v>16334.76</v>
      </c>
      <c r="AE212">
        <v>4525.17</v>
      </c>
      <c r="AF212" t="s">
        <v>870</v>
      </c>
      <c r="AG212">
        <v>11809.59</v>
      </c>
      <c r="AH212">
        <v>0.72</v>
      </c>
    </row>
    <row r="213" spans="1:34" x14ac:dyDescent="0.25">
      <c r="A213" t="s">
        <v>822</v>
      </c>
      <c r="B213">
        <v>212</v>
      </c>
      <c r="C213" t="s">
        <v>487</v>
      </c>
      <c r="D213" t="s">
        <v>256</v>
      </c>
      <c r="E213" t="s">
        <v>231</v>
      </c>
      <c r="F213" t="s">
        <v>1249</v>
      </c>
      <c r="G213" s="25">
        <v>44238</v>
      </c>
      <c r="H213">
        <v>9</v>
      </c>
      <c r="I213">
        <v>42</v>
      </c>
      <c r="J213" t="s">
        <v>1258</v>
      </c>
      <c r="K213" t="s">
        <v>956</v>
      </c>
      <c r="L213" t="s">
        <v>231</v>
      </c>
      <c r="M213" t="s">
        <v>911</v>
      </c>
      <c r="N213" t="s">
        <v>186</v>
      </c>
      <c r="O213" t="s">
        <v>970</v>
      </c>
      <c r="P213" t="s">
        <v>867</v>
      </c>
      <c r="Q213" t="s">
        <v>971</v>
      </c>
      <c r="R213" t="s">
        <v>972</v>
      </c>
      <c r="S213" t="s">
        <v>232</v>
      </c>
      <c r="T213" t="s">
        <v>509</v>
      </c>
      <c r="U213" t="s">
        <v>45</v>
      </c>
      <c r="V213" t="s">
        <v>234</v>
      </c>
      <c r="W213" t="s">
        <v>44</v>
      </c>
      <c r="X213" t="s">
        <v>21</v>
      </c>
      <c r="Y213" t="s">
        <v>304</v>
      </c>
      <c r="Z213">
        <v>2863</v>
      </c>
      <c r="AA213">
        <v>2863</v>
      </c>
      <c r="AB213" t="s">
        <v>237</v>
      </c>
      <c r="AC213">
        <v>4.4400000000000004</v>
      </c>
      <c r="AD213">
        <v>12711.72</v>
      </c>
      <c r="AE213">
        <v>3521.49</v>
      </c>
      <c r="AF213" t="s">
        <v>870</v>
      </c>
      <c r="AG213">
        <v>9190.23</v>
      </c>
      <c r="AH213">
        <v>0.72</v>
      </c>
    </row>
    <row r="214" spans="1:34" x14ac:dyDescent="0.25">
      <c r="A214" t="s">
        <v>760</v>
      </c>
      <c r="B214">
        <v>213</v>
      </c>
      <c r="C214" t="s">
        <v>487</v>
      </c>
      <c r="D214" t="s">
        <v>256</v>
      </c>
      <c r="E214" t="s">
        <v>231</v>
      </c>
      <c r="F214" t="s">
        <v>1249</v>
      </c>
      <c r="G214" s="25">
        <v>44238</v>
      </c>
      <c r="H214">
        <v>9</v>
      </c>
      <c r="I214">
        <v>42</v>
      </c>
      <c r="J214" t="s">
        <v>1259</v>
      </c>
      <c r="K214" t="s">
        <v>876</v>
      </c>
      <c r="L214" t="s">
        <v>231</v>
      </c>
      <c r="M214" t="s">
        <v>911</v>
      </c>
      <c r="N214" t="s">
        <v>186</v>
      </c>
      <c r="O214" t="s">
        <v>1260</v>
      </c>
      <c r="P214" t="s">
        <v>867</v>
      </c>
      <c r="Q214" t="s">
        <v>1261</v>
      </c>
      <c r="R214" t="s">
        <v>1262</v>
      </c>
      <c r="S214" t="s">
        <v>232</v>
      </c>
      <c r="T214" t="s">
        <v>509</v>
      </c>
      <c r="U214" t="s">
        <v>45</v>
      </c>
      <c r="V214" t="s">
        <v>234</v>
      </c>
      <c r="W214" t="s">
        <v>44</v>
      </c>
      <c r="X214" t="s">
        <v>21</v>
      </c>
      <c r="Y214" t="s">
        <v>304</v>
      </c>
      <c r="Z214">
        <v>3511</v>
      </c>
      <c r="AA214">
        <v>3511</v>
      </c>
      <c r="AB214" t="s">
        <v>237</v>
      </c>
      <c r="AC214">
        <v>4.4400000000000004</v>
      </c>
      <c r="AD214">
        <v>15588.84</v>
      </c>
      <c r="AE214">
        <v>4318.53</v>
      </c>
      <c r="AF214" t="s">
        <v>870</v>
      </c>
      <c r="AG214">
        <v>11270.31</v>
      </c>
      <c r="AH214">
        <v>0.72</v>
      </c>
    </row>
    <row r="215" spans="1:34" x14ac:dyDescent="0.25">
      <c r="A215" t="s">
        <v>577</v>
      </c>
      <c r="B215">
        <v>214</v>
      </c>
      <c r="C215" t="s">
        <v>487</v>
      </c>
      <c r="D215" t="s">
        <v>256</v>
      </c>
      <c r="E215" t="s">
        <v>231</v>
      </c>
      <c r="F215" t="s">
        <v>1249</v>
      </c>
      <c r="G215" s="25">
        <v>44238</v>
      </c>
      <c r="H215">
        <v>9</v>
      </c>
      <c r="I215">
        <v>42</v>
      </c>
      <c r="J215" t="s">
        <v>1254</v>
      </c>
      <c r="K215" t="s">
        <v>510</v>
      </c>
      <c r="L215" t="s">
        <v>231</v>
      </c>
      <c r="M215" t="s">
        <v>1114</v>
      </c>
      <c r="N215" t="s">
        <v>185</v>
      </c>
      <c r="O215" t="s">
        <v>1255</v>
      </c>
      <c r="P215" t="s">
        <v>867</v>
      </c>
      <c r="Q215" t="s">
        <v>1256</v>
      </c>
      <c r="R215" t="s">
        <v>1257</v>
      </c>
      <c r="S215" t="s">
        <v>232</v>
      </c>
      <c r="T215" t="s">
        <v>508</v>
      </c>
      <c r="U215" t="s">
        <v>47</v>
      </c>
      <c r="V215" t="s">
        <v>234</v>
      </c>
      <c r="W215" t="s">
        <v>46</v>
      </c>
      <c r="X215" t="s">
        <v>21</v>
      </c>
      <c r="Y215" t="s">
        <v>288</v>
      </c>
      <c r="Z215">
        <v>4067</v>
      </c>
      <c r="AA215">
        <v>4067</v>
      </c>
      <c r="AB215" t="s">
        <v>237</v>
      </c>
      <c r="AC215">
        <v>3.98</v>
      </c>
      <c r="AD215">
        <v>16186.66</v>
      </c>
      <c r="AE215">
        <v>3212.93</v>
      </c>
      <c r="AF215" t="s">
        <v>870</v>
      </c>
      <c r="AG215">
        <v>12973.73</v>
      </c>
      <c r="AH215">
        <v>0.8</v>
      </c>
    </row>
    <row r="216" spans="1:34" x14ac:dyDescent="0.25">
      <c r="A216" t="s">
        <v>725</v>
      </c>
      <c r="B216">
        <v>215</v>
      </c>
      <c r="C216" t="s">
        <v>487</v>
      </c>
      <c r="D216" t="s">
        <v>256</v>
      </c>
      <c r="E216" t="s">
        <v>231</v>
      </c>
      <c r="F216" t="s">
        <v>1249</v>
      </c>
      <c r="G216" s="25">
        <v>44238</v>
      </c>
      <c r="H216">
        <v>9</v>
      </c>
      <c r="I216">
        <v>42</v>
      </c>
      <c r="J216" t="s">
        <v>1259</v>
      </c>
      <c r="K216" t="s">
        <v>510</v>
      </c>
      <c r="L216" t="s">
        <v>231</v>
      </c>
      <c r="M216" t="s">
        <v>911</v>
      </c>
      <c r="N216" t="s">
        <v>186</v>
      </c>
      <c r="O216" t="s">
        <v>1260</v>
      </c>
      <c r="P216" t="s">
        <v>867</v>
      </c>
      <c r="Q216" t="s">
        <v>1261</v>
      </c>
      <c r="R216" t="s">
        <v>1262</v>
      </c>
      <c r="S216" t="s">
        <v>232</v>
      </c>
      <c r="T216" t="s">
        <v>491</v>
      </c>
      <c r="U216" t="s">
        <v>233</v>
      </c>
      <c r="V216" t="s">
        <v>234</v>
      </c>
      <c r="W216" t="s">
        <v>54</v>
      </c>
      <c r="X216" t="s">
        <v>235</v>
      </c>
      <c r="Y216" t="s">
        <v>236</v>
      </c>
      <c r="Z216">
        <v>3012</v>
      </c>
      <c r="AA216">
        <v>3012</v>
      </c>
      <c r="AB216" t="s">
        <v>237</v>
      </c>
      <c r="AC216">
        <v>5.52</v>
      </c>
      <c r="AD216">
        <v>16626.240000000002</v>
      </c>
      <c r="AE216">
        <v>6837.24</v>
      </c>
      <c r="AF216" t="s">
        <v>870</v>
      </c>
      <c r="AG216">
        <v>9789</v>
      </c>
      <c r="AH216">
        <v>0.59</v>
      </c>
    </row>
    <row r="217" spans="1:34" x14ac:dyDescent="0.25">
      <c r="A217" t="s">
        <v>662</v>
      </c>
      <c r="B217">
        <v>216</v>
      </c>
      <c r="C217" t="s">
        <v>487</v>
      </c>
      <c r="D217" t="s">
        <v>256</v>
      </c>
      <c r="E217" t="s">
        <v>231</v>
      </c>
      <c r="F217" t="s">
        <v>1249</v>
      </c>
      <c r="G217" s="25">
        <v>44238</v>
      </c>
      <c r="H217">
        <v>9</v>
      </c>
      <c r="I217">
        <v>42</v>
      </c>
      <c r="J217" t="s">
        <v>1259</v>
      </c>
      <c r="K217" t="s">
        <v>921</v>
      </c>
      <c r="L217" t="s">
        <v>231</v>
      </c>
      <c r="M217" t="s">
        <v>911</v>
      </c>
      <c r="N217" t="s">
        <v>186</v>
      </c>
      <c r="O217" t="s">
        <v>1260</v>
      </c>
      <c r="P217" t="s">
        <v>867</v>
      </c>
      <c r="Q217" t="s">
        <v>1261</v>
      </c>
      <c r="R217" t="s">
        <v>1262</v>
      </c>
      <c r="S217" t="s">
        <v>232</v>
      </c>
      <c r="T217" t="s">
        <v>491</v>
      </c>
      <c r="U217" t="s">
        <v>233</v>
      </c>
      <c r="V217" t="s">
        <v>234</v>
      </c>
      <c r="W217" t="s">
        <v>54</v>
      </c>
      <c r="X217" t="s">
        <v>235</v>
      </c>
      <c r="Y217" t="s">
        <v>236</v>
      </c>
      <c r="Z217">
        <v>2628</v>
      </c>
      <c r="AA217">
        <v>2628</v>
      </c>
      <c r="AB217" t="s">
        <v>237</v>
      </c>
      <c r="AC217">
        <v>5.52</v>
      </c>
      <c r="AD217">
        <v>14506.56</v>
      </c>
      <c r="AE217">
        <v>5965.56</v>
      </c>
      <c r="AF217" t="s">
        <v>870</v>
      </c>
      <c r="AG217">
        <v>8541</v>
      </c>
      <c r="AH217">
        <v>0.59</v>
      </c>
    </row>
    <row r="218" spans="1:34" x14ac:dyDescent="0.25">
      <c r="A218" t="s">
        <v>650</v>
      </c>
      <c r="B218">
        <v>217</v>
      </c>
      <c r="C218" t="s">
        <v>487</v>
      </c>
      <c r="D218" t="s">
        <v>256</v>
      </c>
      <c r="E218" t="s">
        <v>231</v>
      </c>
      <c r="F218" t="s">
        <v>1249</v>
      </c>
      <c r="G218" s="25">
        <v>44238</v>
      </c>
      <c r="H218">
        <v>9</v>
      </c>
      <c r="I218">
        <v>42</v>
      </c>
      <c r="J218" t="s">
        <v>1259</v>
      </c>
      <c r="K218" t="s">
        <v>956</v>
      </c>
      <c r="L218" t="s">
        <v>231</v>
      </c>
      <c r="M218" t="s">
        <v>911</v>
      </c>
      <c r="N218" t="s">
        <v>186</v>
      </c>
      <c r="O218" t="s">
        <v>1260</v>
      </c>
      <c r="P218" t="s">
        <v>867</v>
      </c>
      <c r="Q218" t="s">
        <v>1261</v>
      </c>
      <c r="R218" t="s">
        <v>1262</v>
      </c>
      <c r="S218" t="s">
        <v>232</v>
      </c>
      <c r="T218" t="s">
        <v>491</v>
      </c>
      <c r="U218" t="s">
        <v>233</v>
      </c>
      <c r="V218" t="s">
        <v>234</v>
      </c>
      <c r="W218" t="s">
        <v>54</v>
      </c>
      <c r="X218" t="s">
        <v>235</v>
      </c>
      <c r="Y218" t="s">
        <v>236</v>
      </c>
      <c r="Z218">
        <v>2800</v>
      </c>
      <c r="AA218">
        <v>2800</v>
      </c>
      <c r="AB218" t="s">
        <v>237</v>
      </c>
      <c r="AC218">
        <v>5.52</v>
      </c>
      <c r="AD218">
        <v>15456</v>
      </c>
      <c r="AE218">
        <v>6356</v>
      </c>
      <c r="AF218" t="s">
        <v>870</v>
      </c>
      <c r="AG218">
        <v>9100</v>
      </c>
      <c r="AH218">
        <v>0.59</v>
      </c>
    </row>
    <row r="219" spans="1:34" x14ac:dyDescent="0.25">
      <c r="A219" t="s">
        <v>862</v>
      </c>
      <c r="B219">
        <v>218</v>
      </c>
      <c r="C219" t="s">
        <v>487</v>
      </c>
      <c r="D219" t="s">
        <v>256</v>
      </c>
      <c r="E219" t="s">
        <v>231</v>
      </c>
      <c r="F219" t="s">
        <v>1249</v>
      </c>
      <c r="G219" s="25">
        <v>44238</v>
      </c>
      <c r="H219">
        <v>9</v>
      </c>
      <c r="I219">
        <v>42</v>
      </c>
      <c r="J219" t="s">
        <v>1258</v>
      </c>
      <c r="K219" t="s">
        <v>921</v>
      </c>
      <c r="L219" t="s">
        <v>231</v>
      </c>
      <c r="M219" t="s">
        <v>911</v>
      </c>
      <c r="N219" t="s">
        <v>186</v>
      </c>
      <c r="O219" t="s">
        <v>970</v>
      </c>
      <c r="P219" t="s">
        <v>867</v>
      </c>
      <c r="Q219" t="s">
        <v>971</v>
      </c>
      <c r="R219" t="s">
        <v>972</v>
      </c>
      <c r="S219" t="s">
        <v>232</v>
      </c>
      <c r="T219" t="s">
        <v>491</v>
      </c>
      <c r="U219" t="s">
        <v>233</v>
      </c>
      <c r="V219" t="s">
        <v>234</v>
      </c>
      <c r="W219" t="s">
        <v>54</v>
      </c>
      <c r="X219" t="s">
        <v>235</v>
      </c>
      <c r="Y219" t="s">
        <v>236</v>
      </c>
      <c r="Z219">
        <v>2191</v>
      </c>
      <c r="AA219">
        <v>2191</v>
      </c>
      <c r="AB219" t="s">
        <v>237</v>
      </c>
      <c r="AC219">
        <v>5.52</v>
      </c>
      <c r="AD219">
        <v>12094.32</v>
      </c>
      <c r="AE219">
        <v>4973.57</v>
      </c>
      <c r="AF219" t="s">
        <v>870</v>
      </c>
      <c r="AG219">
        <v>7120.75</v>
      </c>
      <c r="AH219">
        <v>0.59</v>
      </c>
    </row>
    <row r="220" spans="1:34" x14ac:dyDescent="0.25">
      <c r="A220" t="s">
        <v>653</v>
      </c>
      <c r="B220">
        <v>219</v>
      </c>
      <c r="C220" t="s">
        <v>487</v>
      </c>
      <c r="D220" t="s">
        <v>256</v>
      </c>
      <c r="E220" t="s">
        <v>231</v>
      </c>
      <c r="F220" t="s">
        <v>1249</v>
      </c>
      <c r="G220" s="25">
        <v>44238</v>
      </c>
      <c r="H220">
        <v>9</v>
      </c>
      <c r="I220">
        <v>42</v>
      </c>
      <c r="J220" t="s">
        <v>1258</v>
      </c>
      <c r="K220" t="s">
        <v>876</v>
      </c>
      <c r="L220" t="s">
        <v>231</v>
      </c>
      <c r="M220" t="s">
        <v>911</v>
      </c>
      <c r="N220" t="s">
        <v>186</v>
      </c>
      <c r="O220" t="s">
        <v>970</v>
      </c>
      <c r="P220" t="s">
        <v>867</v>
      </c>
      <c r="Q220" t="s">
        <v>971</v>
      </c>
      <c r="R220" t="s">
        <v>972</v>
      </c>
      <c r="S220" t="s">
        <v>232</v>
      </c>
      <c r="T220" t="s">
        <v>491</v>
      </c>
      <c r="U220" t="s">
        <v>233</v>
      </c>
      <c r="V220" t="s">
        <v>234</v>
      </c>
      <c r="W220" t="s">
        <v>54</v>
      </c>
      <c r="X220" t="s">
        <v>235</v>
      </c>
      <c r="Y220" t="s">
        <v>236</v>
      </c>
      <c r="Z220">
        <v>2806</v>
      </c>
      <c r="AA220">
        <v>2806</v>
      </c>
      <c r="AB220" t="s">
        <v>237</v>
      </c>
      <c r="AC220">
        <v>5.52</v>
      </c>
      <c r="AD220">
        <v>15489.12</v>
      </c>
      <c r="AE220">
        <v>6369.62</v>
      </c>
      <c r="AF220" t="s">
        <v>870</v>
      </c>
      <c r="AG220">
        <v>9119.5</v>
      </c>
      <c r="AH220">
        <v>0.59</v>
      </c>
    </row>
    <row r="221" spans="1:34" x14ac:dyDescent="0.25">
      <c r="A221" t="s">
        <v>857</v>
      </c>
      <c r="B221">
        <v>220</v>
      </c>
      <c r="C221" t="s">
        <v>487</v>
      </c>
      <c r="D221" t="s">
        <v>256</v>
      </c>
      <c r="E221" t="s">
        <v>231</v>
      </c>
      <c r="F221" t="s">
        <v>1249</v>
      </c>
      <c r="G221" s="25">
        <v>44238</v>
      </c>
      <c r="H221">
        <v>9</v>
      </c>
      <c r="I221">
        <v>42</v>
      </c>
      <c r="J221" t="s">
        <v>1258</v>
      </c>
      <c r="K221" t="s">
        <v>510</v>
      </c>
      <c r="L221" t="s">
        <v>231</v>
      </c>
      <c r="M221" t="s">
        <v>911</v>
      </c>
      <c r="N221" t="s">
        <v>186</v>
      </c>
      <c r="O221" t="s">
        <v>970</v>
      </c>
      <c r="P221" t="s">
        <v>867</v>
      </c>
      <c r="Q221" t="s">
        <v>971</v>
      </c>
      <c r="R221" t="s">
        <v>972</v>
      </c>
      <c r="S221" t="s">
        <v>232</v>
      </c>
      <c r="T221" t="s">
        <v>491</v>
      </c>
      <c r="U221" t="s">
        <v>233</v>
      </c>
      <c r="V221" t="s">
        <v>234</v>
      </c>
      <c r="W221" t="s">
        <v>54</v>
      </c>
      <c r="X221" t="s">
        <v>235</v>
      </c>
      <c r="Y221" t="s">
        <v>236</v>
      </c>
      <c r="Z221">
        <v>2961</v>
      </c>
      <c r="AA221">
        <v>2961</v>
      </c>
      <c r="AB221" t="s">
        <v>237</v>
      </c>
      <c r="AC221">
        <v>5.52</v>
      </c>
      <c r="AD221">
        <v>16344.72</v>
      </c>
      <c r="AE221">
        <v>6721.47</v>
      </c>
      <c r="AF221" t="s">
        <v>870</v>
      </c>
      <c r="AG221">
        <v>9623.25</v>
      </c>
      <c r="AH221">
        <v>0.59</v>
      </c>
    </row>
    <row r="222" spans="1:34" x14ac:dyDescent="0.25">
      <c r="A222" t="s">
        <v>743</v>
      </c>
      <c r="B222">
        <v>221</v>
      </c>
      <c r="C222" t="s">
        <v>487</v>
      </c>
      <c r="D222" t="s">
        <v>256</v>
      </c>
      <c r="E222" t="s">
        <v>256</v>
      </c>
      <c r="F222" t="s">
        <v>1263</v>
      </c>
      <c r="G222" s="25">
        <v>44239</v>
      </c>
      <c r="H222">
        <v>9</v>
      </c>
      <c r="I222">
        <v>43</v>
      </c>
      <c r="J222" t="s">
        <v>1264</v>
      </c>
      <c r="K222" t="s">
        <v>921</v>
      </c>
      <c r="L222" t="s">
        <v>231</v>
      </c>
      <c r="M222" t="s">
        <v>911</v>
      </c>
      <c r="N222" t="s">
        <v>186</v>
      </c>
      <c r="O222" t="s">
        <v>970</v>
      </c>
      <c r="P222" t="s">
        <v>867</v>
      </c>
      <c r="Q222" t="s">
        <v>1265</v>
      </c>
      <c r="R222" t="s">
        <v>1266</v>
      </c>
      <c r="S222" t="s">
        <v>239</v>
      </c>
      <c r="T222" t="s">
        <v>491</v>
      </c>
      <c r="U222" t="s">
        <v>233</v>
      </c>
      <c r="V222" t="s">
        <v>234</v>
      </c>
      <c r="W222" t="s">
        <v>54</v>
      </c>
      <c r="X222" t="s">
        <v>235</v>
      </c>
      <c r="Y222" t="s">
        <v>236</v>
      </c>
      <c r="Z222">
        <v>2840</v>
      </c>
      <c r="AA222">
        <v>2840</v>
      </c>
      <c r="AB222" t="s">
        <v>237</v>
      </c>
      <c r="AC222">
        <v>5.26</v>
      </c>
      <c r="AD222">
        <v>14938.4</v>
      </c>
      <c r="AE222">
        <v>6446.8</v>
      </c>
      <c r="AF222" t="s">
        <v>870</v>
      </c>
      <c r="AG222">
        <v>8491.6</v>
      </c>
      <c r="AH222">
        <v>0.56999999999999995</v>
      </c>
    </row>
    <row r="223" spans="1:34" x14ac:dyDescent="0.25">
      <c r="A223" t="s">
        <v>625</v>
      </c>
      <c r="B223">
        <v>222</v>
      </c>
      <c r="C223" t="s">
        <v>487</v>
      </c>
      <c r="D223" t="s">
        <v>256</v>
      </c>
      <c r="E223" t="s">
        <v>256</v>
      </c>
      <c r="F223" t="s">
        <v>1263</v>
      </c>
      <c r="G223" s="25">
        <v>44239</v>
      </c>
      <c r="H223">
        <v>9</v>
      </c>
      <c r="I223">
        <v>43</v>
      </c>
      <c r="J223" t="s">
        <v>1264</v>
      </c>
      <c r="K223" t="s">
        <v>876</v>
      </c>
      <c r="L223" t="s">
        <v>231</v>
      </c>
      <c r="M223" t="s">
        <v>911</v>
      </c>
      <c r="N223" t="s">
        <v>186</v>
      </c>
      <c r="O223" t="s">
        <v>970</v>
      </c>
      <c r="P223" t="s">
        <v>867</v>
      </c>
      <c r="Q223" t="s">
        <v>1265</v>
      </c>
      <c r="R223" t="s">
        <v>1266</v>
      </c>
      <c r="S223" t="s">
        <v>239</v>
      </c>
      <c r="T223" t="s">
        <v>491</v>
      </c>
      <c r="U223" t="s">
        <v>233</v>
      </c>
      <c r="V223" t="s">
        <v>234</v>
      </c>
      <c r="W223" t="s">
        <v>54</v>
      </c>
      <c r="X223" t="s">
        <v>235</v>
      </c>
      <c r="Y223" t="s">
        <v>236</v>
      </c>
      <c r="Z223">
        <v>2862</v>
      </c>
      <c r="AA223">
        <v>2862</v>
      </c>
      <c r="AB223" t="s">
        <v>237</v>
      </c>
      <c r="AC223">
        <v>5.26</v>
      </c>
      <c r="AD223">
        <v>15054.12</v>
      </c>
      <c r="AE223">
        <v>6496.74</v>
      </c>
      <c r="AF223" t="s">
        <v>870</v>
      </c>
      <c r="AG223">
        <v>8557.3799999999992</v>
      </c>
      <c r="AH223">
        <v>0.56999999999999995</v>
      </c>
    </row>
    <row r="224" spans="1:34" x14ac:dyDescent="0.25">
      <c r="A224" t="s">
        <v>554</v>
      </c>
      <c r="B224">
        <v>223</v>
      </c>
      <c r="C224" t="s">
        <v>487</v>
      </c>
      <c r="D224" t="s">
        <v>256</v>
      </c>
      <c r="E224" t="s">
        <v>256</v>
      </c>
      <c r="F224" t="s">
        <v>1263</v>
      </c>
      <c r="G224" s="25">
        <v>44239</v>
      </c>
      <c r="H224">
        <v>9</v>
      </c>
      <c r="I224">
        <v>43</v>
      </c>
      <c r="J224" t="s">
        <v>1264</v>
      </c>
      <c r="K224" t="s">
        <v>510</v>
      </c>
      <c r="L224" t="s">
        <v>231</v>
      </c>
      <c r="M224" t="s">
        <v>911</v>
      </c>
      <c r="N224" t="s">
        <v>186</v>
      </c>
      <c r="O224" t="s">
        <v>970</v>
      </c>
      <c r="P224" t="s">
        <v>867</v>
      </c>
      <c r="Q224" t="s">
        <v>1265</v>
      </c>
      <c r="R224" t="s">
        <v>1266</v>
      </c>
      <c r="S224" t="s">
        <v>239</v>
      </c>
      <c r="T224" t="s">
        <v>491</v>
      </c>
      <c r="U224" t="s">
        <v>233</v>
      </c>
      <c r="V224" t="s">
        <v>234</v>
      </c>
      <c r="W224" t="s">
        <v>54</v>
      </c>
      <c r="X224" t="s">
        <v>235</v>
      </c>
      <c r="Y224" t="s">
        <v>236</v>
      </c>
      <c r="Z224">
        <v>2489</v>
      </c>
      <c r="AA224">
        <v>2489</v>
      </c>
      <c r="AB224" t="s">
        <v>237</v>
      </c>
      <c r="AC224">
        <v>5.26</v>
      </c>
      <c r="AD224">
        <v>13092.14</v>
      </c>
      <c r="AE224">
        <v>5650.03</v>
      </c>
      <c r="AF224" t="s">
        <v>870</v>
      </c>
      <c r="AG224">
        <v>7442.11</v>
      </c>
      <c r="AH224">
        <v>0.56999999999999995</v>
      </c>
    </row>
    <row r="225" spans="1:34" x14ac:dyDescent="0.25">
      <c r="A225" t="s">
        <v>835</v>
      </c>
      <c r="B225">
        <v>224</v>
      </c>
      <c r="C225" t="s">
        <v>487</v>
      </c>
      <c r="D225" t="s">
        <v>256</v>
      </c>
      <c r="E225" t="s">
        <v>256</v>
      </c>
      <c r="F225" t="s">
        <v>1263</v>
      </c>
      <c r="G225" s="25">
        <v>44239</v>
      </c>
      <c r="H225">
        <v>9</v>
      </c>
      <c r="I225">
        <v>43</v>
      </c>
      <c r="J225" t="s">
        <v>1267</v>
      </c>
      <c r="K225" t="s">
        <v>510</v>
      </c>
      <c r="L225" t="s">
        <v>231</v>
      </c>
      <c r="M225" t="s">
        <v>883</v>
      </c>
      <c r="N225" t="s">
        <v>185</v>
      </c>
      <c r="O225" t="s">
        <v>1034</v>
      </c>
      <c r="P225" t="s">
        <v>867</v>
      </c>
      <c r="Q225" t="s">
        <v>1035</v>
      </c>
      <c r="R225" t="s">
        <v>1036</v>
      </c>
      <c r="S225" t="s">
        <v>232</v>
      </c>
      <c r="T225" t="s">
        <v>504</v>
      </c>
      <c r="U225" t="s">
        <v>43</v>
      </c>
      <c r="V225" t="s">
        <v>234</v>
      </c>
      <c r="W225" t="s">
        <v>42</v>
      </c>
      <c r="X225" t="s">
        <v>21</v>
      </c>
      <c r="Y225" t="s">
        <v>236</v>
      </c>
      <c r="Z225">
        <v>2093</v>
      </c>
      <c r="AA225">
        <v>2093</v>
      </c>
      <c r="AB225" t="s">
        <v>237</v>
      </c>
      <c r="AC225">
        <v>4.4400000000000004</v>
      </c>
      <c r="AD225">
        <v>9292.92</v>
      </c>
      <c r="AE225">
        <v>2574.39</v>
      </c>
      <c r="AF225" t="s">
        <v>870</v>
      </c>
      <c r="AG225">
        <v>6718.53</v>
      </c>
      <c r="AH225">
        <v>0.72</v>
      </c>
    </row>
    <row r="226" spans="1:34" x14ac:dyDescent="0.25">
      <c r="A226" t="s">
        <v>545</v>
      </c>
      <c r="B226">
        <v>225</v>
      </c>
      <c r="C226" t="s">
        <v>487</v>
      </c>
      <c r="D226" t="s">
        <v>256</v>
      </c>
      <c r="E226" t="s">
        <v>256</v>
      </c>
      <c r="F226" t="s">
        <v>1263</v>
      </c>
      <c r="G226" s="25">
        <v>44239</v>
      </c>
      <c r="H226">
        <v>9</v>
      </c>
      <c r="I226">
        <v>43</v>
      </c>
      <c r="J226" t="s">
        <v>1267</v>
      </c>
      <c r="K226" t="s">
        <v>921</v>
      </c>
      <c r="L226" t="s">
        <v>231</v>
      </c>
      <c r="M226" t="s">
        <v>883</v>
      </c>
      <c r="N226" t="s">
        <v>185</v>
      </c>
      <c r="O226" t="s">
        <v>1034</v>
      </c>
      <c r="P226" t="s">
        <v>867</v>
      </c>
      <c r="Q226" t="s">
        <v>1035</v>
      </c>
      <c r="R226" t="s">
        <v>1036</v>
      </c>
      <c r="S226" t="s">
        <v>232</v>
      </c>
      <c r="T226" t="s">
        <v>509</v>
      </c>
      <c r="U226" t="s">
        <v>45</v>
      </c>
      <c r="V226" t="s">
        <v>234</v>
      </c>
      <c r="W226" t="s">
        <v>44</v>
      </c>
      <c r="X226" t="s">
        <v>21</v>
      </c>
      <c r="Y226" t="s">
        <v>304</v>
      </c>
      <c r="Z226">
        <v>2948</v>
      </c>
      <c r="AA226">
        <v>2948</v>
      </c>
      <c r="AB226" t="s">
        <v>237</v>
      </c>
      <c r="AC226">
        <v>4.4400000000000004</v>
      </c>
      <c r="AD226">
        <v>13089.12</v>
      </c>
      <c r="AE226">
        <v>3626.04</v>
      </c>
      <c r="AF226" t="s">
        <v>870</v>
      </c>
      <c r="AG226">
        <v>9463.08</v>
      </c>
      <c r="AH226">
        <v>0.72</v>
      </c>
    </row>
    <row r="227" spans="1:34" x14ac:dyDescent="0.25">
      <c r="A227" t="s">
        <v>729</v>
      </c>
      <c r="B227">
        <v>226</v>
      </c>
      <c r="C227" t="s">
        <v>487</v>
      </c>
      <c r="D227" t="s">
        <v>256</v>
      </c>
      <c r="E227" t="s">
        <v>256</v>
      </c>
      <c r="F227" t="s">
        <v>1263</v>
      </c>
      <c r="G227" s="25">
        <v>44239</v>
      </c>
      <c r="H227">
        <v>9</v>
      </c>
      <c r="I227">
        <v>43</v>
      </c>
      <c r="J227" t="s">
        <v>1268</v>
      </c>
      <c r="K227" t="s">
        <v>510</v>
      </c>
      <c r="L227" t="s">
        <v>231</v>
      </c>
      <c r="M227" t="s">
        <v>878</v>
      </c>
      <c r="N227" t="s">
        <v>185</v>
      </c>
      <c r="O227" t="s">
        <v>879</v>
      </c>
      <c r="P227" t="s">
        <v>867</v>
      </c>
      <c r="Q227" t="s">
        <v>880</v>
      </c>
      <c r="R227" t="s">
        <v>881</v>
      </c>
      <c r="S227" t="s">
        <v>232</v>
      </c>
      <c r="T227" t="s">
        <v>509</v>
      </c>
      <c r="U227" t="s">
        <v>45</v>
      </c>
      <c r="V227" t="s">
        <v>234</v>
      </c>
      <c r="W227" t="s">
        <v>44</v>
      </c>
      <c r="X227" t="s">
        <v>21</v>
      </c>
      <c r="Y227" t="s">
        <v>304</v>
      </c>
      <c r="Z227">
        <v>3279</v>
      </c>
      <c r="AA227">
        <v>3279</v>
      </c>
      <c r="AB227" t="s">
        <v>237</v>
      </c>
      <c r="AC227">
        <v>4.4400000000000004</v>
      </c>
      <c r="AD227">
        <v>14558.76</v>
      </c>
      <c r="AE227">
        <v>4033.17</v>
      </c>
      <c r="AF227" t="s">
        <v>870</v>
      </c>
      <c r="AG227">
        <v>10525.59</v>
      </c>
      <c r="AH227">
        <v>0.72</v>
      </c>
    </row>
    <row r="228" spans="1:34" x14ac:dyDescent="0.25">
      <c r="A228" t="s">
        <v>634</v>
      </c>
      <c r="B228">
        <v>227</v>
      </c>
      <c r="C228" t="s">
        <v>487</v>
      </c>
      <c r="D228" t="s">
        <v>256</v>
      </c>
      <c r="E228" t="s">
        <v>256</v>
      </c>
      <c r="F228" t="s">
        <v>1263</v>
      </c>
      <c r="G228" s="25">
        <v>44239</v>
      </c>
      <c r="H228">
        <v>9</v>
      </c>
      <c r="I228">
        <v>43</v>
      </c>
      <c r="J228" t="s">
        <v>1268</v>
      </c>
      <c r="K228" t="s">
        <v>876</v>
      </c>
      <c r="L228" t="s">
        <v>231</v>
      </c>
      <c r="M228" t="s">
        <v>878</v>
      </c>
      <c r="N228" t="s">
        <v>185</v>
      </c>
      <c r="O228" t="s">
        <v>879</v>
      </c>
      <c r="P228" t="s">
        <v>867</v>
      </c>
      <c r="Q228" t="s">
        <v>880</v>
      </c>
      <c r="R228" t="s">
        <v>881</v>
      </c>
      <c r="S228" t="s">
        <v>232</v>
      </c>
      <c r="T228" t="s">
        <v>491</v>
      </c>
      <c r="U228" t="s">
        <v>233</v>
      </c>
      <c r="V228" t="s">
        <v>234</v>
      </c>
      <c r="W228" t="s">
        <v>54</v>
      </c>
      <c r="X228" t="s">
        <v>235</v>
      </c>
      <c r="Y228" t="s">
        <v>236</v>
      </c>
      <c r="Z228">
        <v>2308</v>
      </c>
      <c r="AA228">
        <v>2308</v>
      </c>
      <c r="AB228" t="s">
        <v>237</v>
      </c>
      <c r="AC228">
        <v>5.52</v>
      </c>
      <c r="AD228">
        <v>12740.16</v>
      </c>
      <c r="AE228">
        <v>5239.16</v>
      </c>
      <c r="AF228" t="s">
        <v>870</v>
      </c>
      <c r="AG228">
        <v>7501</v>
      </c>
      <c r="AH228">
        <v>0.59</v>
      </c>
    </row>
    <row r="229" spans="1:34" x14ac:dyDescent="0.25">
      <c r="A229" t="s">
        <v>670</v>
      </c>
      <c r="B229">
        <v>228</v>
      </c>
      <c r="C229" t="s">
        <v>487</v>
      </c>
      <c r="D229" t="s">
        <v>256</v>
      </c>
      <c r="E229" t="s">
        <v>256</v>
      </c>
      <c r="F229" t="s">
        <v>1263</v>
      </c>
      <c r="G229" s="25">
        <v>44239</v>
      </c>
      <c r="H229">
        <v>9</v>
      </c>
      <c r="I229">
        <v>43</v>
      </c>
      <c r="J229" t="s">
        <v>1267</v>
      </c>
      <c r="K229" t="s">
        <v>876</v>
      </c>
      <c r="L229" t="s">
        <v>231</v>
      </c>
      <c r="M229" t="s">
        <v>883</v>
      </c>
      <c r="N229" t="s">
        <v>185</v>
      </c>
      <c r="O229" t="s">
        <v>1034</v>
      </c>
      <c r="P229" t="s">
        <v>867</v>
      </c>
      <c r="Q229" t="s">
        <v>1035</v>
      </c>
      <c r="R229" t="s">
        <v>1036</v>
      </c>
      <c r="S229" t="s">
        <v>232</v>
      </c>
      <c r="T229" t="s">
        <v>491</v>
      </c>
      <c r="U229" t="s">
        <v>233</v>
      </c>
      <c r="V229" t="s">
        <v>234</v>
      </c>
      <c r="W229" t="s">
        <v>54</v>
      </c>
      <c r="X229" t="s">
        <v>235</v>
      </c>
      <c r="Y229" t="s">
        <v>236</v>
      </c>
      <c r="Z229">
        <v>2984</v>
      </c>
      <c r="AA229">
        <v>2984</v>
      </c>
      <c r="AB229" t="s">
        <v>237</v>
      </c>
      <c r="AC229">
        <v>5.52</v>
      </c>
      <c r="AD229">
        <v>16471.68</v>
      </c>
      <c r="AE229">
        <v>6773.68</v>
      </c>
      <c r="AF229" t="s">
        <v>870</v>
      </c>
      <c r="AG229">
        <v>9698</v>
      </c>
      <c r="AH229">
        <v>0.59</v>
      </c>
    </row>
    <row r="230" spans="1:34" x14ac:dyDescent="0.25">
      <c r="A230" t="s">
        <v>737</v>
      </c>
      <c r="B230">
        <v>229</v>
      </c>
      <c r="C230" t="s">
        <v>487</v>
      </c>
      <c r="D230" t="s">
        <v>256</v>
      </c>
      <c r="E230" t="s">
        <v>256</v>
      </c>
      <c r="F230" t="s">
        <v>1263</v>
      </c>
      <c r="G230" s="25">
        <v>44239</v>
      </c>
      <c r="H230">
        <v>9</v>
      </c>
      <c r="I230">
        <v>43</v>
      </c>
      <c r="J230" t="s">
        <v>1267</v>
      </c>
      <c r="K230" t="s">
        <v>956</v>
      </c>
      <c r="L230" t="s">
        <v>231</v>
      </c>
      <c r="M230" t="s">
        <v>883</v>
      </c>
      <c r="N230" t="s">
        <v>185</v>
      </c>
      <c r="O230" t="s">
        <v>1034</v>
      </c>
      <c r="P230" t="s">
        <v>867</v>
      </c>
      <c r="Q230" t="s">
        <v>1035</v>
      </c>
      <c r="R230" t="s">
        <v>1036</v>
      </c>
      <c r="S230" t="s">
        <v>232</v>
      </c>
      <c r="T230" t="s">
        <v>491</v>
      </c>
      <c r="U230" t="s">
        <v>233</v>
      </c>
      <c r="V230" t="s">
        <v>234</v>
      </c>
      <c r="W230" t="s">
        <v>54</v>
      </c>
      <c r="X230" t="s">
        <v>235</v>
      </c>
      <c r="Y230" t="s">
        <v>236</v>
      </c>
      <c r="Z230">
        <v>2776</v>
      </c>
      <c r="AA230">
        <v>2776</v>
      </c>
      <c r="AB230" t="s">
        <v>237</v>
      </c>
      <c r="AC230">
        <v>5.52</v>
      </c>
      <c r="AD230">
        <v>15323.52</v>
      </c>
      <c r="AE230">
        <v>6301.52</v>
      </c>
      <c r="AF230" t="s">
        <v>870</v>
      </c>
      <c r="AG230">
        <v>9022</v>
      </c>
      <c r="AH230">
        <v>0.59</v>
      </c>
    </row>
    <row r="231" spans="1:34" x14ac:dyDescent="0.25">
      <c r="A231" t="s">
        <v>754</v>
      </c>
      <c r="B231">
        <v>230</v>
      </c>
      <c r="C231" t="s">
        <v>487</v>
      </c>
      <c r="D231" t="s">
        <v>256</v>
      </c>
      <c r="E231" t="s">
        <v>256</v>
      </c>
      <c r="F231" t="s">
        <v>1263</v>
      </c>
      <c r="G231" s="25">
        <v>44239</v>
      </c>
      <c r="H231">
        <v>9</v>
      </c>
      <c r="I231">
        <v>43</v>
      </c>
      <c r="J231" t="s">
        <v>1268</v>
      </c>
      <c r="K231" t="s">
        <v>921</v>
      </c>
      <c r="L231" t="s">
        <v>231</v>
      </c>
      <c r="M231" t="s">
        <v>878</v>
      </c>
      <c r="N231" t="s">
        <v>185</v>
      </c>
      <c r="O231" t="s">
        <v>879</v>
      </c>
      <c r="P231" t="s">
        <v>867</v>
      </c>
      <c r="Q231" t="s">
        <v>880</v>
      </c>
      <c r="R231" t="s">
        <v>881</v>
      </c>
      <c r="S231" t="s">
        <v>232</v>
      </c>
      <c r="T231" t="s">
        <v>491</v>
      </c>
      <c r="U231" t="s">
        <v>233</v>
      </c>
      <c r="V231" t="s">
        <v>234</v>
      </c>
      <c r="W231" t="s">
        <v>54</v>
      </c>
      <c r="X231" t="s">
        <v>235</v>
      </c>
      <c r="Y231" t="s">
        <v>236</v>
      </c>
      <c r="Z231">
        <v>3012</v>
      </c>
      <c r="AA231">
        <v>3012</v>
      </c>
      <c r="AB231" t="s">
        <v>237</v>
      </c>
      <c r="AC231">
        <v>5.52</v>
      </c>
      <c r="AD231">
        <v>16626.240000000002</v>
      </c>
      <c r="AE231">
        <v>6837.24</v>
      </c>
      <c r="AF231" t="s">
        <v>870</v>
      </c>
      <c r="AG231">
        <v>9789</v>
      </c>
      <c r="AH231">
        <v>0.59</v>
      </c>
    </row>
    <row r="232" spans="1:34" x14ac:dyDescent="0.25">
      <c r="A232" t="s">
        <v>752</v>
      </c>
      <c r="B232">
        <v>231</v>
      </c>
      <c r="C232" t="s">
        <v>487</v>
      </c>
      <c r="D232" t="s">
        <v>256</v>
      </c>
      <c r="E232" t="s">
        <v>256</v>
      </c>
      <c r="F232" t="s">
        <v>1263</v>
      </c>
      <c r="G232" s="25">
        <v>44239</v>
      </c>
      <c r="H232">
        <v>9</v>
      </c>
      <c r="I232">
        <v>43</v>
      </c>
      <c r="J232" t="s">
        <v>1268</v>
      </c>
      <c r="K232" t="s">
        <v>956</v>
      </c>
      <c r="L232" t="s">
        <v>231</v>
      </c>
      <c r="M232" t="s">
        <v>878</v>
      </c>
      <c r="N232" t="s">
        <v>185</v>
      </c>
      <c r="O232" t="s">
        <v>879</v>
      </c>
      <c r="P232" t="s">
        <v>867</v>
      </c>
      <c r="Q232" t="s">
        <v>880</v>
      </c>
      <c r="R232" t="s">
        <v>881</v>
      </c>
      <c r="S232" t="s">
        <v>232</v>
      </c>
      <c r="T232" t="s">
        <v>491</v>
      </c>
      <c r="U232" t="s">
        <v>233</v>
      </c>
      <c r="V232" t="s">
        <v>234</v>
      </c>
      <c r="W232" t="s">
        <v>54</v>
      </c>
      <c r="X232" t="s">
        <v>235</v>
      </c>
      <c r="Y232" t="s">
        <v>236</v>
      </c>
      <c r="Z232">
        <v>2748</v>
      </c>
      <c r="AA232">
        <v>2748</v>
      </c>
      <c r="AB232" t="s">
        <v>237</v>
      </c>
      <c r="AC232">
        <v>5.52</v>
      </c>
      <c r="AD232">
        <v>15168.96</v>
      </c>
      <c r="AE232">
        <v>6237.96</v>
      </c>
      <c r="AF232" t="s">
        <v>870</v>
      </c>
      <c r="AG232">
        <v>8931</v>
      </c>
      <c r="AH232">
        <v>0.59</v>
      </c>
    </row>
    <row r="233" spans="1:34" x14ac:dyDescent="0.25">
      <c r="A233" t="s">
        <v>746</v>
      </c>
      <c r="B233">
        <v>232</v>
      </c>
      <c r="C233" t="s">
        <v>487</v>
      </c>
      <c r="D233" t="s">
        <v>256</v>
      </c>
      <c r="E233" t="s">
        <v>256</v>
      </c>
      <c r="F233" t="s">
        <v>1263</v>
      </c>
      <c r="G233" s="25">
        <v>44239</v>
      </c>
      <c r="H233">
        <v>9</v>
      </c>
      <c r="I233">
        <v>43</v>
      </c>
      <c r="J233" t="s">
        <v>1272</v>
      </c>
      <c r="K233" t="s">
        <v>510</v>
      </c>
      <c r="L233" t="s">
        <v>231</v>
      </c>
      <c r="M233" t="s">
        <v>872</v>
      </c>
      <c r="N233" t="s">
        <v>184</v>
      </c>
      <c r="O233" t="s">
        <v>1273</v>
      </c>
      <c r="P233" t="s">
        <v>867</v>
      </c>
      <c r="Q233" t="s">
        <v>1274</v>
      </c>
      <c r="R233" t="s">
        <v>1275</v>
      </c>
      <c r="S233" t="s">
        <v>537</v>
      </c>
      <c r="T233" t="s">
        <v>509</v>
      </c>
      <c r="U233" t="s">
        <v>45</v>
      </c>
      <c r="V233" t="s">
        <v>234</v>
      </c>
      <c r="W233" t="s">
        <v>44</v>
      </c>
      <c r="X233" t="s">
        <v>21</v>
      </c>
      <c r="Y233" t="s">
        <v>304</v>
      </c>
      <c r="Z233">
        <v>3579</v>
      </c>
      <c r="AA233">
        <v>3579</v>
      </c>
      <c r="AB233" t="s">
        <v>237</v>
      </c>
      <c r="AC233">
        <v>4.6500000000000004</v>
      </c>
      <c r="AD233">
        <v>16642.349999999999</v>
      </c>
      <c r="AE233">
        <v>4402.17</v>
      </c>
      <c r="AF233" t="s">
        <v>870</v>
      </c>
      <c r="AG233">
        <v>12240.18</v>
      </c>
      <c r="AH233">
        <v>0.74</v>
      </c>
    </row>
    <row r="234" spans="1:34" x14ac:dyDescent="0.25">
      <c r="A234" t="s">
        <v>774</v>
      </c>
      <c r="B234">
        <v>233</v>
      </c>
      <c r="C234" t="s">
        <v>487</v>
      </c>
      <c r="D234" t="s">
        <v>256</v>
      </c>
      <c r="E234" t="s">
        <v>256</v>
      </c>
      <c r="F234" t="s">
        <v>1263</v>
      </c>
      <c r="G234" s="25">
        <v>44239</v>
      </c>
      <c r="H234">
        <v>9</v>
      </c>
      <c r="I234">
        <v>43</v>
      </c>
      <c r="J234" t="s">
        <v>1269</v>
      </c>
      <c r="K234" t="s">
        <v>510</v>
      </c>
      <c r="L234" t="s">
        <v>231</v>
      </c>
      <c r="M234" t="s">
        <v>173</v>
      </c>
      <c r="N234" t="s">
        <v>185</v>
      </c>
      <c r="O234" t="s">
        <v>966</v>
      </c>
      <c r="P234" t="s">
        <v>867</v>
      </c>
      <c r="Q234" t="s">
        <v>1270</v>
      </c>
      <c r="R234" t="s">
        <v>1271</v>
      </c>
      <c r="S234" t="s">
        <v>537</v>
      </c>
      <c r="T234" t="s">
        <v>509</v>
      </c>
      <c r="U234" t="s">
        <v>45</v>
      </c>
      <c r="V234" t="s">
        <v>234</v>
      </c>
      <c r="W234" t="s">
        <v>44</v>
      </c>
      <c r="X234" t="s">
        <v>21</v>
      </c>
      <c r="Y234" t="s">
        <v>304</v>
      </c>
      <c r="Z234">
        <v>3178</v>
      </c>
      <c r="AA234">
        <v>3178</v>
      </c>
      <c r="AB234" t="s">
        <v>237</v>
      </c>
      <c r="AC234">
        <v>4.6500000000000004</v>
      </c>
      <c r="AD234">
        <v>14777.7</v>
      </c>
      <c r="AE234">
        <v>3908.94</v>
      </c>
      <c r="AF234" t="s">
        <v>870</v>
      </c>
      <c r="AG234">
        <v>10868.76</v>
      </c>
      <c r="AH234">
        <v>0.74</v>
      </c>
    </row>
    <row r="235" spans="1:34" x14ac:dyDescent="0.25">
      <c r="A235" t="s">
        <v>716</v>
      </c>
      <c r="B235">
        <v>234</v>
      </c>
      <c r="C235" t="s">
        <v>487</v>
      </c>
      <c r="D235" t="s">
        <v>256</v>
      </c>
      <c r="E235" t="s">
        <v>261</v>
      </c>
      <c r="F235" t="s">
        <v>1276</v>
      </c>
      <c r="G235" s="25">
        <v>44240</v>
      </c>
      <c r="H235">
        <v>9</v>
      </c>
      <c r="I235">
        <v>44</v>
      </c>
      <c r="J235" t="s">
        <v>1278</v>
      </c>
      <c r="K235" t="s">
        <v>876</v>
      </c>
      <c r="L235" t="s">
        <v>231</v>
      </c>
      <c r="M235" t="s">
        <v>997</v>
      </c>
      <c r="N235" t="s">
        <v>185</v>
      </c>
      <c r="O235" t="s">
        <v>1171</v>
      </c>
      <c r="P235" t="s">
        <v>867</v>
      </c>
      <c r="Q235" t="s">
        <v>1172</v>
      </c>
      <c r="R235" t="s">
        <v>1173</v>
      </c>
      <c r="S235" t="s">
        <v>232</v>
      </c>
      <c r="T235" t="s">
        <v>509</v>
      </c>
      <c r="U235" t="s">
        <v>45</v>
      </c>
      <c r="V235" t="s">
        <v>234</v>
      </c>
      <c r="W235" t="s">
        <v>44</v>
      </c>
      <c r="X235" t="s">
        <v>21</v>
      </c>
      <c r="Y235" t="s">
        <v>304</v>
      </c>
      <c r="Z235">
        <v>1078</v>
      </c>
      <c r="AA235">
        <v>1078</v>
      </c>
      <c r="AB235" t="s">
        <v>237</v>
      </c>
      <c r="AC235">
        <v>4.4400000000000004</v>
      </c>
      <c r="AD235">
        <v>4786.32</v>
      </c>
      <c r="AE235">
        <v>1325.94</v>
      </c>
      <c r="AF235" t="s">
        <v>870</v>
      </c>
      <c r="AG235">
        <v>3460.38</v>
      </c>
      <c r="AH235">
        <v>0.72</v>
      </c>
    </row>
    <row r="236" spans="1:34" x14ac:dyDescent="0.25">
      <c r="A236" t="s">
        <v>759</v>
      </c>
      <c r="B236">
        <v>235</v>
      </c>
      <c r="C236" t="s">
        <v>487</v>
      </c>
      <c r="D236" t="s">
        <v>256</v>
      </c>
      <c r="E236" t="s">
        <v>261</v>
      </c>
      <c r="F236" t="s">
        <v>1276</v>
      </c>
      <c r="G236" s="25">
        <v>44240</v>
      </c>
      <c r="H236">
        <v>9</v>
      </c>
      <c r="I236">
        <v>44</v>
      </c>
      <c r="J236" t="s">
        <v>1277</v>
      </c>
      <c r="K236" t="s">
        <v>876</v>
      </c>
      <c r="L236" t="s">
        <v>231</v>
      </c>
      <c r="M236" t="s">
        <v>931</v>
      </c>
      <c r="N236" t="s">
        <v>186</v>
      </c>
      <c r="O236" t="s">
        <v>982</v>
      </c>
      <c r="P236" t="s">
        <v>867</v>
      </c>
      <c r="Q236" t="s">
        <v>983</v>
      </c>
      <c r="R236" t="s">
        <v>984</v>
      </c>
      <c r="S236" t="s">
        <v>232</v>
      </c>
      <c r="T236" t="s">
        <v>509</v>
      </c>
      <c r="U236" t="s">
        <v>45</v>
      </c>
      <c r="V236" t="s">
        <v>234</v>
      </c>
      <c r="W236" t="s">
        <v>44</v>
      </c>
      <c r="X236" t="s">
        <v>21</v>
      </c>
      <c r="Y236" t="s">
        <v>304</v>
      </c>
      <c r="Z236">
        <v>3234</v>
      </c>
      <c r="AA236">
        <v>3234</v>
      </c>
      <c r="AB236" t="s">
        <v>237</v>
      </c>
      <c r="AC236">
        <v>4.4400000000000004</v>
      </c>
      <c r="AD236">
        <v>14358.96</v>
      </c>
      <c r="AE236">
        <v>3977.82</v>
      </c>
      <c r="AF236" t="s">
        <v>870</v>
      </c>
      <c r="AG236">
        <v>10381.14</v>
      </c>
      <c r="AH236">
        <v>0.72</v>
      </c>
    </row>
    <row r="237" spans="1:34" x14ac:dyDescent="0.25">
      <c r="A237" t="s">
        <v>809</v>
      </c>
      <c r="B237">
        <v>236</v>
      </c>
      <c r="C237" t="s">
        <v>487</v>
      </c>
      <c r="D237" t="s">
        <v>256</v>
      </c>
      <c r="E237" t="s">
        <v>261</v>
      </c>
      <c r="F237" t="s">
        <v>1276</v>
      </c>
      <c r="G237" s="25">
        <v>44240</v>
      </c>
      <c r="H237">
        <v>9</v>
      </c>
      <c r="I237">
        <v>44</v>
      </c>
      <c r="J237" t="s">
        <v>1277</v>
      </c>
      <c r="K237" t="s">
        <v>956</v>
      </c>
      <c r="L237" t="s">
        <v>231</v>
      </c>
      <c r="M237" t="s">
        <v>931</v>
      </c>
      <c r="N237" t="s">
        <v>186</v>
      </c>
      <c r="O237" t="s">
        <v>982</v>
      </c>
      <c r="P237" t="s">
        <v>867</v>
      </c>
      <c r="Q237" t="s">
        <v>983</v>
      </c>
      <c r="R237" t="s">
        <v>984</v>
      </c>
      <c r="S237" t="s">
        <v>232</v>
      </c>
      <c r="T237" t="s">
        <v>509</v>
      </c>
      <c r="U237" t="s">
        <v>45</v>
      </c>
      <c r="V237" t="s">
        <v>234</v>
      </c>
      <c r="W237" t="s">
        <v>44</v>
      </c>
      <c r="X237" t="s">
        <v>21</v>
      </c>
      <c r="Y237" t="s">
        <v>304</v>
      </c>
      <c r="Z237">
        <v>3763</v>
      </c>
      <c r="AA237">
        <v>3763</v>
      </c>
      <c r="AB237" t="s">
        <v>237</v>
      </c>
      <c r="AC237">
        <v>4.4400000000000004</v>
      </c>
      <c r="AD237">
        <v>16707.72</v>
      </c>
      <c r="AE237">
        <v>4628.49</v>
      </c>
      <c r="AF237" t="s">
        <v>870</v>
      </c>
      <c r="AG237">
        <v>12079.23</v>
      </c>
      <c r="AH237">
        <v>0.72</v>
      </c>
    </row>
    <row r="238" spans="1:34" x14ac:dyDescent="0.25">
      <c r="A238" t="s">
        <v>724</v>
      </c>
      <c r="B238">
        <v>237</v>
      </c>
      <c r="C238" t="s">
        <v>487</v>
      </c>
      <c r="D238" t="s">
        <v>256</v>
      </c>
      <c r="E238" t="s">
        <v>261</v>
      </c>
      <c r="F238" t="s">
        <v>1276</v>
      </c>
      <c r="G238" s="25">
        <v>44240</v>
      </c>
      <c r="H238">
        <v>9</v>
      </c>
      <c r="I238">
        <v>44</v>
      </c>
      <c r="J238" t="s">
        <v>1279</v>
      </c>
      <c r="K238" t="s">
        <v>956</v>
      </c>
      <c r="L238" t="s">
        <v>231</v>
      </c>
      <c r="M238" t="s">
        <v>872</v>
      </c>
      <c r="N238" t="s">
        <v>184</v>
      </c>
      <c r="O238" t="s">
        <v>1180</v>
      </c>
      <c r="P238" t="s">
        <v>867</v>
      </c>
      <c r="Q238" t="s">
        <v>1181</v>
      </c>
      <c r="R238" t="s">
        <v>1182</v>
      </c>
      <c r="S238" t="s">
        <v>232</v>
      </c>
      <c r="T238" t="s">
        <v>508</v>
      </c>
      <c r="U238" t="s">
        <v>47</v>
      </c>
      <c r="V238" t="s">
        <v>234</v>
      </c>
      <c r="W238" t="s">
        <v>46</v>
      </c>
      <c r="X238" t="s">
        <v>21</v>
      </c>
      <c r="Y238" t="s">
        <v>288</v>
      </c>
      <c r="Z238">
        <v>3237</v>
      </c>
      <c r="AA238">
        <v>3237</v>
      </c>
      <c r="AB238" t="s">
        <v>237</v>
      </c>
      <c r="AC238">
        <v>3.98</v>
      </c>
      <c r="AD238">
        <v>12883.26</v>
      </c>
      <c r="AE238">
        <v>2557.23</v>
      </c>
      <c r="AF238" t="s">
        <v>870</v>
      </c>
      <c r="AG238">
        <v>10326.030000000001</v>
      </c>
      <c r="AH238">
        <v>0.8</v>
      </c>
    </row>
    <row r="239" spans="1:34" x14ac:dyDescent="0.25">
      <c r="A239" t="s">
        <v>514</v>
      </c>
      <c r="B239">
        <v>238</v>
      </c>
      <c r="C239" t="s">
        <v>487</v>
      </c>
      <c r="D239" t="s">
        <v>256</v>
      </c>
      <c r="E239" t="s">
        <v>261</v>
      </c>
      <c r="F239" t="s">
        <v>1276</v>
      </c>
      <c r="G239" s="25">
        <v>44240</v>
      </c>
      <c r="H239">
        <v>9</v>
      </c>
      <c r="I239">
        <v>44</v>
      </c>
      <c r="J239" t="s">
        <v>1279</v>
      </c>
      <c r="K239" t="s">
        <v>921</v>
      </c>
      <c r="L239" t="s">
        <v>231</v>
      </c>
      <c r="M239" t="s">
        <v>872</v>
      </c>
      <c r="N239" t="s">
        <v>184</v>
      </c>
      <c r="O239" t="s">
        <v>1180</v>
      </c>
      <c r="P239" t="s">
        <v>867</v>
      </c>
      <c r="Q239" t="s">
        <v>1181</v>
      </c>
      <c r="R239" t="s">
        <v>1182</v>
      </c>
      <c r="S239" t="s">
        <v>232</v>
      </c>
      <c r="T239" t="s">
        <v>500</v>
      </c>
      <c r="U239" t="s">
        <v>265</v>
      </c>
      <c r="V239" t="s">
        <v>234</v>
      </c>
      <c r="W239" t="s">
        <v>52</v>
      </c>
      <c r="X239" t="s">
        <v>235</v>
      </c>
      <c r="Y239" t="s">
        <v>266</v>
      </c>
      <c r="Z239">
        <v>2867</v>
      </c>
      <c r="AA239">
        <v>2867</v>
      </c>
      <c r="AB239" t="s">
        <v>237</v>
      </c>
      <c r="AC239">
        <v>4.84</v>
      </c>
      <c r="AD239">
        <v>13876.28</v>
      </c>
      <c r="AE239">
        <v>4644.54</v>
      </c>
      <c r="AF239" t="s">
        <v>870</v>
      </c>
      <c r="AG239">
        <v>9231.74</v>
      </c>
      <c r="AH239">
        <v>0.67</v>
      </c>
    </row>
    <row r="240" spans="1:34" x14ac:dyDescent="0.25">
      <c r="A240" t="s">
        <v>763</v>
      </c>
      <c r="B240">
        <v>239</v>
      </c>
      <c r="C240" t="s">
        <v>487</v>
      </c>
      <c r="D240" t="s">
        <v>256</v>
      </c>
      <c r="E240" t="s">
        <v>261</v>
      </c>
      <c r="F240" t="s">
        <v>1276</v>
      </c>
      <c r="G240" s="25">
        <v>44240</v>
      </c>
      <c r="H240">
        <v>9</v>
      </c>
      <c r="I240">
        <v>44</v>
      </c>
      <c r="J240" t="s">
        <v>1278</v>
      </c>
      <c r="K240" t="s">
        <v>510</v>
      </c>
      <c r="L240" t="s">
        <v>231</v>
      </c>
      <c r="M240" t="s">
        <v>997</v>
      </c>
      <c r="N240" t="s">
        <v>185</v>
      </c>
      <c r="O240" t="s">
        <v>1171</v>
      </c>
      <c r="P240" t="s">
        <v>867</v>
      </c>
      <c r="Q240" t="s">
        <v>1172</v>
      </c>
      <c r="R240" t="s">
        <v>1173</v>
      </c>
      <c r="S240" t="s">
        <v>232</v>
      </c>
      <c r="T240" t="s">
        <v>500</v>
      </c>
      <c r="U240" t="s">
        <v>265</v>
      </c>
      <c r="V240" t="s">
        <v>234</v>
      </c>
      <c r="W240" t="s">
        <v>52</v>
      </c>
      <c r="X240" t="s">
        <v>235</v>
      </c>
      <c r="Y240" t="s">
        <v>266</v>
      </c>
      <c r="Z240">
        <v>3288</v>
      </c>
      <c r="AA240">
        <v>3288</v>
      </c>
      <c r="AB240" t="s">
        <v>237</v>
      </c>
      <c r="AC240">
        <v>4.84</v>
      </c>
      <c r="AD240">
        <v>15913.92</v>
      </c>
      <c r="AE240">
        <v>5326.56</v>
      </c>
      <c r="AF240" t="s">
        <v>870</v>
      </c>
      <c r="AG240">
        <v>10587.36</v>
      </c>
      <c r="AH240">
        <v>0.67</v>
      </c>
    </row>
    <row r="241" spans="1:34" x14ac:dyDescent="0.25">
      <c r="A241" t="s">
        <v>768</v>
      </c>
      <c r="B241">
        <v>240</v>
      </c>
      <c r="C241" t="s">
        <v>487</v>
      </c>
      <c r="D241" t="s">
        <v>256</v>
      </c>
      <c r="E241" t="s">
        <v>261</v>
      </c>
      <c r="F241" t="s">
        <v>1276</v>
      </c>
      <c r="G241" s="25">
        <v>44240</v>
      </c>
      <c r="H241">
        <v>9</v>
      </c>
      <c r="I241">
        <v>44</v>
      </c>
      <c r="J241" t="s">
        <v>1278</v>
      </c>
      <c r="K241" t="s">
        <v>956</v>
      </c>
      <c r="L241" t="s">
        <v>231</v>
      </c>
      <c r="M241" t="s">
        <v>997</v>
      </c>
      <c r="N241" t="s">
        <v>185</v>
      </c>
      <c r="O241" t="s">
        <v>1171</v>
      </c>
      <c r="P241" t="s">
        <v>867</v>
      </c>
      <c r="Q241" t="s">
        <v>1172</v>
      </c>
      <c r="R241" t="s">
        <v>1173</v>
      </c>
      <c r="S241" t="s">
        <v>232</v>
      </c>
      <c r="T241" t="s">
        <v>500</v>
      </c>
      <c r="U241" t="s">
        <v>265</v>
      </c>
      <c r="V241" t="s">
        <v>234</v>
      </c>
      <c r="W241" t="s">
        <v>52</v>
      </c>
      <c r="X241" t="s">
        <v>235</v>
      </c>
      <c r="Y241" t="s">
        <v>266</v>
      </c>
      <c r="Z241">
        <v>2967</v>
      </c>
      <c r="AA241">
        <v>2967</v>
      </c>
      <c r="AB241" t="s">
        <v>237</v>
      </c>
      <c r="AC241">
        <v>4.84</v>
      </c>
      <c r="AD241">
        <v>14360.28</v>
      </c>
      <c r="AE241">
        <v>4806.54</v>
      </c>
      <c r="AF241" t="s">
        <v>870</v>
      </c>
      <c r="AG241">
        <v>9553.74</v>
      </c>
      <c r="AH241">
        <v>0.67</v>
      </c>
    </row>
    <row r="242" spans="1:34" x14ac:dyDescent="0.25">
      <c r="A242" t="s">
        <v>855</v>
      </c>
      <c r="B242">
        <v>241</v>
      </c>
      <c r="C242" t="s">
        <v>487</v>
      </c>
      <c r="D242" t="s">
        <v>256</v>
      </c>
      <c r="E242" t="s">
        <v>261</v>
      </c>
      <c r="F242" t="s">
        <v>1276</v>
      </c>
      <c r="G242" s="25">
        <v>44240</v>
      </c>
      <c r="H242">
        <v>9</v>
      </c>
      <c r="I242">
        <v>44</v>
      </c>
      <c r="J242" t="s">
        <v>1278</v>
      </c>
      <c r="K242" t="s">
        <v>921</v>
      </c>
      <c r="L242" t="s">
        <v>231</v>
      </c>
      <c r="M242" t="s">
        <v>997</v>
      </c>
      <c r="N242" t="s">
        <v>185</v>
      </c>
      <c r="O242" t="s">
        <v>1171</v>
      </c>
      <c r="P242" t="s">
        <v>867</v>
      </c>
      <c r="Q242" t="s">
        <v>1172</v>
      </c>
      <c r="R242" t="s">
        <v>1173</v>
      </c>
      <c r="S242" t="s">
        <v>232</v>
      </c>
      <c r="T242" t="s">
        <v>500</v>
      </c>
      <c r="U242" t="s">
        <v>265</v>
      </c>
      <c r="V242" t="s">
        <v>234</v>
      </c>
      <c r="W242" t="s">
        <v>52</v>
      </c>
      <c r="X242" t="s">
        <v>235</v>
      </c>
      <c r="Y242" t="s">
        <v>266</v>
      </c>
      <c r="Z242">
        <v>3280</v>
      </c>
      <c r="AA242">
        <v>3280</v>
      </c>
      <c r="AB242" t="s">
        <v>237</v>
      </c>
      <c r="AC242">
        <v>4.84</v>
      </c>
      <c r="AD242">
        <v>15875.2</v>
      </c>
      <c r="AE242">
        <v>5313.6</v>
      </c>
      <c r="AF242" t="s">
        <v>870</v>
      </c>
      <c r="AG242">
        <v>10561.6</v>
      </c>
      <c r="AH242">
        <v>0.67</v>
      </c>
    </row>
    <row r="243" spans="1:34" x14ac:dyDescent="0.25">
      <c r="A243" t="s">
        <v>766</v>
      </c>
      <c r="B243">
        <v>242</v>
      </c>
      <c r="C243" t="s">
        <v>487</v>
      </c>
      <c r="D243" t="s">
        <v>256</v>
      </c>
      <c r="E243" t="s">
        <v>261</v>
      </c>
      <c r="F243" t="s">
        <v>1276</v>
      </c>
      <c r="G243" s="25">
        <v>44240</v>
      </c>
      <c r="H243">
        <v>9</v>
      </c>
      <c r="I243">
        <v>44</v>
      </c>
      <c r="J243" t="s">
        <v>1277</v>
      </c>
      <c r="K243" t="s">
        <v>921</v>
      </c>
      <c r="L243" t="s">
        <v>231</v>
      </c>
      <c r="M243" t="s">
        <v>931</v>
      </c>
      <c r="N243" t="s">
        <v>186</v>
      </c>
      <c r="O243" t="s">
        <v>982</v>
      </c>
      <c r="P243" t="s">
        <v>867</v>
      </c>
      <c r="Q243" t="s">
        <v>983</v>
      </c>
      <c r="R243" t="s">
        <v>984</v>
      </c>
      <c r="S243" t="s">
        <v>232</v>
      </c>
      <c r="T243" t="s">
        <v>500</v>
      </c>
      <c r="U243" t="s">
        <v>265</v>
      </c>
      <c r="V243" t="s">
        <v>234</v>
      </c>
      <c r="W243" t="s">
        <v>52</v>
      </c>
      <c r="X243" t="s">
        <v>235</v>
      </c>
      <c r="Y243" t="s">
        <v>266</v>
      </c>
      <c r="Z243">
        <v>2958</v>
      </c>
      <c r="AA243">
        <v>2958</v>
      </c>
      <c r="AB243" t="s">
        <v>237</v>
      </c>
      <c r="AC243">
        <v>4.84</v>
      </c>
      <c r="AD243">
        <v>14316.72</v>
      </c>
      <c r="AE243">
        <v>4791.96</v>
      </c>
      <c r="AF243" t="s">
        <v>870</v>
      </c>
      <c r="AG243">
        <v>9524.76</v>
      </c>
      <c r="AH243">
        <v>0.67</v>
      </c>
    </row>
    <row r="244" spans="1:34" x14ac:dyDescent="0.25">
      <c r="A244" t="s">
        <v>796</v>
      </c>
      <c r="B244">
        <v>243</v>
      </c>
      <c r="C244" t="s">
        <v>487</v>
      </c>
      <c r="D244" t="s">
        <v>256</v>
      </c>
      <c r="E244" t="s">
        <v>261</v>
      </c>
      <c r="F244" t="s">
        <v>1276</v>
      </c>
      <c r="G244" s="25">
        <v>44240</v>
      </c>
      <c r="H244">
        <v>9</v>
      </c>
      <c r="I244">
        <v>44</v>
      </c>
      <c r="J244" t="s">
        <v>1279</v>
      </c>
      <c r="K244" t="s">
        <v>510</v>
      </c>
      <c r="L244" t="s">
        <v>231</v>
      </c>
      <c r="M244" t="s">
        <v>872</v>
      </c>
      <c r="N244" t="s">
        <v>184</v>
      </c>
      <c r="O244" t="s">
        <v>1180</v>
      </c>
      <c r="P244" t="s">
        <v>867</v>
      </c>
      <c r="Q244" t="s">
        <v>1181</v>
      </c>
      <c r="R244" t="s">
        <v>1182</v>
      </c>
      <c r="S244" t="s">
        <v>232</v>
      </c>
      <c r="T244" t="s">
        <v>500</v>
      </c>
      <c r="U244" t="s">
        <v>265</v>
      </c>
      <c r="V244" t="s">
        <v>234</v>
      </c>
      <c r="W244" t="s">
        <v>52</v>
      </c>
      <c r="X244" t="s">
        <v>235</v>
      </c>
      <c r="Y244" t="s">
        <v>266</v>
      </c>
      <c r="Z244">
        <v>2908</v>
      </c>
      <c r="AA244">
        <v>2908</v>
      </c>
      <c r="AB244" t="s">
        <v>237</v>
      </c>
      <c r="AC244">
        <v>4.84</v>
      </c>
      <c r="AD244">
        <v>14074.72</v>
      </c>
      <c r="AE244">
        <v>4710.96</v>
      </c>
      <c r="AF244" t="s">
        <v>870</v>
      </c>
      <c r="AG244">
        <v>9363.76</v>
      </c>
      <c r="AH244">
        <v>0.67</v>
      </c>
    </row>
    <row r="245" spans="1:34" x14ac:dyDescent="0.25">
      <c r="A245" t="s">
        <v>683</v>
      </c>
      <c r="B245">
        <v>244</v>
      </c>
      <c r="C245" t="s">
        <v>487</v>
      </c>
      <c r="D245" t="s">
        <v>256</v>
      </c>
      <c r="E245" t="s">
        <v>261</v>
      </c>
      <c r="F245" t="s">
        <v>1276</v>
      </c>
      <c r="G245" s="25">
        <v>44240</v>
      </c>
      <c r="H245">
        <v>9</v>
      </c>
      <c r="I245">
        <v>44</v>
      </c>
      <c r="J245" t="s">
        <v>1279</v>
      </c>
      <c r="K245" t="s">
        <v>876</v>
      </c>
      <c r="L245" t="s">
        <v>231</v>
      </c>
      <c r="M245" t="s">
        <v>872</v>
      </c>
      <c r="N245" t="s">
        <v>184</v>
      </c>
      <c r="O245" t="s">
        <v>1180</v>
      </c>
      <c r="P245" t="s">
        <v>867</v>
      </c>
      <c r="Q245" t="s">
        <v>1181</v>
      </c>
      <c r="R245" t="s">
        <v>1182</v>
      </c>
      <c r="S245" t="s">
        <v>232</v>
      </c>
      <c r="T245" t="s">
        <v>500</v>
      </c>
      <c r="U245" t="s">
        <v>265</v>
      </c>
      <c r="V245" t="s">
        <v>234</v>
      </c>
      <c r="W245" t="s">
        <v>52</v>
      </c>
      <c r="X245" t="s">
        <v>235</v>
      </c>
      <c r="Y245" t="s">
        <v>266</v>
      </c>
      <c r="Z245">
        <v>2698</v>
      </c>
      <c r="AA245">
        <v>2698</v>
      </c>
      <c r="AB245" t="s">
        <v>237</v>
      </c>
      <c r="AC245">
        <v>4.84</v>
      </c>
      <c r="AD245">
        <v>13058.32</v>
      </c>
      <c r="AE245">
        <v>4370.76</v>
      </c>
      <c r="AF245" t="s">
        <v>870</v>
      </c>
      <c r="AG245">
        <v>8687.56</v>
      </c>
      <c r="AH245">
        <v>0.67</v>
      </c>
    </row>
    <row r="246" spans="1:34" x14ac:dyDescent="0.25">
      <c r="A246" t="s">
        <v>615</v>
      </c>
      <c r="B246">
        <v>245</v>
      </c>
      <c r="C246" t="s">
        <v>487</v>
      </c>
      <c r="D246" t="s">
        <v>256</v>
      </c>
      <c r="E246" t="s">
        <v>261</v>
      </c>
      <c r="F246" t="s">
        <v>1276</v>
      </c>
      <c r="G246" s="25">
        <v>44240</v>
      </c>
      <c r="H246">
        <v>9</v>
      </c>
      <c r="I246">
        <v>44</v>
      </c>
      <c r="J246" t="s">
        <v>1277</v>
      </c>
      <c r="K246" t="s">
        <v>510</v>
      </c>
      <c r="L246" t="s">
        <v>231</v>
      </c>
      <c r="M246" t="s">
        <v>931</v>
      </c>
      <c r="N246" t="s">
        <v>186</v>
      </c>
      <c r="O246" t="s">
        <v>982</v>
      </c>
      <c r="P246" t="s">
        <v>867</v>
      </c>
      <c r="Q246" t="s">
        <v>983</v>
      </c>
      <c r="R246" t="s">
        <v>984</v>
      </c>
      <c r="S246" t="s">
        <v>232</v>
      </c>
      <c r="T246" t="s">
        <v>491</v>
      </c>
      <c r="U246" t="s">
        <v>233</v>
      </c>
      <c r="V246" t="s">
        <v>234</v>
      </c>
      <c r="W246" t="s">
        <v>54</v>
      </c>
      <c r="X246" t="s">
        <v>235</v>
      </c>
      <c r="Y246" t="s">
        <v>236</v>
      </c>
      <c r="Z246">
        <v>731</v>
      </c>
      <c r="AA246">
        <v>731</v>
      </c>
      <c r="AB246" t="s">
        <v>237</v>
      </c>
      <c r="AC246">
        <v>5.52</v>
      </c>
      <c r="AD246">
        <v>4035.12</v>
      </c>
      <c r="AE246">
        <v>1659.37</v>
      </c>
      <c r="AF246" t="s">
        <v>870</v>
      </c>
      <c r="AG246">
        <v>2375.75</v>
      </c>
      <c r="AH246">
        <v>0.59</v>
      </c>
    </row>
    <row r="247" spans="1:34" x14ac:dyDescent="0.25">
      <c r="A247" t="s">
        <v>548</v>
      </c>
      <c r="B247">
        <v>246</v>
      </c>
      <c r="C247" t="s">
        <v>487</v>
      </c>
      <c r="D247" t="s">
        <v>256</v>
      </c>
      <c r="E247" t="s">
        <v>261</v>
      </c>
      <c r="F247" t="s">
        <v>1276</v>
      </c>
      <c r="G247" s="25">
        <v>44240</v>
      </c>
      <c r="H247">
        <v>9</v>
      </c>
      <c r="I247">
        <v>44</v>
      </c>
      <c r="J247" t="s">
        <v>1280</v>
      </c>
      <c r="K247" t="s">
        <v>510</v>
      </c>
      <c r="L247" t="s">
        <v>231</v>
      </c>
      <c r="M247" t="s">
        <v>931</v>
      </c>
      <c r="N247" t="s">
        <v>186</v>
      </c>
      <c r="O247" t="s">
        <v>1281</v>
      </c>
      <c r="P247" t="s">
        <v>867</v>
      </c>
      <c r="Q247" t="s">
        <v>1282</v>
      </c>
      <c r="R247" t="s">
        <v>1283</v>
      </c>
      <c r="S247" t="s">
        <v>537</v>
      </c>
      <c r="T247" t="s">
        <v>508</v>
      </c>
      <c r="U247" t="s">
        <v>47</v>
      </c>
      <c r="V247" t="s">
        <v>234</v>
      </c>
      <c r="W247" t="s">
        <v>46</v>
      </c>
      <c r="X247" t="s">
        <v>21</v>
      </c>
      <c r="Y247" t="s">
        <v>288</v>
      </c>
      <c r="Z247">
        <v>3547</v>
      </c>
      <c r="AA247">
        <v>3547</v>
      </c>
      <c r="AB247" t="s">
        <v>237</v>
      </c>
      <c r="AC247">
        <v>4.17</v>
      </c>
      <c r="AD247">
        <v>14790.99</v>
      </c>
      <c r="AE247">
        <v>2802.13</v>
      </c>
      <c r="AF247" t="s">
        <v>870</v>
      </c>
      <c r="AG247">
        <v>11988.86</v>
      </c>
      <c r="AH247">
        <v>0.81</v>
      </c>
    </row>
    <row r="248" spans="1:34" x14ac:dyDescent="0.25">
      <c r="A248" t="s">
        <v>608</v>
      </c>
      <c r="B248">
        <v>247</v>
      </c>
      <c r="C248" t="s">
        <v>487</v>
      </c>
      <c r="D248" t="s">
        <v>256</v>
      </c>
      <c r="E248" t="s">
        <v>261</v>
      </c>
      <c r="F248" t="s">
        <v>1276</v>
      </c>
      <c r="G248" s="25">
        <v>44240</v>
      </c>
      <c r="H248">
        <v>9</v>
      </c>
      <c r="I248">
        <v>44</v>
      </c>
      <c r="J248" t="s">
        <v>1284</v>
      </c>
      <c r="K248" t="s">
        <v>510</v>
      </c>
      <c r="L248" t="s">
        <v>231</v>
      </c>
      <c r="M248" t="s">
        <v>931</v>
      </c>
      <c r="N248" t="s">
        <v>186</v>
      </c>
      <c r="O248" t="s">
        <v>1285</v>
      </c>
      <c r="P248" t="s">
        <v>867</v>
      </c>
      <c r="Q248" t="s">
        <v>1286</v>
      </c>
      <c r="R248" t="s">
        <v>1287</v>
      </c>
      <c r="S248" t="s">
        <v>537</v>
      </c>
      <c r="T248" t="s">
        <v>508</v>
      </c>
      <c r="U248" t="s">
        <v>47</v>
      </c>
      <c r="V248" t="s">
        <v>234</v>
      </c>
      <c r="W248" t="s">
        <v>46</v>
      </c>
      <c r="X248" t="s">
        <v>21</v>
      </c>
      <c r="Y248" t="s">
        <v>288</v>
      </c>
      <c r="Z248">
        <v>3183</v>
      </c>
      <c r="AA248">
        <v>3183</v>
      </c>
      <c r="AB248" t="s">
        <v>237</v>
      </c>
      <c r="AC248">
        <v>4.17</v>
      </c>
      <c r="AD248">
        <v>13273.11</v>
      </c>
      <c r="AE248">
        <v>2514.5700000000002</v>
      </c>
      <c r="AF248" t="s">
        <v>870</v>
      </c>
      <c r="AG248">
        <v>10758.54</v>
      </c>
      <c r="AH248">
        <v>0.81</v>
      </c>
    </row>
    <row r="249" spans="1:34" x14ac:dyDescent="0.25">
      <c r="A249" t="s">
        <v>783</v>
      </c>
      <c r="B249">
        <v>248</v>
      </c>
      <c r="C249" t="s">
        <v>487</v>
      </c>
      <c r="D249" t="s">
        <v>256</v>
      </c>
      <c r="E249" t="s">
        <v>322</v>
      </c>
      <c r="F249" t="s">
        <v>1288</v>
      </c>
      <c r="G249" s="25">
        <v>44241</v>
      </c>
      <c r="H249">
        <v>9</v>
      </c>
      <c r="I249">
        <v>45</v>
      </c>
      <c r="J249" t="s">
        <v>1294</v>
      </c>
      <c r="K249" t="s">
        <v>876</v>
      </c>
      <c r="L249" t="s">
        <v>231</v>
      </c>
      <c r="M249" t="s">
        <v>872</v>
      </c>
      <c r="N249" t="s">
        <v>184</v>
      </c>
      <c r="O249" t="s">
        <v>1176</v>
      </c>
      <c r="P249" t="s">
        <v>867</v>
      </c>
      <c r="Q249" t="s">
        <v>1177</v>
      </c>
      <c r="R249" t="s">
        <v>1178</v>
      </c>
      <c r="S249" t="s">
        <v>232</v>
      </c>
      <c r="T249" t="s">
        <v>508</v>
      </c>
      <c r="U249" t="s">
        <v>47</v>
      </c>
      <c r="V249" t="s">
        <v>234</v>
      </c>
      <c r="W249" t="s">
        <v>46</v>
      </c>
      <c r="X249" t="s">
        <v>21</v>
      </c>
      <c r="Y249" t="s">
        <v>288</v>
      </c>
      <c r="Z249">
        <v>3521</v>
      </c>
      <c r="AA249">
        <v>3521</v>
      </c>
      <c r="AB249" t="s">
        <v>237</v>
      </c>
      <c r="AC249">
        <v>3.98</v>
      </c>
      <c r="AD249">
        <v>14013.58</v>
      </c>
      <c r="AE249">
        <v>2781.59</v>
      </c>
      <c r="AF249" t="s">
        <v>870</v>
      </c>
      <c r="AG249">
        <v>11231.99</v>
      </c>
      <c r="AH249">
        <v>0.8</v>
      </c>
    </row>
    <row r="250" spans="1:34" x14ac:dyDescent="0.25">
      <c r="A250" t="s">
        <v>689</v>
      </c>
      <c r="B250">
        <v>249</v>
      </c>
      <c r="C250" t="s">
        <v>487</v>
      </c>
      <c r="D250" t="s">
        <v>256</v>
      </c>
      <c r="E250" t="s">
        <v>322</v>
      </c>
      <c r="F250" t="s">
        <v>1288</v>
      </c>
      <c r="G250" s="25">
        <v>44241</v>
      </c>
      <c r="H250">
        <v>9</v>
      </c>
      <c r="I250">
        <v>45</v>
      </c>
      <c r="J250" t="s">
        <v>1289</v>
      </c>
      <c r="K250" t="s">
        <v>510</v>
      </c>
      <c r="L250" t="s">
        <v>231</v>
      </c>
      <c r="M250" t="s">
        <v>883</v>
      </c>
      <c r="N250" t="s">
        <v>185</v>
      </c>
      <c r="O250" t="s">
        <v>1290</v>
      </c>
      <c r="P250" t="s">
        <v>867</v>
      </c>
      <c r="Q250" t="s">
        <v>1291</v>
      </c>
      <c r="R250" t="s">
        <v>1292</v>
      </c>
      <c r="S250" t="s">
        <v>232</v>
      </c>
      <c r="T250" t="s">
        <v>508</v>
      </c>
      <c r="U250" t="s">
        <v>47</v>
      </c>
      <c r="V250" t="s">
        <v>234</v>
      </c>
      <c r="W250" t="s">
        <v>46</v>
      </c>
      <c r="X250" t="s">
        <v>21</v>
      </c>
      <c r="Y250" t="s">
        <v>288</v>
      </c>
      <c r="Z250">
        <v>3474</v>
      </c>
      <c r="AA250">
        <v>3474</v>
      </c>
      <c r="AB250" t="s">
        <v>237</v>
      </c>
      <c r="AC250">
        <v>3.98</v>
      </c>
      <c r="AD250">
        <v>13826.52</v>
      </c>
      <c r="AE250">
        <v>2744.46</v>
      </c>
      <c r="AF250" t="s">
        <v>870</v>
      </c>
      <c r="AG250">
        <v>11082.06</v>
      </c>
      <c r="AH250">
        <v>0.8</v>
      </c>
    </row>
    <row r="251" spans="1:34" x14ac:dyDescent="0.25">
      <c r="A251" t="s">
        <v>601</v>
      </c>
      <c r="B251">
        <v>250</v>
      </c>
      <c r="C251" t="s">
        <v>487</v>
      </c>
      <c r="D251" t="s">
        <v>256</v>
      </c>
      <c r="E251" t="s">
        <v>322</v>
      </c>
      <c r="F251" t="s">
        <v>1288</v>
      </c>
      <c r="G251" s="25">
        <v>44241</v>
      </c>
      <c r="H251">
        <v>9</v>
      </c>
      <c r="I251">
        <v>45</v>
      </c>
      <c r="J251" t="s">
        <v>1289</v>
      </c>
      <c r="K251" t="s">
        <v>921</v>
      </c>
      <c r="L251" t="s">
        <v>231</v>
      </c>
      <c r="M251" t="s">
        <v>883</v>
      </c>
      <c r="N251" t="s">
        <v>185</v>
      </c>
      <c r="O251" t="s">
        <v>1290</v>
      </c>
      <c r="P251" t="s">
        <v>867</v>
      </c>
      <c r="Q251" t="s">
        <v>1291</v>
      </c>
      <c r="R251" t="s">
        <v>1292</v>
      </c>
      <c r="S251" t="s">
        <v>232</v>
      </c>
      <c r="T251" t="s">
        <v>508</v>
      </c>
      <c r="U251" t="s">
        <v>47</v>
      </c>
      <c r="V251" t="s">
        <v>234</v>
      </c>
      <c r="W251" t="s">
        <v>46</v>
      </c>
      <c r="X251" t="s">
        <v>21</v>
      </c>
      <c r="Y251" t="s">
        <v>288</v>
      </c>
      <c r="Z251">
        <v>3631</v>
      </c>
      <c r="AA251">
        <v>3631</v>
      </c>
      <c r="AB251" t="s">
        <v>237</v>
      </c>
      <c r="AC251">
        <v>3.98</v>
      </c>
      <c r="AD251">
        <v>14451.38</v>
      </c>
      <c r="AE251">
        <v>2868.49</v>
      </c>
      <c r="AF251" t="s">
        <v>870</v>
      </c>
      <c r="AG251">
        <v>11582.89</v>
      </c>
      <c r="AH251">
        <v>0.8</v>
      </c>
    </row>
    <row r="252" spans="1:34" x14ac:dyDescent="0.25">
      <c r="A252" t="s">
        <v>792</v>
      </c>
      <c r="B252">
        <v>251</v>
      </c>
      <c r="C252" t="s">
        <v>487</v>
      </c>
      <c r="D252" t="s">
        <v>256</v>
      </c>
      <c r="E252" t="s">
        <v>322</v>
      </c>
      <c r="F252" t="s">
        <v>1288</v>
      </c>
      <c r="G252" s="25">
        <v>44241</v>
      </c>
      <c r="H252">
        <v>9</v>
      </c>
      <c r="I252">
        <v>45</v>
      </c>
      <c r="J252" t="s">
        <v>1293</v>
      </c>
      <c r="K252" t="s">
        <v>921</v>
      </c>
      <c r="L252" t="s">
        <v>231</v>
      </c>
      <c r="M252" t="s">
        <v>872</v>
      </c>
      <c r="N252" t="s">
        <v>184</v>
      </c>
      <c r="O252" t="s">
        <v>907</v>
      </c>
      <c r="P252" t="s">
        <v>867</v>
      </c>
      <c r="Q252" t="s">
        <v>908</v>
      </c>
      <c r="R252" t="s">
        <v>909</v>
      </c>
      <c r="S252" t="s">
        <v>232</v>
      </c>
      <c r="T252" t="s">
        <v>508</v>
      </c>
      <c r="U252" t="s">
        <v>47</v>
      </c>
      <c r="V252" t="s">
        <v>234</v>
      </c>
      <c r="W252" t="s">
        <v>46</v>
      </c>
      <c r="X252" t="s">
        <v>21</v>
      </c>
      <c r="Y252" t="s">
        <v>288</v>
      </c>
      <c r="Z252">
        <v>4065</v>
      </c>
      <c r="AA252">
        <v>4065</v>
      </c>
      <c r="AB252" t="s">
        <v>237</v>
      </c>
      <c r="AC252">
        <v>3.98</v>
      </c>
      <c r="AD252">
        <v>16178.7</v>
      </c>
      <c r="AE252">
        <v>3211.35</v>
      </c>
      <c r="AF252" t="s">
        <v>870</v>
      </c>
      <c r="AG252">
        <v>12967.35</v>
      </c>
      <c r="AH252">
        <v>0.8</v>
      </c>
    </row>
    <row r="253" spans="1:34" x14ac:dyDescent="0.25">
      <c r="A253" t="s">
        <v>694</v>
      </c>
      <c r="B253">
        <v>252</v>
      </c>
      <c r="C253" t="s">
        <v>487</v>
      </c>
      <c r="D253" t="s">
        <v>256</v>
      </c>
      <c r="E253" t="s">
        <v>322</v>
      </c>
      <c r="F253" t="s">
        <v>1288</v>
      </c>
      <c r="G253" s="25">
        <v>44241</v>
      </c>
      <c r="H253">
        <v>9</v>
      </c>
      <c r="I253">
        <v>45</v>
      </c>
      <c r="J253" t="s">
        <v>1293</v>
      </c>
      <c r="K253" t="s">
        <v>510</v>
      </c>
      <c r="L253" t="s">
        <v>231</v>
      </c>
      <c r="M253" t="s">
        <v>872</v>
      </c>
      <c r="N253" t="s">
        <v>184</v>
      </c>
      <c r="O253" t="s">
        <v>907</v>
      </c>
      <c r="P253" t="s">
        <v>867</v>
      </c>
      <c r="Q253" t="s">
        <v>908</v>
      </c>
      <c r="R253" t="s">
        <v>909</v>
      </c>
      <c r="S253" t="s">
        <v>232</v>
      </c>
      <c r="T253" t="s">
        <v>508</v>
      </c>
      <c r="U253" t="s">
        <v>47</v>
      </c>
      <c r="V253" t="s">
        <v>234</v>
      </c>
      <c r="W253" t="s">
        <v>46</v>
      </c>
      <c r="X253" t="s">
        <v>21</v>
      </c>
      <c r="Y253" t="s">
        <v>288</v>
      </c>
      <c r="Z253">
        <v>3961</v>
      </c>
      <c r="AA253">
        <v>3961</v>
      </c>
      <c r="AB253" t="s">
        <v>237</v>
      </c>
      <c r="AC253">
        <v>3.98</v>
      </c>
      <c r="AD253">
        <v>15764.78</v>
      </c>
      <c r="AE253">
        <v>3129.19</v>
      </c>
      <c r="AF253" t="s">
        <v>870</v>
      </c>
      <c r="AG253">
        <v>12635.59</v>
      </c>
      <c r="AH253">
        <v>0.8</v>
      </c>
    </row>
    <row r="254" spans="1:34" x14ac:dyDescent="0.25">
      <c r="A254" t="s">
        <v>804</v>
      </c>
      <c r="B254">
        <v>253</v>
      </c>
      <c r="C254" t="s">
        <v>487</v>
      </c>
      <c r="D254" t="s">
        <v>256</v>
      </c>
      <c r="E254" t="s">
        <v>322</v>
      </c>
      <c r="F254" t="s">
        <v>1288</v>
      </c>
      <c r="G254" s="25">
        <v>44241</v>
      </c>
      <c r="H254">
        <v>9</v>
      </c>
      <c r="I254">
        <v>45</v>
      </c>
      <c r="J254" t="s">
        <v>1289</v>
      </c>
      <c r="K254" t="s">
        <v>876</v>
      </c>
      <c r="L254" t="s">
        <v>231</v>
      </c>
      <c r="M254" t="s">
        <v>883</v>
      </c>
      <c r="N254" t="s">
        <v>185</v>
      </c>
      <c r="O254" t="s">
        <v>1290</v>
      </c>
      <c r="P254" t="s">
        <v>867</v>
      </c>
      <c r="Q254" t="s">
        <v>1291</v>
      </c>
      <c r="R254" t="s">
        <v>1292</v>
      </c>
      <c r="S254" t="s">
        <v>232</v>
      </c>
      <c r="T254" t="s">
        <v>500</v>
      </c>
      <c r="U254" t="s">
        <v>265</v>
      </c>
      <c r="V254" t="s">
        <v>234</v>
      </c>
      <c r="W254" t="s">
        <v>52</v>
      </c>
      <c r="X254" t="s">
        <v>235</v>
      </c>
      <c r="Y254" t="s">
        <v>266</v>
      </c>
      <c r="Z254">
        <v>3453</v>
      </c>
      <c r="AA254">
        <v>3453</v>
      </c>
      <c r="AB254" t="s">
        <v>237</v>
      </c>
      <c r="AC254">
        <v>4.84</v>
      </c>
      <c r="AD254">
        <v>16712.52</v>
      </c>
      <c r="AE254">
        <v>5593.86</v>
      </c>
      <c r="AF254" t="s">
        <v>870</v>
      </c>
      <c r="AG254">
        <v>11118.66</v>
      </c>
      <c r="AH254">
        <v>0.67</v>
      </c>
    </row>
    <row r="255" spans="1:34" x14ac:dyDescent="0.25">
      <c r="A255" t="s">
        <v>799</v>
      </c>
      <c r="B255">
        <v>254</v>
      </c>
      <c r="C255" t="s">
        <v>487</v>
      </c>
      <c r="D255" t="s">
        <v>256</v>
      </c>
      <c r="E255" t="s">
        <v>322</v>
      </c>
      <c r="F255" t="s">
        <v>1288</v>
      </c>
      <c r="G255" s="25">
        <v>44241</v>
      </c>
      <c r="H255">
        <v>9</v>
      </c>
      <c r="I255">
        <v>45</v>
      </c>
      <c r="J255" t="s">
        <v>1289</v>
      </c>
      <c r="K255" t="s">
        <v>956</v>
      </c>
      <c r="L255" t="s">
        <v>231</v>
      </c>
      <c r="M255" t="s">
        <v>883</v>
      </c>
      <c r="N255" t="s">
        <v>185</v>
      </c>
      <c r="O255" t="s">
        <v>1290</v>
      </c>
      <c r="P255" t="s">
        <v>867</v>
      </c>
      <c r="Q255" t="s">
        <v>1291</v>
      </c>
      <c r="R255" t="s">
        <v>1292</v>
      </c>
      <c r="S255" t="s">
        <v>232</v>
      </c>
      <c r="T255" t="s">
        <v>500</v>
      </c>
      <c r="U255" t="s">
        <v>265</v>
      </c>
      <c r="V255" t="s">
        <v>234</v>
      </c>
      <c r="W255" t="s">
        <v>52</v>
      </c>
      <c r="X255" t="s">
        <v>235</v>
      </c>
      <c r="Y255" t="s">
        <v>266</v>
      </c>
      <c r="Z255">
        <v>3410</v>
      </c>
      <c r="AA255">
        <v>3410</v>
      </c>
      <c r="AB255" t="s">
        <v>237</v>
      </c>
      <c r="AC255">
        <v>4.84</v>
      </c>
      <c r="AD255">
        <v>16504.400000000001</v>
      </c>
      <c r="AE255">
        <v>5524.2</v>
      </c>
      <c r="AF255" t="s">
        <v>870</v>
      </c>
      <c r="AG255">
        <v>10980.2</v>
      </c>
      <c r="AH255">
        <v>0.67</v>
      </c>
    </row>
    <row r="256" spans="1:34" x14ac:dyDescent="0.25">
      <c r="A256" t="s">
        <v>823</v>
      </c>
      <c r="B256">
        <v>255</v>
      </c>
      <c r="C256" t="s">
        <v>487</v>
      </c>
      <c r="D256" t="s">
        <v>256</v>
      </c>
      <c r="E256" t="s">
        <v>322</v>
      </c>
      <c r="F256" t="s">
        <v>1288</v>
      </c>
      <c r="G256" s="25">
        <v>44241</v>
      </c>
      <c r="H256">
        <v>9</v>
      </c>
      <c r="I256">
        <v>45</v>
      </c>
      <c r="J256" t="s">
        <v>1293</v>
      </c>
      <c r="K256" t="s">
        <v>876</v>
      </c>
      <c r="L256" t="s">
        <v>231</v>
      </c>
      <c r="M256" t="s">
        <v>872</v>
      </c>
      <c r="N256" t="s">
        <v>184</v>
      </c>
      <c r="O256" t="s">
        <v>907</v>
      </c>
      <c r="P256" t="s">
        <v>867</v>
      </c>
      <c r="Q256" t="s">
        <v>908</v>
      </c>
      <c r="R256" t="s">
        <v>909</v>
      </c>
      <c r="S256" t="s">
        <v>232</v>
      </c>
      <c r="T256" t="s">
        <v>500</v>
      </c>
      <c r="U256" t="s">
        <v>265</v>
      </c>
      <c r="V256" t="s">
        <v>234</v>
      </c>
      <c r="W256" t="s">
        <v>52</v>
      </c>
      <c r="X256" t="s">
        <v>235</v>
      </c>
      <c r="Y256" t="s">
        <v>266</v>
      </c>
      <c r="Z256">
        <v>3091</v>
      </c>
      <c r="AA256">
        <v>3091</v>
      </c>
      <c r="AB256" t="s">
        <v>237</v>
      </c>
      <c r="AC256">
        <v>4.84</v>
      </c>
      <c r="AD256">
        <v>14960.44</v>
      </c>
      <c r="AE256">
        <v>5007.42</v>
      </c>
      <c r="AF256" t="s">
        <v>870</v>
      </c>
      <c r="AG256">
        <v>9953.02</v>
      </c>
      <c r="AH256">
        <v>0.67</v>
      </c>
    </row>
    <row r="257" spans="1:34" x14ac:dyDescent="0.25">
      <c r="A257" t="s">
        <v>519</v>
      </c>
      <c r="B257">
        <v>256</v>
      </c>
      <c r="C257" t="s">
        <v>487</v>
      </c>
      <c r="D257" t="s">
        <v>256</v>
      </c>
      <c r="E257" t="s">
        <v>322</v>
      </c>
      <c r="F257" t="s">
        <v>1288</v>
      </c>
      <c r="G257" s="25">
        <v>44241</v>
      </c>
      <c r="H257">
        <v>9</v>
      </c>
      <c r="I257">
        <v>45</v>
      </c>
      <c r="J257" t="s">
        <v>1293</v>
      </c>
      <c r="K257" t="s">
        <v>956</v>
      </c>
      <c r="L257" t="s">
        <v>231</v>
      </c>
      <c r="M257" t="s">
        <v>872</v>
      </c>
      <c r="N257" t="s">
        <v>184</v>
      </c>
      <c r="O257" t="s">
        <v>907</v>
      </c>
      <c r="P257" t="s">
        <v>867</v>
      </c>
      <c r="Q257" t="s">
        <v>908</v>
      </c>
      <c r="R257" t="s">
        <v>909</v>
      </c>
      <c r="S257" t="s">
        <v>232</v>
      </c>
      <c r="T257" t="s">
        <v>500</v>
      </c>
      <c r="U257" t="s">
        <v>265</v>
      </c>
      <c r="V257" t="s">
        <v>234</v>
      </c>
      <c r="W257" t="s">
        <v>52</v>
      </c>
      <c r="X257" t="s">
        <v>235</v>
      </c>
      <c r="Y257" t="s">
        <v>266</v>
      </c>
      <c r="Z257">
        <v>3067</v>
      </c>
      <c r="AA257">
        <v>3067</v>
      </c>
      <c r="AB257" t="s">
        <v>237</v>
      </c>
      <c r="AC257">
        <v>4.84</v>
      </c>
      <c r="AD257">
        <v>14844.28</v>
      </c>
      <c r="AE257">
        <v>4968.54</v>
      </c>
      <c r="AF257" t="s">
        <v>870</v>
      </c>
      <c r="AG257">
        <v>9875.74</v>
      </c>
      <c r="AH257">
        <v>0.67</v>
      </c>
    </row>
    <row r="258" spans="1:34" x14ac:dyDescent="0.25">
      <c r="A258" t="s">
        <v>811</v>
      </c>
      <c r="B258">
        <v>257</v>
      </c>
      <c r="C258" t="s">
        <v>487</v>
      </c>
      <c r="D258" t="s">
        <v>256</v>
      </c>
      <c r="E258" t="s">
        <v>322</v>
      </c>
      <c r="F258" t="s">
        <v>1288</v>
      </c>
      <c r="G258" s="25">
        <v>44241</v>
      </c>
      <c r="H258">
        <v>9</v>
      </c>
      <c r="I258">
        <v>45</v>
      </c>
      <c r="J258" t="s">
        <v>1294</v>
      </c>
      <c r="K258" t="s">
        <v>956</v>
      </c>
      <c r="L258" t="s">
        <v>231</v>
      </c>
      <c r="M258" t="s">
        <v>872</v>
      </c>
      <c r="N258" t="s">
        <v>184</v>
      </c>
      <c r="O258" t="s">
        <v>1176</v>
      </c>
      <c r="P258" t="s">
        <v>867</v>
      </c>
      <c r="Q258" t="s">
        <v>1177</v>
      </c>
      <c r="R258" t="s">
        <v>1178</v>
      </c>
      <c r="S258" t="s">
        <v>232</v>
      </c>
      <c r="T258" t="s">
        <v>500</v>
      </c>
      <c r="U258" t="s">
        <v>265</v>
      </c>
      <c r="V258" t="s">
        <v>234</v>
      </c>
      <c r="W258" t="s">
        <v>52</v>
      </c>
      <c r="X258" t="s">
        <v>235</v>
      </c>
      <c r="Y258" t="s">
        <v>266</v>
      </c>
      <c r="Z258">
        <v>3075</v>
      </c>
      <c r="AA258">
        <v>3075</v>
      </c>
      <c r="AB258" t="s">
        <v>237</v>
      </c>
      <c r="AC258">
        <v>4.84</v>
      </c>
      <c r="AD258">
        <v>14883</v>
      </c>
      <c r="AE258">
        <v>4981.5</v>
      </c>
      <c r="AF258" t="s">
        <v>870</v>
      </c>
      <c r="AG258">
        <v>9901.5</v>
      </c>
      <c r="AH258">
        <v>0.67</v>
      </c>
    </row>
    <row r="259" spans="1:34" x14ac:dyDescent="0.25">
      <c r="A259" t="s">
        <v>643</v>
      </c>
      <c r="B259">
        <v>258</v>
      </c>
      <c r="C259" t="s">
        <v>487</v>
      </c>
      <c r="D259" t="s">
        <v>256</v>
      </c>
      <c r="E259" t="s">
        <v>322</v>
      </c>
      <c r="F259" t="s">
        <v>1288</v>
      </c>
      <c r="G259" s="25">
        <v>44241</v>
      </c>
      <c r="H259">
        <v>9</v>
      </c>
      <c r="I259">
        <v>45</v>
      </c>
      <c r="J259" t="s">
        <v>1294</v>
      </c>
      <c r="K259" t="s">
        <v>510</v>
      </c>
      <c r="L259" t="s">
        <v>231</v>
      </c>
      <c r="M259" t="s">
        <v>872</v>
      </c>
      <c r="N259" t="s">
        <v>184</v>
      </c>
      <c r="O259" t="s">
        <v>1176</v>
      </c>
      <c r="P259" t="s">
        <v>867</v>
      </c>
      <c r="Q259" t="s">
        <v>1177</v>
      </c>
      <c r="R259" t="s">
        <v>1178</v>
      </c>
      <c r="S259" t="s">
        <v>232</v>
      </c>
      <c r="T259" t="s">
        <v>500</v>
      </c>
      <c r="U259" t="s">
        <v>265</v>
      </c>
      <c r="V259" t="s">
        <v>234</v>
      </c>
      <c r="W259" t="s">
        <v>52</v>
      </c>
      <c r="X259" t="s">
        <v>235</v>
      </c>
      <c r="Y259" t="s">
        <v>266</v>
      </c>
      <c r="Z259">
        <v>2826</v>
      </c>
      <c r="AA259">
        <v>2826</v>
      </c>
      <c r="AB259" t="s">
        <v>237</v>
      </c>
      <c r="AC259">
        <v>4.84</v>
      </c>
      <c r="AD259">
        <v>13677.84</v>
      </c>
      <c r="AE259">
        <v>4578.12</v>
      </c>
      <c r="AF259" t="s">
        <v>870</v>
      </c>
      <c r="AG259">
        <v>9099.7199999999993</v>
      </c>
      <c r="AH259">
        <v>0.67</v>
      </c>
    </row>
    <row r="260" spans="1:34" x14ac:dyDescent="0.25">
      <c r="A260" t="s">
        <v>779</v>
      </c>
      <c r="B260">
        <v>259</v>
      </c>
      <c r="C260" t="s">
        <v>487</v>
      </c>
      <c r="D260" t="s">
        <v>256</v>
      </c>
      <c r="E260" t="s">
        <v>322</v>
      </c>
      <c r="F260" t="s">
        <v>1288</v>
      </c>
      <c r="G260" s="25">
        <v>44241</v>
      </c>
      <c r="H260">
        <v>9</v>
      </c>
      <c r="I260">
        <v>45</v>
      </c>
      <c r="J260" t="s">
        <v>1294</v>
      </c>
      <c r="K260" t="s">
        <v>921</v>
      </c>
      <c r="L260" t="s">
        <v>231</v>
      </c>
      <c r="M260" t="s">
        <v>872</v>
      </c>
      <c r="N260" t="s">
        <v>184</v>
      </c>
      <c r="O260" t="s">
        <v>1176</v>
      </c>
      <c r="P260" t="s">
        <v>867</v>
      </c>
      <c r="Q260" t="s">
        <v>1177</v>
      </c>
      <c r="R260" t="s">
        <v>1178</v>
      </c>
      <c r="S260" t="s">
        <v>232</v>
      </c>
      <c r="T260" t="s">
        <v>500</v>
      </c>
      <c r="U260" t="s">
        <v>265</v>
      </c>
      <c r="V260" t="s">
        <v>234</v>
      </c>
      <c r="W260" t="s">
        <v>52</v>
      </c>
      <c r="X260" t="s">
        <v>235</v>
      </c>
      <c r="Y260" t="s">
        <v>266</v>
      </c>
      <c r="Z260">
        <v>2731</v>
      </c>
      <c r="AA260">
        <v>2731</v>
      </c>
      <c r="AB260" t="s">
        <v>237</v>
      </c>
      <c r="AC260">
        <v>4.84</v>
      </c>
      <c r="AD260">
        <v>13218.04</v>
      </c>
      <c r="AE260">
        <v>4424.22</v>
      </c>
      <c r="AF260" t="s">
        <v>870</v>
      </c>
      <c r="AG260">
        <v>8793.82</v>
      </c>
      <c r="AH260">
        <v>0.67</v>
      </c>
    </row>
    <row r="261" spans="1:34" x14ac:dyDescent="0.25">
      <c r="A261" t="s">
        <v>595</v>
      </c>
      <c r="B261">
        <v>260</v>
      </c>
      <c r="C261" t="s">
        <v>487</v>
      </c>
      <c r="D261" t="s">
        <v>256</v>
      </c>
      <c r="E261" t="s">
        <v>322</v>
      </c>
      <c r="F261" t="s">
        <v>1288</v>
      </c>
      <c r="G261" s="25">
        <v>44241</v>
      </c>
      <c r="H261">
        <v>9</v>
      </c>
      <c r="I261">
        <v>45</v>
      </c>
      <c r="J261" t="s">
        <v>1295</v>
      </c>
      <c r="K261" t="s">
        <v>510</v>
      </c>
      <c r="L261" t="s">
        <v>231</v>
      </c>
      <c r="M261" t="s">
        <v>916</v>
      </c>
      <c r="N261" t="s">
        <v>185</v>
      </c>
      <c r="O261" t="s">
        <v>1296</v>
      </c>
      <c r="P261" t="s">
        <v>867</v>
      </c>
      <c r="Q261" t="s">
        <v>1297</v>
      </c>
      <c r="R261" t="s">
        <v>1298</v>
      </c>
      <c r="S261" t="s">
        <v>537</v>
      </c>
      <c r="T261" t="s">
        <v>508</v>
      </c>
      <c r="U261" t="s">
        <v>47</v>
      </c>
      <c r="V261" t="s">
        <v>234</v>
      </c>
      <c r="W261" t="s">
        <v>46</v>
      </c>
      <c r="X261" t="s">
        <v>21</v>
      </c>
      <c r="Y261" t="s">
        <v>288</v>
      </c>
      <c r="Z261">
        <v>3544</v>
      </c>
      <c r="AA261">
        <v>3544</v>
      </c>
      <c r="AB261" t="s">
        <v>237</v>
      </c>
      <c r="AC261">
        <v>4.17</v>
      </c>
      <c r="AD261">
        <v>14778.48</v>
      </c>
      <c r="AE261">
        <v>2799.76</v>
      </c>
      <c r="AF261" t="s">
        <v>870</v>
      </c>
      <c r="AG261">
        <v>11978.72</v>
      </c>
      <c r="AH261">
        <v>0.81</v>
      </c>
    </row>
    <row r="262" spans="1:34" x14ac:dyDescent="0.25">
      <c r="A262" t="s">
        <v>583</v>
      </c>
      <c r="B262">
        <v>261</v>
      </c>
      <c r="C262" t="s">
        <v>487</v>
      </c>
      <c r="D262" t="s">
        <v>256</v>
      </c>
      <c r="E262" t="s">
        <v>247</v>
      </c>
      <c r="F262" t="s">
        <v>1299</v>
      </c>
      <c r="G262" s="25">
        <v>44242</v>
      </c>
      <c r="H262">
        <v>10</v>
      </c>
      <c r="I262">
        <v>46</v>
      </c>
      <c r="J262" t="s">
        <v>1300</v>
      </c>
      <c r="K262" t="s">
        <v>510</v>
      </c>
      <c r="L262" t="s">
        <v>231</v>
      </c>
      <c r="M262" t="s">
        <v>872</v>
      </c>
      <c r="N262" t="s">
        <v>184</v>
      </c>
      <c r="O262" t="s">
        <v>1164</v>
      </c>
      <c r="P262" t="s">
        <v>867</v>
      </c>
      <c r="Q262" t="s">
        <v>1165</v>
      </c>
      <c r="R262" t="s">
        <v>1166</v>
      </c>
      <c r="S262" t="s">
        <v>239</v>
      </c>
      <c r="T262" t="s">
        <v>500</v>
      </c>
      <c r="U262" t="s">
        <v>265</v>
      </c>
      <c r="V262" t="s">
        <v>234</v>
      </c>
      <c r="W262" t="s">
        <v>52</v>
      </c>
      <c r="X262" t="s">
        <v>235</v>
      </c>
      <c r="Y262" t="s">
        <v>266</v>
      </c>
      <c r="Z262">
        <v>2239</v>
      </c>
      <c r="AA262">
        <v>2239</v>
      </c>
      <c r="AB262" t="s">
        <v>237</v>
      </c>
      <c r="AC262">
        <v>4.74</v>
      </c>
      <c r="AD262">
        <v>10612.86</v>
      </c>
      <c r="AE262">
        <v>3627.18</v>
      </c>
      <c r="AF262" t="s">
        <v>870</v>
      </c>
      <c r="AG262">
        <v>6985.68</v>
      </c>
      <c r="AH262">
        <v>0.66</v>
      </c>
    </row>
    <row r="263" spans="1:34" x14ac:dyDescent="0.25">
      <c r="A263" t="s">
        <v>591</v>
      </c>
      <c r="B263">
        <v>262</v>
      </c>
      <c r="C263" t="s">
        <v>487</v>
      </c>
      <c r="D263" t="s">
        <v>256</v>
      </c>
      <c r="E263" t="s">
        <v>247</v>
      </c>
      <c r="F263" t="s">
        <v>1299</v>
      </c>
      <c r="G263" s="25">
        <v>44242</v>
      </c>
      <c r="H263">
        <v>10</v>
      </c>
      <c r="I263">
        <v>46</v>
      </c>
      <c r="J263" t="s">
        <v>1301</v>
      </c>
      <c r="K263" t="s">
        <v>510</v>
      </c>
      <c r="L263" t="s">
        <v>231</v>
      </c>
      <c r="M263" t="s">
        <v>865</v>
      </c>
      <c r="N263" t="s">
        <v>186</v>
      </c>
      <c r="O263" t="s">
        <v>1302</v>
      </c>
      <c r="P263" t="s">
        <v>867</v>
      </c>
      <c r="Q263" t="s">
        <v>1303</v>
      </c>
      <c r="R263" t="s">
        <v>1304</v>
      </c>
      <c r="S263" t="s">
        <v>232</v>
      </c>
      <c r="T263" t="s">
        <v>508</v>
      </c>
      <c r="U263" t="s">
        <v>47</v>
      </c>
      <c r="V263" t="s">
        <v>234</v>
      </c>
      <c r="W263" t="s">
        <v>46</v>
      </c>
      <c r="X263" t="s">
        <v>21</v>
      </c>
      <c r="Y263" t="s">
        <v>288</v>
      </c>
      <c r="Z263">
        <v>3420</v>
      </c>
      <c r="AA263">
        <v>3420</v>
      </c>
      <c r="AB263" t="s">
        <v>237</v>
      </c>
      <c r="AC263">
        <v>3.98</v>
      </c>
      <c r="AD263">
        <v>13611.6</v>
      </c>
      <c r="AE263">
        <v>2701.8</v>
      </c>
      <c r="AF263" t="s">
        <v>870</v>
      </c>
      <c r="AG263">
        <v>10909.8</v>
      </c>
      <c r="AH263">
        <v>0.8</v>
      </c>
    </row>
    <row r="264" spans="1:34" x14ac:dyDescent="0.25">
      <c r="A264" t="s">
        <v>705</v>
      </c>
      <c r="B264">
        <v>263</v>
      </c>
      <c r="C264" t="s">
        <v>487</v>
      </c>
      <c r="D264" t="s">
        <v>256</v>
      </c>
      <c r="E264" t="s">
        <v>247</v>
      </c>
      <c r="F264" t="s">
        <v>1299</v>
      </c>
      <c r="G264" s="25">
        <v>44242</v>
      </c>
      <c r="H264">
        <v>10</v>
      </c>
      <c r="I264">
        <v>46</v>
      </c>
      <c r="J264" t="s">
        <v>1301</v>
      </c>
      <c r="K264" t="s">
        <v>876</v>
      </c>
      <c r="L264" t="s">
        <v>231</v>
      </c>
      <c r="M264" t="s">
        <v>865</v>
      </c>
      <c r="N264" t="s">
        <v>186</v>
      </c>
      <c r="O264" t="s">
        <v>1302</v>
      </c>
      <c r="P264" t="s">
        <v>867</v>
      </c>
      <c r="Q264" t="s">
        <v>1303</v>
      </c>
      <c r="R264" t="s">
        <v>1304</v>
      </c>
      <c r="S264" t="s">
        <v>232</v>
      </c>
      <c r="T264" t="s">
        <v>508</v>
      </c>
      <c r="U264" t="s">
        <v>47</v>
      </c>
      <c r="V264" t="s">
        <v>234</v>
      </c>
      <c r="W264" t="s">
        <v>46</v>
      </c>
      <c r="X264" t="s">
        <v>21</v>
      </c>
      <c r="Y264" t="s">
        <v>288</v>
      </c>
      <c r="Z264">
        <v>4125</v>
      </c>
      <c r="AA264">
        <v>4125</v>
      </c>
      <c r="AB264" t="s">
        <v>237</v>
      </c>
      <c r="AC264">
        <v>3.98</v>
      </c>
      <c r="AD264">
        <v>16417.5</v>
      </c>
      <c r="AE264">
        <v>3258.75</v>
      </c>
      <c r="AF264" t="s">
        <v>870</v>
      </c>
      <c r="AG264">
        <v>13158.75</v>
      </c>
      <c r="AH264">
        <v>0.8</v>
      </c>
    </row>
    <row r="265" spans="1:34" x14ac:dyDescent="0.25">
      <c r="A265" t="s">
        <v>817</v>
      </c>
      <c r="B265">
        <v>264</v>
      </c>
      <c r="C265" t="s">
        <v>487</v>
      </c>
      <c r="D265" t="s">
        <v>256</v>
      </c>
      <c r="E265" t="s">
        <v>247</v>
      </c>
      <c r="F265" t="s">
        <v>1299</v>
      </c>
      <c r="G265" s="25">
        <v>44242</v>
      </c>
      <c r="H265">
        <v>10</v>
      </c>
      <c r="I265">
        <v>46</v>
      </c>
      <c r="J265" t="s">
        <v>1301</v>
      </c>
      <c r="K265" t="s">
        <v>921</v>
      </c>
      <c r="L265" t="s">
        <v>231</v>
      </c>
      <c r="M265" t="s">
        <v>865</v>
      </c>
      <c r="N265" t="s">
        <v>186</v>
      </c>
      <c r="O265" t="s">
        <v>1302</v>
      </c>
      <c r="P265" t="s">
        <v>867</v>
      </c>
      <c r="Q265" t="s">
        <v>1303</v>
      </c>
      <c r="R265" t="s">
        <v>1304</v>
      </c>
      <c r="S265" t="s">
        <v>232</v>
      </c>
      <c r="T265" t="s">
        <v>508</v>
      </c>
      <c r="U265" t="s">
        <v>47</v>
      </c>
      <c r="V265" t="s">
        <v>234</v>
      </c>
      <c r="W265" t="s">
        <v>46</v>
      </c>
      <c r="X265" t="s">
        <v>21</v>
      </c>
      <c r="Y265" t="s">
        <v>288</v>
      </c>
      <c r="Z265">
        <v>3413</v>
      </c>
      <c r="AA265">
        <v>3413</v>
      </c>
      <c r="AB265" t="s">
        <v>237</v>
      </c>
      <c r="AC265">
        <v>3.98</v>
      </c>
      <c r="AD265">
        <v>13583.74</v>
      </c>
      <c r="AE265">
        <v>2696.27</v>
      </c>
      <c r="AF265" t="s">
        <v>870</v>
      </c>
      <c r="AG265">
        <v>10887.47</v>
      </c>
      <c r="AH265">
        <v>0.8</v>
      </c>
    </row>
    <row r="266" spans="1:34" x14ac:dyDescent="0.25">
      <c r="A266" t="s">
        <v>840</v>
      </c>
      <c r="B266">
        <v>265</v>
      </c>
      <c r="C266" t="s">
        <v>487</v>
      </c>
      <c r="D266" t="s">
        <v>256</v>
      </c>
      <c r="E266" t="s">
        <v>247</v>
      </c>
      <c r="F266" t="s">
        <v>1299</v>
      </c>
      <c r="G266" s="25">
        <v>44242</v>
      </c>
      <c r="H266">
        <v>10</v>
      </c>
      <c r="I266">
        <v>46</v>
      </c>
      <c r="J266" t="s">
        <v>1301</v>
      </c>
      <c r="K266" t="s">
        <v>956</v>
      </c>
      <c r="L266" t="s">
        <v>231</v>
      </c>
      <c r="M266" t="s">
        <v>865</v>
      </c>
      <c r="N266" t="s">
        <v>186</v>
      </c>
      <c r="O266" t="s">
        <v>1302</v>
      </c>
      <c r="P266" t="s">
        <v>867</v>
      </c>
      <c r="Q266" t="s">
        <v>1303</v>
      </c>
      <c r="R266" t="s">
        <v>1304</v>
      </c>
      <c r="S266" t="s">
        <v>232</v>
      </c>
      <c r="T266" t="s">
        <v>500</v>
      </c>
      <c r="U266" t="s">
        <v>265</v>
      </c>
      <c r="V266" t="s">
        <v>234</v>
      </c>
      <c r="W266" t="s">
        <v>52</v>
      </c>
      <c r="X266" t="s">
        <v>235</v>
      </c>
      <c r="Y266" t="s">
        <v>266</v>
      </c>
      <c r="Z266">
        <v>3142</v>
      </c>
      <c r="AA266">
        <v>3142</v>
      </c>
      <c r="AB266" t="s">
        <v>237</v>
      </c>
      <c r="AC266">
        <v>4.84</v>
      </c>
      <c r="AD266">
        <v>15207.28</v>
      </c>
      <c r="AE266">
        <v>5090.04</v>
      </c>
      <c r="AF266" t="s">
        <v>870</v>
      </c>
      <c r="AG266">
        <v>10117.24</v>
      </c>
      <c r="AH266">
        <v>0.67</v>
      </c>
    </row>
    <row r="267" spans="1:34" x14ac:dyDescent="0.25">
      <c r="A267" t="s">
        <v>624</v>
      </c>
      <c r="B267">
        <v>266</v>
      </c>
      <c r="C267" t="s">
        <v>487</v>
      </c>
      <c r="D267" t="s">
        <v>256</v>
      </c>
      <c r="E267" t="s">
        <v>326</v>
      </c>
      <c r="F267" t="s">
        <v>1305</v>
      </c>
      <c r="G267" s="25">
        <v>44243</v>
      </c>
      <c r="H267">
        <v>10</v>
      </c>
      <c r="I267">
        <v>47</v>
      </c>
      <c r="J267" t="s">
        <v>1306</v>
      </c>
      <c r="K267" t="s">
        <v>876</v>
      </c>
      <c r="L267" t="s">
        <v>231</v>
      </c>
      <c r="M267" t="s">
        <v>931</v>
      </c>
      <c r="N267" t="s">
        <v>186</v>
      </c>
      <c r="O267" t="s">
        <v>1251</v>
      </c>
      <c r="P267" t="s">
        <v>867</v>
      </c>
      <c r="Q267" t="s">
        <v>1252</v>
      </c>
      <c r="R267" t="s">
        <v>1253</v>
      </c>
      <c r="S267" t="s">
        <v>239</v>
      </c>
      <c r="T267" t="s">
        <v>491</v>
      </c>
      <c r="U267" t="s">
        <v>233</v>
      </c>
      <c r="V267" t="s">
        <v>234</v>
      </c>
      <c r="W267" t="s">
        <v>54</v>
      </c>
      <c r="X267" t="s">
        <v>235</v>
      </c>
      <c r="Y267" t="s">
        <v>236</v>
      </c>
      <c r="Z267">
        <v>2383</v>
      </c>
      <c r="AA267">
        <v>2383</v>
      </c>
      <c r="AB267" t="s">
        <v>237</v>
      </c>
      <c r="AC267">
        <v>5.41</v>
      </c>
      <c r="AD267">
        <v>12892.03</v>
      </c>
      <c r="AE267">
        <v>5409.41</v>
      </c>
      <c r="AF267" t="s">
        <v>870</v>
      </c>
      <c r="AG267">
        <v>7482.62</v>
      </c>
      <c r="AH267">
        <v>0.57999999999999996</v>
      </c>
    </row>
    <row r="268" spans="1:34" x14ac:dyDescent="0.25">
      <c r="A268" t="s">
        <v>679</v>
      </c>
      <c r="B268">
        <v>267</v>
      </c>
      <c r="C268" t="s">
        <v>487</v>
      </c>
      <c r="D268" t="s">
        <v>256</v>
      </c>
      <c r="E268" t="s">
        <v>326</v>
      </c>
      <c r="F268" t="s">
        <v>1305</v>
      </c>
      <c r="G268" s="25">
        <v>44243</v>
      </c>
      <c r="H268">
        <v>10</v>
      </c>
      <c r="I268">
        <v>47</v>
      </c>
      <c r="J268" t="s">
        <v>1306</v>
      </c>
      <c r="K268" t="s">
        <v>921</v>
      </c>
      <c r="L268" t="s">
        <v>231</v>
      </c>
      <c r="M268" t="s">
        <v>931</v>
      </c>
      <c r="N268" t="s">
        <v>186</v>
      </c>
      <c r="O268" t="s">
        <v>1251</v>
      </c>
      <c r="P268" t="s">
        <v>867</v>
      </c>
      <c r="Q268" t="s">
        <v>1252</v>
      </c>
      <c r="R268" t="s">
        <v>1253</v>
      </c>
      <c r="S268" t="s">
        <v>239</v>
      </c>
      <c r="T268" t="s">
        <v>491</v>
      </c>
      <c r="U268" t="s">
        <v>233</v>
      </c>
      <c r="V268" t="s">
        <v>234</v>
      </c>
      <c r="W268" t="s">
        <v>54</v>
      </c>
      <c r="X268" t="s">
        <v>235</v>
      </c>
      <c r="Y268" t="s">
        <v>236</v>
      </c>
      <c r="Z268">
        <v>2601</v>
      </c>
      <c r="AA268">
        <v>2601</v>
      </c>
      <c r="AB268" t="s">
        <v>237</v>
      </c>
      <c r="AC268">
        <v>5.41</v>
      </c>
      <c r="AD268">
        <v>14071.41</v>
      </c>
      <c r="AE268">
        <v>5904.27</v>
      </c>
      <c r="AF268" t="s">
        <v>870</v>
      </c>
      <c r="AG268">
        <v>8167.14</v>
      </c>
      <c r="AH268">
        <v>0.57999999999999996</v>
      </c>
    </row>
    <row r="269" spans="1:34" x14ac:dyDescent="0.25">
      <c r="A269" t="s">
        <v>610</v>
      </c>
      <c r="B269">
        <v>268</v>
      </c>
      <c r="C269" t="s">
        <v>487</v>
      </c>
      <c r="D269" t="s">
        <v>256</v>
      </c>
      <c r="E269" t="s">
        <v>326</v>
      </c>
      <c r="F269" t="s">
        <v>1305</v>
      </c>
      <c r="G269" s="25">
        <v>44243</v>
      </c>
      <c r="H269">
        <v>10</v>
      </c>
      <c r="I269">
        <v>47</v>
      </c>
      <c r="J269" t="s">
        <v>1306</v>
      </c>
      <c r="K269" t="s">
        <v>510</v>
      </c>
      <c r="L269" t="s">
        <v>231</v>
      </c>
      <c r="M269" t="s">
        <v>931</v>
      </c>
      <c r="N269" t="s">
        <v>186</v>
      </c>
      <c r="O269" t="s">
        <v>1251</v>
      </c>
      <c r="P269" t="s">
        <v>867</v>
      </c>
      <c r="Q269" t="s">
        <v>1252</v>
      </c>
      <c r="R269" t="s">
        <v>1253</v>
      </c>
      <c r="S269" t="s">
        <v>239</v>
      </c>
      <c r="T269" t="s">
        <v>491</v>
      </c>
      <c r="U269" t="s">
        <v>233</v>
      </c>
      <c r="V269" t="s">
        <v>234</v>
      </c>
      <c r="W269" t="s">
        <v>54</v>
      </c>
      <c r="X269" t="s">
        <v>235</v>
      </c>
      <c r="Y269" t="s">
        <v>236</v>
      </c>
      <c r="Z269">
        <v>2939</v>
      </c>
      <c r="AA269">
        <v>2939</v>
      </c>
      <c r="AB269" t="s">
        <v>237</v>
      </c>
      <c r="AC269">
        <v>5.41</v>
      </c>
      <c r="AD269">
        <v>15899.99</v>
      </c>
      <c r="AE269">
        <v>6671.53</v>
      </c>
      <c r="AF269" t="s">
        <v>870</v>
      </c>
      <c r="AG269">
        <v>9228.4599999999991</v>
      </c>
      <c r="AH269">
        <v>0.57999999999999996</v>
      </c>
    </row>
    <row r="270" spans="1:34" x14ac:dyDescent="0.25">
      <c r="A270" t="s">
        <v>544</v>
      </c>
      <c r="B270">
        <v>269</v>
      </c>
      <c r="C270" t="s">
        <v>487</v>
      </c>
      <c r="D270" t="s">
        <v>256</v>
      </c>
      <c r="E270" t="s">
        <v>326</v>
      </c>
      <c r="F270" t="s">
        <v>1305</v>
      </c>
      <c r="G270" s="25">
        <v>44243</v>
      </c>
      <c r="H270">
        <v>10</v>
      </c>
      <c r="I270">
        <v>47</v>
      </c>
      <c r="J270" t="s">
        <v>1307</v>
      </c>
      <c r="K270" t="s">
        <v>956</v>
      </c>
      <c r="L270" t="s">
        <v>231</v>
      </c>
      <c r="M270" t="s">
        <v>931</v>
      </c>
      <c r="N270" t="s">
        <v>186</v>
      </c>
      <c r="O270" t="s">
        <v>1308</v>
      </c>
      <c r="P270" t="s">
        <v>867</v>
      </c>
      <c r="Q270" t="s">
        <v>1309</v>
      </c>
      <c r="R270" t="s">
        <v>1310</v>
      </c>
      <c r="S270" t="s">
        <v>232</v>
      </c>
      <c r="T270" t="s">
        <v>491</v>
      </c>
      <c r="U270" t="s">
        <v>233</v>
      </c>
      <c r="V270" t="s">
        <v>234</v>
      </c>
      <c r="W270" t="s">
        <v>54</v>
      </c>
      <c r="X270" t="s">
        <v>235</v>
      </c>
      <c r="Y270" t="s">
        <v>236</v>
      </c>
      <c r="Z270">
        <v>2370</v>
      </c>
      <c r="AA270">
        <v>2370</v>
      </c>
      <c r="AB270" t="s">
        <v>237</v>
      </c>
      <c r="AC270">
        <v>5.52</v>
      </c>
      <c r="AD270">
        <v>13082.4</v>
      </c>
      <c r="AE270">
        <v>5379.9</v>
      </c>
      <c r="AF270" t="s">
        <v>870</v>
      </c>
      <c r="AG270">
        <v>7702.5</v>
      </c>
      <c r="AH270">
        <v>0.59</v>
      </c>
    </row>
    <row r="271" spans="1:34" x14ac:dyDescent="0.25">
      <c r="A271" t="s">
        <v>830</v>
      </c>
      <c r="B271">
        <v>270</v>
      </c>
      <c r="C271" t="s">
        <v>487</v>
      </c>
      <c r="D271" t="s">
        <v>256</v>
      </c>
      <c r="E271" t="s">
        <v>326</v>
      </c>
      <c r="F271" t="s">
        <v>1305</v>
      </c>
      <c r="G271" s="25">
        <v>44243</v>
      </c>
      <c r="H271">
        <v>10</v>
      </c>
      <c r="I271">
        <v>47</v>
      </c>
      <c r="J271" t="s">
        <v>1307</v>
      </c>
      <c r="K271" t="s">
        <v>510</v>
      </c>
      <c r="L271" t="s">
        <v>231</v>
      </c>
      <c r="M271" t="s">
        <v>931</v>
      </c>
      <c r="N271" t="s">
        <v>186</v>
      </c>
      <c r="O271" t="s">
        <v>1308</v>
      </c>
      <c r="P271" t="s">
        <v>867</v>
      </c>
      <c r="Q271" t="s">
        <v>1309</v>
      </c>
      <c r="R271" t="s">
        <v>1310</v>
      </c>
      <c r="S271" t="s">
        <v>232</v>
      </c>
      <c r="T271" t="s">
        <v>491</v>
      </c>
      <c r="U271" t="s">
        <v>233</v>
      </c>
      <c r="V271" t="s">
        <v>234</v>
      </c>
      <c r="W271" t="s">
        <v>54</v>
      </c>
      <c r="X271" t="s">
        <v>235</v>
      </c>
      <c r="Y271" t="s">
        <v>236</v>
      </c>
      <c r="Z271">
        <v>2851</v>
      </c>
      <c r="AA271">
        <v>2851</v>
      </c>
      <c r="AB271" t="s">
        <v>237</v>
      </c>
      <c r="AC271">
        <v>5.52</v>
      </c>
      <c r="AD271">
        <v>15737.52</v>
      </c>
      <c r="AE271">
        <v>6471.77</v>
      </c>
      <c r="AF271" t="s">
        <v>870</v>
      </c>
      <c r="AG271">
        <v>9265.75</v>
      </c>
      <c r="AH271">
        <v>0.59</v>
      </c>
    </row>
    <row r="272" spans="1:34" x14ac:dyDescent="0.25">
      <c r="A272" t="s">
        <v>749</v>
      </c>
      <c r="B272">
        <v>271</v>
      </c>
      <c r="C272" t="s">
        <v>487</v>
      </c>
      <c r="D272" t="s">
        <v>256</v>
      </c>
      <c r="E272" t="s">
        <v>326</v>
      </c>
      <c r="F272" t="s">
        <v>1305</v>
      </c>
      <c r="G272" s="25">
        <v>44243</v>
      </c>
      <c r="H272">
        <v>10</v>
      </c>
      <c r="I272">
        <v>47</v>
      </c>
      <c r="J272" t="s">
        <v>1307</v>
      </c>
      <c r="K272" t="s">
        <v>921</v>
      </c>
      <c r="L272" t="s">
        <v>231</v>
      </c>
      <c r="M272" t="s">
        <v>931</v>
      </c>
      <c r="N272" t="s">
        <v>186</v>
      </c>
      <c r="O272" t="s">
        <v>1308</v>
      </c>
      <c r="P272" t="s">
        <v>867</v>
      </c>
      <c r="Q272" t="s">
        <v>1309</v>
      </c>
      <c r="R272" t="s">
        <v>1310</v>
      </c>
      <c r="S272" t="s">
        <v>232</v>
      </c>
      <c r="T272" t="s">
        <v>491</v>
      </c>
      <c r="U272" t="s">
        <v>233</v>
      </c>
      <c r="V272" t="s">
        <v>234</v>
      </c>
      <c r="W272" t="s">
        <v>54</v>
      </c>
      <c r="X272" t="s">
        <v>235</v>
      </c>
      <c r="Y272" t="s">
        <v>236</v>
      </c>
      <c r="Z272">
        <v>2458</v>
      </c>
      <c r="AA272">
        <v>2458</v>
      </c>
      <c r="AB272" t="s">
        <v>237</v>
      </c>
      <c r="AC272">
        <v>5.52</v>
      </c>
      <c r="AD272">
        <v>13568.16</v>
      </c>
      <c r="AE272">
        <v>5579.66</v>
      </c>
      <c r="AF272" t="s">
        <v>870</v>
      </c>
      <c r="AG272">
        <v>7988.5</v>
      </c>
      <c r="AH272">
        <v>0.59</v>
      </c>
    </row>
    <row r="273" spans="1:34" x14ac:dyDescent="0.25">
      <c r="A273" t="s">
        <v>528</v>
      </c>
      <c r="B273">
        <v>272</v>
      </c>
      <c r="C273" t="s">
        <v>487</v>
      </c>
      <c r="D273" t="s">
        <v>256</v>
      </c>
      <c r="E273" t="s">
        <v>326</v>
      </c>
      <c r="F273" t="s">
        <v>1305</v>
      </c>
      <c r="G273" s="25">
        <v>44243</v>
      </c>
      <c r="H273">
        <v>10</v>
      </c>
      <c r="I273">
        <v>47</v>
      </c>
      <c r="J273" t="s">
        <v>1307</v>
      </c>
      <c r="K273" t="s">
        <v>876</v>
      </c>
      <c r="L273" t="s">
        <v>231</v>
      </c>
      <c r="M273" t="s">
        <v>931</v>
      </c>
      <c r="N273" t="s">
        <v>186</v>
      </c>
      <c r="O273" t="s">
        <v>1308</v>
      </c>
      <c r="P273" t="s">
        <v>867</v>
      </c>
      <c r="Q273" t="s">
        <v>1309</v>
      </c>
      <c r="R273" t="s">
        <v>1310</v>
      </c>
      <c r="S273" t="s">
        <v>232</v>
      </c>
      <c r="T273" t="s">
        <v>502</v>
      </c>
      <c r="U273" t="s">
        <v>287</v>
      </c>
      <c r="V273" t="s">
        <v>234</v>
      </c>
      <c r="W273" t="s">
        <v>58</v>
      </c>
      <c r="X273" t="s">
        <v>235</v>
      </c>
      <c r="Y273" t="s">
        <v>288</v>
      </c>
      <c r="Z273">
        <v>1750</v>
      </c>
      <c r="AA273">
        <v>1750</v>
      </c>
      <c r="AB273" t="s">
        <v>237</v>
      </c>
      <c r="AC273">
        <v>4.5999999999999996</v>
      </c>
      <c r="AD273">
        <v>8050</v>
      </c>
      <c r="AE273">
        <v>2432.5</v>
      </c>
      <c r="AF273" t="s">
        <v>870</v>
      </c>
      <c r="AG273">
        <v>5617.5</v>
      </c>
      <c r="AH273">
        <v>0.7</v>
      </c>
    </row>
    <row r="274" spans="1:34" x14ac:dyDescent="0.25">
      <c r="A274" t="s">
        <v>836</v>
      </c>
      <c r="B274">
        <v>273</v>
      </c>
      <c r="C274" t="s">
        <v>487</v>
      </c>
      <c r="D274" t="s">
        <v>256</v>
      </c>
      <c r="E274" t="s">
        <v>381</v>
      </c>
      <c r="F274" t="s">
        <v>1311</v>
      </c>
      <c r="G274" s="25">
        <v>44244</v>
      </c>
      <c r="H274">
        <v>10</v>
      </c>
      <c r="I274">
        <v>48</v>
      </c>
      <c r="J274" t="s">
        <v>1312</v>
      </c>
      <c r="K274" t="s">
        <v>510</v>
      </c>
      <c r="L274" t="s">
        <v>231</v>
      </c>
      <c r="M274" t="s">
        <v>865</v>
      </c>
      <c r="N274" t="s">
        <v>186</v>
      </c>
      <c r="O274" t="s">
        <v>1012</v>
      </c>
      <c r="P274" t="s">
        <v>867</v>
      </c>
      <c r="Q274" t="s">
        <v>1168</v>
      </c>
      <c r="R274" t="s">
        <v>1169</v>
      </c>
      <c r="S274" t="s">
        <v>232</v>
      </c>
      <c r="T274" t="s">
        <v>508</v>
      </c>
      <c r="U274" t="s">
        <v>47</v>
      </c>
      <c r="V274" t="s">
        <v>234</v>
      </c>
      <c r="W274" t="s">
        <v>46</v>
      </c>
      <c r="X274" t="s">
        <v>21</v>
      </c>
      <c r="Y274" t="s">
        <v>288</v>
      </c>
      <c r="Z274">
        <v>3977</v>
      </c>
      <c r="AA274">
        <v>3977</v>
      </c>
      <c r="AB274" t="s">
        <v>237</v>
      </c>
      <c r="AC274">
        <v>3.98</v>
      </c>
      <c r="AD274">
        <v>15828.46</v>
      </c>
      <c r="AE274">
        <v>3141.83</v>
      </c>
      <c r="AF274" t="s">
        <v>870</v>
      </c>
      <c r="AG274">
        <v>12686.63</v>
      </c>
      <c r="AH274">
        <v>0.8</v>
      </c>
    </row>
    <row r="275" spans="1:34" x14ac:dyDescent="0.25">
      <c r="A275" t="s">
        <v>849</v>
      </c>
      <c r="B275">
        <v>274</v>
      </c>
      <c r="C275" t="s">
        <v>487</v>
      </c>
      <c r="D275" t="s">
        <v>256</v>
      </c>
      <c r="E275" t="s">
        <v>381</v>
      </c>
      <c r="F275" t="s">
        <v>1311</v>
      </c>
      <c r="G275" s="25">
        <v>44244</v>
      </c>
      <c r="H275">
        <v>10</v>
      </c>
      <c r="I275">
        <v>48</v>
      </c>
      <c r="J275" t="s">
        <v>1312</v>
      </c>
      <c r="K275" t="s">
        <v>876</v>
      </c>
      <c r="L275" t="s">
        <v>231</v>
      </c>
      <c r="M275" t="s">
        <v>865</v>
      </c>
      <c r="N275" t="s">
        <v>186</v>
      </c>
      <c r="O275" t="s">
        <v>1012</v>
      </c>
      <c r="P275" t="s">
        <v>867</v>
      </c>
      <c r="Q275" t="s">
        <v>1168</v>
      </c>
      <c r="R275" t="s">
        <v>1169</v>
      </c>
      <c r="S275" t="s">
        <v>232</v>
      </c>
      <c r="T275" t="s">
        <v>508</v>
      </c>
      <c r="U275" t="s">
        <v>47</v>
      </c>
      <c r="V275" t="s">
        <v>234</v>
      </c>
      <c r="W275" t="s">
        <v>46</v>
      </c>
      <c r="X275" t="s">
        <v>21</v>
      </c>
      <c r="Y275" t="s">
        <v>288</v>
      </c>
      <c r="Z275">
        <v>1284</v>
      </c>
      <c r="AA275">
        <v>1284</v>
      </c>
      <c r="AB275" t="s">
        <v>237</v>
      </c>
      <c r="AC275">
        <v>3.98</v>
      </c>
      <c r="AD275">
        <v>5110.32</v>
      </c>
      <c r="AE275">
        <v>1014.36</v>
      </c>
      <c r="AF275" t="s">
        <v>870</v>
      </c>
      <c r="AG275">
        <v>4095.96</v>
      </c>
      <c r="AH275">
        <v>0.8</v>
      </c>
    </row>
    <row r="276" spans="1:34" x14ac:dyDescent="0.25">
      <c r="A276" t="s">
        <v>751</v>
      </c>
      <c r="B276">
        <v>275</v>
      </c>
      <c r="C276" t="s">
        <v>487</v>
      </c>
      <c r="D276" t="s">
        <v>256</v>
      </c>
      <c r="E276" t="s">
        <v>381</v>
      </c>
      <c r="F276" t="s">
        <v>1311</v>
      </c>
      <c r="G276" s="25">
        <v>44244</v>
      </c>
      <c r="H276">
        <v>10</v>
      </c>
      <c r="I276">
        <v>48</v>
      </c>
      <c r="J276" t="s">
        <v>1313</v>
      </c>
      <c r="K276" t="s">
        <v>921</v>
      </c>
      <c r="L276" t="s">
        <v>231</v>
      </c>
      <c r="M276" t="s">
        <v>926</v>
      </c>
      <c r="N276" t="s">
        <v>185</v>
      </c>
      <c r="O276" t="s">
        <v>953</v>
      </c>
      <c r="P276" t="s">
        <v>867</v>
      </c>
      <c r="Q276" t="s">
        <v>954</v>
      </c>
      <c r="R276" t="s">
        <v>955</v>
      </c>
      <c r="S276" t="s">
        <v>232</v>
      </c>
      <c r="T276" t="s">
        <v>491</v>
      </c>
      <c r="U276" t="s">
        <v>233</v>
      </c>
      <c r="V276" t="s">
        <v>234</v>
      </c>
      <c r="W276" t="s">
        <v>54</v>
      </c>
      <c r="X276" t="s">
        <v>235</v>
      </c>
      <c r="Y276" t="s">
        <v>236</v>
      </c>
      <c r="Z276">
        <v>398</v>
      </c>
      <c r="AA276">
        <v>398</v>
      </c>
      <c r="AB276" t="s">
        <v>237</v>
      </c>
      <c r="AC276">
        <v>5.52</v>
      </c>
      <c r="AD276">
        <v>2196.96</v>
      </c>
      <c r="AE276">
        <v>903.46</v>
      </c>
      <c r="AF276" t="s">
        <v>870</v>
      </c>
      <c r="AG276">
        <v>1293.5</v>
      </c>
      <c r="AH276">
        <v>0.59</v>
      </c>
    </row>
    <row r="277" spans="1:34" x14ac:dyDescent="0.25">
      <c r="A277" t="s">
        <v>842</v>
      </c>
      <c r="B277">
        <v>276</v>
      </c>
      <c r="C277" t="s">
        <v>487</v>
      </c>
      <c r="D277" t="s">
        <v>256</v>
      </c>
      <c r="E277" t="s">
        <v>381</v>
      </c>
      <c r="F277" t="s">
        <v>1311</v>
      </c>
      <c r="G277" s="25">
        <v>44244</v>
      </c>
      <c r="H277">
        <v>10</v>
      </c>
      <c r="I277">
        <v>48</v>
      </c>
      <c r="J277" t="s">
        <v>1312</v>
      </c>
      <c r="K277" t="s">
        <v>956</v>
      </c>
      <c r="L277" t="s">
        <v>231</v>
      </c>
      <c r="M277" t="s">
        <v>865</v>
      </c>
      <c r="N277" t="s">
        <v>186</v>
      </c>
      <c r="O277" t="s">
        <v>1012</v>
      </c>
      <c r="P277" t="s">
        <v>867</v>
      </c>
      <c r="Q277" t="s">
        <v>1168</v>
      </c>
      <c r="R277" t="s">
        <v>1169</v>
      </c>
      <c r="S277" t="s">
        <v>232</v>
      </c>
      <c r="T277" t="s">
        <v>502</v>
      </c>
      <c r="U277" t="s">
        <v>287</v>
      </c>
      <c r="V277" t="s">
        <v>234</v>
      </c>
      <c r="W277" t="s">
        <v>58</v>
      </c>
      <c r="X277" t="s">
        <v>235</v>
      </c>
      <c r="Y277" t="s">
        <v>288</v>
      </c>
      <c r="Z277">
        <v>3225</v>
      </c>
      <c r="AA277">
        <v>3225</v>
      </c>
      <c r="AB277" t="s">
        <v>237</v>
      </c>
      <c r="AC277">
        <v>4.5999999999999996</v>
      </c>
      <c r="AD277">
        <v>14835</v>
      </c>
      <c r="AE277">
        <v>4482.75</v>
      </c>
      <c r="AF277" t="s">
        <v>870</v>
      </c>
      <c r="AG277">
        <v>10352.25</v>
      </c>
      <c r="AH277">
        <v>0.7</v>
      </c>
    </row>
    <row r="278" spans="1:34" x14ac:dyDescent="0.25">
      <c r="A278" t="s">
        <v>523</v>
      </c>
      <c r="B278">
        <v>277</v>
      </c>
      <c r="C278" t="s">
        <v>487</v>
      </c>
      <c r="D278" t="s">
        <v>256</v>
      </c>
      <c r="E278" t="s">
        <v>381</v>
      </c>
      <c r="F278" t="s">
        <v>1311</v>
      </c>
      <c r="G278" s="25">
        <v>44244</v>
      </c>
      <c r="H278">
        <v>10</v>
      </c>
      <c r="I278">
        <v>48</v>
      </c>
      <c r="J278" t="s">
        <v>1312</v>
      </c>
      <c r="K278" t="s">
        <v>921</v>
      </c>
      <c r="L278" t="s">
        <v>231</v>
      </c>
      <c r="M278" t="s">
        <v>865</v>
      </c>
      <c r="N278" t="s">
        <v>186</v>
      </c>
      <c r="O278" t="s">
        <v>1012</v>
      </c>
      <c r="P278" t="s">
        <v>867</v>
      </c>
      <c r="Q278" t="s">
        <v>1168</v>
      </c>
      <c r="R278" t="s">
        <v>1169</v>
      </c>
      <c r="S278" t="s">
        <v>232</v>
      </c>
      <c r="T278" t="s">
        <v>502</v>
      </c>
      <c r="U278" t="s">
        <v>287</v>
      </c>
      <c r="V278" t="s">
        <v>234</v>
      </c>
      <c r="W278" t="s">
        <v>58</v>
      </c>
      <c r="X278" t="s">
        <v>235</v>
      </c>
      <c r="Y278" t="s">
        <v>288</v>
      </c>
      <c r="Z278">
        <v>3555</v>
      </c>
      <c r="AA278">
        <v>3555</v>
      </c>
      <c r="AB278" t="s">
        <v>237</v>
      </c>
      <c r="AC278">
        <v>4.5999999999999996</v>
      </c>
      <c r="AD278">
        <v>16353</v>
      </c>
      <c r="AE278">
        <v>4941.45</v>
      </c>
      <c r="AF278" t="s">
        <v>870</v>
      </c>
      <c r="AG278">
        <v>11411.55</v>
      </c>
      <c r="AH278">
        <v>0.7</v>
      </c>
    </row>
    <row r="279" spans="1:34" x14ac:dyDescent="0.25">
      <c r="A279" t="s">
        <v>821</v>
      </c>
      <c r="B279">
        <v>278</v>
      </c>
      <c r="C279" t="s">
        <v>487</v>
      </c>
      <c r="D279" t="s">
        <v>256</v>
      </c>
      <c r="E279" t="s">
        <v>381</v>
      </c>
      <c r="F279" t="s">
        <v>1311</v>
      </c>
      <c r="G279" s="25">
        <v>44244</v>
      </c>
      <c r="H279">
        <v>10</v>
      </c>
      <c r="I279">
        <v>48</v>
      </c>
      <c r="J279" t="s">
        <v>1314</v>
      </c>
      <c r="K279" t="s">
        <v>876</v>
      </c>
      <c r="L279" t="s">
        <v>231</v>
      </c>
      <c r="M279" t="s">
        <v>865</v>
      </c>
      <c r="N279" t="s">
        <v>186</v>
      </c>
      <c r="O279" t="s">
        <v>1315</v>
      </c>
      <c r="P279" t="s">
        <v>867</v>
      </c>
      <c r="Q279" t="s">
        <v>1316</v>
      </c>
      <c r="R279" t="s">
        <v>1317</v>
      </c>
      <c r="S279" t="s">
        <v>232</v>
      </c>
      <c r="T279" t="s">
        <v>502</v>
      </c>
      <c r="U279" t="s">
        <v>287</v>
      </c>
      <c r="V279" t="s">
        <v>234</v>
      </c>
      <c r="W279" t="s">
        <v>58</v>
      </c>
      <c r="X279" t="s">
        <v>235</v>
      </c>
      <c r="Y279" t="s">
        <v>288</v>
      </c>
      <c r="Z279">
        <v>3538</v>
      </c>
      <c r="AA279">
        <v>3538</v>
      </c>
      <c r="AB279" t="s">
        <v>237</v>
      </c>
      <c r="AC279">
        <v>4.5999999999999996</v>
      </c>
      <c r="AD279">
        <v>16274.8</v>
      </c>
      <c r="AE279">
        <v>4917.82</v>
      </c>
      <c r="AF279" t="s">
        <v>870</v>
      </c>
      <c r="AG279">
        <v>11356.98</v>
      </c>
      <c r="AH279">
        <v>0.7</v>
      </c>
    </row>
    <row r="280" spans="1:34" x14ac:dyDescent="0.25">
      <c r="A280" t="s">
        <v>852</v>
      </c>
      <c r="B280">
        <v>279</v>
      </c>
      <c r="C280" t="s">
        <v>487</v>
      </c>
      <c r="D280" t="s">
        <v>256</v>
      </c>
      <c r="E280" t="s">
        <v>381</v>
      </c>
      <c r="F280" t="s">
        <v>1311</v>
      </c>
      <c r="G280" s="25">
        <v>44244</v>
      </c>
      <c r="H280">
        <v>10</v>
      </c>
      <c r="I280">
        <v>48</v>
      </c>
      <c r="J280" t="s">
        <v>1314</v>
      </c>
      <c r="K280" t="s">
        <v>921</v>
      </c>
      <c r="L280" t="s">
        <v>231</v>
      </c>
      <c r="M280" t="s">
        <v>865</v>
      </c>
      <c r="N280" t="s">
        <v>186</v>
      </c>
      <c r="O280" t="s">
        <v>1315</v>
      </c>
      <c r="P280" t="s">
        <v>867</v>
      </c>
      <c r="Q280" t="s">
        <v>1316</v>
      </c>
      <c r="R280" t="s">
        <v>1317</v>
      </c>
      <c r="S280" t="s">
        <v>232</v>
      </c>
      <c r="T280" t="s">
        <v>502</v>
      </c>
      <c r="U280" t="s">
        <v>287</v>
      </c>
      <c r="V280" t="s">
        <v>234</v>
      </c>
      <c r="W280" t="s">
        <v>58</v>
      </c>
      <c r="X280" t="s">
        <v>235</v>
      </c>
      <c r="Y280" t="s">
        <v>288</v>
      </c>
      <c r="Z280">
        <v>3002</v>
      </c>
      <c r="AA280">
        <v>3002</v>
      </c>
      <c r="AB280" t="s">
        <v>237</v>
      </c>
      <c r="AC280">
        <v>4.5999999999999996</v>
      </c>
      <c r="AD280">
        <v>13809.2</v>
      </c>
      <c r="AE280">
        <v>4172.78</v>
      </c>
      <c r="AF280" t="s">
        <v>870</v>
      </c>
      <c r="AG280">
        <v>9636.42</v>
      </c>
      <c r="AH280">
        <v>0.7</v>
      </c>
    </row>
    <row r="281" spans="1:34" x14ac:dyDescent="0.25">
      <c r="A281" t="s">
        <v>697</v>
      </c>
      <c r="B281">
        <v>280</v>
      </c>
      <c r="C281" t="s">
        <v>487</v>
      </c>
      <c r="D281" t="s">
        <v>256</v>
      </c>
      <c r="E281" t="s">
        <v>381</v>
      </c>
      <c r="F281" t="s">
        <v>1311</v>
      </c>
      <c r="G281" s="25">
        <v>44244</v>
      </c>
      <c r="H281">
        <v>10</v>
      </c>
      <c r="I281">
        <v>48</v>
      </c>
      <c r="J281" t="s">
        <v>1314</v>
      </c>
      <c r="K281" t="s">
        <v>510</v>
      </c>
      <c r="L281" t="s">
        <v>231</v>
      </c>
      <c r="M281" t="s">
        <v>865</v>
      </c>
      <c r="N281" t="s">
        <v>186</v>
      </c>
      <c r="O281" t="s">
        <v>1315</v>
      </c>
      <c r="P281" t="s">
        <v>867</v>
      </c>
      <c r="Q281" t="s">
        <v>1316</v>
      </c>
      <c r="R281" t="s">
        <v>1317</v>
      </c>
      <c r="S281" t="s">
        <v>232</v>
      </c>
      <c r="T281" t="s">
        <v>502</v>
      </c>
      <c r="U281" t="s">
        <v>287</v>
      </c>
      <c r="V281" t="s">
        <v>234</v>
      </c>
      <c r="W281" t="s">
        <v>58</v>
      </c>
      <c r="X281" t="s">
        <v>235</v>
      </c>
      <c r="Y281" t="s">
        <v>288</v>
      </c>
      <c r="Z281">
        <v>3429</v>
      </c>
      <c r="AA281">
        <v>3429</v>
      </c>
      <c r="AB281" t="s">
        <v>237</v>
      </c>
      <c r="AC281">
        <v>4.5999999999999996</v>
      </c>
      <c r="AD281">
        <v>15773.4</v>
      </c>
      <c r="AE281">
        <v>4766.3100000000004</v>
      </c>
      <c r="AF281" t="s">
        <v>870</v>
      </c>
      <c r="AG281">
        <v>11007.09</v>
      </c>
      <c r="AH281">
        <v>0.7</v>
      </c>
    </row>
    <row r="282" spans="1:34" x14ac:dyDescent="0.25">
      <c r="A282" t="s">
        <v>828</v>
      </c>
      <c r="B282">
        <v>281</v>
      </c>
      <c r="C282" t="s">
        <v>487</v>
      </c>
      <c r="D282" t="s">
        <v>256</v>
      </c>
      <c r="E282" t="s">
        <v>381</v>
      </c>
      <c r="F282" t="s">
        <v>1311</v>
      </c>
      <c r="G282" s="25">
        <v>44244</v>
      </c>
      <c r="H282">
        <v>10</v>
      </c>
      <c r="I282">
        <v>48</v>
      </c>
      <c r="J282" t="s">
        <v>1313</v>
      </c>
      <c r="K282" t="s">
        <v>510</v>
      </c>
      <c r="L282" t="s">
        <v>231</v>
      </c>
      <c r="M282" t="s">
        <v>926</v>
      </c>
      <c r="N282" t="s">
        <v>185</v>
      </c>
      <c r="O282" t="s">
        <v>953</v>
      </c>
      <c r="P282" t="s">
        <v>867</v>
      </c>
      <c r="Q282" t="s">
        <v>954</v>
      </c>
      <c r="R282" t="s">
        <v>955</v>
      </c>
      <c r="S282" t="s">
        <v>232</v>
      </c>
      <c r="T282" t="s">
        <v>502</v>
      </c>
      <c r="U282" t="s">
        <v>287</v>
      </c>
      <c r="V282" t="s">
        <v>234</v>
      </c>
      <c r="W282" t="s">
        <v>58</v>
      </c>
      <c r="X282" t="s">
        <v>235</v>
      </c>
      <c r="Y282" t="s">
        <v>288</v>
      </c>
      <c r="Z282">
        <v>3326</v>
      </c>
      <c r="AA282">
        <v>3326</v>
      </c>
      <c r="AB282" t="s">
        <v>237</v>
      </c>
      <c r="AC282">
        <v>4.5999999999999996</v>
      </c>
      <c r="AD282">
        <v>15299.6</v>
      </c>
      <c r="AE282">
        <v>4623.1400000000003</v>
      </c>
      <c r="AF282" t="s">
        <v>870</v>
      </c>
      <c r="AG282">
        <v>10676.46</v>
      </c>
      <c r="AH282">
        <v>0.7</v>
      </c>
    </row>
    <row r="283" spans="1:34" x14ac:dyDescent="0.25">
      <c r="A283" t="s">
        <v>511</v>
      </c>
      <c r="B283">
        <v>282</v>
      </c>
      <c r="C283" t="s">
        <v>487</v>
      </c>
      <c r="D283" t="s">
        <v>256</v>
      </c>
      <c r="E283" t="s">
        <v>381</v>
      </c>
      <c r="F283" t="s">
        <v>1311</v>
      </c>
      <c r="G283" s="25">
        <v>44244</v>
      </c>
      <c r="H283">
        <v>10</v>
      </c>
      <c r="I283">
        <v>48</v>
      </c>
      <c r="J283" t="s">
        <v>1313</v>
      </c>
      <c r="K283" t="s">
        <v>876</v>
      </c>
      <c r="L283" t="s">
        <v>231</v>
      </c>
      <c r="M283" t="s">
        <v>926</v>
      </c>
      <c r="N283" t="s">
        <v>185</v>
      </c>
      <c r="O283" t="s">
        <v>953</v>
      </c>
      <c r="P283" t="s">
        <v>867</v>
      </c>
      <c r="Q283" t="s">
        <v>954</v>
      </c>
      <c r="R283" t="s">
        <v>955</v>
      </c>
      <c r="S283" t="s">
        <v>232</v>
      </c>
      <c r="T283" t="s">
        <v>502</v>
      </c>
      <c r="U283" t="s">
        <v>287</v>
      </c>
      <c r="V283" t="s">
        <v>234</v>
      </c>
      <c r="W283" t="s">
        <v>58</v>
      </c>
      <c r="X283" t="s">
        <v>235</v>
      </c>
      <c r="Y283" t="s">
        <v>288</v>
      </c>
      <c r="Z283">
        <v>2823</v>
      </c>
      <c r="AA283">
        <v>2823</v>
      </c>
      <c r="AB283" t="s">
        <v>237</v>
      </c>
      <c r="AC283">
        <v>4.5999999999999996</v>
      </c>
      <c r="AD283">
        <v>12985.8</v>
      </c>
      <c r="AE283">
        <v>3923.97</v>
      </c>
      <c r="AF283" t="s">
        <v>870</v>
      </c>
      <c r="AG283">
        <v>9061.83</v>
      </c>
      <c r="AH283">
        <v>0.7</v>
      </c>
    </row>
    <row r="284" spans="1:34" x14ac:dyDescent="0.25">
      <c r="A284" t="s">
        <v>649</v>
      </c>
      <c r="B284">
        <v>283</v>
      </c>
      <c r="C284" t="s">
        <v>487</v>
      </c>
      <c r="D284" t="s">
        <v>256</v>
      </c>
      <c r="E284" t="s">
        <v>371</v>
      </c>
      <c r="F284" t="s">
        <v>1318</v>
      </c>
      <c r="G284" s="25">
        <v>44245</v>
      </c>
      <c r="H284">
        <v>10</v>
      </c>
      <c r="I284">
        <v>49</v>
      </c>
      <c r="J284" t="s">
        <v>1320</v>
      </c>
      <c r="K284" t="s">
        <v>510</v>
      </c>
      <c r="L284" t="s">
        <v>231</v>
      </c>
      <c r="M284" t="s">
        <v>916</v>
      </c>
      <c r="N284" t="s">
        <v>185</v>
      </c>
      <c r="O284" t="s">
        <v>917</v>
      </c>
      <c r="P284" t="s">
        <v>867</v>
      </c>
      <c r="Q284" t="s">
        <v>918</v>
      </c>
      <c r="R284" t="s">
        <v>919</v>
      </c>
      <c r="S284" t="s">
        <v>232</v>
      </c>
      <c r="T284" t="s">
        <v>502</v>
      </c>
      <c r="U284" t="s">
        <v>287</v>
      </c>
      <c r="V284" t="s">
        <v>234</v>
      </c>
      <c r="W284" t="s">
        <v>58</v>
      </c>
      <c r="X284" t="s">
        <v>235</v>
      </c>
      <c r="Y284" t="s">
        <v>288</v>
      </c>
      <c r="Z284">
        <v>3022</v>
      </c>
      <c r="AA284">
        <v>3022</v>
      </c>
      <c r="AB284" t="s">
        <v>237</v>
      </c>
      <c r="AC284">
        <v>4.5999999999999996</v>
      </c>
      <c r="AD284">
        <v>13901.2</v>
      </c>
      <c r="AE284">
        <v>4200.58</v>
      </c>
      <c r="AF284" t="s">
        <v>870</v>
      </c>
      <c r="AG284">
        <v>9700.6200000000008</v>
      </c>
      <c r="AH284">
        <v>0.7</v>
      </c>
    </row>
    <row r="285" spans="1:34" x14ac:dyDescent="0.25">
      <c r="A285" t="s">
        <v>767</v>
      </c>
      <c r="B285">
        <v>284</v>
      </c>
      <c r="C285" t="s">
        <v>487</v>
      </c>
      <c r="D285" t="s">
        <v>256</v>
      </c>
      <c r="E285" t="s">
        <v>371</v>
      </c>
      <c r="F285" t="s">
        <v>1318</v>
      </c>
      <c r="G285" s="25">
        <v>44245</v>
      </c>
      <c r="H285">
        <v>10</v>
      </c>
      <c r="I285">
        <v>49</v>
      </c>
      <c r="J285" t="s">
        <v>1320</v>
      </c>
      <c r="K285" t="s">
        <v>876</v>
      </c>
      <c r="L285" t="s">
        <v>231</v>
      </c>
      <c r="M285" t="s">
        <v>916</v>
      </c>
      <c r="N285" t="s">
        <v>185</v>
      </c>
      <c r="O285" t="s">
        <v>917</v>
      </c>
      <c r="P285" t="s">
        <v>867</v>
      </c>
      <c r="Q285" t="s">
        <v>918</v>
      </c>
      <c r="R285" t="s">
        <v>919</v>
      </c>
      <c r="S285" t="s">
        <v>232</v>
      </c>
      <c r="T285" t="s">
        <v>502</v>
      </c>
      <c r="U285" t="s">
        <v>287</v>
      </c>
      <c r="V285" t="s">
        <v>234</v>
      </c>
      <c r="W285" t="s">
        <v>58</v>
      </c>
      <c r="X285" t="s">
        <v>235</v>
      </c>
      <c r="Y285" t="s">
        <v>288</v>
      </c>
      <c r="Z285">
        <v>1003</v>
      </c>
      <c r="AA285">
        <v>1003</v>
      </c>
      <c r="AB285" t="s">
        <v>237</v>
      </c>
      <c r="AC285">
        <v>4.5999999999999996</v>
      </c>
      <c r="AD285">
        <v>4613.8</v>
      </c>
      <c r="AE285">
        <v>1394.17</v>
      </c>
      <c r="AF285" t="s">
        <v>870</v>
      </c>
      <c r="AG285">
        <v>3219.63</v>
      </c>
      <c r="AH285">
        <v>0.7</v>
      </c>
    </row>
    <row r="286" spans="1:34" x14ac:dyDescent="0.25">
      <c r="A286" t="s">
        <v>765</v>
      </c>
      <c r="B286">
        <v>285</v>
      </c>
      <c r="C286" t="s">
        <v>487</v>
      </c>
      <c r="D286" t="s">
        <v>256</v>
      </c>
      <c r="E286" t="s">
        <v>371</v>
      </c>
      <c r="F286" t="s">
        <v>1318</v>
      </c>
      <c r="G286" s="25">
        <v>44245</v>
      </c>
      <c r="H286">
        <v>10</v>
      </c>
      <c r="I286">
        <v>49</v>
      </c>
      <c r="J286" t="s">
        <v>1319</v>
      </c>
      <c r="K286" t="s">
        <v>510</v>
      </c>
      <c r="L286" t="s">
        <v>231</v>
      </c>
      <c r="M286" t="s">
        <v>926</v>
      </c>
      <c r="N286" t="s">
        <v>185</v>
      </c>
      <c r="O286" t="s">
        <v>953</v>
      </c>
      <c r="P286" t="s">
        <v>867</v>
      </c>
      <c r="Q286" t="s">
        <v>954</v>
      </c>
      <c r="R286" t="s">
        <v>955</v>
      </c>
      <c r="S286" t="s">
        <v>232</v>
      </c>
      <c r="T286" t="s">
        <v>502</v>
      </c>
      <c r="U286" t="s">
        <v>287</v>
      </c>
      <c r="V286" t="s">
        <v>234</v>
      </c>
      <c r="W286" t="s">
        <v>58</v>
      </c>
      <c r="X286" t="s">
        <v>235</v>
      </c>
      <c r="Y286" t="s">
        <v>288</v>
      </c>
      <c r="Z286">
        <v>3292</v>
      </c>
      <c r="AA286">
        <v>3292</v>
      </c>
      <c r="AB286" t="s">
        <v>237</v>
      </c>
      <c r="AC286">
        <v>4.5999999999999996</v>
      </c>
      <c r="AD286">
        <v>15143.2</v>
      </c>
      <c r="AE286">
        <v>4575.88</v>
      </c>
      <c r="AF286" t="s">
        <v>870</v>
      </c>
      <c r="AG286">
        <v>10567.32</v>
      </c>
      <c r="AH286">
        <v>0.7</v>
      </c>
    </row>
    <row r="287" spans="1:34" x14ac:dyDescent="0.25">
      <c r="A287" t="s">
        <v>657</v>
      </c>
      <c r="B287">
        <v>286</v>
      </c>
      <c r="C287" t="s">
        <v>487</v>
      </c>
      <c r="D287" t="s">
        <v>256</v>
      </c>
      <c r="E287" t="s">
        <v>371</v>
      </c>
      <c r="F287" t="s">
        <v>1318</v>
      </c>
      <c r="G287" s="25">
        <v>44245</v>
      </c>
      <c r="H287">
        <v>10</v>
      </c>
      <c r="I287">
        <v>49</v>
      </c>
      <c r="J287" t="s">
        <v>1319</v>
      </c>
      <c r="K287" t="s">
        <v>876</v>
      </c>
      <c r="L287" t="s">
        <v>231</v>
      </c>
      <c r="M287" t="s">
        <v>926</v>
      </c>
      <c r="N287" t="s">
        <v>185</v>
      </c>
      <c r="O287" t="s">
        <v>953</v>
      </c>
      <c r="P287" t="s">
        <v>867</v>
      </c>
      <c r="Q287" t="s">
        <v>954</v>
      </c>
      <c r="R287" t="s">
        <v>955</v>
      </c>
      <c r="S287" t="s">
        <v>232</v>
      </c>
      <c r="T287" t="s">
        <v>502</v>
      </c>
      <c r="U287" t="s">
        <v>287</v>
      </c>
      <c r="V287" t="s">
        <v>234</v>
      </c>
      <c r="W287" t="s">
        <v>58</v>
      </c>
      <c r="X287" t="s">
        <v>235</v>
      </c>
      <c r="Y287" t="s">
        <v>288</v>
      </c>
      <c r="Z287">
        <v>3122</v>
      </c>
      <c r="AA287">
        <v>3122</v>
      </c>
      <c r="AB287" t="s">
        <v>237</v>
      </c>
      <c r="AC287">
        <v>4.5999999999999996</v>
      </c>
      <c r="AD287">
        <v>14361.2</v>
      </c>
      <c r="AE287">
        <v>4339.58</v>
      </c>
      <c r="AF287" t="s">
        <v>870</v>
      </c>
      <c r="AG287">
        <v>10021.620000000001</v>
      </c>
      <c r="AH287">
        <v>0.7</v>
      </c>
    </row>
    <row r="288" spans="1:34" x14ac:dyDescent="0.25">
      <c r="A288" t="s">
        <v>563</v>
      </c>
      <c r="B288">
        <v>287</v>
      </c>
      <c r="C288" t="s">
        <v>487</v>
      </c>
      <c r="D288" t="s">
        <v>256</v>
      </c>
      <c r="E288" t="s">
        <v>371</v>
      </c>
      <c r="F288" t="s">
        <v>1318</v>
      </c>
      <c r="G288" s="25">
        <v>44245</v>
      </c>
      <c r="H288">
        <v>10</v>
      </c>
      <c r="I288">
        <v>49</v>
      </c>
      <c r="J288" t="s">
        <v>1321</v>
      </c>
      <c r="K288" t="s">
        <v>876</v>
      </c>
      <c r="L288" t="s">
        <v>231</v>
      </c>
      <c r="M288" t="s">
        <v>931</v>
      </c>
      <c r="N288" t="s">
        <v>186</v>
      </c>
      <c r="O288" t="s">
        <v>1194</v>
      </c>
      <c r="P288" t="s">
        <v>867</v>
      </c>
      <c r="Q288" t="s">
        <v>1195</v>
      </c>
      <c r="R288" t="s">
        <v>1196</v>
      </c>
      <c r="S288" t="s">
        <v>232</v>
      </c>
      <c r="T288" t="s">
        <v>502</v>
      </c>
      <c r="U288" t="s">
        <v>287</v>
      </c>
      <c r="V288" t="s">
        <v>234</v>
      </c>
      <c r="W288" t="s">
        <v>58</v>
      </c>
      <c r="X288" t="s">
        <v>235</v>
      </c>
      <c r="Y288" t="s">
        <v>288</v>
      </c>
      <c r="Z288">
        <v>3254</v>
      </c>
      <c r="AA288">
        <v>3254</v>
      </c>
      <c r="AB288" t="s">
        <v>237</v>
      </c>
      <c r="AC288">
        <v>4.5999999999999996</v>
      </c>
      <c r="AD288">
        <v>14968.4</v>
      </c>
      <c r="AE288">
        <v>4523.0600000000004</v>
      </c>
      <c r="AF288" t="s">
        <v>870</v>
      </c>
      <c r="AG288">
        <v>10445.34</v>
      </c>
      <c r="AH288">
        <v>0.7</v>
      </c>
    </row>
    <row r="289" spans="1:34" x14ac:dyDescent="0.25">
      <c r="A289" t="s">
        <v>682</v>
      </c>
      <c r="B289">
        <v>288</v>
      </c>
      <c r="C289" t="s">
        <v>487</v>
      </c>
      <c r="D289" t="s">
        <v>256</v>
      </c>
      <c r="E289" t="s">
        <v>371</v>
      </c>
      <c r="F289" t="s">
        <v>1318</v>
      </c>
      <c r="G289" s="25">
        <v>44245</v>
      </c>
      <c r="H289">
        <v>10</v>
      </c>
      <c r="I289">
        <v>49</v>
      </c>
      <c r="J289" t="s">
        <v>1321</v>
      </c>
      <c r="K289" t="s">
        <v>921</v>
      </c>
      <c r="L289" t="s">
        <v>231</v>
      </c>
      <c r="M289" t="s">
        <v>931</v>
      </c>
      <c r="N289" t="s">
        <v>186</v>
      </c>
      <c r="O289" t="s">
        <v>1194</v>
      </c>
      <c r="P289" t="s">
        <v>867</v>
      </c>
      <c r="Q289" t="s">
        <v>1195</v>
      </c>
      <c r="R289" t="s">
        <v>1196</v>
      </c>
      <c r="S289" t="s">
        <v>232</v>
      </c>
      <c r="T289" t="s">
        <v>502</v>
      </c>
      <c r="U289" t="s">
        <v>287</v>
      </c>
      <c r="V289" t="s">
        <v>234</v>
      </c>
      <c r="W289" t="s">
        <v>58</v>
      </c>
      <c r="X289" t="s">
        <v>235</v>
      </c>
      <c r="Y289" t="s">
        <v>288</v>
      </c>
      <c r="Z289">
        <v>3286</v>
      </c>
      <c r="AA289">
        <v>3286</v>
      </c>
      <c r="AB289" t="s">
        <v>237</v>
      </c>
      <c r="AC289">
        <v>4.5999999999999996</v>
      </c>
      <c r="AD289">
        <v>15115.6</v>
      </c>
      <c r="AE289">
        <v>4567.54</v>
      </c>
      <c r="AF289" t="s">
        <v>870</v>
      </c>
      <c r="AG289">
        <v>10548.06</v>
      </c>
      <c r="AH289">
        <v>0.7</v>
      </c>
    </row>
    <row r="290" spans="1:34" x14ac:dyDescent="0.25">
      <c r="A290" t="s">
        <v>614</v>
      </c>
      <c r="B290">
        <v>289</v>
      </c>
      <c r="C290" t="s">
        <v>487</v>
      </c>
      <c r="D290" t="s">
        <v>256</v>
      </c>
      <c r="E290" t="s">
        <v>371</v>
      </c>
      <c r="F290" t="s">
        <v>1318</v>
      </c>
      <c r="G290" s="25">
        <v>44245</v>
      </c>
      <c r="H290">
        <v>10</v>
      </c>
      <c r="I290">
        <v>49</v>
      </c>
      <c r="J290" t="s">
        <v>1321</v>
      </c>
      <c r="K290" t="s">
        <v>956</v>
      </c>
      <c r="L290" t="s">
        <v>231</v>
      </c>
      <c r="M290" t="s">
        <v>931</v>
      </c>
      <c r="N290" t="s">
        <v>186</v>
      </c>
      <c r="O290" t="s">
        <v>1194</v>
      </c>
      <c r="P290" t="s">
        <v>867</v>
      </c>
      <c r="Q290" t="s">
        <v>1195</v>
      </c>
      <c r="R290" t="s">
        <v>1196</v>
      </c>
      <c r="S290" t="s">
        <v>232</v>
      </c>
      <c r="T290" t="s">
        <v>502</v>
      </c>
      <c r="U290" t="s">
        <v>287</v>
      </c>
      <c r="V290" t="s">
        <v>234</v>
      </c>
      <c r="W290" t="s">
        <v>58</v>
      </c>
      <c r="X290" t="s">
        <v>235</v>
      </c>
      <c r="Y290" t="s">
        <v>288</v>
      </c>
      <c r="Z290">
        <v>2988</v>
      </c>
      <c r="AA290">
        <v>2988</v>
      </c>
      <c r="AB290" t="s">
        <v>237</v>
      </c>
      <c r="AC290">
        <v>4.5999999999999996</v>
      </c>
      <c r="AD290">
        <v>13744.8</v>
      </c>
      <c r="AE290">
        <v>4153.32</v>
      </c>
      <c r="AF290" t="s">
        <v>870</v>
      </c>
      <c r="AG290">
        <v>9591.48</v>
      </c>
      <c r="AH290">
        <v>0.7</v>
      </c>
    </row>
    <row r="291" spans="1:34" x14ac:dyDescent="0.25">
      <c r="A291" t="s">
        <v>677</v>
      </c>
      <c r="B291">
        <v>290</v>
      </c>
      <c r="C291" t="s">
        <v>487</v>
      </c>
      <c r="D291" t="s">
        <v>256</v>
      </c>
      <c r="E291" t="s">
        <v>371</v>
      </c>
      <c r="F291" t="s">
        <v>1318</v>
      </c>
      <c r="G291" s="25">
        <v>44245</v>
      </c>
      <c r="H291">
        <v>10</v>
      </c>
      <c r="I291">
        <v>49</v>
      </c>
      <c r="J291" t="s">
        <v>1321</v>
      </c>
      <c r="K291" t="s">
        <v>510</v>
      </c>
      <c r="L291" t="s">
        <v>231</v>
      </c>
      <c r="M291" t="s">
        <v>931</v>
      </c>
      <c r="N291" t="s">
        <v>186</v>
      </c>
      <c r="O291" t="s">
        <v>1194</v>
      </c>
      <c r="P291" t="s">
        <v>867</v>
      </c>
      <c r="Q291" t="s">
        <v>1195</v>
      </c>
      <c r="R291" t="s">
        <v>1196</v>
      </c>
      <c r="S291" t="s">
        <v>232</v>
      </c>
      <c r="T291" t="s">
        <v>502</v>
      </c>
      <c r="U291" t="s">
        <v>287</v>
      </c>
      <c r="V291" t="s">
        <v>234</v>
      </c>
      <c r="W291" t="s">
        <v>58</v>
      </c>
      <c r="X291" t="s">
        <v>235</v>
      </c>
      <c r="Y291" t="s">
        <v>288</v>
      </c>
      <c r="Z291">
        <v>3385</v>
      </c>
      <c r="AA291">
        <v>3385</v>
      </c>
      <c r="AB291" t="s">
        <v>237</v>
      </c>
      <c r="AC291">
        <v>4.5999999999999996</v>
      </c>
      <c r="AD291">
        <v>15571</v>
      </c>
      <c r="AE291">
        <v>4705.1499999999996</v>
      </c>
      <c r="AF291" t="s">
        <v>870</v>
      </c>
      <c r="AG291">
        <v>10865.85</v>
      </c>
      <c r="AH291">
        <v>0.7</v>
      </c>
    </row>
    <row r="292" spans="1:34" x14ac:dyDescent="0.25">
      <c r="A292" t="s">
        <v>607</v>
      </c>
      <c r="B292">
        <v>291</v>
      </c>
      <c r="C292" t="s">
        <v>487</v>
      </c>
      <c r="D292" t="s">
        <v>256</v>
      </c>
      <c r="E292" t="s">
        <v>239</v>
      </c>
      <c r="F292" t="s">
        <v>1322</v>
      </c>
      <c r="G292" s="25">
        <v>44246</v>
      </c>
      <c r="H292">
        <v>10</v>
      </c>
      <c r="I292">
        <v>50</v>
      </c>
      <c r="J292" t="s">
        <v>1324</v>
      </c>
      <c r="K292" t="s">
        <v>876</v>
      </c>
      <c r="L292" t="s">
        <v>231</v>
      </c>
      <c r="M292" t="s">
        <v>865</v>
      </c>
      <c r="N292" t="s">
        <v>186</v>
      </c>
      <c r="O292" t="s">
        <v>1012</v>
      </c>
      <c r="P292" t="s">
        <v>867</v>
      </c>
      <c r="Q292" t="s">
        <v>1325</v>
      </c>
      <c r="R292" t="s">
        <v>1326</v>
      </c>
      <c r="S292" t="s">
        <v>239</v>
      </c>
      <c r="T292" t="s">
        <v>503</v>
      </c>
      <c r="U292" t="s">
        <v>303</v>
      </c>
      <c r="V292" t="s">
        <v>234</v>
      </c>
      <c r="W292" t="s">
        <v>56</v>
      </c>
      <c r="X292" t="s">
        <v>235</v>
      </c>
      <c r="Y292" t="s">
        <v>304</v>
      </c>
      <c r="Z292">
        <v>3645</v>
      </c>
      <c r="AA292">
        <v>3645</v>
      </c>
      <c r="AB292" t="s">
        <v>237</v>
      </c>
      <c r="AC292">
        <v>4.3899999999999997</v>
      </c>
      <c r="AD292">
        <v>16001.55</v>
      </c>
      <c r="AE292">
        <v>8310.6</v>
      </c>
      <c r="AF292" t="s">
        <v>870</v>
      </c>
      <c r="AG292">
        <v>7690.95</v>
      </c>
      <c r="AH292">
        <v>0.48</v>
      </c>
    </row>
    <row r="293" spans="1:34" x14ac:dyDescent="0.25">
      <c r="A293" t="s">
        <v>542</v>
      </c>
      <c r="B293">
        <v>292</v>
      </c>
      <c r="C293" t="s">
        <v>487</v>
      </c>
      <c r="D293" t="s">
        <v>256</v>
      </c>
      <c r="E293" t="s">
        <v>239</v>
      </c>
      <c r="F293" t="s">
        <v>1322</v>
      </c>
      <c r="G293" s="25">
        <v>44246</v>
      </c>
      <c r="H293">
        <v>10</v>
      </c>
      <c r="I293">
        <v>50</v>
      </c>
      <c r="J293" t="s">
        <v>1324</v>
      </c>
      <c r="K293" t="s">
        <v>921</v>
      </c>
      <c r="L293" t="s">
        <v>231</v>
      </c>
      <c r="M293" t="s">
        <v>865</v>
      </c>
      <c r="N293" t="s">
        <v>186</v>
      </c>
      <c r="O293" t="s">
        <v>1012</v>
      </c>
      <c r="P293" t="s">
        <v>867</v>
      </c>
      <c r="Q293" t="s">
        <v>1325</v>
      </c>
      <c r="R293" t="s">
        <v>1326</v>
      </c>
      <c r="S293" t="s">
        <v>239</v>
      </c>
      <c r="T293" t="s">
        <v>503</v>
      </c>
      <c r="U293" t="s">
        <v>303</v>
      </c>
      <c r="V293" t="s">
        <v>234</v>
      </c>
      <c r="W293" t="s">
        <v>56</v>
      </c>
      <c r="X293" t="s">
        <v>235</v>
      </c>
      <c r="Y293" t="s">
        <v>304</v>
      </c>
      <c r="Z293">
        <v>3486</v>
      </c>
      <c r="AA293">
        <v>3486</v>
      </c>
      <c r="AB293" t="s">
        <v>237</v>
      </c>
      <c r="AC293">
        <v>4.3899999999999997</v>
      </c>
      <c r="AD293">
        <v>15303.54</v>
      </c>
      <c r="AE293">
        <v>7948.08</v>
      </c>
      <c r="AF293" t="s">
        <v>870</v>
      </c>
      <c r="AG293">
        <v>7355.46</v>
      </c>
      <c r="AH293">
        <v>0.48</v>
      </c>
    </row>
    <row r="294" spans="1:34" x14ac:dyDescent="0.25">
      <c r="A294" t="s">
        <v>688</v>
      </c>
      <c r="B294">
        <v>293</v>
      </c>
      <c r="C294" t="s">
        <v>487</v>
      </c>
      <c r="D294" t="s">
        <v>256</v>
      </c>
      <c r="E294" t="s">
        <v>239</v>
      </c>
      <c r="F294" t="s">
        <v>1322</v>
      </c>
      <c r="G294" s="25">
        <v>44246</v>
      </c>
      <c r="H294">
        <v>10</v>
      </c>
      <c r="I294">
        <v>50</v>
      </c>
      <c r="J294" t="s">
        <v>1324</v>
      </c>
      <c r="K294" t="s">
        <v>510</v>
      </c>
      <c r="L294" t="s">
        <v>231</v>
      </c>
      <c r="M294" t="s">
        <v>865</v>
      </c>
      <c r="N294" t="s">
        <v>186</v>
      </c>
      <c r="O294" t="s">
        <v>1012</v>
      </c>
      <c r="P294" t="s">
        <v>867</v>
      </c>
      <c r="Q294" t="s">
        <v>1325</v>
      </c>
      <c r="R294" t="s">
        <v>1326</v>
      </c>
      <c r="S294" t="s">
        <v>239</v>
      </c>
      <c r="T294" t="s">
        <v>503</v>
      </c>
      <c r="U294" t="s">
        <v>303</v>
      </c>
      <c r="V294" t="s">
        <v>234</v>
      </c>
      <c r="W294" t="s">
        <v>56</v>
      </c>
      <c r="X294" t="s">
        <v>235</v>
      </c>
      <c r="Y294" t="s">
        <v>304</v>
      </c>
      <c r="Z294">
        <v>3213</v>
      </c>
      <c r="AA294">
        <v>3213</v>
      </c>
      <c r="AB294" t="s">
        <v>237</v>
      </c>
      <c r="AC294">
        <v>4.3899999999999997</v>
      </c>
      <c r="AD294">
        <v>14105.07</v>
      </c>
      <c r="AE294">
        <v>7325.64</v>
      </c>
      <c r="AF294" t="s">
        <v>870</v>
      </c>
      <c r="AG294">
        <v>6779.43</v>
      </c>
      <c r="AH294">
        <v>0.48</v>
      </c>
    </row>
    <row r="295" spans="1:34" x14ac:dyDescent="0.25">
      <c r="A295" t="s">
        <v>600</v>
      </c>
      <c r="B295">
        <v>294</v>
      </c>
      <c r="C295" t="s">
        <v>487</v>
      </c>
      <c r="D295" t="s">
        <v>256</v>
      </c>
      <c r="E295" t="s">
        <v>239</v>
      </c>
      <c r="F295" t="s">
        <v>1322</v>
      </c>
      <c r="G295" s="25">
        <v>44246</v>
      </c>
      <c r="H295">
        <v>10</v>
      </c>
      <c r="I295">
        <v>50</v>
      </c>
      <c r="J295" t="s">
        <v>1323</v>
      </c>
      <c r="K295" t="s">
        <v>510</v>
      </c>
      <c r="L295" t="s">
        <v>231</v>
      </c>
      <c r="M295" t="s">
        <v>872</v>
      </c>
      <c r="N295" t="s">
        <v>184</v>
      </c>
      <c r="O295" t="s">
        <v>1164</v>
      </c>
      <c r="P295" t="s">
        <v>867</v>
      </c>
      <c r="Q295" t="s">
        <v>1165</v>
      </c>
      <c r="R295" t="s">
        <v>1166</v>
      </c>
      <c r="S295" t="s">
        <v>239</v>
      </c>
      <c r="T295" t="s">
        <v>503</v>
      </c>
      <c r="U295" t="s">
        <v>303</v>
      </c>
      <c r="V295" t="s">
        <v>234</v>
      </c>
      <c r="W295" t="s">
        <v>56</v>
      </c>
      <c r="X295" t="s">
        <v>235</v>
      </c>
      <c r="Y295" t="s">
        <v>304</v>
      </c>
      <c r="Z295">
        <v>3771</v>
      </c>
      <c r="AA295">
        <v>3771</v>
      </c>
      <c r="AB295" t="s">
        <v>237</v>
      </c>
      <c r="AC295">
        <v>4.3899999999999997</v>
      </c>
      <c r="AD295">
        <v>16554.689999999999</v>
      </c>
      <c r="AE295">
        <v>8597.8799999999992</v>
      </c>
      <c r="AF295" t="s">
        <v>870</v>
      </c>
      <c r="AG295">
        <v>7956.81</v>
      </c>
      <c r="AH295">
        <v>0.48</v>
      </c>
    </row>
    <row r="296" spans="1:34" x14ac:dyDescent="0.25">
      <c r="A296" t="s">
        <v>555</v>
      </c>
      <c r="B296">
        <v>295</v>
      </c>
      <c r="C296" t="s">
        <v>487</v>
      </c>
      <c r="D296" t="s">
        <v>256</v>
      </c>
      <c r="E296" t="s">
        <v>239</v>
      </c>
      <c r="F296" t="s">
        <v>1322</v>
      </c>
      <c r="G296" s="25">
        <v>44246</v>
      </c>
      <c r="H296">
        <v>10</v>
      </c>
      <c r="I296">
        <v>50</v>
      </c>
      <c r="J296" t="s">
        <v>1323</v>
      </c>
      <c r="K296" t="s">
        <v>876</v>
      </c>
      <c r="L296" t="s">
        <v>231</v>
      </c>
      <c r="M296" t="s">
        <v>872</v>
      </c>
      <c r="N296" t="s">
        <v>184</v>
      </c>
      <c r="O296" t="s">
        <v>1164</v>
      </c>
      <c r="P296" t="s">
        <v>867</v>
      </c>
      <c r="Q296" t="s">
        <v>1165</v>
      </c>
      <c r="R296" t="s">
        <v>1166</v>
      </c>
      <c r="S296" t="s">
        <v>239</v>
      </c>
      <c r="T296" t="s">
        <v>503</v>
      </c>
      <c r="U296" t="s">
        <v>303</v>
      </c>
      <c r="V296" t="s">
        <v>234</v>
      </c>
      <c r="W296" t="s">
        <v>56</v>
      </c>
      <c r="X296" t="s">
        <v>235</v>
      </c>
      <c r="Y296" t="s">
        <v>304</v>
      </c>
      <c r="Z296">
        <v>1418</v>
      </c>
      <c r="AA296">
        <v>1418</v>
      </c>
      <c r="AB296" t="s">
        <v>237</v>
      </c>
      <c r="AC296">
        <v>4.3899999999999997</v>
      </c>
      <c r="AD296">
        <v>6225.02</v>
      </c>
      <c r="AE296">
        <v>3233.04</v>
      </c>
      <c r="AF296" t="s">
        <v>870</v>
      </c>
      <c r="AG296">
        <v>2991.98</v>
      </c>
      <c r="AH296">
        <v>0.48</v>
      </c>
    </row>
    <row r="297" spans="1:34" x14ac:dyDescent="0.25">
      <c r="A297" t="s">
        <v>572</v>
      </c>
      <c r="B297">
        <v>296</v>
      </c>
      <c r="C297" t="s">
        <v>487</v>
      </c>
      <c r="D297" t="s">
        <v>256</v>
      </c>
      <c r="E297" t="s">
        <v>239</v>
      </c>
      <c r="F297" t="s">
        <v>1322</v>
      </c>
      <c r="G297" s="25">
        <v>44246</v>
      </c>
      <c r="H297">
        <v>10</v>
      </c>
      <c r="I297">
        <v>50</v>
      </c>
      <c r="J297" t="s">
        <v>1327</v>
      </c>
      <c r="K297" t="s">
        <v>510</v>
      </c>
      <c r="L297" t="s">
        <v>231</v>
      </c>
      <c r="M297" t="s">
        <v>865</v>
      </c>
      <c r="N297" t="s">
        <v>186</v>
      </c>
      <c r="O297" t="s">
        <v>1012</v>
      </c>
      <c r="P297" t="s">
        <v>867</v>
      </c>
      <c r="Q297" t="s">
        <v>1325</v>
      </c>
      <c r="R297" t="s">
        <v>1328</v>
      </c>
      <c r="S297" t="s">
        <v>232</v>
      </c>
      <c r="T297" t="s">
        <v>503</v>
      </c>
      <c r="U297" t="s">
        <v>303</v>
      </c>
      <c r="V297" t="s">
        <v>234</v>
      </c>
      <c r="W297" t="s">
        <v>56</v>
      </c>
      <c r="X297" t="s">
        <v>235</v>
      </c>
      <c r="Y297" t="s">
        <v>304</v>
      </c>
      <c r="Z297">
        <v>2876</v>
      </c>
      <c r="AA297">
        <v>2876</v>
      </c>
      <c r="AB297" t="s">
        <v>237</v>
      </c>
      <c r="AC297">
        <v>4.4800000000000004</v>
      </c>
      <c r="AD297">
        <v>12884.48</v>
      </c>
      <c r="AE297">
        <v>6557.28</v>
      </c>
      <c r="AF297" t="s">
        <v>870</v>
      </c>
      <c r="AG297">
        <v>6327.2</v>
      </c>
      <c r="AH297">
        <v>0.49</v>
      </c>
    </row>
    <row r="298" spans="1:34" x14ac:dyDescent="0.25">
      <c r="A298" t="s">
        <v>803</v>
      </c>
      <c r="B298">
        <v>297</v>
      </c>
      <c r="C298" t="s">
        <v>487</v>
      </c>
      <c r="D298" t="s">
        <v>256</v>
      </c>
      <c r="E298" t="s">
        <v>239</v>
      </c>
      <c r="F298" t="s">
        <v>1322</v>
      </c>
      <c r="G298" s="25">
        <v>44246</v>
      </c>
      <c r="H298">
        <v>10</v>
      </c>
      <c r="I298">
        <v>50</v>
      </c>
      <c r="J298" t="s">
        <v>1327</v>
      </c>
      <c r="K298" t="s">
        <v>876</v>
      </c>
      <c r="L298" t="s">
        <v>231</v>
      </c>
      <c r="M298" t="s">
        <v>865</v>
      </c>
      <c r="N298" t="s">
        <v>186</v>
      </c>
      <c r="O298" t="s">
        <v>1012</v>
      </c>
      <c r="P298" t="s">
        <v>867</v>
      </c>
      <c r="Q298" t="s">
        <v>1325</v>
      </c>
      <c r="R298" t="s">
        <v>1328</v>
      </c>
      <c r="S298" t="s">
        <v>232</v>
      </c>
      <c r="T298" t="s">
        <v>503</v>
      </c>
      <c r="U298" t="s">
        <v>303</v>
      </c>
      <c r="V298" t="s">
        <v>234</v>
      </c>
      <c r="W298" t="s">
        <v>56</v>
      </c>
      <c r="X298" t="s">
        <v>235</v>
      </c>
      <c r="Y298" t="s">
        <v>304</v>
      </c>
      <c r="Z298">
        <v>3466</v>
      </c>
      <c r="AA298">
        <v>3466</v>
      </c>
      <c r="AB298" t="s">
        <v>237</v>
      </c>
      <c r="AC298">
        <v>4.4800000000000004</v>
      </c>
      <c r="AD298">
        <v>15527.68</v>
      </c>
      <c r="AE298">
        <v>7902.48</v>
      </c>
      <c r="AF298" t="s">
        <v>870</v>
      </c>
      <c r="AG298">
        <v>7625.2</v>
      </c>
      <c r="AH298">
        <v>0.49</v>
      </c>
    </row>
    <row r="299" spans="1:34" x14ac:dyDescent="0.25">
      <c r="A299" t="s">
        <v>798</v>
      </c>
      <c r="B299">
        <v>298</v>
      </c>
      <c r="C299" t="s">
        <v>487</v>
      </c>
      <c r="D299" t="s">
        <v>256</v>
      </c>
      <c r="E299" t="s">
        <v>515</v>
      </c>
      <c r="F299" t="s">
        <v>1329</v>
      </c>
      <c r="G299" s="25">
        <v>44247</v>
      </c>
      <c r="H299">
        <v>11</v>
      </c>
      <c r="I299">
        <v>51</v>
      </c>
      <c r="J299" t="s">
        <v>1330</v>
      </c>
      <c r="K299" t="s">
        <v>510</v>
      </c>
      <c r="L299" t="s">
        <v>231</v>
      </c>
      <c r="M299" t="s">
        <v>872</v>
      </c>
      <c r="N299" t="s">
        <v>184</v>
      </c>
      <c r="O299" t="s">
        <v>1199</v>
      </c>
      <c r="P299" t="s">
        <v>867</v>
      </c>
      <c r="Q299" t="s">
        <v>1331</v>
      </c>
      <c r="R299" t="s">
        <v>1332</v>
      </c>
      <c r="S299" t="s">
        <v>239</v>
      </c>
      <c r="T299" t="s">
        <v>503</v>
      </c>
      <c r="U299" t="s">
        <v>303</v>
      </c>
      <c r="V299" t="s">
        <v>234</v>
      </c>
      <c r="W299" t="s">
        <v>56</v>
      </c>
      <c r="X299" t="s">
        <v>235</v>
      </c>
      <c r="Y299" t="s">
        <v>304</v>
      </c>
      <c r="Z299">
        <v>1946</v>
      </c>
      <c r="AA299">
        <v>1946</v>
      </c>
      <c r="AB299" t="s">
        <v>237</v>
      </c>
      <c r="AC299">
        <v>4.3899999999999997</v>
      </c>
      <c r="AD299">
        <v>8542.94</v>
      </c>
      <c r="AE299">
        <v>4436.88</v>
      </c>
      <c r="AF299" t="s">
        <v>870</v>
      </c>
      <c r="AG299">
        <v>4106.0600000000004</v>
      </c>
      <c r="AH299">
        <v>0.48</v>
      </c>
    </row>
    <row r="300" spans="1:34" x14ac:dyDescent="0.25">
      <c r="A300" t="s">
        <v>720</v>
      </c>
      <c r="B300">
        <v>299</v>
      </c>
      <c r="C300" t="s">
        <v>487</v>
      </c>
      <c r="D300" t="s">
        <v>256</v>
      </c>
      <c r="E300" t="s">
        <v>515</v>
      </c>
      <c r="F300" t="s">
        <v>1329</v>
      </c>
      <c r="G300" s="25">
        <v>44247</v>
      </c>
      <c r="H300">
        <v>11</v>
      </c>
      <c r="I300">
        <v>51</v>
      </c>
      <c r="J300" t="s">
        <v>1336</v>
      </c>
      <c r="K300" t="s">
        <v>510</v>
      </c>
      <c r="L300" t="s">
        <v>231</v>
      </c>
      <c r="M300" t="s">
        <v>865</v>
      </c>
      <c r="N300" t="s">
        <v>186</v>
      </c>
      <c r="O300" t="s">
        <v>866</v>
      </c>
      <c r="P300" t="s">
        <v>867</v>
      </c>
      <c r="Q300" t="s">
        <v>868</v>
      </c>
      <c r="R300" t="s">
        <v>869</v>
      </c>
      <c r="S300" t="s">
        <v>232</v>
      </c>
      <c r="T300" t="s">
        <v>503</v>
      </c>
      <c r="U300" t="s">
        <v>303</v>
      </c>
      <c r="V300" t="s">
        <v>234</v>
      </c>
      <c r="W300" t="s">
        <v>56</v>
      </c>
      <c r="X300" t="s">
        <v>235</v>
      </c>
      <c r="Y300" t="s">
        <v>304</v>
      </c>
      <c r="Z300">
        <v>3343</v>
      </c>
      <c r="AA300">
        <v>3343</v>
      </c>
      <c r="AB300" t="s">
        <v>237</v>
      </c>
      <c r="AC300">
        <v>4.4800000000000004</v>
      </c>
      <c r="AD300">
        <v>14976.64</v>
      </c>
      <c r="AE300">
        <v>7622.04</v>
      </c>
      <c r="AF300" t="s">
        <v>870</v>
      </c>
      <c r="AG300">
        <v>7354.6</v>
      </c>
      <c r="AH300">
        <v>0.49</v>
      </c>
    </row>
    <row r="301" spans="1:34" x14ac:dyDescent="0.25">
      <c r="A301" t="s">
        <v>665</v>
      </c>
      <c r="B301">
        <v>300</v>
      </c>
      <c r="C301" t="s">
        <v>487</v>
      </c>
      <c r="D301" t="s">
        <v>256</v>
      </c>
      <c r="E301" t="s">
        <v>515</v>
      </c>
      <c r="F301" t="s">
        <v>1329</v>
      </c>
      <c r="G301" s="25">
        <v>44247</v>
      </c>
      <c r="H301">
        <v>11</v>
      </c>
      <c r="I301">
        <v>51</v>
      </c>
      <c r="J301" t="s">
        <v>1336</v>
      </c>
      <c r="K301" t="s">
        <v>921</v>
      </c>
      <c r="L301" t="s">
        <v>231</v>
      </c>
      <c r="M301" t="s">
        <v>865</v>
      </c>
      <c r="N301" t="s">
        <v>186</v>
      </c>
      <c r="O301" t="s">
        <v>866</v>
      </c>
      <c r="P301" t="s">
        <v>867</v>
      </c>
      <c r="Q301" t="s">
        <v>868</v>
      </c>
      <c r="R301" t="s">
        <v>869</v>
      </c>
      <c r="S301" t="s">
        <v>232</v>
      </c>
      <c r="T301" t="s">
        <v>503</v>
      </c>
      <c r="U301" t="s">
        <v>303</v>
      </c>
      <c r="V301" t="s">
        <v>234</v>
      </c>
      <c r="W301" t="s">
        <v>56</v>
      </c>
      <c r="X301" t="s">
        <v>235</v>
      </c>
      <c r="Y301" t="s">
        <v>304</v>
      </c>
      <c r="Z301">
        <v>3560</v>
      </c>
      <c r="AA301">
        <v>3560</v>
      </c>
      <c r="AB301" t="s">
        <v>237</v>
      </c>
      <c r="AC301">
        <v>4.4800000000000004</v>
      </c>
      <c r="AD301">
        <v>15948.8</v>
      </c>
      <c r="AE301">
        <v>8116.8</v>
      </c>
      <c r="AF301" t="s">
        <v>870</v>
      </c>
      <c r="AG301">
        <v>7832</v>
      </c>
      <c r="AH301">
        <v>0.49</v>
      </c>
    </row>
    <row r="302" spans="1:34" x14ac:dyDescent="0.25">
      <c r="A302" t="s">
        <v>580</v>
      </c>
      <c r="B302">
        <v>301</v>
      </c>
      <c r="C302" t="s">
        <v>487</v>
      </c>
      <c r="D302" t="s">
        <v>256</v>
      </c>
      <c r="E302" t="s">
        <v>515</v>
      </c>
      <c r="F302" t="s">
        <v>1329</v>
      </c>
      <c r="G302" s="25">
        <v>44247</v>
      </c>
      <c r="H302">
        <v>11</v>
      </c>
      <c r="I302">
        <v>51</v>
      </c>
      <c r="J302" t="s">
        <v>1336</v>
      </c>
      <c r="K302" t="s">
        <v>876</v>
      </c>
      <c r="L302" t="s">
        <v>231</v>
      </c>
      <c r="M302" t="s">
        <v>865</v>
      </c>
      <c r="N302" t="s">
        <v>186</v>
      </c>
      <c r="O302" t="s">
        <v>866</v>
      </c>
      <c r="P302" t="s">
        <v>867</v>
      </c>
      <c r="Q302" t="s">
        <v>868</v>
      </c>
      <c r="R302" t="s">
        <v>869</v>
      </c>
      <c r="S302" t="s">
        <v>232</v>
      </c>
      <c r="T302" t="s">
        <v>503</v>
      </c>
      <c r="U302" t="s">
        <v>303</v>
      </c>
      <c r="V302" t="s">
        <v>234</v>
      </c>
      <c r="W302" t="s">
        <v>56</v>
      </c>
      <c r="X302" t="s">
        <v>235</v>
      </c>
      <c r="Y302" t="s">
        <v>304</v>
      </c>
      <c r="Z302">
        <v>3097</v>
      </c>
      <c r="AA302">
        <v>3097</v>
      </c>
      <c r="AB302" t="s">
        <v>237</v>
      </c>
      <c r="AC302">
        <v>4.4800000000000004</v>
      </c>
      <c r="AD302">
        <v>13874.56</v>
      </c>
      <c r="AE302">
        <v>7061.16</v>
      </c>
      <c r="AF302" t="s">
        <v>870</v>
      </c>
      <c r="AG302">
        <v>6813.4</v>
      </c>
      <c r="AH302">
        <v>0.49</v>
      </c>
    </row>
    <row r="303" spans="1:34" x14ac:dyDescent="0.25">
      <c r="A303" t="s">
        <v>642</v>
      </c>
      <c r="B303">
        <v>302</v>
      </c>
      <c r="C303" t="s">
        <v>487</v>
      </c>
      <c r="D303" t="s">
        <v>256</v>
      </c>
      <c r="E303" t="s">
        <v>515</v>
      </c>
      <c r="F303" t="s">
        <v>1329</v>
      </c>
      <c r="G303" s="25">
        <v>44247</v>
      </c>
      <c r="H303">
        <v>11</v>
      </c>
      <c r="I303">
        <v>51</v>
      </c>
      <c r="J303" t="s">
        <v>1333</v>
      </c>
      <c r="K303" t="s">
        <v>510</v>
      </c>
      <c r="L303" t="s">
        <v>231</v>
      </c>
      <c r="M303" t="s">
        <v>911</v>
      </c>
      <c r="N303" t="s">
        <v>186</v>
      </c>
      <c r="O303" t="s">
        <v>1016</v>
      </c>
      <c r="P303" t="s">
        <v>867</v>
      </c>
      <c r="Q303" t="s">
        <v>1334</v>
      </c>
      <c r="R303" t="s">
        <v>1335</v>
      </c>
      <c r="S303" t="s">
        <v>232</v>
      </c>
      <c r="T303" t="s">
        <v>503</v>
      </c>
      <c r="U303" t="s">
        <v>303</v>
      </c>
      <c r="V303" t="s">
        <v>234</v>
      </c>
      <c r="W303" t="s">
        <v>56</v>
      </c>
      <c r="X303" t="s">
        <v>235</v>
      </c>
      <c r="Y303" t="s">
        <v>304</v>
      </c>
      <c r="Z303">
        <v>3191</v>
      </c>
      <c r="AA303">
        <v>3191</v>
      </c>
      <c r="AB303" t="s">
        <v>237</v>
      </c>
      <c r="AC303">
        <v>4.4800000000000004</v>
      </c>
      <c r="AD303">
        <v>14295.68</v>
      </c>
      <c r="AE303">
        <v>7275.48</v>
      </c>
      <c r="AF303" t="s">
        <v>870</v>
      </c>
      <c r="AG303">
        <v>7020.2</v>
      </c>
      <c r="AH303">
        <v>0.49</v>
      </c>
    </row>
    <row r="304" spans="1:34" x14ac:dyDescent="0.25">
      <c r="A304" t="s">
        <v>536</v>
      </c>
      <c r="B304">
        <v>303</v>
      </c>
      <c r="C304" t="s">
        <v>487</v>
      </c>
      <c r="D304" t="s">
        <v>256</v>
      </c>
      <c r="E304" t="s">
        <v>515</v>
      </c>
      <c r="F304" t="s">
        <v>1329</v>
      </c>
      <c r="G304" s="25">
        <v>44247</v>
      </c>
      <c r="H304">
        <v>11</v>
      </c>
      <c r="I304">
        <v>51</v>
      </c>
      <c r="J304" t="s">
        <v>1333</v>
      </c>
      <c r="K304" t="s">
        <v>876</v>
      </c>
      <c r="L304" t="s">
        <v>231</v>
      </c>
      <c r="M304" t="s">
        <v>911</v>
      </c>
      <c r="N304" t="s">
        <v>186</v>
      </c>
      <c r="O304" t="s">
        <v>1016</v>
      </c>
      <c r="P304" t="s">
        <v>867</v>
      </c>
      <c r="Q304" t="s">
        <v>1334</v>
      </c>
      <c r="R304" t="s">
        <v>1335</v>
      </c>
      <c r="S304" t="s">
        <v>232</v>
      </c>
      <c r="T304" t="s">
        <v>503</v>
      </c>
      <c r="U304" t="s">
        <v>303</v>
      </c>
      <c r="V304" t="s">
        <v>234</v>
      </c>
      <c r="W304" t="s">
        <v>56</v>
      </c>
      <c r="X304" t="s">
        <v>235</v>
      </c>
      <c r="Y304" t="s">
        <v>304</v>
      </c>
      <c r="Z304">
        <v>2857</v>
      </c>
      <c r="AA304">
        <v>2857</v>
      </c>
      <c r="AB304" t="s">
        <v>237</v>
      </c>
      <c r="AC304">
        <v>4.4800000000000004</v>
      </c>
      <c r="AD304">
        <v>12799.36</v>
      </c>
      <c r="AE304">
        <v>6513.96</v>
      </c>
      <c r="AF304" t="s">
        <v>870</v>
      </c>
      <c r="AG304">
        <v>6285.4</v>
      </c>
      <c r="AH304">
        <v>0.49</v>
      </c>
    </row>
    <row r="305" spans="1:34" x14ac:dyDescent="0.25">
      <c r="A305" t="s">
        <v>594</v>
      </c>
      <c r="B305">
        <v>304</v>
      </c>
      <c r="C305" t="s">
        <v>487</v>
      </c>
      <c r="D305" t="s">
        <v>256</v>
      </c>
      <c r="E305" t="s">
        <v>515</v>
      </c>
      <c r="F305" t="s">
        <v>1329</v>
      </c>
      <c r="G305" s="25">
        <v>44247</v>
      </c>
      <c r="H305">
        <v>11</v>
      </c>
      <c r="I305">
        <v>51</v>
      </c>
      <c r="J305" t="s">
        <v>1333</v>
      </c>
      <c r="K305" t="s">
        <v>921</v>
      </c>
      <c r="L305" t="s">
        <v>231</v>
      </c>
      <c r="M305" t="s">
        <v>911</v>
      </c>
      <c r="N305" t="s">
        <v>186</v>
      </c>
      <c r="O305" t="s">
        <v>1016</v>
      </c>
      <c r="P305" t="s">
        <v>867</v>
      </c>
      <c r="Q305" t="s">
        <v>1334</v>
      </c>
      <c r="R305" t="s">
        <v>1335</v>
      </c>
      <c r="S305" t="s">
        <v>232</v>
      </c>
      <c r="T305" t="s">
        <v>503</v>
      </c>
      <c r="U305" t="s">
        <v>303</v>
      </c>
      <c r="V305" t="s">
        <v>234</v>
      </c>
      <c r="W305" t="s">
        <v>56</v>
      </c>
      <c r="X305" t="s">
        <v>235</v>
      </c>
      <c r="Y305" t="s">
        <v>304</v>
      </c>
      <c r="Z305">
        <v>3040</v>
      </c>
      <c r="AA305">
        <v>3040</v>
      </c>
      <c r="AB305" t="s">
        <v>237</v>
      </c>
      <c r="AC305">
        <v>4.4800000000000004</v>
      </c>
      <c r="AD305">
        <v>13619.2</v>
      </c>
      <c r="AE305">
        <v>6931.2</v>
      </c>
      <c r="AF305" t="s">
        <v>870</v>
      </c>
      <c r="AG305">
        <v>6688</v>
      </c>
      <c r="AH305">
        <v>0.49</v>
      </c>
    </row>
    <row r="306" spans="1:34" x14ac:dyDescent="0.25">
      <c r="A306" t="s">
        <v>582</v>
      </c>
      <c r="B306">
        <v>305</v>
      </c>
      <c r="C306" t="s">
        <v>487</v>
      </c>
      <c r="D306" t="s">
        <v>256</v>
      </c>
      <c r="E306" t="s">
        <v>515</v>
      </c>
      <c r="F306" t="s">
        <v>1329</v>
      </c>
      <c r="G306" s="25">
        <v>44247</v>
      </c>
      <c r="H306">
        <v>11</v>
      </c>
      <c r="I306">
        <v>51</v>
      </c>
      <c r="J306" t="s">
        <v>1333</v>
      </c>
      <c r="K306" t="s">
        <v>956</v>
      </c>
      <c r="L306" t="s">
        <v>231</v>
      </c>
      <c r="M306" t="s">
        <v>911</v>
      </c>
      <c r="N306" t="s">
        <v>186</v>
      </c>
      <c r="O306" t="s">
        <v>1016</v>
      </c>
      <c r="P306" t="s">
        <v>867</v>
      </c>
      <c r="Q306" t="s">
        <v>1334</v>
      </c>
      <c r="R306" t="s">
        <v>1335</v>
      </c>
      <c r="S306" t="s">
        <v>232</v>
      </c>
      <c r="T306" t="s">
        <v>503</v>
      </c>
      <c r="U306" t="s">
        <v>303</v>
      </c>
      <c r="V306" t="s">
        <v>234</v>
      </c>
      <c r="W306" t="s">
        <v>56</v>
      </c>
      <c r="X306" t="s">
        <v>235</v>
      </c>
      <c r="Y306" t="s">
        <v>304</v>
      </c>
      <c r="Z306">
        <v>2966</v>
      </c>
      <c r="AA306">
        <v>2966</v>
      </c>
      <c r="AB306" t="s">
        <v>237</v>
      </c>
      <c r="AC306">
        <v>4.4800000000000004</v>
      </c>
      <c r="AD306">
        <v>13287.68</v>
      </c>
      <c r="AE306">
        <v>6762.48</v>
      </c>
      <c r="AF306" t="s">
        <v>870</v>
      </c>
      <c r="AG306">
        <v>6525.2</v>
      </c>
      <c r="AH306">
        <v>0.49</v>
      </c>
    </row>
    <row r="307" spans="1:34" x14ac:dyDescent="0.25">
      <c r="A307" t="s">
        <v>818</v>
      </c>
      <c r="B307">
        <v>306</v>
      </c>
      <c r="C307" t="s">
        <v>487</v>
      </c>
      <c r="D307" t="s">
        <v>256</v>
      </c>
      <c r="E307" t="s">
        <v>232</v>
      </c>
      <c r="F307" t="s">
        <v>1337</v>
      </c>
      <c r="G307" s="25">
        <v>44248</v>
      </c>
      <c r="H307">
        <v>11</v>
      </c>
      <c r="I307">
        <v>52</v>
      </c>
      <c r="J307" t="s">
        <v>1338</v>
      </c>
      <c r="K307" t="s">
        <v>876</v>
      </c>
      <c r="L307" t="s">
        <v>231</v>
      </c>
      <c r="M307" t="s">
        <v>865</v>
      </c>
      <c r="N307" t="s">
        <v>186</v>
      </c>
      <c r="O307" t="s">
        <v>1012</v>
      </c>
      <c r="P307" t="s">
        <v>867</v>
      </c>
      <c r="Q307" t="s">
        <v>1339</v>
      </c>
      <c r="R307" t="s">
        <v>1340</v>
      </c>
      <c r="S307" t="s">
        <v>239</v>
      </c>
      <c r="T307" t="s">
        <v>503</v>
      </c>
      <c r="U307" t="s">
        <v>303</v>
      </c>
      <c r="V307" t="s">
        <v>234</v>
      </c>
      <c r="W307" t="s">
        <v>56</v>
      </c>
      <c r="X307" t="s">
        <v>235</v>
      </c>
      <c r="Y307" t="s">
        <v>304</v>
      </c>
      <c r="Z307">
        <v>3192</v>
      </c>
      <c r="AA307">
        <v>3192</v>
      </c>
      <c r="AB307" t="s">
        <v>237</v>
      </c>
      <c r="AC307">
        <v>4.3899999999999997</v>
      </c>
      <c r="AD307">
        <v>14012.88</v>
      </c>
      <c r="AE307">
        <v>7277.76</v>
      </c>
      <c r="AF307" t="s">
        <v>870</v>
      </c>
      <c r="AG307">
        <v>6735.12</v>
      </c>
      <c r="AH307">
        <v>0.48</v>
      </c>
    </row>
    <row r="308" spans="1:34" x14ac:dyDescent="0.25">
      <c r="A308" t="s">
        <v>813</v>
      </c>
      <c r="B308">
        <v>307</v>
      </c>
      <c r="C308" t="s">
        <v>487</v>
      </c>
      <c r="D308" t="s">
        <v>256</v>
      </c>
      <c r="E308" t="s">
        <v>232</v>
      </c>
      <c r="F308" t="s">
        <v>1337</v>
      </c>
      <c r="G308" s="25">
        <v>44248</v>
      </c>
      <c r="H308">
        <v>11</v>
      </c>
      <c r="I308">
        <v>52</v>
      </c>
      <c r="J308" t="s">
        <v>1338</v>
      </c>
      <c r="K308" t="s">
        <v>510</v>
      </c>
      <c r="L308" t="s">
        <v>231</v>
      </c>
      <c r="M308" t="s">
        <v>865</v>
      </c>
      <c r="N308" t="s">
        <v>186</v>
      </c>
      <c r="O308" t="s">
        <v>1012</v>
      </c>
      <c r="P308" t="s">
        <v>867</v>
      </c>
      <c r="Q308" t="s">
        <v>1339</v>
      </c>
      <c r="R308" t="s">
        <v>1340</v>
      </c>
      <c r="S308" t="s">
        <v>239</v>
      </c>
      <c r="T308" t="s">
        <v>503</v>
      </c>
      <c r="U308" t="s">
        <v>303</v>
      </c>
      <c r="V308" t="s">
        <v>234</v>
      </c>
      <c r="W308" t="s">
        <v>56</v>
      </c>
      <c r="X308" t="s">
        <v>235</v>
      </c>
      <c r="Y308" t="s">
        <v>304</v>
      </c>
      <c r="Z308">
        <v>3202</v>
      </c>
      <c r="AA308">
        <v>3202</v>
      </c>
      <c r="AB308" t="s">
        <v>237</v>
      </c>
      <c r="AC308">
        <v>4.3899999999999997</v>
      </c>
      <c r="AD308">
        <v>14056.78</v>
      </c>
      <c r="AE308">
        <v>7300.56</v>
      </c>
      <c r="AF308" t="s">
        <v>870</v>
      </c>
      <c r="AG308">
        <v>6756.22</v>
      </c>
      <c r="AH308">
        <v>0.48</v>
      </c>
    </row>
    <row r="309" spans="1:34" x14ac:dyDescent="0.25">
      <c r="A309" t="s">
        <v>706</v>
      </c>
      <c r="B309">
        <v>308</v>
      </c>
      <c r="C309" t="s">
        <v>487</v>
      </c>
      <c r="D309" t="s">
        <v>256</v>
      </c>
      <c r="E309" t="s">
        <v>232</v>
      </c>
      <c r="F309" t="s">
        <v>1337</v>
      </c>
      <c r="G309" s="25">
        <v>44248</v>
      </c>
      <c r="H309">
        <v>11</v>
      </c>
      <c r="I309">
        <v>52</v>
      </c>
      <c r="J309" t="s">
        <v>1338</v>
      </c>
      <c r="K309" t="s">
        <v>921</v>
      </c>
      <c r="L309" t="s">
        <v>231</v>
      </c>
      <c r="M309" t="s">
        <v>865</v>
      </c>
      <c r="N309" t="s">
        <v>186</v>
      </c>
      <c r="O309" t="s">
        <v>1012</v>
      </c>
      <c r="P309" t="s">
        <v>867</v>
      </c>
      <c r="Q309" t="s">
        <v>1339</v>
      </c>
      <c r="R309" t="s">
        <v>1340</v>
      </c>
      <c r="S309" t="s">
        <v>239</v>
      </c>
      <c r="T309" t="s">
        <v>502</v>
      </c>
      <c r="U309" t="s">
        <v>287</v>
      </c>
      <c r="V309" t="s">
        <v>234</v>
      </c>
      <c r="W309" t="s">
        <v>58</v>
      </c>
      <c r="X309" t="s">
        <v>235</v>
      </c>
      <c r="Y309" t="s">
        <v>288</v>
      </c>
      <c r="Z309">
        <v>2000</v>
      </c>
      <c r="AA309">
        <v>2000</v>
      </c>
      <c r="AB309" t="s">
        <v>237</v>
      </c>
      <c r="AC309">
        <v>4.51</v>
      </c>
      <c r="AD309">
        <v>9020</v>
      </c>
      <c r="AE309">
        <v>2780</v>
      </c>
      <c r="AF309" t="s">
        <v>870</v>
      </c>
      <c r="AG309">
        <v>6240</v>
      </c>
      <c r="AH309">
        <v>0.69</v>
      </c>
    </row>
    <row r="310" spans="1:34" x14ac:dyDescent="0.25">
      <c r="A310" t="s">
        <v>627</v>
      </c>
      <c r="B310">
        <v>309</v>
      </c>
      <c r="C310" t="s">
        <v>487</v>
      </c>
      <c r="D310" t="s">
        <v>256</v>
      </c>
      <c r="E310" t="s">
        <v>232</v>
      </c>
      <c r="F310" t="s">
        <v>1337</v>
      </c>
      <c r="G310" s="25">
        <v>44248</v>
      </c>
      <c r="H310">
        <v>11</v>
      </c>
      <c r="I310">
        <v>52</v>
      </c>
      <c r="J310" t="s">
        <v>1341</v>
      </c>
      <c r="K310" t="s">
        <v>876</v>
      </c>
      <c r="L310" t="s">
        <v>231</v>
      </c>
      <c r="M310" t="s">
        <v>911</v>
      </c>
      <c r="N310" t="s">
        <v>186</v>
      </c>
      <c r="O310" t="s">
        <v>1016</v>
      </c>
      <c r="P310" t="s">
        <v>867</v>
      </c>
      <c r="Q310" t="s">
        <v>1334</v>
      </c>
      <c r="R310" t="s">
        <v>1335</v>
      </c>
      <c r="S310" t="s">
        <v>232</v>
      </c>
      <c r="T310" t="s">
        <v>503</v>
      </c>
      <c r="U310" t="s">
        <v>303</v>
      </c>
      <c r="V310" t="s">
        <v>234</v>
      </c>
      <c r="W310" t="s">
        <v>56</v>
      </c>
      <c r="X310" t="s">
        <v>235</v>
      </c>
      <c r="Y310" t="s">
        <v>304</v>
      </c>
      <c r="Z310">
        <v>3681</v>
      </c>
      <c r="AA310">
        <v>3681</v>
      </c>
      <c r="AB310" t="s">
        <v>237</v>
      </c>
      <c r="AC310">
        <v>4.4800000000000004</v>
      </c>
      <c r="AD310">
        <v>16490.88</v>
      </c>
      <c r="AE310">
        <v>8392.68</v>
      </c>
      <c r="AF310" t="s">
        <v>870</v>
      </c>
      <c r="AG310">
        <v>8098.2</v>
      </c>
      <c r="AH310">
        <v>0.49</v>
      </c>
    </row>
    <row r="311" spans="1:34" x14ac:dyDescent="0.25">
      <c r="A311" t="s">
        <v>740</v>
      </c>
      <c r="B311">
        <v>310</v>
      </c>
      <c r="C311" t="s">
        <v>487</v>
      </c>
      <c r="D311" t="s">
        <v>256</v>
      </c>
      <c r="E311" t="s">
        <v>232</v>
      </c>
      <c r="F311" t="s">
        <v>1337</v>
      </c>
      <c r="G311" s="25">
        <v>44248</v>
      </c>
      <c r="H311">
        <v>11</v>
      </c>
      <c r="I311">
        <v>52</v>
      </c>
      <c r="J311" t="s">
        <v>1341</v>
      </c>
      <c r="K311" t="s">
        <v>921</v>
      </c>
      <c r="L311" t="s">
        <v>231</v>
      </c>
      <c r="M311" t="s">
        <v>911</v>
      </c>
      <c r="N311" t="s">
        <v>186</v>
      </c>
      <c r="O311" t="s">
        <v>1016</v>
      </c>
      <c r="P311" t="s">
        <v>867</v>
      </c>
      <c r="Q311" t="s">
        <v>1334</v>
      </c>
      <c r="R311" t="s">
        <v>1335</v>
      </c>
      <c r="S311" t="s">
        <v>232</v>
      </c>
      <c r="T311" t="s">
        <v>503</v>
      </c>
      <c r="U311" t="s">
        <v>303</v>
      </c>
      <c r="V311" t="s">
        <v>234</v>
      </c>
      <c r="W311" t="s">
        <v>56</v>
      </c>
      <c r="X311" t="s">
        <v>235</v>
      </c>
      <c r="Y311" t="s">
        <v>304</v>
      </c>
      <c r="Z311">
        <v>3061</v>
      </c>
      <c r="AA311">
        <v>3061</v>
      </c>
      <c r="AB311" t="s">
        <v>237</v>
      </c>
      <c r="AC311">
        <v>4.4800000000000004</v>
      </c>
      <c r="AD311">
        <v>13713.28</v>
      </c>
      <c r="AE311">
        <v>6979.08</v>
      </c>
      <c r="AF311" t="s">
        <v>870</v>
      </c>
      <c r="AG311">
        <v>6734.2</v>
      </c>
      <c r="AH311">
        <v>0.49</v>
      </c>
    </row>
    <row r="312" spans="1:34" x14ac:dyDescent="0.25">
      <c r="A312" t="s">
        <v>678</v>
      </c>
      <c r="B312">
        <v>311</v>
      </c>
      <c r="C312" t="s">
        <v>487</v>
      </c>
      <c r="D312" t="s">
        <v>256</v>
      </c>
      <c r="E312" t="s">
        <v>232</v>
      </c>
      <c r="F312" t="s">
        <v>1337</v>
      </c>
      <c r="G312" s="25">
        <v>44248</v>
      </c>
      <c r="H312">
        <v>11</v>
      </c>
      <c r="I312">
        <v>52</v>
      </c>
      <c r="J312" t="s">
        <v>1341</v>
      </c>
      <c r="K312" t="s">
        <v>956</v>
      </c>
      <c r="L312" t="s">
        <v>231</v>
      </c>
      <c r="M312" t="s">
        <v>911</v>
      </c>
      <c r="N312" t="s">
        <v>186</v>
      </c>
      <c r="O312" t="s">
        <v>1016</v>
      </c>
      <c r="P312" t="s">
        <v>867</v>
      </c>
      <c r="Q312" t="s">
        <v>1334</v>
      </c>
      <c r="R312" t="s">
        <v>1335</v>
      </c>
      <c r="S312" t="s">
        <v>232</v>
      </c>
      <c r="T312" t="s">
        <v>503</v>
      </c>
      <c r="U312" t="s">
        <v>303</v>
      </c>
      <c r="V312" t="s">
        <v>234</v>
      </c>
      <c r="W312" t="s">
        <v>56</v>
      </c>
      <c r="X312" t="s">
        <v>235</v>
      </c>
      <c r="Y312" t="s">
        <v>304</v>
      </c>
      <c r="Z312">
        <v>1602</v>
      </c>
      <c r="AA312">
        <v>1602</v>
      </c>
      <c r="AB312" t="s">
        <v>237</v>
      </c>
      <c r="AC312">
        <v>4.4800000000000004</v>
      </c>
      <c r="AD312">
        <v>7176.96</v>
      </c>
      <c r="AE312">
        <v>3652.56</v>
      </c>
      <c r="AF312" t="s">
        <v>870</v>
      </c>
      <c r="AG312">
        <v>3524.4</v>
      </c>
      <c r="AH312">
        <v>0.49</v>
      </c>
    </row>
    <row r="313" spans="1:34" x14ac:dyDescent="0.25">
      <c r="A313" t="s">
        <v>733</v>
      </c>
      <c r="B313">
        <v>312</v>
      </c>
      <c r="C313" t="s">
        <v>487</v>
      </c>
      <c r="D313" t="s">
        <v>256</v>
      </c>
      <c r="E313" t="s">
        <v>232</v>
      </c>
      <c r="F313" t="s">
        <v>1337</v>
      </c>
      <c r="G313" s="25">
        <v>44248</v>
      </c>
      <c r="H313">
        <v>11</v>
      </c>
      <c r="I313">
        <v>52</v>
      </c>
      <c r="J313" t="s">
        <v>1341</v>
      </c>
      <c r="K313" t="s">
        <v>510</v>
      </c>
      <c r="L313" t="s">
        <v>231</v>
      </c>
      <c r="M313" t="s">
        <v>911</v>
      </c>
      <c r="N313" t="s">
        <v>186</v>
      </c>
      <c r="O313" t="s">
        <v>1016</v>
      </c>
      <c r="P313" t="s">
        <v>867</v>
      </c>
      <c r="Q313" t="s">
        <v>1334</v>
      </c>
      <c r="R313" t="s">
        <v>1335</v>
      </c>
      <c r="S313" t="s">
        <v>232</v>
      </c>
      <c r="T313" t="s">
        <v>503</v>
      </c>
      <c r="U313" t="s">
        <v>303</v>
      </c>
      <c r="V313" t="s">
        <v>234</v>
      </c>
      <c r="W313" t="s">
        <v>56</v>
      </c>
      <c r="X313" t="s">
        <v>235</v>
      </c>
      <c r="Y313" t="s">
        <v>304</v>
      </c>
      <c r="Z313">
        <v>3387</v>
      </c>
      <c r="AA313">
        <v>3387</v>
      </c>
      <c r="AB313" t="s">
        <v>237</v>
      </c>
      <c r="AC313">
        <v>4.4800000000000004</v>
      </c>
      <c r="AD313">
        <v>15173.76</v>
      </c>
      <c r="AE313">
        <v>7722.36</v>
      </c>
      <c r="AF313" t="s">
        <v>870</v>
      </c>
      <c r="AG313">
        <v>7451.4</v>
      </c>
      <c r="AH313">
        <v>0.49</v>
      </c>
    </row>
    <row r="314" spans="1:34" x14ac:dyDescent="0.25">
      <c r="A314" t="s">
        <v>675</v>
      </c>
      <c r="B314">
        <v>313</v>
      </c>
      <c r="C314" t="s">
        <v>487</v>
      </c>
      <c r="D314" t="s">
        <v>256</v>
      </c>
      <c r="E314" t="s">
        <v>512</v>
      </c>
      <c r="F314" t="s">
        <v>1342</v>
      </c>
      <c r="G314" s="25">
        <v>44249</v>
      </c>
      <c r="H314">
        <v>11</v>
      </c>
      <c r="I314">
        <v>53</v>
      </c>
      <c r="J314" t="s">
        <v>1343</v>
      </c>
      <c r="K314" t="s">
        <v>876</v>
      </c>
      <c r="L314" t="s">
        <v>231</v>
      </c>
      <c r="M314" t="s">
        <v>1114</v>
      </c>
      <c r="N314" t="s">
        <v>185</v>
      </c>
      <c r="O314" t="s">
        <v>1255</v>
      </c>
      <c r="P314" t="s">
        <v>867</v>
      </c>
      <c r="Q314" t="s">
        <v>1256</v>
      </c>
      <c r="R314" t="s">
        <v>1257</v>
      </c>
      <c r="S314" t="s">
        <v>232</v>
      </c>
      <c r="T314" t="s">
        <v>505</v>
      </c>
      <c r="U314" t="s">
        <v>41</v>
      </c>
      <c r="V314" t="s">
        <v>234</v>
      </c>
      <c r="W314" t="s">
        <v>40</v>
      </c>
      <c r="X314" t="s">
        <v>21</v>
      </c>
      <c r="Y314" t="s">
        <v>266</v>
      </c>
      <c r="Z314">
        <v>2094</v>
      </c>
      <c r="AA314">
        <v>2094</v>
      </c>
      <c r="AB314" t="s">
        <v>237</v>
      </c>
      <c r="AC314">
        <v>4.0999999999999996</v>
      </c>
      <c r="AD314">
        <v>8585.4</v>
      </c>
      <c r="AE314">
        <v>1884.6</v>
      </c>
      <c r="AF314" t="s">
        <v>870</v>
      </c>
      <c r="AG314">
        <v>6700.8</v>
      </c>
      <c r="AH314">
        <v>0.78</v>
      </c>
    </row>
    <row r="315" spans="1:34" x14ac:dyDescent="0.25">
      <c r="A315" t="s">
        <v>606</v>
      </c>
      <c r="B315">
        <v>314</v>
      </c>
      <c r="C315" t="s">
        <v>487</v>
      </c>
      <c r="D315" t="s">
        <v>256</v>
      </c>
      <c r="E315" t="s">
        <v>512</v>
      </c>
      <c r="F315" t="s">
        <v>1342</v>
      </c>
      <c r="G315" s="25">
        <v>44249</v>
      </c>
      <c r="H315">
        <v>11</v>
      </c>
      <c r="I315">
        <v>53</v>
      </c>
      <c r="J315" t="s">
        <v>1344</v>
      </c>
      <c r="K315" t="s">
        <v>876</v>
      </c>
      <c r="L315" t="s">
        <v>231</v>
      </c>
      <c r="M315" t="s">
        <v>865</v>
      </c>
      <c r="N315" t="s">
        <v>186</v>
      </c>
      <c r="O315" t="s">
        <v>1345</v>
      </c>
      <c r="P315" t="s">
        <v>867</v>
      </c>
      <c r="Q315" t="s">
        <v>1346</v>
      </c>
      <c r="R315" t="s">
        <v>1347</v>
      </c>
      <c r="S315" t="s">
        <v>232</v>
      </c>
      <c r="T315" t="s">
        <v>505</v>
      </c>
      <c r="U315" t="s">
        <v>41</v>
      </c>
      <c r="V315" t="s">
        <v>234</v>
      </c>
      <c r="W315" t="s">
        <v>40</v>
      </c>
      <c r="X315" t="s">
        <v>21</v>
      </c>
      <c r="Y315" t="s">
        <v>266</v>
      </c>
      <c r="Z315">
        <v>4031</v>
      </c>
      <c r="AA315">
        <v>4031</v>
      </c>
      <c r="AB315" t="s">
        <v>237</v>
      </c>
      <c r="AC315">
        <v>4.0999999999999996</v>
      </c>
      <c r="AD315">
        <v>16527.099999999999</v>
      </c>
      <c r="AE315">
        <v>3627.9</v>
      </c>
      <c r="AF315" t="s">
        <v>870</v>
      </c>
      <c r="AG315">
        <v>12899.2</v>
      </c>
      <c r="AH315">
        <v>0.78</v>
      </c>
    </row>
    <row r="316" spans="1:34" x14ac:dyDescent="0.25">
      <c r="A316" t="s">
        <v>748</v>
      </c>
      <c r="B316">
        <v>315</v>
      </c>
      <c r="C316" t="s">
        <v>487</v>
      </c>
      <c r="D316" t="s">
        <v>256</v>
      </c>
      <c r="E316" t="s">
        <v>512</v>
      </c>
      <c r="F316" t="s">
        <v>1342</v>
      </c>
      <c r="G316" s="25">
        <v>44249</v>
      </c>
      <c r="H316">
        <v>11</v>
      </c>
      <c r="I316">
        <v>53</v>
      </c>
      <c r="J316" t="s">
        <v>1343</v>
      </c>
      <c r="K316" t="s">
        <v>510</v>
      </c>
      <c r="L316" t="s">
        <v>231</v>
      </c>
      <c r="M316" t="s">
        <v>1114</v>
      </c>
      <c r="N316" t="s">
        <v>185</v>
      </c>
      <c r="O316" t="s">
        <v>1255</v>
      </c>
      <c r="P316" t="s">
        <v>867</v>
      </c>
      <c r="Q316" t="s">
        <v>1256</v>
      </c>
      <c r="R316" t="s">
        <v>1257</v>
      </c>
      <c r="S316" t="s">
        <v>232</v>
      </c>
      <c r="T316" t="s">
        <v>502</v>
      </c>
      <c r="U316" t="s">
        <v>287</v>
      </c>
      <c r="V316" t="s">
        <v>234</v>
      </c>
      <c r="W316" t="s">
        <v>58</v>
      </c>
      <c r="X316" t="s">
        <v>235</v>
      </c>
      <c r="Y316" t="s">
        <v>288</v>
      </c>
      <c r="Z316">
        <v>2959</v>
      </c>
      <c r="AA316">
        <v>2959</v>
      </c>
      <c r="AB316" t="s">
        <v>237</v>
      </c>
      <c r="AC316">
        <v>4.5999999999999996</v>
      </c>
      <c r="AD316">
        <v>13611.4</v>
      </c>
      <c r="AE316">
        <v>4113.01</v>
      </c>
      <c r="AF316" t="s">
        <v>870</v>
      </c>
      <c r="AG316">
        <v>9498.39</v>
      </c>
      <c r="AH316">
        <v>0.7</v>
      </c>
    </row>
    <row r="317" spans="1:34" x14ac:dyDescent="0.25">
      <c r="A317" t="s">
        <v>669</v>
      </c>
      <c r="B317">
        <v>316</v>
      </c>
      <c r="C317" t="s">
        <v>487</v>
      </c>
      <c r="D317" t="s">
        <v>256</v>
      </c>
      <c r="E317" t="s">
        <v>512</v>
      </c>
      <c r="F317" t="s">
        <v>1342</v>
      </c>
      <c r="G317" s="25">
        <v>44249</v>
      </c>
      <c r="H317">
        <v>11</v>
      </c>
      <c r="I317">
        <v>53</v>
      </c>
      <c r="J317" t="s">
        <v>1343</v>
      </c>
      <c r="K317" t="s">
        <v>921</v>
      </c>
      <c r="L317" t="s">
        <v>231</v>
      </c>
      <c r="M317" t="s">
        <v>1114</v>
      </c>
      <c r="N317" t="s">
        <v>185</v>
      </c>
      <c r="O317" t="s">
        <v>1255</v>
      </c>
      <c r="P317" t="s">
        <v>867</v>
      </c>
      <c r="Q317" t="s">
        <v>1256</v>
      </c>
      <c r="R317" t="s">
        <v>1257</v>
      </c>
      <c r="S317" t="s">
        <v>232</v>
      </c>
      <c r="T317" t="s">
        <v>502</v>
      </c>
      <c r="U317" t="s">
        <v>287</v>
      </c>
      <c r="V317" t="s">
        <v>234</v>
      </c>
      <c r="W317" t="s">
        <v>58</v>
      </c>
      <c r="X317" t="s">
        <v>235</v>
      </c>
      <c r="Y317" t="s">
        <v>288</v>
      </c>
      <c r="Z317">
        <v>1464</v>
      </c>
      <c r="AA317">
        <v>1464</v>
      </c>
      <c r="AB317" t="s">
        <v>237</v>
      </c>
      <c r="AC317">
        <v>4.5999999999999996</v>
      </c>
      <c r="AD317">
        <v>6734.4</v>
      </c>
      <c r="AE317">
        <v>2034.96</v>
      </c>
      <c r="AF317" t="s">
        <v>870</v>
      </c>
      <c r="AG317">
        <v>4699.4399999999996</v>
      </c>
      <c r="AH317">
        <v>0.7</v>
      </c>
    </row>
    <row r="318" spans="1:34" x14ac:dyDescent="0.25">
      <c r="A318" t="s">
        <v>616</v>
      </c>
      <c r="B318">
        <v>317</v>
      </c>
      <c r="C318" t="s">
        <v>487</v>
      </c>
      <c r="D318" t="s">
        <v>256</v>
      </c>
      <c r="E318" t="s">
        <v>512</v>
      </c>
      <c r="F318" t="s">
        <v>1342</v>
      </c>
      <c r="G318" s="25">
        <v>44249</v>
      </c>
      <c r="H318">
        <v>11</v>
      </c>
      <c r="I318">
        <v>53</v>
      </c>
      <c r="J318" t="s">
        <v>1344</v>
      </c>
      <c r="K318" t="s">
        <v>956</v>
      </c>
      <c r="L318" t="s">
        <v>231</v>
      </c>
      <c r="M318" t="s">
        <v>865</v>
      </c>
      <c r="N318" t="s">
        <v>186</v>
      </c>
      <c r="O318" t="s">
        <v>1345</v>
      </c>
      <c r="P318" t="s">
        <v>867</v>
      </c>
      <c r="Q318" t="s">
        <v>1346</v>
      </c>
      <c r="R318" t="s">
        <v>1347</v>
      </c>
      <c r="S318" t="s">
        <v>232</v>
      </c>
      <c r="T318" t="s">
        <v>502</v>
      </c>
      <c r="U318" t="s">
        <v>287</v>
      </c>
      <c r="V318" t="s">
        <v>234</v>
      </c>
      <c r="W318" t="s">
        <v>58</v>
      </c>
      <c r="X318" t="s">
        <v>235</v>
      </c>
      <c r="Y318" t="s">
        <v>288</v>
      </c>
      <c r="Z318">
        <v>3612</v>
      </c>
      <c r="AA318">
        <v>3612</v>
      </c>
      <c r="AB318" t="s">
        <v>237</v>
      </c>
      <c r="AC318">
        <v>4.5999999999999996</v>
      </c>
      <c r="AD318">
        <v>16615.2</v>
      </c>
      <c r="AE318">
        <v>5020.68</v>
      </c>
      <c r="AF318" t="s">
        <v>870</v>
      </c>
      <c r="AG318">
        <v>11594.52</v>
      </c>
      <c r="AH318">
        <v>0.7</v>
      </c>
    </row>
    <row r="319" spans="1:34" x14ac:dyDescent="0.25">
      <c r="A319" t="s">
        <v>639</v>
      </c>
      <c r="B319">
        <v>318</v>
      </c>
      <c r="C319" t="s">
        <v>487</v>
      </c>
      <c r="D319" t="s">
        <v>256</v>
      </c>
      <c r="E319" t="s">
        <v>512</v>
      </c>
      <c r="F319" t="s">
        <v>1342</v>
      </c>
      <c r="G319" s="25">
        <v>44249</v>
      </c>
      <c r="H319">
        <v>11</v>
      </c>
      <c r="I319">
        <v>53</v>
      </c>
      <c r="J319" t="s">
        <v>1344</v>
      </c>
      <c r="K319" t="s">
        <v>921</v>
      </c>
      <c r="L319" t="s">
        <v>231</v>
      </c>
      <c r="M319" t="s">
        <v>865</v>
      </c>
      <c r="N319" t="s">
        <v>186</v>
      </c>
      <c r="O319" t="s">
        <v>1345</v>
      </c>
      <c r="P319" t="s">
        <v>867</v>
      </c>
      <c r="Q319" t="s">
        <v>1346</v>
      </c>
      <c r="R319" t="s">
        <v>1347</v>
      </c>
      <c r="S319" t="s">
        <v>232</v>
      </c>
      <c r="T319" t="s">
        <v>502</v>
      </c>
      <c r="U319" t="s">
        <v>287</v>
      </c>
      <c r="V319" t="s">
        <v>234</v>
      </c>
      <c r="W319" t="s">
        <v>58</v>
      </c>
      <c r="X319" t="s">
        <v>235</v>
      </c>
      <c r="Y319" t="s">
        <v>288</v>
      </c>
      <c r="Z319">
        <v>3002</v>
      </c>
      <c r="AA319">
        <v>3002</v>
      </c>
      <c r="AB319" t="s">
        <v>237</v>
      </c>
      <c r="AC319">
        <v>4.5999999999999996</v>
      </c>
      <c r="AD319">
        <v>13809.2</v>
      </c>
      <c r="AE319">
        <v>4172.78</v>
      </c>
      <c r="AF319" t="s">
        <v>870</v>
      </c>
      <c r="AG319">
        <v>9636.42</v>
      </c>
      <c r="AH319">
        <v>0.7</v>
      </c>
    </row>
    <row r="320" spans="1:34" x14ac:dyDescent="0.25">
      <c r="A320" t="s">
        <v>846</v>
      </c>
      <c r="B320">
        <v>319</v>
      </c>
      <c r="C320" t="s">
        <v>487</v>
      </c>
      <c r="D320" t="s">
        <v>256</v>
      </c>
      <c r="E320" t="s">
        <v>512</v>
      </c>
      <c r="F320" t="s">
        <v>1342</v>
      </c>
      <c r="G320" s="25">
        <v>44249</v>
      </c>
      <c r="H320">
        <v>11</v>
      </c>
      <c r="I320">
        <v>53</v>
      </c>
      <c r="J320" t="s">
        <v>1344</v>
      </c>
      <c r="K320" t="s">
        <v>510</v>
      </c>
      <c r="L320" t="s">
        <v>231</v>
      </c>
      <c r="M320" t="s">
        <v>865</v>
      </c>
      <c r="N320" t="s">
        <v>186</v>
      </c>
      <c r="O320" t="s">
        <v>1345</v>
      </c>
      <c r="P320" t="s">
        <v>867</v>
      </c>
      <c r="Q320" t="s">
        <v>1346</v>
      </c>
      <c r="R320" t="s">
        <v>1347</v>
      </c>
      <c r="S320" t="s">
        <v>232</v>
      </c>
      <c r="T320" t="s">
        <v>502</v>
      </c>
      <c r="U320" t="s">
        <v>287</v>
      </c>
      <c r="V320" t="s">
        <v>234</v>
      </c>
      <c r="W320" t="s">
        <v>58</v>
      </c>
      <c r="X320" t="s">
        <v>235</v>
      </c>
      <c r="Y320" t="s">
        <v>288</v>
      </c>
      <c r="Z320">
        <v>2963</v>
      </c>
      <c r="AA320">
        <v>2963</v>
      </c>
      <c r="AB320" t="s">
        <v>237</v>
      </c>
      <c r="AC320">
        <v>4.5999999999999996</v>
      </c>
      <c r="AD320">
        <v>13629.8</v>
      </c>
      <c r="AE320">
        <v>4118.57</v>
      </c>
      <c r="AF320" t="s">
        <v>870</v>
      </c>
      <c r="AG320">
        <v>9511.23</v>
      </c>
      <c r="AH320">
        <v>0.7</v>
      </c>
    </row>
    <row r="321" spans="1:34" x14ac:dyDescent="0.25">
      <c r="A321" t="s">
        <v>841</v>
      </c>
      <c r="B321">
        <v>320</v>
      </c>
      <c r="C321" t="s">
        <v>487</v>
      </c>
      <c r="D321" t="s">
        <v>256</v>
      </c>
      <c r="E321" t="s">
        <v>537</v>
      </c>
      <c r="F321" t="s">
        <v>1348</v>
      </c>
      <c r="G321" s="25">
        <v>44250</v>
      </c>
      <c r="H321">
        <v>11</v>
      </c>
      <c r="I321">
        <v>54</v>
      </c>
      <c r="J321" t="s">
        <v>1349</v>
      </c>
      <c r="K321" t="s">
        <v>510</v>
      </c>
      <c r="L321" t="s">
        <v>231</v>
      </c>
      <c r="M321" t="s">
        <v>997</v>
      </c>
      <c r="N321" t="s">
        <v>185</v>
      </c>
      <c r="O321" t="s">
        <v>998</v>
      </c>
      <c r="P321" t="s">
        <v>867</v>
      </c>
      <c r="Q321" t="s">
        <v>1073</v>
      </c>
      <c r="R321" t="s">
        <v>1074</v>
      </c>
      <c r="S321" t="s">
        <v>232</v>
      </c>
      <c r="T321" t="s">
        <v>505</v>
      </c>
      <c r="U321" t="s">
        <v>41</v>
      </c>
      <c r="V321" t="s">
        <v>234</v>
      </c>
      <c r="W321" t="s">
        <v>40</v>
      </c>
      <c r="X321" t="s">
        <v>21</v>
      </c>
      <c r="Y321" t="s">
        <v>266</v>
      </c>
      <c r="Z321">
        <v>3481</v>
      </c>
      <c r="AA321">
        <v>3481</v>
      </c>
      <c r="AB321" t="s">
        <v>237</v>
      </c>
      <c r="AC321">
        <v>4.0999999999999996</v>
      </c>
      <c r="AD321">
        <v>14272.1</v>
      </c>
      <c r="AE321">
        <v>3132.9</v>
      </c>
      <c r="AF321" t="s">
        <v>870</v>
      </c>
      <c r="AG321">
        <v>11139.2</v>
      </c>
      <c r="AH321">
        <v>0.78</v>
      </c>
    </row>
    <row r="322" spans="1:34" x14ac:dyDescent="0.25">
      <c r="A322" t="s">
        <v>667</v>
      </c>
      <c r="B322">
        <v>321</v>
      </c>
      <c r="C322" t="s">
        <v>487</v>
      </c>
      <c r="D322" t="s">
        <v>256</v>
      </c>
      <c r="E322" t="s">
        <v>620</v>
      </c>
      <c r="F322" t="s">
        <v>1350</v>
      </c>
      <c r="G322" s="25">
        <v>44252</v>
      </c>
      <c r="H322">
        <v>12</v>
      </c>
      <c r="I322">
        <v>56</v>
      </c>
      <c r="J322" t="s">
        <v>1351</v>
      </c>
      <c r="K322" t="s">
        <v>876</v>
      </c>
      <c r="L322" t="s">
        <v>231</v>
      </c>
      <c r="M322" t="s">
        <v>883</v>
      </c>
      <c r="N322" t="s">
        <v>185</v>
      </c>
      <c r="O322" t="s">
        <v>1034</v>
      </c>
      <c r="P322" t="s">
        <v>867</v>
      </c>
      <c r="Q322" t="s">
        <v>1035</v>
      </c>
      <c r="R322" t="s">
        <v>1036</v>
      </c>
      <c r="S322" t="s">
        <v>232</v>
      </c>
      <c r="T322" t="s">
        <v>505</v>
      </c>
      <c r="U322" t="s">
        <v>41</v>
      </c>
      <c r="V322" t="s">
        <v>234</v>
      </c>
      <c r="W322" t="s">
        <v>40</v>
      </c>
      <c r="X322" t="s">
        <v>21</v>
      </c>
      <c r="Y322" t="s">
        <v>266</v>
      </c>
      <c r="Z322">
        <v>3468</v>
      </c>
      <c r="AA322">
        <v>3468</v>
      </c>
      <c r="AB322" t="s">
        <v>237</v>
      </c>
      <c r="AC322">
        <v>4.0999999999999996</v>
      </c>
      <c r="AD322">
        <v>14218.8</v>
      </c>
      <c r="AE322">
        <v>3121.2</v>
      </c>
      <c r="AF322" t="s">
        <v>870</v>
      </c>
      <c r="AG322">
        <v>11097.6</v>
      </c>
      <c r="AH322">
        <v>0.78</v>
      </c>
    </row>
    <row r="323" spans="1:34" x14ac:dyDescent="0.25">
      <c r="A323" t="s">
        <v>597</v>
      </c>
      <c r="B323">
        <v>322</v>
      </c>
      <c r="C323" t="s">
        <v>487</v>
      </c>
      <c r="D323" t="s">
        <v>256</v>
      </c>
      <c r="E323" t="s">
        <v>620</v>
      </c>
      <c r="F323" t="s">
        <v>1350</v>
      </c>
      <c r="G323" s="25">
        <v>44252</v>
      </c>
      <c r="H323">
        <v>12</v>
      </c>
      <c r="I323">
        <v>56</v>
      </c>
      <c r="J323" t="s">
        <v>1351</v>
      </c>
      <c r="K323" t="s">
        <v>510</v>
      </c>
      <c r="L323" t="s">
        <v>231</v>
      </c>
      <c r="M323" t="s">
        <v>883</v>
      </c>
      <c r="N323" t="s">
        <v>185</v>
      </c>
      <c r="O323" t="s">
        <v>1034</v>
      </c>
      <c r="P323" t="s">
        <v>867</v>
      </c>
      <c r="Q323" t="s">
        <v>1035</v>
      </c>
      <c r="R323" t="s">
        <v>1036</v>
      </c>
      <c r="S323" t="s">
        <v>232</v>
      </c>
      <c r="T323" t="s">
        <v>504</v>
      </c>
      <c r="U323" t="s">
        <v>43</v>
      </c>
      <c r="V323" t="s">
        <v>234</v>
      </c>
      <c r="W323" t="s">
        <v>42</v>
      </c>
      <c r="X323" t="s">
        <v>21</v>
      </c>
      <c r="Y323" t="s">
        <v>236</v>
      </c>
      <c r="Z323">
        <v>3604</v>
      </c>
      <c r="AA323">
        <v>3604</v>
      </c>
      <c r="AB323" t="s">
        <v>237</v>
      </c>
      <c r="AC323">
        <v>4.4400000000000004</v>
      </c>
      <c r="AD323">
        <v>16001.76</v>
      </c>
      <c r="AE323">
        <v>4432.92</v>
      </c>
      <c r="AF323" t="s">
        <v>870</v>
      </c>
      <c r="AG323">
        <v>11568.84</v>
      </c>
      <c r="AH323">
        <v>0.72</v>
      </c>
    </row>
    <row r="324" spans="1:34" x14ac:dyDescent="0.25">
      <c r="A324" t="s">
        <v>851</v>
      </c>
      <c r="B324">
        <v>323</v>
      </c>
      <c r="C324" t="s">
        <v>487</v>
      </c>
      <c r="D324" t="s">
        <v>256</v>
      </c>
      <c r="E324" t="s">
        <v>620</v>
      </c>
      <c r="F324" t="s">
        <v>1350</v>
      </c>
      <c r="G324" s="25">
        <v>44252</v>
      </c>
      <c r="H324">
        <v>12</v>
      </c>
      <c r="I324">
        <v>56</v>
      </c>
      <c r="J324" t="s">
        <v>1352</v>
      </c>
      <c r="K324" t="s">
        <v>510</v>
      </c>
      <c r="L324" t="s">
        <v>231</v>
      </c>
      <c r="M324" t="s">
        <v>1353</v>
      </c>
      <c r="N324" t="s">
        <v>184</v>
      </c>
      <c r="O324" t="s">
        <v>1354</v>
      </c>
      <c r="P324" t="s">
        <v>867</v>
      </c>
      <c r="Q324" t="s">
        <v>1355</v>
      </c>
      <c r="R324" t="s">
        <v>1356</v>
      </c>
      <c r="S324" t="s">
        <v>537</v>
      </c>
      <c r="T324" t="s">
        <v>504</v>
      </c>
      <c r="U324" t="s">
        <v>43</v>
      </c>
      <c r="V324" t="s">
        <v>234</v>
      </c>
      <c r="W324" t="s">
        <v>42</v>
      </c>
      <c r="X324" t="s">
        <v>21</v>
      </c>
      <c r="Y324" t="s">
        <v>236</v>
      </c>
      <c r="Z324">
        <v>2609</v>
      </c>
      <c r="AA324">
        <v>2609</v>
      </c>
      <c r="AB324" t="s">
        <v>237</v>
      </c>
      <c r="AC324">
        <v>4.8899999999999997</v>
      </c>
      <c r="AD324">
        <v>12758.01</v>
      </c>
      <c r="AE324">
        <v>3209.07</v>
      </c>
      <c r="AF324" t="s">
        <v>870</v>
      </c>
      <c r="AG324">
        <v>9548.94</v>
      </c>
      <c r="AH324">
        <v>0.75</v>
      </c>
    </row>
    <row r="325" spans="1:34" x14ac:dyDescent="0.25">
      <c r="A325" t="s">
        <v>574</v>
      </c>
      <c r="B325">
        <v>324</v>
      </c>
      <c r="C325" t="s">
        <v>487</v>
      </c>
      <c r="D325" t="s">
        <v>256</v>
      </c>
      <c r="E325" t="s">
        <v>534</v>
      </c>
      <c r="F325" t="s">
        <v>1357</v>
      </c>
      <c r="G325" s="25">
        <v>44253</v>
      </c>
      <c r="H325">
        <v>12</v>
      </c>
      <c r="I325">
        <v>57</v>
      </c>
      <c r="J325" t="s">
        <v>1358</v>
      </c>
      <c r="K325" t="s">
        <v>876</v>
      </c>
      <c r="L325" t="s">
        <v>231</v>
      </c>
      <c r="M325" t="s">
        <v>872</v>
      </c>
      <c r="N325" t="s">
        <v>184</v>
      </c>
      <c r="O325" t="s">
        <v>1092</v>
      </c>
      <c r="P325" t="s">
        <v>867</v>
      </c>
      <c r="Q325" t="s">
        <v>1093</v>
      </c>
      <c r="R325" t="s">
        <v>1094</v>
      </c>
      <c r="S325" t="s">
        <v>232</v>
      </c>
      <c r="T325" t="s">
        <v>505</v>
      </c>
      <c r="U325" t="s">
        <v>41</v>
      </c>
      <c r="V325" t="s">
        <v>234</v>
      </c>
      <c r="W325" t="s">
        <v>40</v>
      </c>
      <c r="X325" t="s">
        <v>21</v>
      </c>
      <c r="Y325" t="s">
        <v>266</v>
      </c>
      <c r="Z325">
        <v>3552</v>
      </c>
      <c r="AA325">
        <v>3552</v>
      </c>
      <c r="AB325" t="s">
        <v>237</v>
      </c>
      <c r="AC325">
        <v>4.0999999999999996</v>
      </c>
      <c r="AD325">
        <v>14563.2</v>
      </c>
      <c r="AE325">
        <v>3196.8</v>
      </c>
      <c r="AF325" t="s">
        <v>870</v>
      </c>
      <c r="AG325">
        <v>11366.4</v>
      </c>
      <c r="AH325">
        <v>0.78</v>
      </c>
    </row>
    <row r="326" spans="1:34" x14ac:dyDescent="0.25">
      <c r="A326" t="s">
        <v>604</v>
      </c>
      <c r="B326">
        <v>325</v>
      </c>
      <c r="C326" t="s">
        <v>487</v>
      </c>
      <c r="D326" t="s">
        <v>256</v>
      </c>
      <c r="E326" t="s">
        <v>534</v>
      </c>
      <c r="F326" t="s">
        <v>1357</v>
      </c>
      <c r="G326" s="25">
        <v>44253</v>
      </c>
      <c r="H326">
        <v>12</v>
      </c>
      <c r="I326">
        <v>57</v>
      </c>
      <c r="J326" t="s">
        <v>1358</v>
      </c>
      <c r="K326" t="s">
        <v>510</v>
      </c>
      <c r="L326" t="s">
        <v>231</v>
      </c>
      <c r="M326" t="s">
        <v>872</v>
      </c>
      <c r="N326" t="s">
        <v>184</v>
      </c>
      <c r="O326" t="s">
        <v>1092</v>
      </c>
      <c r="P326" t="s">
        <v>867</v>
      </c>
      <c r="Q326" t="s">
        <v>1093</v>
      </c>
      <c r="R326" t="s">
        <v>1094</v>
      </c>
      <c r="S326" t="s">
        <v>232</v>
      </c>
      <c r="T326" t="s">
        <v>504</v>
      </c>
      <c r="U326" t="s">
        <v>43</v>
      </c>
      <c r="V326" t="s">
        <v>234</v>
      </c>
      <c r="W326" t="s">
        <v>42</v>
      </c>
      <c r="X326" t="s">
        <v>21</v>
      </c>
      <c r="Y326" t="s">
        <v>236</v>
      </c>
      <c r="Z326">
        <v>2840</v>
      </c>
      <c r="AA326">
        <v>2840</v>
      </c>
      <c r="AB326" t="s">
        <v>237</v>
      </c>
      <c r="AC326">
        <v>4.4400000000000004</v>
      </c>
      <c r="AD326">
        <v>12609.6</v>
      </c>
      <c r="AE326">
        <v>3493.2</v>
      </c>
      <c r="AF326" t="s">
        <v>870</v>
      </c>
      <c r="AG326">
        <v>9116.4</v>
      </c>
      <c r="AH326">
        <v>0.72</v>
      </c>
    </row>
    <row r="327" spans="1:34" x14ac:dyDescent="0.25">
      <c r="A327" t="s">
        <v>661</v>
      </c>
      <c r="B327">
        <v>326</v>
      </c>
      <c r="C327" t="s">
        <v>487</v>
      </c>
      <c r="D327" t="s">
        <v>256</v>
      </c>
      <c r="E327" t="s">
        <v>534</v>
      </c>
      <c r="F327" t="s">
        <v>1357</v>
      </c>
      <c r="G327" s="25">
        <v>44253</v>
      </c>
      <c r="H327">
        <v>12</v>
      </c>
      <c r="I327">
        <v>57</v>
      </c>
      <c r="J327" t="s">
        <v>1358</v>
      </c>
      <c r="K327" t="s">
        <v>921</v>
      </c>
      <c r="L327" t="s">
        <v>231</v>
      </c>
      <c r="M327" t="s">
        <v>872</v>
      </c>
      <c r="N327" t="s">
        <v>184</v>
      </c>
      <c r="O327" t="s">
        <v>1092</v>
      </c>
      <c r="P327" t="s">
        <v>867</v>
      </c>
      <c r="Q327" t="s">
        <v>1093</v>
      </c>
      <c r="R327" t="s">
        <v>1094</v>
      </c>
      <c r="S327" t="s">
        <v>232</v>
      </c>
      <c r="T327" t="s">
        <v>504</v>
      </c>
      <c r="U327" t="s">
        <v>43</v>
      </c>
      <c r="V327" t="s">
        <v>234</v>
      </c>
      <c r="W327" t="s">
        <v>42</v>
      </c>
      <c r="X327" t="s">
        <v>21</v>
      </c>
      <c r="Y327" t="s">
        <v>236</v>
      </c>
      <c r="Z327">
        <v>3028</v>
      </c>
      <c r="AA327">
        <v>3028</v>
      </c>
      <c r="AB327" t="s">
        <v>237</v>
      </c>
      <c r="AC327">
        <v>4.4400000000000004</v>
      </c>
      <c r="AD327">
        <v>13444.32</v>
      </c>
      <c r="AE327">
        <v>3724.44</v>
      </c>
      <c r="AF327" t="s">
        <v>870</v>
      </c>
      <c r="AG327">
        <v>9719.8799999999992</v>
      </c>
      <c r="AH327">
        <v>0.72</v>
      </c>
    </row>
    <row r="328" spans="1:34" x14ac:dyDescent="0.25">
      <c r="A328" t="s">
        <v>648</v>
      </c>
      <c r="B328">
        <v>327</v>
      </c>
      <c r="C328" t="s">
        <v>487</v>
      </c>
      <c r="D328" t="s">
        <v>256</v>
      </c>
      <c r="E328" t="s">
        <v>534</v>
      </c>
      <c r="F328" t="s">
        <v>1357</v>
      </c>
      <c r="G328" s="25">
        <v>44253</v>
      </c>
      <c r="H328">
        <v>12</v>
      </c>
      <c r="I328">
        <v>57</v>
      </c>
      <c r="J328" t="s">
        <v>1359</v>
      </c>
      <c r="K328" t="s">
        <v>921</v>
      </c>
      <c r="L328" t="s">
        <v>231</v>
      </c>
      <c r="M328" t="s">
        <v>865</v>
      </c>
      <c r="N328" t="s">
        <v>186</v>
      </c>
      <c r="O328" t="s">
        <v>1012</v>
      </c>
      <c r="P328" t="s">
        <v>867</v>
      </c>
      <c r="Q328" t="s">
        <v>1013</v>
      </c>
      <c r="R328" t="s">
        <v>1014</v>
      </c>
      <c r="S328" t="s">
        <v>232</v>
      </c>
      <c r="T328" t="s">
        <v>500</v>
      </c>
      <c r="U328" t="s">
        <v>265</v>
      </c>
      <c r="V328" t="s">
        <v>234</v>
      </c>
      <c r="W328" t="s">
        <v>52</v>
      </c>
      <c r="X328" t="s">
        <v>235</v>
      </c>
      <c r="Y328" t="s">
        <v>266</v>
      </c>
      <c r="Z328">
        <v>2820</v>
      </c>
      <c r="AA328">
        <v>2820</v>
      </c>
      <c r="AB328" t="s">
        <v>237</v>
      </c>
      <c r="AC328">
        <v>4.84</v>
      </c>
      <c r="AD328">
        <v>13648.8</v>
      </c>
      <c r="AE328">
        <v>4568.3999999999996</v>
      </c>
      <c r="AF328" t="s">
        <v>870</v>
      </c>
      <c r="AG328">
        <v>9080.4</v>
      </c>
      <c r="AH328">
        <v>0.67</v>
      </c>
    </row>
    <row r="329" spans="1:34" x14ac:dyDescent="0.25">
      <c r="A329" t="s">
        <v>861</v>
      </c>
      <c r="B329">
        <v>328</v>
      </c>
      <c r="C329" t="s">
        <v>487</v>
      </c>
      <c r="D329" t="s">
        <v>256</v>
      </c>
      <c r="E329" t="s">
        <v>534</v>
      </c>
      <c r="F329" t="s">
        <v>1357</v>
      </c>
      <c r="G329" s="25">
        <v>44253</v>
      </c>
      <c r="H329">
        <v>12</v>
      </c>
      <c r="I329">
        <v>57</v>
      </c>
      <c r="J329" t="s">
        <v>1359</v>
      </c>
      <c r="K329" t="s">
        <v>956</v>
      </c>
      <c r="L329" t="s">
        <v>231</v>
      </c>
      <c r="M329" t="s">
        <v>865</v>
      </c>
      <c r="N329" t="s">
        <v>186</v>
      </c>
      <c r="O329" t="s">
        <v>1012</v>
      </c>
      <c r="P329" t="s">
        <v>867</v>
      </c>
      <c r="Q329" t="s">
        <v>1013</v>
      </c>
      <c r="R329" t="s">
        <v>1014</v>
      </c>
      <c r="S329" t="s">
        <v>232</v>
      </c>
      <c r="T329" t="s">
        <v>500</v>
      </c>
      <c r="U329" t="s">
        <v>265</v>
      </c>
      <c r="V329" t="s">
        <v>234</v>
      </c>
      <c r="W329" t="s">
        <v>52</v>
      </c>
      <c r="X329" t="s">
        <v>235</v>
      </c>
      <c r="Y329" t="s">
        <v>266</v>
      </c>
      <c r="Z329">
        <v>1671</v>
      </c>
      <c r="AA329">
        <v>1671</v>
      </c>
      <c r="AB329" t="s">
        <v>237</v>
      </c>
      <c r="AC329">
        <v>4.84</v>
      </c>
      <c r="AD329">
        <v>8087.64</v>
      </c>
      <c r="AE329">
        <v>2707.02</v>
      </c>
      <c r="AF329" t="s">
        <v>870</v>
      </c>
      <c r="AG329">
        <v>5380.62</v>
      </c>
      <c r="AH329">
        <v>0.67</v>
      </c>
    </row>
    <row r="330" spans="1:34" x14ac:dyDescent="0.25">
      <c r="A330" t="s">
        <v>704</v>
      </c>
      <c r="B330">
        <v>329</v>
      </c>
      <c r="C330" t="s">
        <v>487</v>
      </c>
      <c r="D330" t="s">
        <v>256</v>
      </c>
      <c r="E330" t="s">
        <v>534</v>
      </c>
      <c r="F330" t="s">
        <v>1357</v>
      </c>
      <c r="G330" s="25">
        <v>44253</v>
      </c>
      <c r="H330">
        <v>12</v>
      </c>
      <c r="I330">
        <v>57</v>
      </c>
      <c r="J330" t="s">
        <v>1359</v>
      </c>
      <c r="K330" t="s">
        <v>876</v>
      </c>
      <c r="L330" t="s">
        <v>231</v>
      </c>
      <c r="M330" t="s">
        <v>865</v>
      </c>
      <c r="N330" t="s">
        <v>186</v>
      </c>
      <c r="O330" t="s">
        <v>1012</v>
      </c>
      <c r="P330" t="s">
        <v>867</v>
      </c>
      <c r="Q330" t="s">
        <v>1013</v>
      </c>
      <c r="R330" t="s">
        <v>1014</v>
      </c>
      <c r="S330" t="s">
        <v>232</v>
      </c>
      <c r="T330" t="s">
        <v>500</v>
      </c>
      <c r="U330" t="s">
        <v>265</v>
      </c>
      <c r="V330" t="s">
        <v>234</v>
      </c>
      <c r="W330" t="s">
        <v>52</v>
      </c>
      <c r="X330" t="s">
        <v>235</v>
      </c>
      <c r="Y330" t="s">
        <v>266</v>
      </c>
      <c r="Z330">
        <v>3012</v>
      </c>
      <c r="AA330">
        <v>3012</v>
      </c>
      <c r="AB330" t="s">
        <v>237</v>
      </c>
      <c r="AC330">
        <v>4.84</v>
      </c>
      <c r="AD330">
        <v>14578.08</v>
      </c>
      <c r="AE330">
        <v>4879.4399999999996</v>
      </c>
      <c r="AF330" t="s">
        <v>870</v>
      </c>
      <c r="AG330">
        <v>9698.64</v>
      </c>
      <c r="AH330">
        <v>0.67</v>
      </c>
    </row>
    <row r="331" spans="1:34" x14ac:dyDescent="0.25">
      <c r="A331" t="s">
        <v>589</v>
      </c>
      <c r="B331">
        <v>330</v>
      </c>
      <c r="C331" t="s">
        <v>487</v>
      </c>
      <c r="D331" t="s">
        <v>256</v>
      </c>
      <c r="E331" t="s">
        <v>534</v>
      </c>
      <c r="F331" t="s">
        <v>1357</v>
      </c>
      <c r="G331" s="25">
        <v>44253</v>
      </c>
      <c r="H331">
        <v>12</v>
      </c>
      <c r="I331">
        <v>57</v>
      </c>
      <c r="J331" t="s">
        <v>1359</v>
      </c>
      <c r="K331" t="s">
        <v>510</v>
      </c>
      <c r="L331" t="s">
        <v>231</v>
      </c>
      <c r="M331" t="s">
        <v>865</v>
      </c>
      <c r="N331" t="s">
        <v>186</v>
      </c>
      <c r="O331" t="s">
        <v>1012</v>
      </c>
      <c r="P331" t="s">
        <v>867</v>
      </c>
      <c r="Q331" t="s">
        <v>1013</v>
      </c>
      <c r="R331" t="s">
        <v>1014</v>
      </c>
      <c r="S331" t="s">
        <v>232</v>
      </c>
      <c r="T331" t="s">
        <v>500</v>
      </c>
      <c r="U331" t="s">
        <v>265</v>
      </c>
      <c r="V331" t="s">
        <v>234</v>
      </c>
      <c r="W331" t="s">
        <v>52</v>
      </c>
      <c r="X331" t="s">
        <v>235</v>
      </c>
      <c r="Y331" t="s">
        <v>266</v>
      </c>
      <c r="Z331">
        <v>2872</v>
      </c>
      <c r="AA331">
        <v>2872</v>
      </c>
      <c r="AB331" t="s">
        <v>237</v>
      </c>
      <c r="AC331">
        <v>4.84</v>
      </c>
      <c r="AD331">
        <v>13900.48</v>
      </c>
      <c r="AE331">
        <v>4652.6400000000003</v>
      </c>
      <c r="AF331" t="s">
        <v>870</v>
      </c>
      <c r="AG331">
        <v>9247.84</v>
      </c>
      <c r="AH331">
        <v>0.67</v>
      </c>
    </row>
    <row r="332" spans="1:34" x14ac:dyDescent="0.25">
      <c r="A332" t="s">
        <v>742</v>
      </c>
      <c r="B332">
        <v>331</v>
      </c>
      <c r="C332" t="s">
        <v>487</v>
      </c>
      <c r="D332" t="s">
        <v>256</v>
      </c>
      <c r="E332" t="s">
        <v>534</v>
      </c>
      <c r="F332" t="s">
        <v>1357</v>
      </c>
      <c r="G332" s="25">
        <v>44253</v>
      </c>
      <c r="H332">
        <v>12</v>
      </c>
      <c r="I332">
        <v>57</v>
      </c>
      <c r="J332" t="s">
        <v>1364</v>
      </c>
      <c r="K332" t="s">
        <v>510</v>
      </c>
      <c r="L332" t="s">
        <v>231</v>
      </c>
      <c r="M332" t="s">
        <v>865</v>
      </c>
      <c r="N332" t="s">
        <v>186</v>
      </c>
      <c r="O332" t="s">
        <v>1012</v>
      </c>
      <c r="P332" t="s">
        <v>867</v>
      </c>
      <c r="Q332" t="s">
        <v>1013</v>
      </c>
      <c r="R332" t="s">
        <v>1229</v>
      </c>
      <c r="S332" t="s">
        <v>537</v>
      </c>
      <c r="T332" t="s">
        <v>504</v>
      </c>
      <c r="U332" t="s">
        <v>43</v>
      </c>
      <c r="V332" t="s">
        <v>234</v>
      </c>
      <c r="W332" t="s">
        <v>42</v>
      </c>
      <c r="X332" t="s">
        <v>21</v>
      </c>
      <c r="Y332" t="s">
        <v>236</v>
      </c>
      <c r="Z332">
        <v>2631</v>
      </c>
      <c r="AA332">
        <v>2631</v>
      </c>
      <c r="AB332" t="s">
        <v>237</v>
      </c>
      <c r="AC332">
        <v>4.8899999999999997</v>
      </c>
      <c r="AD332">
        <v>12865.59</v>
      </c>
      <c r="AE332">
        <v>3236.13</v>
      </c>
      <c r="AF332" t="s">
        <v>870</v>
      </c>
      <c r="AG332">
        <v>9629.4599999999991</v>
      </c>
      <c r="AH332">
        <v>0.75</v>
      </c>
    </row>
    <row r="333" spans="1:34" x14ac:dyDescent="0.25">
      <c r="A333" t="s">
        <v>623</v>
      </c>
      <c r="B333">
        <v>332</v>
      </c>
      <c r="C333" t="s">
        <v>487</v>
      </c>
      <c r="D333" t="s">
        <v>256</v>
      </c>
      <c r="E333" t="s">
        <v>534</v>
      </c>
      <c r="F333" t="s">
        <v>1357</v>
      </c>
      <c r="G333" s="25">
        <v>44253</v>
      </c>
      <c r="H333">
        <v>12</v>
      </c>
      <c r="I333">
        <v>57</v>
      </c>
      <c r="J333" t="s">
        <v>1361</v>
      </c>
      <c r="K333" t="s">
        <v>510</v>
      </c>
      <c r="L333" t="s">
        <v>231</v>
      </c>
      <c r="M333" t="s">
        <v>911</v>
      </c>
      <c r="N333" t="s">
        <v>186</v>
      </c>
      <c r="O333" t="s">
        <v>1260</v>
      </c>
      <c r="P333" t="s">
        <v>867</v>
      </c>
      <c r="Q333" t="s">
        <v>1362</v>
      </c>
      <c r="R333" t="s">
        <v>1363</v>
      </c>
      <c r="S333" t="s">
        <v>537</v>
      </c>
      <c r="T333" t="s">
        <v>504</v>
      </c>
      <c r="U333" t="s">
        <v>43</v>
      </c>
      <c r="V333" t="s">
        <v>234</v>
      </c>
      <c r="W333" t="s">
        <v>42</v>
      </c>
      <c r="X333" t="s">
        <v>21</v>
      </c>
      <c r="Y333" t="s">
        <v>236</v>
      </c>
      <c r="Z333">
        <v>2630</v>
      </c>
      <c r="AA333">
        <v>2630</v>
      </c>
      <c r="AB333" t="s">
        <v>237</v>
      </c>
      <c r="AC333">
        <v>4.8899999999999997</v>
      </c>
      <c r="AD333">
        <v>12860.7</v>
      </c>
      <c r="AE333">
        <v>3234.9</v>
      </c>
      <c r="AF333" t="s">
        <v>870</v>
      </c>
      <c r="AG333">
        <v>9625.7999999999993</v>
      </c>
      <c r="AH333">
        <v>0.75</v>
      </c>
    </row>
    <row r="334" spans="1:34" x14ac:dyDescent="0.25">
      <c r="A334" t="s">
        <v>789</v>
      </c>
      <c r="B334">
        <v>333</v>
      </c>
      <c r="C334" t="s">
        <v>487</v>
      </c>
      <c r="D334" t="s">
        <v>256</v>
      </c>
      <c r="E334" t="s">
        <v>534</v>
      </c>
      <c r="F334" t="s">
        <v>1357</v>
      </c>
      <c r="G334" s="25">
        <v>44253</v>
      </c>
      <c r="H334">
        <v>12</v>
      </c>
      <c r="I334">
        <v>57</v>
      </c>
      <c r="J334" t="s">
        <v>1360</v>
      </c>
      <c r="K334" t="s">
        <v>510</v>
      </c>
      <c r="L334" t="s">
        <v>231</v>
      </c>
      <c r="M334" t="s">
        <v>872</v>
      </c>
      <c r="N334" t="s">
        <v>184</v>
      </c>
      <c r="O334" t="s">
        <v>1024</v>
      </c>
      <c r="P334" t="s">
        <v>867</v>
      </c>
      <c r="Q334" t="s">
        <v>1025</v>
      </c>
      <c r="R334" t="s">
        <v>1026</v>
      </c>
      <c r="S334" t="s">
        <v>537</v>
      </c>
      <c r="T334" t="s">
        <v>504</v>
      </c>
      <c r="U334" t="s">
        <v>43</v>
      </c>
      <c r="V334" t="s">
        <v>234</v>
      </c>
      <c r="W334" t="s">
        <v>42</v>
      </c>
      <c r="X334" t="s">
        <v>21</v>
      </c>
      <c r="Y334" t="s">
        <v>236</v>
      </c>
      <c r="Z334">
        <v>2658</v>
      </c>
      <c r="AA334">
        <v>2658</v>
      </c>
      <c r="AB334" t="s">
        <v>237</v>
      </c>
      <c r="AC334">
        <v>4.8899999999999997</v>
      </c>
      <c r="AD334">
        <v>12997.62</v>
      </c>
      <c r="AE334">
        <v>3269.34</v>
      </c>
      <c r="AF334" t="s">
        <v>870</v>
      </c>
      <c r="AG334">
        <v>9728.2800000000007</v>
      </c>
      <c r="AH334">
        <v>0.75</v>
      </c>
    </row>
    <row r="335" spans="1:34" x14ac:dyDescent="0.25">
      <c r="A335" t="s">
        <v>834</v>
      </c>
      <c r="B335">
        <v>334</v>
      </c>
      <c r="C335" t="s">
        <v>487</v>
      </c>
      <c r="D335" t="s">
        <v>256</v>
      </c>
      <c r="E335" t="s">
        <v>552</v>
      </c>
      <c r="F335" t="s">
        <v>1365</v>
      </c>
      <c r="G335" s="25">
        <v>44254</v>
      </c>
      <c r="H335">
        <v>12</v>
      </c>
      <c r="I335">
        <v>58</v>
      </c>
      <c r="J335" t="s">
        <v>1366</v>
      </c>
      <c r="K335" t="s">
        <v>956</v>
      </c>
      <c r="L335" t="s">
        <v>231</v>
      </c>
      <c r="M335" t="s">
        <v>865</v>
      </c>
      <c r="N335" t="s">
        <v>186</v>
      </c>
      <c r="O335" t="s">
        <v>1012</v>
      </c>
      <c r="P335" t="s">
        <v>867</v>
      </c>
      <c r="Q335" t="s">
        <v>1168</v>
      </c>
      <c r="R335" t="s">
        <v>1169</v>
      </c>
      <c r="S335" t="s">
        <v>232</v>
      </c>
      <c r="T335" t="s">
        <v>504</v>
      </c>
      <c r="U335" t="s">
        <v>43</v>
      </c>
      <c r="V335" t="s">
        <v>234</v>
      </c>
      <c r="W335" t="s">
        <v>42</v>
      </c>
      <c r="X335" t="s">
        <v>21</v>
      </c>
      <c r="Y335" t="s">
        <v>236</v>
      </c>
      <c r="Z335">
        <v>2876</v>
      </c>
      <c r="AA335">
        <v>2876</v>
      </c>
      <c r="AB335" t="s">
        <v>237</v>
      </c>
      <c r="AC335">
        <v>4.4400000000000004</v>
      </c>
      <c r="AD335">
        <v>12769.44</v>
      </c>
      <c r="AE335">
        <v>3537.48</v>
      </c>
      <c r="AF335" t="s">
        <v>870</v>
      </c>
      <c r="AG335">
        <v>9231.9599999999991</v>
      </c>
      <c r="AH335">
        <v>0.72</v>
      </c>
    </row>
    <row r="336" spans="1:34" x14ac:dyDescent="0.25">
      <c r="A336" t="s">
        <v>785</v>
      </c>
      <c r="B336">
        <v>335</v>
      </c>
      <c r="C336" t="s">
        <v>487</v>
      </c>
      <c r="D336" t="s">
        <v>256</v>
      </c>
      <c r="E336" t="s">
        <v>552</v>
      </c>
      <c r="F336" t="s">
        <v>1365</v>
      </c>
      <c r="G336" s="25">
        <v>44254</v>
      </c>
      <c r="H336">
        <v>12</v>
      </c>
      <c r="I336">
        <v>58</v>
      </c>
      <c r="J336" t="s">
        <v>1366</v>
      </c>
      <c r="K336" t="s">
        <v>876</v>
      </c>
      <c r="L336" t="s">
        <v>231</v>
      </c>
      <c r="M336" t="s">
        <v>865</v>
      </c>
      <c r="N336" t="s">
        <v>186</v>
      </c>
      <c r="O336" t="s">
        <v>1012</v>
      </c>
      <c r="P336" t="s">
        <v>867</v>
      </c>
      <c r="Q336" t="s">
        <v>1168</v>
      </c>
      <c r="R336" t="s">
        <v>1169</v>
      </c>
      <c r="S336" t="s">
        <v>232</v>
      </c>
      <c r="T336" t="s">
        <v>504</v>
      </c>
      <c r="U336" t="s">
        <v>43</v>
      </c>
      <c r="V336" t="s">
        <v>234</v>
      </c>
      <c r="W336" t="s">
        <v>42</v>
      </c>
      <c r="X336" t="s">
        <v>21</v>
      </c>
      <c r="Y336" t="s">
        <v>236</v>
      </c>
      <c r="Z336">
        <v>3290</v>
      </c>
      <c r="AA336">
        <v>3290</v>
      </c>
      <c r="AB336" t="s">
        <v>237</v>
      </c>
      <c r="AC336">
        <v>4.4400000000000004</v>
      </c>
      <c r="AD336">
        <v>14607.6</v>
      </c>
      <c r="AE336">
        <v>4046.7</v>
      </c>
      <c r="AF336" t="s">
        <v>870</v>
      </c>
      <c r="AG336">
        <v>10560.9</v>
      </c>
      <c r="AH336">
        <v>0.72</v>
      </c>
    </row>
    <row r="337" spans="1:34" x14ac:dyDescent="0.25">
      <c r="A337" t="s">
        <v>728</v>
      </c>
      <c r="B337">
        <v>336</v>
      </c>
      <c r="C337" t="s">
        <v>487</v>
      </c>
      <c r="D337" t="s">
        <v>256</v>
      </c>
      <c r="E337" t="s">
        <v>552</v>
      </c>
      <c r="F337" t="s">
        <v>1365</v>
      </c>
      <c r="G337" s="25">
        <v>44254</v>
      </c>
      <c r="H337">
        <v>12</v>
      </c>
      <c r="I337">
        <v>58</v>
      </c>
      <c r="J337" t="s">
        <v>1366</v>
      </c>
      <c r="K337" t="s">
        <v>921</v>
      </c>
      <c r="L337" t="s">
        <v>231</v>
      </c>
      <c r="M337" t="s">
        <v>865</v>
      </c>
      <c r="N337" t="s">
        <v>186</v>
      </c>
      <c r="O337" t="s">
        <v>1012</v>
      </c>
      <c r="P337" t="s">
        <v>867</v>
      </c>
      <c r="Q337" t="s">
        <v>1168</v>
      </c>
      <c r="R337" t="s">
        <v>1169</v>
      </c>
      <c r="S337" t="s">
        <v>232</v>
      </c>
      <c r="T337" t="s">
        <v>500</v>
      </c>
      <c r="U337" t="s">
        <v>265</v>
      </c>
      <c r="V337" t="s">
        <v>234</v>
      </c>
      <c r="W337" t="s">
        <v>52</v>
      </c>
      <c r="X337" t="s">
        <v>235</v>
      </c>
      <c r="Y337" t="s">
        <v>266</v>
      </c>
      <c r="Z337">
        <v>2687</v>
      </c>
      <c r="AA337">
        <v>2687</v>
      </c>
      <c r="AB337" t="s">
        <v>237</v>
      </c>
      <c r="AC337">
        <v>4.84</v>
      </c>
      <c r="AD337">
        <v>13005.08</v>
      </c>
      <c r="AE337">
        <v>4352.9399999999996</v>
      </c>
      <c r="AF337" t="s">
        <v>870</v>
      </c>
      <c r="AG337">
        <v>8652.14</v>
      </c>
      <c r="AH337">
        <v>0.67</v>
      </c>
    </row>
    <row r="338" spans="1:34" x14ac:dyDescent="0.25">
      <c r="A338" t="s">
        <v>843</v>
      </c>
      <c r="B338">
        <v>337</v>
      </c>
      <c r="C338" t="s">
        <v>487</v>
      </c>
      <c r="D338" t="s">
        <v>256</v>
      </c>
      <c r="E338" t="s">
        <v>552</v>
      </c>
      <c r="F338" t="s">
        <v>1365</v>
      </c>
      <c r="G338" s="25">
        <v>44254</v>
      </c>
      <c r="H338">
        <v>12</v>
      </c>
      <c r="I338">
        <v>58</v>
      </c>
      <c r="J338" t="s">
        <v>1366</v>
      </c>
      <c r="K338" t="s">
        <v>510</v>
      </c>
      <c r="L338" t="s">
        <v>231</v>
      </c>
      <c r="M338" t="s">
        <v>865</v>
      </c>
      <c r="N338" t="s">
        <v>186</v>
      </c>
      <c r="O338" t="s">
        <v>1012</v>
      </c>
      <c r="P338" t="s">
        <v>867</v>
      </c>
      <c r="Q338" t="s">
        <v>1168</v>
      </c>
      <c r="R338" t="s">
        <v>1169</v>
      </c>
      <c r="S338" t="s">
        <v>232</v>
      </c>
      <c r="T338" t="s">
        <v>500</v>
      </c>
      <c r="U338" t="s">
        <v>265</v>
      </c>
      <c r="V338" t="s">
        <v>234</v>
      </c>
      <c r="W338" t="s">
        <v>52</v>
      </c>
      <c r="X338" t="s">
        <v>235</v>
      </c>
      <c r="Y338" t="s">
        <v>266</v>
      </c>
      <c r="Z338">
        <v>2938</v>
      </c>
      <c r="AA338">
        <v>2938</v>
      </c>
      <c r="AB338" t="s">
        <v>237</v>
      </c>
      <c r="AC338">
        <v>4.84</v>
      </c>
      <c r="AD338">
        <v>14219.92</v>
      </c>
      <c r="AE338">
        <v>4759.5600000000004</v>
      </c>
      <c r="AF338" t="s">
        <v>870</v>
      </c>
      <c r="AG338">
        <v>9460.36</v>
      </c>
      <c r="AH338">
        <v>0.67</v>
      </c>
    </row>
    <row r="339" spans="1:34" x14ac:dyDescent="0.25">
      <c r="A339" t="s">
        <v>777</v>
      </c>
      <c r="B339">
        <v>338</v>
      </c>
      <c r="C339" t="s">
        <v>487</v>
      </c>
      <c r="D339" t="s">
        <v>256</v>
      </c>
      <c r="E339" t="s">
        <v>552</v>
      </c>
      <c r="F339" t="s">
        <v>1365</v>
      </c>
      <c r="G339" s="25">
        <v>44254</v>
      </c>
      <c r="H339">
        <v>12</v>
      </c>
      <c r="I339">
        <v>58</v>
      </c>
      <c r="J339" t="s">
        <v>1369</v>
      </c>
      <c r="K339" t="s">
        <v>510</v>
      </c>
      <c r="L339" t="s">
        <v>231</v>
      </c>
      <c r="M339" t="s">
        <v>997</v>
      </c>
      <c r="N339" t="s">
        <v>185</v>
      </c>
      <c r="O339" t="s">
        <v>1370</v>
      </c>
      <c r="P339" t="s">
        <v>867</v>
      </c>
      <c r="Q339" t="s">
        <v>1371</v>
      </c>
      <c r="R339" t="s">
        <v>1372</v>
      </c>
      <c r="S339" t="s">
        <v>537</v>
      </c>
      <c r="T339" t="s">
        <v>504</v>
      </c>
      <c r="U339" t="s">
        <v>43</v>
      </c>
      <c r="V339" t="s">
        <v>234</v>
      </c>
      <c r="W339" t="s">
        <v>42</v>
      </c>
      <c r="X339" t="s">
        <v>21</v>
      </c>
      <c r="Y339" t="s">
        <v>236</v>
      </c>
      <c r="Z339">
        <v>2917</v>
      </c>
      <c r="AA339">
        <v>2917</v>
      </c>
      <c r="AB339" t="s">
        <v>237</v>
      </c>
      <c r="AC339">
        <v>4.8899999999999997</v>
      </c>
      <c r="AD339">
        <v>14264.13</v>
      </c>
      <c r="AE339">
        <v>3587.91</v>
      </c>
      <c r="AF339" t="s">
        <v>870</v>
      </c>
      <c r="AG339">
        <v>10676.22</v>
      </c>
      <c r="AH339">
        <v>0.75</v>
      </c>
    </row>
    <row r="340" spans="1:34" x14ac:dyDescent="0.25">
      <c r="A340" t="s">
        <v>619</v>
      </c>
      <c r="B340">
        <v>339</v>
      </c>
      <c r="C340" t="s">
        <v>487</v>
      </c>
      <c r="D340" t="s">
        <v>256</v>
      </c>
      <c r="E340" t="s">
        <v>552</v>
      </c>
      <c r="F340" t="s">
        <v>1365</v>
      </c>
      <c r="G340" s="25">
        <v>44254</v>
      </c>
      <c r="H340">
        <v>12</v>
      </c>
      <c r="I340">
        <v>58</v>
      </c>
      <c r="J340" t="s">
        <v>1367</v>
      </c>
      <c r="K340" t="s">
        <v>510</v>
      </c>
      <c r="L340" t="s">
        <v>231</v>
      </c>
      <c r="M340" t="s">
        <v>888</v>
      </c>
      <c r="N340" t="s">
        <v>184</v>
      </c>
      <c r="O340" t="s">
        <v>1106</v>
      </c>
      <c r="P340" t="s">
        <v>867</v>
      </c>
      <c r="Q340" t="s">
        <v>1107</v>
      </c>
      <c r="R340" t="s">
        <v>1108</v>
      </c>
      <c r="S340" t="s">
        <v>537</v>
      </c>
      <c r="T340" t="s">
        <v>504</v>
      </c>
      <c r="U340" t="s">
        <v>43</v>
      </c>
      <c r="V340" t="s">
        <v>234</v>
      </c>
      <c r="W340" t="s">
        <v>42</v>
      </c>
      <c r="X340" t="s">
        <v>21</v>
      </c>
      <c r="Y340" t="s">
        <v>236</v>
      </c>
      <c r="Z340">
        <v>2649</v>
      </c>
      <c r="AA340">
        <v>2649</v>
      </c>
      <c r="AB340" t="s">
        <v>237</v>
      </c>
      <c r="AC340">
        <v>4.8899999999999997</v>
      </c>
      <c r="AD340">
        <v>12953.61</v>
      </c>
      <c r="AE340">
        <v>3258.27</v>
      </c>
      <c r="AF340" t="s">
        <v>870</v>
      </c>
      <c r="AG340">
        <v>9695.34</v>
      </c>
      <c r="AH340">
        <v>0.75</v>
      </c>
    </row>
    <row r="341" spans="1:34" x14ac:dyDescent="0.25">
      <c r="A341" t="s">
        <v>638</v>
      </c>
      <c r="B341">
        <v>340</v>
      </c>
      <c r="C341" t="s">
        <v>487</v>
      </c>
      <c r="D341" t="s">
        <v>256</v>
      </c>
      <c r="E341" t="s">
        <v>552</v>
      </c>
      <c r="F341" t="s">
        <v>1365</v>
      </c>
      <c r="G341" s="25">
        <v>44254</v>
      </c>
      <c r="H341">
        <v>12</v>
      </c>
      <c r="I341">
        <v>58</v>
      </c>
      <c r="J341" t="s">
        <v>1368</v>
      </c>
      <c r="K341" t="s">
        <v>510</v>
      </c>
      <c r="L341" t="s">
        <v>231</v>
      </c>
      <c r="M341" t="s">
        <v>931</v>
      </c>
      <c r="N341" t="s">
        <v>186</v>
      </c>
      <c r="O341" t="s">
        <v>1130</v>
      </c>
      <c r="P341" t="s">
        <v>867</v>
      </c>
      <c r="Q341" t="s">
        <v>1134</v>
      </c>
      <c r="R341" t="s">
        <v>1135</v>
      </c>
      <c r="S341" t="s">
        <v>537</v>
      </c>
      <c r="T341" t="s">
        <v>504</v>
      </c>
      <c r="U341" t="s">
        <v>43</v>
      </c>
      <c r="V341" t="s">
        <v>234</v>
      </c>
      <c r="W341" t="s">
        <v>42</v>
      </c>
      <c r="X341" t="s">
        <v>21</v>
      </c>
      <c r="Y341" t="s">
        <v>236</v>
      </c>
      <c r="Z341">
        <v>2628</v>
      </c>
      <c r="AA341">
        <v>2628</v>
      </c>
      <c r="AB341" t="s">
        <v>237</v>
      </c>
      <c r="AC341">
        <v>4.8899999999999997</v>
      </c>
      <c r="AD341">
        <v>12850.92</v>
      </c>
      <c r="AE341">
        <v>3232.44</v>
      </c>
      <c r="AF341" t="s">
        <v>870</v>
      </c>
      <c r="AG341">
        <v>9618.48</v>
      </c>
      <c r="AH341">
        <v>0.75</v>
      </c>
    </row>
    <row r="342" spans="1:34" x14ac:dyDescent="0.25">
      <c r="A342" t="s">
        <v>636</v>
      </c>
      <c r="B342">
        <v>341</v>
      </c>
      <c r="C342" t="s">
        <v>487</v>
      </c>
      <c r="D342" t="s">
        <v>256</v>
      </c>
      <c r="E342" t="s">
        <v>531</v>
      </c>
      <c r="F342" t="s">
        <v>1373</v>
      </c>
      <c r="G342" s="25">
        <v>44255</v>
      </c>
      <c r="H342">
        <v>12</v>
      </c>
      <c r="I342">
        <v>59</v>
      </c>
      <c r="J342" t="s">
        <v>1374</v>
      </c>
      <c r="K342" t="s">
        <v>510</v>
      </c>
      <c r="L342" t="s">
        <v>231</v>
      </c>
      <c r="M342" t="s">
        <v>872</v>
      </c>
      <c r="N342" t="s">
        <v>184</v>
      </c>
      <c r="O342" t="s">
        <v>958</v>
      </c>
      <c r="P342" t="s">
        <v>867</v>
      </c>
      <c r="Q342" t="s">
        <v>959</v>
      </c>
      <c r="R342" t="s">
        <v>960</v>
      </c>
      <c r="S342" t="s">
        <v>232</v>
      </c>
      <c r="T342" t="s">
        <v>504</v>
      </c>
      <c r="U342" t="s">
        <v>43</v>
      </c>
      <c r="V342" t="s">
        <v>234</v>
      </c>
      <c r="W342" t="s">
        <v>42</v>
      </c>
      <c r="X342" t="s">
        <v>21</v>
      </c>
      <c r="Y342" t="s">
        <v>236</v>
      </c>
      <c r="Z342">
        <v>3234</v>
      </c>
      <c r="AA342">
        <v>3234</v>
      </c>
      <c r="AB342" t="s">
        <v>237</v>
      </c>
      <c r="AC342">
        <v>4.4400000000000004</v>
      </c>
      <c r="AD342">
        <v>14358.96</v>
      </c>
      <c r="AE342">
        <v>3977.82</v>
      </c>
      <c r="AF342" t="s">
        <v>870</v>
      </c>
      <c r="AG342">
        <v>10381.14</v>
      </c>
      <c r="AH342">
        <v>0.72</v>
      </c>
    </row>
    <row r="343" spans="1:34" x14ac:dyDescent="0.25">
      <c r="A343" t="s">
        <v>630</v>
      </c>
      <c r="B343">
        <v>342</v>
      </c>
      <c r="C343" t="s">
        <v>487</v>
      </c>
      <c r="D343" t="s">
        <v>256</v>
      </c>
      <c r="E343" t="s">
        <v>531</v>
      </c>
      <c r="F343" t="s">
        <v>1373</v>
      </c>
      <c r="G343" s="25">
        <v>44255</v>
      </c>
      <c r="H343">
        <v>12</v>
      </c>
      <c r="I343">
        <v>59</v>
      </c>
      <c r="J343" t="s">
        <v>1375</v>
      </c>
      <c r="K343" t="s">
        <v>510</v>
      </c>
      <c r="L343" t="s">
        <v>231</v>
      </c>
      <c r="M343" t="s">
        <v>872</v>
      </c>
      <c r="N343" t="s">
        <v>184</v>
      </c>
      <c r="O343" t="s">
        <v>1376</v>
      </c>
      <c r="P343" t="s">
        <v>867</v>
      </c>
      <c r="Q343" t="s">
        <v>1377</v>
      </c>
      <c r="R343" t="s">
        <v>1378</v>
      </c>
      <c r="S343" t="s">
        <v>537</v>
      </c>
      <c r="T343" t="s">
        <v>505</v>
      </c>
      <c r="U343" t="s">
        <v>41</v>
      </c>
      <c r="V343" t="s">
        <v>234</v>
      </c>
      <c r="W343" t="s">
        <v>40</v>
      </c>
      <c r="X343" t="s">
        <v>21</v>
      </c>
      <c r="Y343" t="s">
        <v>266</v>
      </c>
      <c r="Z343">
        <v>3124</v>
      </c>
      <c r="AA343">
        <v>3124</v>
      </c>
      <c r="AB343" t="s">
        <v>237</v>
      </c>
      <c r="AC343">
        <v>4.5</v>
      </c>
      <c r="AD343">
        <v>14058</v>
      </c>
      <c r="AE343">
        <v>2811.6</v>
      </c>
      <c r="AF343" t="s">
        <v>870</v>
      </c>
      <c r="AG343">
        <v>11246.4</v>
      </c>
      <c r="AH343">
        <v>0.8</v>
      </c>
    </row>
    <row r="344" spans="1:34" x14ac:dyDescent="0.25">
      <c r="A344" t="s">
        <v>666</v>
      </c>
      <c r="B344">
        <v>343</v>
      </c>
      <c r="C344" t="s">
        <v>487</v>
      </c>
      <c r="D344" t="s">
        <v>256</v>
      </c>
      <c r="E344" t="s">
        <v>531</v>
      </c>
      <c r="F344" t="s">
        <v>1373</v>
      </c>
      <c r="G344" s="25">
        <v>44255</v>
      </c>
      <c r="H344">
        <v>12</v>
      </c>
      <c r="I344">
        <v>59</v>
      </c>
      <c r="J344" t="s">
        <v>1379</v>
      </c>
      <c r="K344" t="s">
        <v>510</v>
      </c>
      <c r="L344" t="s">
        <v>231</v>
      </c>
      <c r="M344" t="s">
        <v>888</v>
      </c>
      <c r="N344" t="s">
        <v>184</v>
      </c>
      <c r="O344" t="s">
        <v>889</v>
      </c>
      <c r="P344" t="s">
        <v>867</v>
      </c>
      <c r="Q344" t="s">
        <v>1380</v>
      </c>
      <c r="R344" t="s">
        <v>1381</v>
      </c>
      <c r="S344" t="s">
        <v>537</v>
      </c>
      <c r="T344" t="s">
        <v>504</v>
      </c>
      <c r="U344" t="s">
        <v>43</v>
      </c>
      <c r="V344" t="s">
        <v>234</v>
      </c>
      <c r="W344" t="s">
        <v>42</v>
      </c>
      <c r="X344" t="s">
        <v>21</v>
      </c>
      <c r="Y344" t="s">
        <v>236</v>
      </c>
      <c r="Z344">
        <v>3323</v>
      </c>
      <c r="AA344">
        <v>3323</v>
      </c>
      <c r="AB344" t="s">
        <v>237</v>
      </c>
      <c r="AC344">
        <v>4.8899999999999997</v>
      </c>
      <c r="AD344">
        <v>16249.47</v>
      </c>
      <c r="AE344">
        <v>4087.29</v>
      </c>
      <c r="AF344" t="s">
        <v>870</v>
      </c>
      <c r="AG344">
        <v>12162.18</v>
      </c>
      <c r="AH344">
        <v>0.75</v>
      </c>
    </row>
    <row r="345" spans="1:34" x14ac:dyDescent="0.25">
      <c r="A345" t="s">
        <v>715</v>
      </c>
      <c r="B345">
        <v>344</v>
      </c>
      <c r="C345" t="s">
        <v>487</v>
      </c>
      <c r="D345" t="s">
        <v>256</v>
      </c>
      <c r="E345" t="s">
        <v>531</v>
      </c>
      <c r="F345" t="s">
        <v>1373</v>
      </c>
      <c r="G345" s="25">
        <v>44255</v>
      </c>
      <c r="H345">
        <v>12</v>
      </c>
      <c r="I345">
        <v>59</v>
      </c>
      <c r="J345" t="s">
        <v>1382</v>
      </c>
      <c r="K345" t="s">
        <v>510</v>
      </c>
      <c r="L345" t="s">
        <v>231</v>
      </c>
      <c r="M345" t="s">
        <v>911</v>
      </c>
      <c r="N345" t="s">
        <v>186</v>
      </c>
      <c r="O345" t="s">
        <v>1143</v>
      </c>
      <c r="P345" t="s">
        <v>867</v>
      </c>
      <c r="Q345" t="s">
        <v>1144</v>
      </c>
      <c r="R345" t="s">
        <v>1145</v>
      </c>
      <c r="S345" t="s">
        <v>537</v>
      </c>
      <c r="T345" t="s">
        <v>504</v>
      </c>
      <c r="U345" t="s">
        <v>43</v>
      </c>
      <c r="V345" t="s">
        <v>234</v>
      </c>
      <c r="W345" t="s">
        <v>42</v>
      </c>
      <c r="X345" t="s">
        <v>21</v>
      </c>
      <c r="Y345" t="s">
        <v>236</v>
      </c>
      <c r="Z345">
        <v>3143</v>
      </c>
      <c r="AA345">
        <v>3143</v>
      </c>
      <c r="AB345" t="s">
        <v>237</v>
      </c>
      <c r="AC345">
        <v>4.8899999999999997</v>
      </c>
      <c r="AD345">
        <v>15369.27</v>
      </c>
      <c r="AE345">
        <v>3865.89</v>
      </c>
      <c r="AF345" t="s">
        <v>870</v>
      </c>
      <c r="AG345">
        <v>11503.38</v>
      </c>
      <c r="AH345">
        <v>0.75</v>
      </c>
    </row>
    <row r="346" spans="1:34" x14ac:dyDescent="0.25">
      <c r="A346" t="s">
        <v>646</v>
      </c>
      <c r="B346">
        <v>345</v>
      </c>
      <c r="C346" t="s">
        <v>487</v>
      </c>
      <c r="D346" t="s">
        <v>256</v>
      </c>
      <c r="E346" t="s">
        <v>408</v>
      </c>
      <c r="F346" t="s">
        <v>1383</v>
      </c>
      <c r="G346" s="25">
        <v>44256</v>
      </c>
      <c r="H346">
        <v>12</v>
      </c>
      <c r="I346">
        <v>60</v>
      </c>
      <c r="J346" t="s">
        <v>1384</v>
      </c>
      <c r="K346" t="s">
        <v>510</v>
      </c>
      <c r="L346" t="s">
        <v>231</v>
      </c>
      <c r="M346" t="s">
        <v>997</v>
      </c>
      <c r="N346" t="s">
        <v>185</v>
      </c>
      <c r="O346" t="s">
        <v>1385</v>
      </c>
      <c r="P346" t="s">
        <v>867</v>
      </c>
      <c r="Q346" t="s">
        <v>1386</v>
      </c>
      <c r="R346" t="s">
        <v>1387</v>
      </c>
      <c r="S346" t="s">
        <v>537</v>
      </c>
      <c r="T346" t="s">
        <v>504</v>
      </c>
      <c r="U346" t="s">
        <v>43</v>
      </c>
      <c r="V346" t="s">
        <v>234</v>
      </c>
      <c r="W346" t="s">
        <v>42</v>
      </c>
      <c r="X346" t="s">
        <v>21</v>
      </c>
      <c r="Y346" t="s">
        <v>236</v>
      </c>
      <c r="Z346">
        <v>2708</v>
      </c>
      <c r="AA346">
        <v>2708</v>
      </c>
      <c r="AB346" t="s">
        <v>237</v>
      </c>
      <c r="AC346">
        <v>4.8899999999999997</v>
      </c>
      <c r="AD346">
        <v>13242.12</v>
      </c>
      <c r="AE346">
        <v>3330.84</v>
      </c>
      <c r="AF346" t="s">
        <v>870</v>
      </c>
      <c r="AG346">
        <v>9911.2800000000007</v>
      </c>
      <c r="AH346">
        <v>0.75</v>
      </c>
    </row>
    <row r="347" spans="1:34" x14ac:dyDescent="0.25">
      <c r="A347" t="s">
        <v>808</v>
      </c>
      <c r="B347">
        <v>346</v>
      </c>
      <c r="C347" t="s">
        <v>487</v>
      </c>
      <c r="D347" t="s">
        <v>261</v>
      </c>
      <c r="E347" t="s">
        <v>229</v>
      </c>
      <c r="F347" t="s">
        <v>1388</v>
      </c>
      <c r="G347" s="25">
        <v>44257</v>
      </c>
      <c r="H347">
        <v>13</v>
      </c>
      <c r="I347">
        <v>61</v>
      </c>
      <c r="J347" t="s">
        <v>1389</v>
      </c>
      <c r="K347" t="s">
        <v>876</v>
      </c>
      <c r="L347" t="s">
        <v>231</v>
      </c>
      <c r="M347" t="s">
        <v>872</v>
      </c>
      <c r="N347" t="s">
        <v>184</v>
      </c>
      <c r="O347" t="s">
        <v>1199</v>
      </c>
      <c r="P347" t="s">
        <v>867</v>
      </c>
      <c r="Q347" t="s">
        <v>1390</v>
      </c>
      <c r="R347" t="s">
        <v>1391</v>
      </c>
      <c r="S347" t="s">
        <v>232</v>
      </c>
      <c r="T347" t="s">
        <v>505</v>
      </c>
      <c r="U347" t="s">
        <v>41</v>
      </c>
      <c r="V347" t="s">
        <v>234</v>
      </c>
      <c r="W347" t="s">
        <v>40</v>
      </c>
      <c r="X347" t="s">
        <v>21</v>
      </c>
      <c r="Y347" t="s">
        <v>266</v>
      </c>
      <c r="Z347">
        <v>3159</v>
      </c>
      <c r="AA347">
        <v>3159</v>
      </c>
      <c r="AB347" t="s">
        <v>237</v>
      </c>
      <c r="AC347">
        <v>4.3</v>
      </c>
      <c r="AD347">
        <v>13583.7</v>
      </c>
      <c r="AE347">
        <v>2843.1</v>
      </c>
      <c r="AF347" t="s">
        <v>870</v>
      </c>
      <c r="AG347">
        <v>10740.6</v>
      </c>
      <c r="AH347">
        <v>0.79</v>
      </c>
    </row>
    <row r="348" spans="1:34" x14ac:dyDescent="0.25">
      <c r="A348" t="s">
        <v>827</v>
      </c>
      <c r="B348">
        <v>347</v>
      </c>
      <c r="C348" t="s">
        <v>487</v>
      </c>
      <c r="D348" t="s">
        <v>261</v>
      </c>
      <c r="E348" t="s">
        <v>229</v>
      </c>
      <c r="F348" t="s">
        <v>1388</v>
      </c>
      <c r="G348" s="25">
        <v>44257</v>
      </c>
      <c r="H348">
        <v>13</v>
      </c>
      <c r="I348">
        <v>61</v>
      </c>
      <c r="J348" t="s">
        <v>1392</v>
      </c>
      <c r="K348" t="s">
        <v>876</v>
      </c>
      <c r="L348" t="s">
        <v>231</v>
      </c>
      <c r="M348" t="s">
        <v>926</v>
      </c>
      <c r="N348" t="s">
        <v>185</v>
      </c>
      <c r="O348" t="s">
        <v>953</v>
      </c>
      <c r="P348" t="s">
        <v>867</v>
      </c>
      <c r="Q348" t="s">
        <v>954</v>
      </c>
      <c r="R348" t="s">
        <v>955</v>
      </c>
      <c r="S348" t="s">
        <v>232</v>
      </c>
      <c r="T348" t="s">
        <v>504</v>
      </c>
      <c r="U348" t="s">
        <v>43</v>
      </c>
      <c r="V348" t="s">
        <v>234</v>
      </c>
      <c r="W348" t="s">
        <v>42</v>
      </c>
      <c r="X348" t="s">
        <v>21</v>
      </c>
      <c r="Y348" t="s">
        <v>236</v>
      </c>
      <c r="Z348">
        <v>3339</v>
      </c>
      <c r="AA348">
        <v>3339</v>
      </c>
      <c r="AB348" t="s">
        <v>237</v>
      </c>
      <c r="AC348">
        <v>4.66</v>
      </c>
      <c r="AD348">
        <v>15559.74</v>
      </c>
      <c r="AE348">
        <v>4106.97</v>
      </c>
      <c r="AF348" t="s">
        <v>870</v>
      </c>
      <c r="AG348">
        <v>11452.77</v>
      </c>
      <c r="AH348">
        <v>0.74</v>
      </c>
    </row>
    <row r="349" spans="1:34" x14ac:dyDescent="0.25">
      <c r="A349" t="s">
        <v>660</v>
      </c>
      <c r="B349">
        <v>348</v>
      </c>
      <c r="C349" t="s">
        <v>487</v>
      </c>
      <c r="D349" t="s">
        <v>261</v>
      </c>
      <c r="E349" t="s">
        <v>229</v>
      </c>
      <c r="F349" t="s">
        <v>1388</v>
      </c>
      <c r="G349" s="25">
        <v>44257</v>
      </c>
      <c r="H349">
        <v>13</v>
      </c>
      <c r="I349">
        <v>61</v>
      </c>
      <c r="J349" t="s">
        <v>1393</v>
      </c>
      <c r="K349" t="s">
        <v>510</v>
      </c>
      <c r="L349" t="s">
        <v>231</v>
      </c>
      <c r="M349" t="s">
        <v>865</v>
      </c>
      <c r="N349" t="s">
        <v>186</v>
      </c>
      <c r="O349" t="s">
        <v>1302</v>
      </c>
      <c r="P349" t="s">
        <v>867</v>
      </c>
      <c r="Q349" t="s">
        <v>1303</v>
      </c>
      <c r="R349" t="s">
        <v>1304</v>
      </c>
      <c r="S349" t="s">
        <v>232</v>
      </c>
      <c r="T349" t="s">
        <v>504</v>
      </c>
      <c r="U349" t="s">
        <v>43</v>
      </c>
      <c r="V349" t="s">
        <v>234</v>
      </c>
      <c r="W349" t="s">
        <v>42</v>
      </c>
      <c r="X349" t="s">
        <v>21</v>
      </c>
      <c r="Y349" t="s">
        <v>236</v>
      </c>
      <c r="Z349">
        <v>2738</v>
      </c>
      <c r="AA349">
        <v>2738</v>
      </c>
      <c r="AB349" t="s">
        <v>237</v>
      </c>
      <c r="AC349">
        <v>4.66</v>
      </c>
      <c r="AD349">
        <v>12759.08</v>
      </c>
      <c r="AE349">
        <v>3367.74</v>
      </c>
      <c r="AF349" t="s">
        <v>870</v>
      </c>
      <c r="AG349">
        <v>9391.34</v>
      </c>
      <c r="AH349">
        <v>0.74</v>
      </c>
    </row>
    <row r="350" spans="1:34" x14ac:dyDescent="0.25">
      <c r="A350" t="s">
        <v>762</v>
      </c>
      <c r="B350">
        <v>349</v>
      </c>
      <c r="C350" t="s">
        <v>487</v>
      </c>
      <c r="D350" t="s">
        <v>261</v>
      </c>
      <c r="E350" t="s">
        <v>229</v>
      </c>
      <c r="F350" t="s">
        <v>1388</v>
      </c>
      <c r="G350" s="25">
        <v>44257</v>
      </c>
      <c r="H350">
        <v>13</v>
      </c>
      <c r="I350">
        <v>61</v>
      </c>
      <c r="J350" t="s">
        <v>1393</v>
      </c>
      <c r="K350" t="s">
        <v>876</v>
      </c>
      <c r="L350" t="s">
        <v>231</v>
      </c>
      <c r="M350" t="s">
        <v>865</v>
      </c>
      <c r="N350" t="s">
        <v>186</v>
      </c>
      <c r="O350" t="s">
        <v>1302</v>
      </c>
      <c r="P350" t="s">
        <v>867</v>
      </c>
      <c r="Q350" t="s">
        <v>1303</v>
      </c>
      <c r="R350" t="s">
        <v>1304</v>
      </c>
      <c r="S350" t="s">
        <v>232</v>
      </c>
      <c r="T350" t="s">
        <v>504</v>
      </c>
      <c r="U350" t="s">
        <v>43</v>
      </c>
      <c r="V350" t="s">
        <v>234</v>
      </c>
      <c r="W350" t="s">
        <v>42</v>
      </c>
      <c r="X350" t="s">
        <v>21</v>
      </c>
      <c r="Y350" t="s">
        <v>236</v>
      </c>
      <c r="Z350">
        <v>3537</v>
      </c>
      <c r="AA350">
        <v>3537</v>
      </c>
      <c r="AB350" t="s">
        <v>237</v>
      </c>
      <c r="AC350">
        <v>4.66</v>
      </c>
      <c r="AD350">
        <v>16482.419999999998</v>
      </c>
      <c r="AE350">
        <v>4350.51</v>
      </c>
      <c r="AF350" t="s">
        <v>870</v>
      </c>
      <c r="AG350">
        <v>12131.91</v>
      </c>
      <c r="AH350">
        <v>0.74</v>
      </c>
    </row>
    <row r="351" spans="1:34" x14ac:dyDescent="0.25">
      <c r="A351" t="s">
        <v>658</v>
      </c>
      <c r="B351">
        <v>350</v>
      </c>
      <c r="C351" t="s">
        <v>487</v>
      </c>
      <c r="D351" t="s">
        <v>261</v>
      </c>
      <c r="E351" t="s">
        <v>229</v>
      </c>
      <c r="F351" t="s">
        <v>1388</v>
      </c>
      <c r="G351" s="25">
        <v>44257</v>
      </c>
      <c r="H351">
        <v>13</v>
      </c>
      <c r="I351">
        <v>61</v>
      </c>
      <c r="J351" t="s">
        <v>1395</v>
      </c>
      <c r="K351" t="s">
        <v>876</v>
      </c>
      <c r="L351" t="s">
        <v>231</v>
      </c>
      <c r="M351" t="s">
        <v>865</v>
      </c>
      <c r="N351" t="s">
        <v>186</v>
      </c>
      <c r="O351" t="s">
        <v>1069</v>
      </c>
      <c r="P351" t="s">
        <v>867</v>
      </c>
      <c r="Q351" t="s">
        <v>1153</v>
      </c>
      <c r="R351" t="s">
        <v>1154</v>
      </c>
      <c r="S351" t="s">
        <v>232</v>
      </c>
      <c r="T351" t="s">
        <v>509</v>
      </c>
      <c r="U351" t="s">
        <v>45</v>
      </c>
      <c r="V351" t="s">
        <v>234</v>
      </c>
      <c r="W351" t="s">
        <v>44</v>
      </c>
      <c r="X351" t="s">
        <v>21</v>
      </c>
      <c r="Y351" t="s">
        <v>304</v>
      </c>
      <c r="Z351">
        <v>2724</v>
      </c>
      <c r="AA351">
        <v>2724</v>
      </c>
      <c r="AB351" t="s">
        <v>237</v>
      </c>
      <c r="AC351">
        <v>4.66</v>
      </c>
      <c r="AD351">
        <v>12693.84</v>
      </c>
      <c r="AE351">
        <v>3350.52</v>
      </c>
      <c r="AF351" t="s">
        <v>870</v>
      </c>
      <c r="AG351">
        <v>9343.32</v>
      </c>
      <c r="AH351">
        <v>0.74</v>
      </c>
    </row>
    <row r="352" spans="1:34" x14ac:dyDescent="0.25">
      <c r="A352" t="s">
        <v>652</v>
      </c>
      <c r="B352">
        <v>351</v>
      </c>
      <c r="C352" t="s">
        <v>487</v>
      </c>
      <c r="D352" t="s">
        <v>261</v>
      </c>
      <c r="E352" t="s">
        <v>229</v>
      </c>
      <c r="F352" t="s">
        <v>1388</v>
      </c>
      <c r="G352" s="25">
        <v>44257</v>
      </c>
      <c r="H352">
        <v>13</v>
      </c>
      <c r="I352">
        <v>61</v>
      </c>
      <c r="J352" t="s">
        <v>1394</v>
      </c>
      <c r="K352" t="s">
        <v>510</v>
      </c>
      <c r="L352" t="s">
        <v>231</v>
      </c>
      <c r="M352" t="s">
        <v>872</v>
      </c>
      <c r="N352" t="s">
        <v>184</v>
      </c>
      <c r="O352" t="s">
        <v>1224</v>
      </c>
      <c r="P352" t="s">
        <v>867</v>
      </c>
      <c r="Q352" t="s">
        <v>1225</v>
      </c>
      <c r="R352" t="s">
        <v>1226</v>
      </c>
      <c r="S352" t="s">
        <v>232</v>
      </c>
      <c r="T352" t="s">
        <v>509</v>
      </c>
      <c r="U352" t="s">
        <v>45</v>
      </c>
      <c r="V352" t="s">
        <v>234</v>
      </c>
      <c r="W352" t="s">
        <v>44</v>
      </c>
      <c r="X352" t="s">
        <v>21</v>
      </c>
      <c r="Y352" t="s">
        <v>304</v>
      </c>
      <c r="Z352">
        <v>2735</v>
      </c>
      <c r="AA352">
        <v>2735</v>
      </c>
      <c r="AB352" t="s">
        <v>237</v>
      </c>
      <c r="AC352">
        <v>4.66</v>
      </c>
      <c r="AD352">
        <v>12745.1</v>
      </c>
      <c r="AE352">
        <v>3364.05</v>
      </c>
      <c r="AF352" t="s">
        <v>870</v>
      </c>
      <c r="AG352">
        <v>9381.0499999999993</v>
      </c>
      <c r="AH352">
        <v>0.74</v>
      </c>
    </row>
    <row r="353" spans="1:34" x14ac:dyDescent="0.25">
      <c r="A353" t="s">
        <v>856</v>
      </c>
      <c r="B353">
        <v>352</v>
      </c>
      <c r="C353" t="s">
        <v>487</v>
      </c>
      <c r="D353" t="s">
        <v>261</v>
      </c>
      <c r="E353" t="s">
        <v>229</v>
      </c>
      <c r="F353" t="s">
        <v>1388</v>
      </c>
      <c r="G353" s="25">
        <v>44257</v>
      </c>
      <c r="H353">
        <v>13</v>
      </c>
      <c r="I353">
        <v>61</v>
      </c>
      <c r="J353" t="s">
        <v>1389</v>
      </c>
      <c r="K353" t="s">
        <v>510</v>
      </c>
      <c r="L353" t="s">
        <v>231</v>
      </c>
      <c r="M353" t="s">
        <v>872</v>
      </c>
      <c r="N353" t="s">
        <v>184</v>
      </c>
      <c r="O353" t="s">
        <v>1199</v>
      </c>
      <c r="P353" t="s">
        <v>867</v>
      </c>
      <c r="Q353" t="s">
        <v>1390</v>
      </c>
      <c r="R353" t="s">
        <v>1391</v>
      </c>
      <c r="S353" t="s">
        <v>232</v>
      </c>
      <c r="T353" t="s">
        <v>509</v>
      </c>
      <c r="U353" t="s">
        <v>45</v>
      </c>
      <c r="V353" t="s">
        <v>234</v>
      </c>
      <c r="W353" t="s">
        <v>44</v>
      </c>
      <c r="X353" t="s">
        <v>21</v>
      </c>
      <c r="Y353" t="s">
        <v>304</v>
      </c>
      <c r="Z353">
        <v>3382</v>
      </c>
      <c r="AA353">
        <v>3382</v>
      </c>
      <c r="AB353" t="s">
        <v>237</v>
      </c>
      <c r="AC353">
        <v>4.66</v>
      </c>
      <c r="AD353">
        <v>15760.12</v>
      </c>
      <c r="AE353">
        <v>4159.8599999999997</v>
      </c>
      <c r="AF353" t="s">
        <v>870</v>
      </c>
      <c r="AG353">
        <v>11600.26</v>
      </c>
      <c r="AH353">
        <v>0.74</v>
      </c>
    </row>
    <row r="354" spans="1:34" x14ac:dyDescent="0.25">
      <c r="A354" t="s">
        <v>684</v>
      </c>
      <c r="B354">
        <v>353</v>
      </c>
      <c r="C354" t="s">
        <v>487</v>
      </c>
      <c r="D354" t="s">
        <v>261</v>
      </c>
      <c r="E354" t="s">
        <v>229</v>
      </c>
      <c r="F354" t="s">
        <v>1388</v>
      </c>
      <c r="G354" s="25">
        <v>44257</v>
      </c>
      <c r="H354">
        <v>13</v>
      </c>
      <c r="I354">
        <v>61</v>
      </c>
      <c r="J354" t="s">
        <v>1393</v>
      </c>
      <c r="K354" t="s">
        <v>921</v>
      </c>
      <c r="L354" t="s">
        <v>231</v>
      </c>
      <c r="M354" t="s">
        <v>865</v>
      </c>
      <c r="N354" t="s">
        <v>186</v>
      </c>
      <c r="O354" t="s">
        <v>1302</v>
      </c>
      <c r="P354" t="s">
        <v>867</v>
      </c>
      <c r="Q354" t="s">
        <v>1303</v>
      </c>
      <c r="R354" t="s">
        <v>1304</v>
      </c>
      <c r="S354" t="s">
        <v>232</v>
      </c>
      <c r="T354" t="s">
        <v>509</v>
      </c>
      <c r="U354" t="s">
        <v>45</v>
      </c>
      <c r="V354" t="s">
        <v>234</v>
      </c>
      <c r="W354" t="s">
        <v>44</v>
      </c>
      <c r="X354" t="s">
        <v>21</v>
      </c>
      <c r="Y354" t="s">
        <v>304</v>
      </c>
      <c r="Z354">
        <v>3286</v>
      </c>
      <c r="AA354">
        <v>3286</v>
      </c>
      <c r="AB354" t="s">
        <v>237</v>
      </c>
      <c r="AC354">
        <v>4.66</v>
      </c>
      <c r="AD354">
        <v>15312.76</v>
      </c>
      <c r="AE354">
        <v>4041.78</v>
      </c>
      <c r="AF354" t="s">
        <v>870</v>
      </c>
      <c r="AG354">
        <v>11270.98</v>
      </c>
      <c r="AH354">
        <v>0.74</v>
      </c>
    </row>
    <row r="355" spans="1:34" x14ac:dyDescent="0.25">
      <c r="A355" t="s">
        <v>561</v>
      </c>
      <c r="B355">
        <v>354</v>
      </c>
      <c r="C355" t="s">
        <v>487</v>
      </c>
      <c r="D355" t="s">
        <v>261</v>
      </c>
      <c r="E355" t="s">
        <v>229</v>
      </c>
      <c r="F355" t="s">
        <v>1388</v>
      </c>
      <c r="G355" s="25">
        <v>44257</v>
      </c>
      <c r="H355">
        <v>13</v>
      </c>
      <c r="I355">
        <v>61</v>
      </c>
      <c r="J355" t="s">
        <v>1395</v>
      </c>
      <c r="K355" t="s">
        <v>510</v>
      </c>
      <c r="L355" t="s">
        <v>231</v>
      </c>
      <c r="M355" t="s">
        <v>865</v>
      </c>
      <c r="N355" t="s">
        <v>186</v>
      </c>
      <c r="O355" t="s">
        <v>1069</v>
      </c>
      <c r="P355" t="s">
        <v>867</v>
      </c>
      <c r="Q355" t="s">
        <v>1153</v>
      </c>
      <c r="R355" t="s">
        <v>1154</v>
      </c>
      <c r="S355" t="s">
        <v>232</v>
      </c>
      <c r="T355" t="s">
        <v>508</v>
      </c>
      <c r="U355" t="s">
        <v>47</v>
      </c>
      <c r="V355" t="s">
        <v>234</v>
      </c>
      <c r="W355" t="s">
        <v>46</v>
      </c>
      <c r="X355" t="s">
        <v>21</v>
      </c>
      <c r="Y355" t="s">
        <v>288</v>
      </c>
      <c r="Z355">
        <v>3578</v>
      </c>
      <c r="AA355">
        <v>3578</v>
      </c>
      <c r="AB355" t="s">
        <v>237</v>
      </c>
      <c r="AC355">
        <v>4.18</v>
      </c>
      <c r="AD355">
        <v>14956.04</v>
      </c>
      <c r="AE355">
        <v>2826.62</v>
      </c>
      <c r="AF355" t="s">
        <v>870</v>
      </c>
      <c r="AG355">
        <v>12129.42</v>
      </c>
      <c r="AH355">
        <v>0.81</v>
      </c>
    </row>
    <row r="356" spans="1:34" x14ac:dyDescent="0.25">
      <c r="A356" t="s">
        <v>613</v>
      </c>
      <c r="B356">
        <v>355</v>
      </c>
      <c r="C356" t="s">
        <v>487</v>
      </c>
      <c r="D356" t="s">
        <v>261</v>
      </c>
      <c r="E356" t="s">
        <v>229</v>
      </c>
      <c r="F356" t="s">
        <v>1388</v>
      </c>
      <c r="G356" s="25">
        <v>44257</v>
      </c>
      <c r="H356">
        <v>13</v>
      </c>
      <c r="I356">
        <v>61</v>
      </c>
      <c r="J356" t="s">
        <v>1392</v>
      </c>
      <c r="K356" t="s">
        <v>510</v>
      </c>
      <c r="L356" t="s">
        <v>231</v>
      </c>
      <c r="M356" t="s">
        <v>926</v>
      </c>
      <c r="N356" t="s">
        <v>185</v>
      </c>
      <c r="O356" t="s">
        <v>953</v>
      </c>
      <c r="P356" t="s">
        <v>867</v>
      </c>
      <c r="Q356" t="s">
        <v>954</v>
      </c>
      <c r="R356" t="s">
        <v>955</v>
      </c>
      <c r="S356" t="s">
        <v>232</v>
      </c>
      <c r="T356" t="s">
        <v>508</v>
      </c>
      <c r="U356" t="s">
        <v>47</v>
      </c>
      <c r="V356" t="s">
        <v>234</v>
      </c>
      <c r="W356" t="s">
        <v>46</v>
      </c>
      <c r="X356" t="s">
        <v>21</v>
      </c>
      <c r="Y356" t="s">
        <v>288</v>
      </c>
      <c r="Z356">
        <v>3891</v>
      </c>
      <c r="AA356">
        <v>3891</v>
      </c>
      <c r="AB356" t="s">
        <v>237</v>
      </c>
      <c r="AC356">
        <v>4.18</v>
      </c>
      <c r="AD356">
        <v>16264.38</v>
      </c>
      <c r="AE356">
        <v>3073.89</v>
      </c>
      <c r="AF356" t="s">
        <v>870</v>
      </c>
      <c r="AG356">
        <v>13190.49</v>
      </c>
      <c r="AH356">
        <v>0.81</v>
      </c>
    </row>
    <row r="357" spans="1:34" x14ac:dyDescent="0.25">
      <c r="A357" t="s">
        <v>787</v>
      </c>
      <c r="B357">
        <v>356</v>
      </c>
      <c r="C357" t="s">
        <v>487</v>
      </c>
      <c r="D357" t="s">
        <v>261</v>
      </c>
      <c r="E357" t="s">
        <v>229</v>
      </c>
      <c r="F357" t="s">
        <v>1388</v>
      </c>
      <c r="G357" s="25">
        <v>44257</v>
      </c>
      <c r="H357">
        <v>13</v>
      </c>
      <c r="I357">
        <v>61</v>
      </c>
      <c r="J357" t="s">
        <v>1396</v>
      </c>
      <c r="K357" t="s">
        <v>510</v>
      </c>
      <c r="L357" t="s">
        <v>231</v>
      </c>
      <c r="M357" t="s">
        <v>931</v>
      </c>
      <c r="N357" t="s">
        <v>186</v>
      </c>
      <c r="O357" t="s">
        <v>1397</v>
      </c>
      <c r="P357" t="s">
        <v>867</v>
      </c>
      <c r="Q357" t="s">
        <v>1398</v>
      </c>
      <c r="R357" t="s">
        <v>1399</v>
      </c>
      <c r="S357" t="s">
        <v>537</v>
      </c>
      <c r="T357" t="s">
        <v>509</v>
      </c>
      <c r="U357" t="s">
        <v>45</v>
      </c>
      <c r="V357" t="s">
        <v>234</v>
      </c>
      <c r="W357" t="s">
        <v>44</v>
      </c>
      <c r="X357" t="s">
        <v>21</v>
      </c>
      <c r="Y357" t="s">
        <v>304</v>
      </c>
      <c r="Z357">
        <v>3106</v>
      </c>
      <c r="AA357">
        <v>3106</v>
      </c>
      <c r="AB357" t="s">
        <v>237</v>
      </c>
      <c r="AC357">
        <v>4.8899999999999997</v>
      </c>
      <c r="AD357">
        <v>15188.34</v>
      </c>
      <c r="AE357">
        <v>3820.38</v>
      </c>
      <c r="AF357" t="s">
        <v>870</v>
      </c>
      <c r="AG357">
        <v>11367.96</v>
      </c>
      <c r="AH357">
        <v>0.75</v>
      </c>
    </row>
    <row r="358" spans="1:34" x14ac:dyDescent="0.25">
      <c r="A358" t="s">
        <v>832</v>
      </c>
      <c r="B358">
        <v>357</v>
      </c>
      <c r="C358" t="s">
        <v>487</v>
      </c>
      <c r="D358" t="s">
        <v>261</v>
      </c>
      <c r="E358" t="s">
        <v>231</v>
      </c>
      <c r="F358" t="s">
        <v>1400</v>
      </c>
      <c r="G358" s="25">
        <v>44258</v>
      </c>
      <c r="H358">
        <v>13</v>
      </c>
      <c r="I358">
        <v>62</v>
      </c>
      <c r="J358" t="s">
        <v>1401</v>
      </c>
      <c r="K358" t="s">
        <v>876</v>
      </c>
      <c r="L358" t="s">
        <v>231</v>
      </c>
      <c r="M358" t="s">
        <v>173</v>
      </c>
      <c r="N358" t="s">
        <v>185</v>
      </c>
      <c r="O358" t="s">
        <v>966</v>
      </c>
      <c r="P358" t="s">
        <v>867</v>
      </c>
      <c r="Q358" t="s">
        <v>967</v>
      </c>
      <c r="R358" t="s">
        <v>968</v>
      </c>
      <c r="S358" t="s">
        <v>232</v>
      </c>
      <c r="T358" t="s">
        <v>505</v>
      </c>
      <c r="U358" t="s">
        <v>41</v>
      </c>
      <c r="V358" t="s">
        <v>234</v>
      </c>
      <c r="W358" t="s">
        <v>40</v>
      </c>
      <c r="X358" t="s">
        <v>21</v>
      </c>
      <c r="Y358" t="s">
        <v>266</v>
      </c>
      <c r="Z358">
        <v>3600</v>
      </c>
      <c r="AA358">
        <v>3600</v>
      </c>
      <c r="AB358" t="s">
        <v>237</v>
      </c>
      <c r="AC358">
        <v>4.3</v>
      </c>
      <c r="AD358">
        <v>15480</v>
      </c>
      <c r="AE358">
        <v>3240</v>
      </c>
      <c r="AF358" t="s">
        <v>870</v>
      </c>
      <c r="AG358">
        <v>12240</v>
      </c>
      <c r="AH358">
        <v>0.79</v>
      </c>
    </row>
    <row r="359" spans="1:34" x14ac:dyDescent="0.25">
      <c r="A359" t="s">
        <v>673</v>
      </c>
      <c r="B359">
        <v>358</v>
      </c>
      <c r="C359" t="s">
        <v>487</v>
      </c>
      <c r="D359" t="s">
        <v>261</v>
      </c>
      <c r="E359" t="s">
        <v>231</v>
      </c>
      <c r="F359" t="s">
        <v>1400</v>
      </c>
      <c r="G359" s="25">
        <v>44258</v>
      </c>
      <c r="H359">
        <v>13</v>
      </c>
      <c r="I359">
        <v>62</v>
      </c>
      <c r="J359" t="s">
        <v>1401</v>
      </c>
      <c r="K359" t="s">
        <v>510</v>
      </c>
      <c r="L359" t="s">
        <v>231</v>
      </c>
      <c r="M359" t="s">
        <v>173</v>
      </c>
      <c r="N359" t="s">
        <v>185</v>
      </c>
      <c r="O359" t="s">
        <v>966</v>
      </c>
      <c r="P359" t="s">
        <v>867</v>
      </c>
      <c r="Q359" t="s">
        <v>967</v>
      </c>
      <c r="R359" t="s">
        <v>968</v>
      </c>
      <c r="S359" t="s">
        <v>232</v>
      </c>
      <c r="T359" t="s">
        <v>509</v>
      </c>
      <c r="U359" t="s">
        <v>45</v>
      </c>
      <c r="V359" t="s">
        <v>234</v>
      </c>
      <c r="W359" t="s">
        <v>44</v>
      </c>
      <c r="X359" t="s">
        <v>21</v>
      </c>
      <c r="Y359" t="s">
        <v>304</v>
      </c>
      <c r="Z359">
        <v>3202</v>
      </c>
      <c r="AA359">
        <v>3202</v>
      </c>
      <c r="AB359" t="s">
        <v>237</v>
      </c>
      <c r="AC359">
        <v>4.66</v>
      </c>
      <c r="AD359">
        <v>14921.32</v>
      </c>
      <c r="AE359">
        <v>3938.46</v>
      </c>
      <c r="AF359" t="s">
        <v>870</v>
      </c>
      <c r="AG359">
        <v>10982.86</v>
      </c>
      <c r="AH359">
        <v>0.74</v>
      </c>
    </row>
    <row r="360" spans="1:34" x14ac:dyDescent="0.25">
      <c r="A360" t="s">
        <v>567</v>
      </c>
      <c r="B360">
        <v>359</v>
      </c>
      <c r="C360" t="s">
        <v>487</v>
      </c>
      <c r="D360" t="s">
        <v>261</v>
      </c>
      <c r="E360" t="s">
        <v>256</v>
      </c>
      <c r="F360" t="s">
        <v>1402</v>
      </c>
      <c r="G360" s="25">
        <v>44259</v>
      </c>
      <c r="H360">
        <v>13</v>
      </c>
      <c r="I360">
        <v>63</v>
      </c>
      <c r="J360" t="s">
        <v>1403</v>
      </c>
      <c r="K360" t="s">
        <v>510</v>
      </c>
      <c r="L360" t="s">
        <v>231</v>
      </c>
      <c r="M360" t="s">
        <v>872</v>
      </c>
      <c r="N360" t="s">
        <v>184</v>
      </c>
      <c r="O360" t="s">
        <v>1224</v>
      </c>
      <c r="P360" t="s">
        <v>867</v>
      </c>
      <c r="Q360" t="s">
        <v>1225</v>
      </c>
      <c r="R360" t="s">
        <v>1226</v>
      </c>
      <c r="S360" t="s">
        <v>232</v>
      </c>
      <c r="T360" t="s">
        <v>505</v>
      </c>
      <c r="U360" t="s">
        <v>41</v>
      </c>
      <c r="V360" t="s">
        <v>234</v>
      </c>
      <c r="W360" t="s">
        <v>40</v>
      </c>
      <c r="X360" t="s">
        <v>21</v>
      </c>
      <c r="Y360" t="s">
        <v>266</v>
      </c>
      <c r="Z360">
        <v>3889</v>
      </c>
      <c r="AA360">
        <v>3889</v>
      </c>
      <c r="AB360" t="s">
        <v>237</v>
      </c>
      <c r="AC360">
        <v>4.3</v>
      </c>
      <c r="AD360">
        <v>16722.7</v>
      </c>
      <c r="AE360">
        <v>3500.1</v>
      </c>
      <c r="AF360" t="s">
        <v>870</v>
      </c>
      <c r="AG360">
        <v>13222.6</v>
      </c>
      <c r="AH360">
        <v>0.79</v>
      </c>
    </row>
    <row r="361" spans="1:34" x14ac:dyDescent="0.25">
      <c r="A361" t="s">
        <v>826</v>
      </c>
      <c r="B361">
        <v>360</v>
      </c>
      <c r="C361" t="s">
        <v>487</v>
      </c>
      <c r="D361" t="s">
        <v>261</v>
      </c>
      <c r="E361" t="s">
        <v>256</v>
      </c>
      <c r="F361" t="s">
        <v>1402</v>
      </c>
      <c r="G361" s="25">
        <v>44259</v>
      </c>
      <c r="H361">
        <v>13</v>
      </c>
      <c r="I361">
        <v>63</v>
      </c>
      <c r="J361" t="s">
        <v>1403</v>
      </c>
      <c r="K361" t="s">
        <v>876</v>
      </c>
      <c r="L361" t="s">
        <v>231</v>
      </c>
      <c r="M361" t="s">
        <v>872</v>
      </c>
      <c r="N361" t="s">
        <v>184</v>
      </c>
      <c r="O361" t="s">
        <v>1224</v>
      </c>
      <c r="P361" t="s">
        <v>867</v>
      </c>
      <c r="Q361" t="s">
        <v>1225</v>
      </c>
      <c r="R361" t="s">
        <v>1226</v>
      </c>
      <c r="S361" t="s">
        <v>232</v>
      </c>
      <c r="T361" t="s">
        <v>508</v>
      </c>
      <c r="U361" t="s">
        <v>47</v>
      </c>
      <c r="V361" t="s">
        <v>234</v>
      </c>
      <c r="W361" t="s">
        <v>46</v>
      </c>
      <c r="X361" t="s">
        <v>21</v>
      </c>
      <c r="Y361" t="s">
        <v>288</v>
      </c>
      <c r="Z361">
        <v>3593</v>
      </c>
      <c r="AA361">
        <v>3593</v>
      </c>
      <c r="AB361" t="s">
        <v>237</v>
      </c>
      <c r="AC361">
        <v>4.18</v>
      </c>
      <c r="AD361">
        <v>15018.74</v>
      </c>
      <c r="AE361">
        <v>2838.47</v>
      </c>
      <c r="AF361" t="s">
        <v>870</v>
      </c>
      <c r="AG361">
        <v>12180.27</v>
      </c>
      <c r="AH361">
        <v>0.81</v>
      </c>
    </row>
    <row r="362" spans="1:34" x14ac:dyDescent="0.25">
      <c r="A362" t="s">
        <v>680</v>
      </c>
      <c r="B362">
        <v>361</v>
      </c>
      <c r="C362" t="s">
        <v>487</v>
      </c>
      <c r="D362" t="s">
        <v>261</v>
      </c>
      <c r="E362" t="s">
        <v>256</v>
      </c>
      <c r="F362" t="s">
        <v>1402</v>
      </c>
      <c r="G362" s="25">
        <v>44259</v>
      </c>
      <c r="H362">
        <v>13</v>
      </c>
      <c r="I362">
        <v>63</v>
      </c>
      <c r="J362" t="s">
        <v>1404</v>
      </c>
      <c r="K362" t="s">
        <v>510</v>
      </c>
      <c r="L362" t="s">
        <v>231</v>
      </c>
      <c r="M362" t="s">
        <v>872</v>
      </c>
      <c r="N362" t="s">
        <v>184</v>
      </c>
      <c r="O362" t="s">
        <v>894</v>
      </c>
      <c r="P362" t="s">
        <v>867</v>
      </c>
      <c r="Q362" t="s">
        <v>895</v>
      </c>
      <c r="R362" t="s">
        <v>896</v>
      </c>
      <c r="S362" t="s">
        <v>232</v>
      </c>
      <c r="T362" t="s">
        <v>508</v>
      </c>
      <c r="U362" t="s">
        <v>47</v>
      </c>
      <c r="V362" t="s">
        <v>234</v>
      </c>
      <c r="W362" t="s">
        <v>46</v>
      </c>
      <c r="X362" t="s">
        <v>21</v>
      </c>
      <c r="Y362" t="s">
        <v>288</v>
      </c>
      <c r="Z362">
        <v>3767</v>
      </c>
      <c r="AA362">
        <v>3767</v>
      </c>
      <c r="AB362" t="s">
        <v>237</v>
      </c>
      <c r="AC362">
        <v>4.18</v>
      </c>
      <c r="AD362">
        <v>15746.06</v>
      </c>
      <c r="AE362">
        <v>2975.93</v>
      </c>
      <c r="AF362" t="s">
        <v>870</v>
      </c>
      <c r="AG362">
        <v>12770.13</v>
      </c>
      <c r="AH362">
        <v>0.81</v>
      </c>
    </row>
    <row r="363" spans="1:34" x14ac:dyDescent="0.25">
      <c r="A363" t="s">
        <v>693</v>
      </c>
      <c r="B363">
        <v>362</v>
      </c>
      <c r="C363" t="s">
        <v>487</v>
      </c>
      <c r="D363" t="s">
        <v>261</v>
      </c>
      <c r="E363" t="s">
        <v>256</v>
      </c>
      <c r="F363" t="s">
        <v>1402</v>
      </c>
      <c r="G363" s="25">
        <v>44259</v>
      </c>
      <c r="H363">
        <v>13</v>
      </c>
      <c r="I363">
        <v>63</v>
      </c>
      <c r="J363" t="s">
        <v>1405</v>
      </c>
      <c r="K363" t="s">
        <v>510</v>
      </c>
      <c r="L363" t="s">
        <v>231</v>
      </c>
      <c r="M363" t="s">
        <v>911</v>
      </c>
      <c r="N363" t="s">
        <v>186</v>
      </c>
      <c r="O363" t="s">
        <v>1008</v>
      </c>
      <c r="P363" t="s">
        <v>867</v>
      </c>
      <c r="Q363" t="s">
        <v>1009</v>
      </c>
      <c r="R363" t="s">
        <v>1010</v>
      </c>
      <c r="S363" t="s">
        <v>537</v>
      </c>
      <c r="T363" t="s">
        <v>505</v>
      </c>
      <c r="U363" t="s">
        <v>41</v>
      </c>
      <c r="V363" t="s">
        <v>234</v>
      </c>
      <c r="W363" t="s">
        <v>40</v>
      </c>
      <c r="X363" t="s">
        <v>21</v>
      </c>
      <c r="Y363" t="s">
        <v>266</v>
      </c>
      <c r="Z363">
        <v>3170</v>
      </c>
      <c r="AA363">
        <v>3170</v>
      </c>
      <c r="AB363" t="s">
        <v>237</v>
      </c>
      <c r="AC363">
        <v>4.5</v>
      </c>
      <c r="AD363">
        <v>14265</v>
      </c>
      <c r="AE363">
        <v>2853</v>
      </c>
      <c r="AF363" t="s">
        <v>870</v>
      </c>
      <c r="AG363">
        <v>11412</v>
      </c>
      <c r="AH363">
        <v>0.8</v>
      </c>
    </row>
    <row r="364" spans="1:34" x14ac:dyDescent="0.25">
      <c r="A364" t="s">
        <v>692</v>
      </c>
      <c r="B364">
        <v>363</v>
      </c>
      <c r="C364" t="s">
        <v>487</v>
      </c>
      <c r="D364" t="s">
        <v>261</v>
      </c>
      <c r="E364" t="s">
        <v>256</v>
      </c>
      <c r="F364" t="s">
        <v>1402</v>
      </c>
      <c r="G364" s="25">
        <v>44259</v>
      </c>
      <c r="H364">
        <v>13</v>
      </c>
      <c r="I364">
        <v>63</v>
      </c>
      <c r="J364" t="s">
        <v>1406</v>
      </c>
      <c r="K364" t="s">
        <v>510</v>
      </c>
      <c r="L364" t="s">
        <v>231</v>
      </c>
      <c r="M364" t="s">
        <v>872</v>
      </c>
      <c r="N364" t="s">
        <v>184</v>
      </c>
      <c r="O364" t="s">
        <v>1407</v>
      </c>
      <c r="P364" t="s">
        <v>867</v>
      </c>
      <c r="Q364" t="s">
        <v>1408</v>
      </c>
      <c r="R364" t="s">
        <v>1409</v>
      </c>
      <c r="S364" t="s">
        <v>537</v>
      </c>
      <c r="T364" t="s">
        <v>509</v>
      </c>
      <c r="U364" t="s">
        <v>45</v>
      </c>
      <c r="V364" t="s">
        <v>234</v>
      </c>
      <c r="W364" t="s">
        <v>44</v>
      </c>
      <c r="X364" t="s">
        <v>21</v>
      </c>
      <c r="Y364" t="s">
        <v>304</v>
      </c>
      <c r="Z364">
        <v>2887</v>
      </c>
      <c r="AA364">
        <v>2887</v>
      </c>
      <c r="AB364" t="s">
        <v>237</v>
      </c>
      <c r="AC364">
        <v>4.8899999999999997</v>
      </c>
      <c r="AD364">
        <v>14117.43</v>
      </c>
      <c r="AE364">
        <v>3551.01</v>
      </c>
      <c r="AF364" t="s">
        <v>870</v>
      </c>
      <c r="AG364">
        <v>10566.42</v>
      </c>
      <c r="AH364">
        <v>0.75</v>
      </c>
    </row>
    <row r="365" spans="1:34" x14ac:dyDescent="0.25">
      <c r="A365" t="s">
        <v>686</v>
      </c>
      <c r="B365">
        <v>364</v>
      </c>
      <c r="C365" t="s">
        <v>487</v>
      </c>
      <c r="D365" t="s">
        <v>261</v>
      </c>
      <c r="E365" t="s">
        <v>261</v>
      </c>
      <c r="F365" t="s">
        <v>1410</v>
      </c>
      <c r="G365" s="25">
        <v>44260</v>
      </c>
      <c r="H365">
        <v>13</v>
      </c>
      <c r="I365">
        <v>64</v>
      </c>
      <c r="J365" t="s">
        <v>1411</v>
      </c>
      <c r="K365" t="s">
        <v>510</v>
      </c>
      <c r="L365" t="s">
        <v>231</v>
      </c>
      <c r="M365" t="s">
        <v>926</v>
      </c>
      <c r="N365" t="s">
        <v>185</v>
      </c>
      <c r="O365" t="s">
        <v>1043</v>
      </c>
      <c r="P365" t="s">
        <v>867</v>
      </c>
      <c r="Q365" t="s">
        <v>1412</v>
      </c>
      <c r="R365" t="s">
        <v>1413</v>
      </c>
      <c r="S365" t="s">
        <v>232</v>
      </c>
      <c r="T365" t="s">
        <v>505</v>
      </c>
      <c r="U365" t="s">
        <v>41</v>
      </c>
      <c r="V365" t="s">
        <v>234</v>
      </c>
      <c r="W365" t="s">
        <v>40</v>
      </c>
      <c r="X365" t="s">
        <v>21</v>
      </c>
      <c r="Y365" t="s">
        <v>266</v>
      </c>
      <c r="Z365">
        <v>3404</v>
      </c>
      <c r="AA365">
        <v>3404</v>
      </c>
      <c r="AB365" t="s">
        <v>237</v>
      </c>
      <c r="AC365">
        <v>4.3</v>
      </c>
      <c r="AD365">
        <v>14637.2</v>
      </c>
      <c r="AE365">
        <v>3063.6</v>
      </c>
      <c r="AF365" t="s">
        <v>870</v>
      </c>
      <c r="AG365">
        <v>11573.6</v>
      </c>
      <c r="AH365">
        <v>0.79</v>
      </c>
    </row>
    <row r="366" spans="1:34" x14ac:dyDescent="0.25">
      <c r="A366" t="s">
        <v>719</v>
      </c>
      <c r="B366">
        <v>365</v>
      </c>
      <c r="C366" t="s">
        <v>487</v>
      </c>
      <c r="D366" t="s">
        <v>261</v>
      </c>
      <c r="E366" t="s">
        <v>261</v>
      </c>
      <c r="F366" t="s">
        <v>1410</v>
      </c>
      <c r="G366" s="25">
        <v>44260</v>
      </c>
      <c r="H366">
        <v>13</v>
      </c>
      <c r="I366">
        <v>64</v>
      </c>
      <c r="J366" t="s">
        <v>1411</v>
      </c>
      <c r="K366" t="s">
        <v>921</v>
      </c>
      <c r="L366" t="s">
        <v>231</v>
      </c>
      <c r="M366" t="s">
        <v>926</v>
      </c>
      <c r="N366" t="s">
        <v>185</v>
      </c>
      <c r="O366" t="s">
        <v>1043</v>
      </c>
      <c r="P366" t="s">
        <v>867</v>
      </c>
      <c r="Q366" t="s">
        <v>1412</v>
      </c>
      <c r="R366" t="s">
        <v>1413</v>
      </c>
      <c r="S366" t="s">
        <v>232</v>
      </c>
      <c r="T366" t="s">
        <v>509</v>
      </c>
      <c r="U366" t="s">
        <v>45</v>
      </c>
      <c r="V366" t="s">
        <v>234</v>
      </c>
      <c r="W366" t="s">
        <v>44</v>
      </c>
      <c r="X366" t="s">
        <v>21</v>
      </c>
      <c r="Y366" t="s">
        <v>304</v>
      </c>
      <c r="Z366">
        <v>3129</v>
      </c>
      <c r="AA366">
        <v>3129</v>
      </c>
      <c r="AB366" t="s">
        <v>237</v>
      </c>
      <c r="AC366">
        <v>4.66</v>
      </c>
      <c r="AD366">
        <v>14581.14</v>
      </c>
      <c r="AE366">
        <v>3848.67</v>
      </c>
      <c r="AF366" t="s">
        <v>870</v>
      </c>
      <c r="AG366">
        <v>10732.47</v>
      </c>
      <c r="AH366">
        <v>0.74</v>
      </c>
    </row>
    <row r="367" spans="1:34" x14ac:dyDescent="0.25">
      <c r="A367" t="s">
        <v>664</v>
      </c>
      <c r="B367">
        <v>366</v>
      </c>
      <c r="C367" t="s">
        <v>487</v>
      </c>
      <c r="D367" t="s">
        <v>261</v>
      </c>
      <c r="E367" t="s">
        <v>261</v>
      </c>
      <c r="F367" t="s">
        <v>1410</v>
      </c>
      <c r="G367" s="25">
        <v>44260</v>
      </c>
      <c r="H367">
        <v>13</v>
      </c>
      <c r="I367">
        <v>64</v>
      </c>
      <c r="J367" t="s">
        <v>1411</v>
      </c>
      <c r="K367" t="s">
        <v>876</v>
      </c>
      <c r="L367" t="s">
        <v>231</v>
      </c>
      <c r="M367" t="s">
        <v>926</v>
      </c>
      <c r="N367" t="s">
        <v>185</v>
      </c>
      <c r="O367" t="s">
        <v>1043</v>
      </c>
      <c r="P367" t="s">
        <v>867</v>
      </c>
      <c r="Q367" t="s">
        <v>1412</v>
      </c>
      <c r="R367" t="s">
        <v>1413</v>
      </c>
      <c r="S367" t="s">
        <v>232</v>
      </c>
      <c r="T367" t="s">
        <v>509</v>
      </c>
      <c r="U367" t="s">
        <v>45</v>
      </c>
      <c r="V367" t="s">
        <v>234</v>
      </c>
      <c r="W367" t="s">
        <v>44</v>
      </c>
      <c r="X367" t="s">
        <v>21</v>
      </c>
      <c r="Y367" t="s">
        <v>304</v>
      </c>
      <c r="Z367">
        <v>3571</v>
      </c>
      <c r="AA367">
        <v>3571</v>
      </c>
      <c r="AB367" t="s">
        <v>237</v>
      </c>
      <c r="AC367">
        <v>4.66</v>
      </c>
      <c r="AD367">
        <v>16640.86</v>
      </c>
      <c r="AE367">
        <v>4392.33</v>
      </c>
      <c r="AF367" t="s">
        <v>870</v>
      </c>
      <c r="AG367">
        <v>12248.53</v>
      </c>
      <c r="AH367">
        <v>0.74</v>
      </c>
    </row>
    <row r="368" spans="1:34" x14ac:dyDescent="0.25">
      <c r="A368" t="s">
        <v>810</v>
      </c>
      <c r="B368">
        <v>367</v>
      </c>
      <c r="C368" t="s">
        <v>487</v>
      </c>
      <c r="D368" t="s">
        <v>261</v>
      </c>
      <c r="E368" t="s">
        <v>261</v>
      </c>
      <c r="F368" t="s">
        <v>1410</v>
      </c>
      <c r="G368" s="25">
        <v>44260</v>
      </c>
      <c r="H368">
        <v>13</v>
      </c>
      <c r="I368">
        <v>64</v>
      </c>
      <c r="J368" t="s">
        <v>1414</v>
      </c>
      <c r="K368" t="s">
        <v>510</v>
      </c>
      <c r="L368" t="s">
        <v>231</v>
      </c>
      <c r="M368" t="s">
        <v>872</v>
      </c>
      <c r="N368" t="s">
        <v>184</v>
      </c>
      <c r="O368" t="s">
        <v>1024</v>
      </c>
      <c r="P368" t="s">
        <v>867</v>
      </c>
      <c r="Q368" t="s">
        <v>1415</v>
      </c>
      <c r="R368" t="s">
        <v>1416</v>
      </c>
      <c r="S368" t="s">
        <v>537</v>
      </c>
      <c r="T368" t="s">
        <v>509</v>
      </c>
      <c r="U368" t="s">
        <v>45</v>
      </c>
      <c r="V368" t="s">
        <v>234</v>
      </c>
      <c r="W368" t="s">
        <v>44</v>
      </c>
      <c r="X368" t="s">
        <v>21</v>
      </c>
      <c r="Y368" t="s">
        <v>304</v>
      </c>
      <c r="Z368">
        <v>3276</v>
      </c>
      <c r="AA368">
        <v>3276</v>
      </c>
      <c r="AB368" t="s">
        <v>237</v>
      </c>
      <c r="AC368">
        <v>4.8899999999999997</v>
      </c>
      <c r="AD368">
        <v>16019.64</v>
      </c>
      <c r="AE368">
        <v>4029.48</v>
      </c>
      <c r="AF368" t="s">
        <v>870</v>
      </c>
      <c r="AG368">
        <v>11990.16</v>
      </c>
      <c r="AH368">
        <v>0.75</v>
      </c>
    </row>
    <row r="369" spans="1:34" x14ac:dyDescent="0.25">
      <c r="A369" t="s">
        <v>641</v>
      </c>
      <c r="B369">
        <v>368</v>
      </c>
      <c r="C369" t="s">
        <v>487</v>
      </c>
      <c r="D369" t="s">
        <v>261</v>
      </c>
      <c r="E369" t="s">
        <v>322</v>
      </c>
      <c r="F369" t="s">
        <v>1417</v>
      </c>
      <c r="G369" s="25">
        <v>44261</v>
      </c>
      <c r="H369">
        <v>13</v>
      </c>
      <c r="I369">
        <v>65</v>
      </c>
      <c r="J369" t="s">
        <v>1418</v>
      </c>
      <c r="K369" t="s">
        <v>510</v>
      </c>
      <c r="L369" t="s">
        <v>231</v>
      </c>
      <c r="M369" t="s">
        <v>888</v>
      </c>
      <c r="N369" t="s">
        <v>184</v>
      </c>
      <c r="O369" t="s">
        <v>978</v>
      </c>
      <c r="P369" t="s">
        <v>867</v>
      </c>
      <c r="Q369" t="s">
        <v>979</v>
      </c>
      <c r="R369" t="s">
        <v>980</v>
      </c>
      <c r="S369" t="s">
        <v>232</v>
      </c>
      <c r="T369" t="s">
        <v>505</v>
      </c>
      <c r="U369" t="s">
        <v>41</v>
      </c>
      <c r="V369" t="s">
        <v>234</v>
      </c>
      <c r="W369" t="s">
        <v>40</v>
      </c>
      <c r="X369" t="s">
        <v>21</v>
      </c>
      <c r="Y369" t="s">
        <v>266</v>
      </c>
      <c r="Z369">
        <v>3823</v>
      </c>
      <c r="AA369">
        <v>3823</v>
      </c>
      <c r="AB369" t="s">
        <v>237</v>
      </c>
      <c r="AC369">
        <v>4.3</v>
      </c>
      <c r="AD369">
        <v>16438.900000000001</v>
      </c>
      <c r="AE369">
        <v>3440.7</v>
      </c>
      <c r="AF369" t="s">
        <v>870</v>
      </c>
      <c r="AG369">
        <v>12998.2</v>
      </c>
      <c r="AH369">
        <v>0.79</v>
      </c>
    </row>
    <row r="370" spans="1:34" x14ac:dyDescent="0.25">
      <c r="A370" t="s">
        <v>533</v>
      </c>
      <c r="B370">
        <v>369</v>
      </c>
      <c r="C370" t="s">
        <v>487</v>
      </c>
      <c r="D370" t="s">
        <v>261</v>
      </c>
      <c r="E370" t="s">
        <v>322</v>
      </c>
      <c r="F370" t="s">
        <v>1417</v>
      </c>
      <c r="G370" s="25">
        <v>44261</v>
      </c>
      <c r="H370">
        <v>13</v>
      </c>
      <c r="I370">
        <v>65</v>
      </c>
      <c r="J370" t="s">
        <v>1418</v>
      </c>
      <c r="K370" t="s">
        <v>876</v>
      </c>
      <c r="L370" t="s">
        <v>231</v>
      </c>
      <c r="M370" t="s">
        <v>888</v>
      </c>
      <c r="N370" t="s">
        <v>184</v>
      </c>
      <c r="O370" t="s">
        <v>978</v>
      </c>
      <c r="P370" t="s">
        <v>867</v>
      </c>
      <c r="Q370" t="s">
        <v>979</v>
      </c>
      <c r="R370" t="s">
        <v>980</v>
      </c>
      <c r="S370" t="s">
        <v>232</v>
      </c>
      <c r="T370" t="s">
        <v>505</v>
      </c>
      <c r="U370" t="s">
        <v>41</v>
      </c>
      <c r="V370" t="s">
        <v>234</v>
      </c>
      <c r="W370" t="s">
        <v>40</v>
      </c>
      <c r="X370" t="s">
        <v>21</v>
      </c>
      <c r="Y370" t="s">
        <v>266</v>
      </c>
      <c r="Z370">
        <v>3897</v>
      </c>
      <c r="AA370">
        <v>3897</v>
      </c>
      <c r="AB370" t="s">
        <v>237</v>
      </c>
      <c r="AC370">
        <v>4.3</v>
      </c>
      <c r="AD370">
        <v>16757.099999999999</v>
      </c>
      <c r="AE370">
        <v>3507.3</v>
      </c>
      <c r="AF370" t="s">
        <v>870</v>
      </c>
      <c r="AG370">
        <v>13249.8</v>
      </c>
      <c r="AH370">
        <v>0.79</v>
      </c>
    </row>
    <row r="371" spans="1:34" x14ac:dyDescent="0.25">
      <c r="A371" t="s">
        <v>593</v>
      </c>
      <c r="B371">
        <v>370</v>
      </c>
      <c r="C371" t="s">
        <v>487</v>
      </c>
      <c r="D371" t="s">
        <v>261</v>
      </c>
      <c r="E371" t="s">
        <v>322</v>
      </c>
      <c r="F371" t="s">
        <v>1417</v>
      </c>
      <c r="G371" s="25">
        <v>44261</v>
      </c>
      <c r="H371">
        <v>13</v>
      </c>
      <c r="I371">
        <v>65</v>
      </c>
      <c r="J371" t="s">
        <v>1418</v>
      </c>
      <c r="K371" t="s">
        <v>921</v>
      </c>
      <c r="L371" t="s">
        <v>231</v>
      </c>
      <c r="M371" t="s">
        <v>888</v>
      </c>
      <c r="N371" t="s">
        <v>184</v>
      </c>
      <c r="O371" t="s">
        <v>978</v>
      </c>
      <c r="P371" t="s">
        <v>867</v>
      </c>
      <c r="Q371" t="s">
        <v>979</v>
      </c>
      <c r="R371" t="s">
        <v>980</v>
      </c>
      <c r="S371" t="s">
        <v>232</v>
      </c>
      <c r="T371" t="s">
        <v>509</v>
      </c>
      <c r="U371" t="s">
        <v>45</v>
      </c>
      <c r="V371" t="s">
        <v>234</v>
      </c>
      <c r="W371" t="s">
        <v>44</v>
      </c>
      <c r="X371" t="s">
        <v>21</v>
      </c>
      <c r="Y371" t="s">
        <v>304</v>
      </c>
      <c r="Z371">
        <v>3440</v>
      </c>
      <c r="AA371">
        <v>3440</v>
      </c>
      <c r="AB371" t="s">
        <v>237</v>
      </c>
      <c r="AC371">
        <v>4.66</v>
      </c>
      <c r="AD371">
        <v>16030.4</v>
      </c>
      <c r="AE371">
        <v>4231.2</v>
      </c>
      <c r="AF371" t="s">
        <v>870</v>
      </c>
      <c r="AG371">
        <v>11799.2</v>
      </c>
      <c r="AH371">
        <v>0.74</v>
      </c>
    </row>
    <row r="372" spans="1:34" x14ac:dyDescent="0.25">
      <c r="A372" t="s">
        <v>701</v>
      </c>
      <c r="B372">
        <v>371</v>
      </c>
      <c r="C372" t="s">
        <v>487</v>
      </c>
      <c r="D372" t="s">
        <v>261</v>
      </c>
      <c r="E372" t="s">
        <v>322</v>
      </c>
      <c r="F372" t="s">
        <v>1417</v>
      </c>
      <c r="G372" s="25">
        <v>44261</v>
      </c>
      <c r="H372">
        <v>13</v>
      </c>
      <c r="I372">
        <v>65</v>
      </c>
      <c r="J372" t="s">
        <v>1422</v>
      </c>
      <c r="K372" t="s">
        <v>510</v>
      </c>
      <c r="L372" t="s">
        <v>231</v>
      </c>
      <c r="M372" t="s">
        <v>865</v>
      </c>
      <c r="N372" t="s">
        <v>186</v>
      </c>
      <c r="O372" t="s">
        <v>1012</v>
      </c>
      <c r="P372" t="s">
        <v>867</v>
      </c>
      <c r="Q372" t="s">
        <v>1325</v>
      </c>
      <c r="R372" t="s">
        <v>1423</v>
      </c>
      <c r="S372" t="s">
        <v>537</v>
      </c>
      <c r="T372" t="s">
        <v>505</v>
      </c>
      <c r="U372" t="s">
        <v>41</v>
      </c>
      <c r="V372" t="s">
        <v>234</v>
      </c>
      <c r="W372" t="s">
        <v>40</v>
      </c>
      <c r="X372" t="s">
        <v>21</v>
      </c>
      <c r="Y372" t="s">
        <v>266</v>
      </c>
      <c r="Z372">
        <v>3388</v>
      </c>
      <c r="AA372">
        <v>3388</v>
      </c>
      <c r="AB372" t="s">
        <v>237</v>
      </c>
      <c r="AC372">
        <v>4.7300000000000004</v>
      </c>
      <c r="AD372">
        <v>16025.24</v>
      </c>
      <c r="AE372">
        <v>3049.2</v>
      </c>
      <c r="AF372" t="s">
        <v>870</v>
      </c>
      <c r="AG372">
        <v>12976.04</v>
      </c>
      <c r="AH372">
        <v>0.81</v>
      </c>
    </row>
    <row r="373" spans="1:34" x14ac:dyDescent="0.25">
      <c r="A373" t="s">
        <v>710</v>
      </c>
      <c r="B373">
        <v>372</v>
      </c>
      <c r="C373" t="s">
        <v>487</v>
      </c>
      <c r="D373" t="s">
        <v>261</v>
      </c>
      <c r="E373" t="s">
        <v>322</v>
      </c>
      <c r="F373" t="s">
        <v>1417</v>
      </c>
      <c r="G373" s="25">
        <v>44261</v>
      </c>
      <c r="H373">
        <v>13</v>
      </c>
      <c r="I373">
        <v>65</v>
      </c>
      <c r="J373" t="s">
        <v>1419</v>
      </c>
      <c r="K373" t="s">
        <v>510</v>
      </c>
      <c r="L373" t="s">
        <v>231</v>
      </c>
      <c r="M373" t="s">
        <v>883</v>
      </c>
      <c r="N373" t="s">
        <v>185</v>
      </c>
      <c r="O373" t="s">
        <v>884</v>
      </c>
      <c r="P373" t="s">
        <v>867</v>
      </c>
      <c r="Q373" t="s">
        <v>1420</v>
      </c>
      <c r="R373" t="s">
        <v>1421</v>
      </c>
      <c r="S373" t="s">
        <v>537</v>
      </c>
      <c r="T373" t="s">
        <v>505</v>
      </c>
      <c r="U373" t="s">
        <v>41</v>
      </c>
      <c r="V373" t="s">
        <v>234</v>
      </c>
      <c r="W373" t="s">
        <v>40</v>
      </c>
      <c r="X373" t="s">
        <v>21</v>
      </c>
      <c r="Y373" t="s">
        <v>266</v>
      </c>
      <c r="Z373">
        <v>2767</v>
      </c>
      <c r="AA373">
        <v>2767</v>
      </c>
      <c r="AB373" t="s">
        <v>237</v>
      </c>
      <c r="AC373">
        <v>4.7300000000000004</v>
      </c>
      <c r="AD373">
        <v>13087.91</v>
      </c>
      <c r="AE373">
        <v>2490.3000000000002</v>
      </c>
      <c r="AF373" t="s">
        <v>870</v>
      </c>
      <c r="AG373">
        <v>10597.61</v>
      </c>
      <c r="AH373">
        <v>0.81</v>
      </c>
    </row>
    <row r="374" spans="1:34" x14ac:dyDescent="0.25">
      <c r="A374" t="s">
        <v>854</v>
      </c>
      <c r="B374">
        <v>373</v>
      </c>
      <c r="C374" t="s">
        <v>487</v>
      </c>
      <c r="D374" t="s">
        <v>261</v>
      </c>
      <c r="E374" t="s">
        <v>322</v>
      </c>
      <c r="F374" t="s">
        <v>1417</v>
      </c>
      <c r="G374" s="25">
        <v>44261</v>
      </c>
      <c r="H374">
        <v>13</v>
      </c>
      <c r="I374">
        <v>65</v>
      </c>
      <c r="J374" t="s">
        <v>1424</v>
      </c>
      <c r="K374" t="s">
        <v>510</v>
      </c>
      <c r="L374" t="s">
        <v>231</v>
      </c>
      <c r="M374" t="s">
        <v>865</v>
      </c>
      <c r="N374" t="s">
        <v>186</v>
      </c>
      <c r="O374" t="s">
        <v>1012</v>
      </c>
      <c r="P374" t="s">
        <v>867</v>
      </c>
      <c r="Q374" t="s">
        <v>1031</v>
      </c>
      <c r="R374" t="s">
        <v>1032</v>
      </c>
      <c r="S374" t="s">
        <v>537</v>
      </c>
      <c r="T374" t="s">
        <v>509</v>
      </c>
      <c r="U374" t="s">
        <v>45</v>
      </c>
      <c r="V374" t="s">
        <v>234</v>
      </c>
      <c r="W374" t="s">
        <v>44</v>
      </c>
      <c r="X374" t="s">
        <v>21</v>
      </c>
      <c r="Y374" t="s">
        <v>304</v>
      </c>
      <c r="Z374">
        <v>3022</v>
      </c>
      <c r="AA374">
        <v>3022</v>
      </c>
      <c r="AB374" t="s">
        <v>237</v>
      </c>
      <c r="AC374">
        <v>5.13</v>
      </c>
      <c r="AD374">
        <v>15502.86</v>
      </c>
      <c r="AE374">
        <v>3717.06</v>
      </c>
      <c r="AF374" t="s">
        <v>870</v>
      </c>
      <c r="AG374">
        <v>11785.8</v>
      </c>
      <c r="AH374">
        <v>0.76</v>
      </c>
    </row>
    <row r="375" spans="1:34" x14ac:dyDescent="0.25">
      <c r="A375" t="s">
        <v>656</v>
      </c>
      <c r="B375">
        <v>374</v>
      </c>
      <c r="C375" t="s">
        <v>487</v>
      </c>
      <c r="D375" t="s">
        <v>261</v>
      </c>
      <c r="E375" t="s">
        <v>247</v>
      </c>
      <c r="F375" t="s">
        <v>1425</v>
      </c>
      <c r="G375" s="25">
        <v>44262</v>
      </c>
      <c r="H375">
        <v>14</v>
      </c>
      <c r="I375">
        <v>66</v>
      </c>
      <c r="J375" t="s">
        <v>1426</v>
      </c>
      <c r="K375" t="s">
        <v>921</v>
      </c>
      <c r="L375" t="s">
        <v>231</v>
      </c>
      <c r="M375" t="s">
        <v>872</v>
      </c>
      <c r="N375" t="s">
        <v>184</v>
      </c>
      <c r="O375" t="s">
        <v>948</v>
      </c>
      <c r="P375" t="s">
        <v>867</v>
      </c>
      <c r="Q375" t="s">
        <v>949</v>
      </c>
      <c r="R375" t="s">
        <v>950</v>
      </c>
      <c r="S375" t="s">
        <v>232</v>
      </c>
      <c r="T375" t="s">
        <v>505</v>
      </c>
      <c r="U375" t="s">
        <v>41</v>
      </c>
      <c r="V375" t="s">
        <v>234</v>
      </c>
      <c r="W375" t="s">
        <v>40</v>
      </c>
      <c r="X375" t="s">
        <v>21</v>
      </c>
      <c r="Y375" t="s">
        <v>266</v>
      </c>
      <c r="Z375">
        <v>2973</v>
      </c>
      <c r="AA375">
        <v>2973</v>
      </c>
      <c r="AB375" t="s">
        <v>237</v>
      </c>
      <c r="AC375">
        <v>4.3</v>
      </c>
      <c r="AD375">
        <v>12783.9</v>
      </c>
      <c r="AE375">
        <v>2675.7</v>
      </c>
      <c r="AF375" t="s">
        <v>870</v>
      </c>
      <c r="AG375">
        <v>10108.200000000001</v>
      </c>
      <c r="AH375">
        <v>0.79</v>
      </c>
    </row>
    <row r="376" spans="1:34" x14ac:dyDescent="0.25">
      <c r="A376" t="s">
        <v>741</v>
      </c>
      <c r="B376">
        <v>375</v>
      </c>
      <c r="C376" t="s">
        <v>487</v>
      </c>
      <c r="D376" t="s">
        <v>261</v>
      </c>
      <c r="E376" t="s">
        <v>247</v>
      </c>
      <c r="F376" t="s">
        <v>1425</v>
      </c>
      <c r="G376" s="25">
        <v>44262</v>
      </c>
      <c r="H376">
        <v>14</v>
      </c>
      <c r="I376">
        <v>66</v>
      </c>
      <c r="J376" t="s">
        <v>1426</v>
      </c>
      <c r="K376" t="s">
        <v>510</v>
      </c>
      <c r="L376" t="s">
        <v>231</v>
      </c>
      <c r="M376" t="s">
        <v>872</v>
      </c>
      <c r="N376" t="s">
        <v>184</v>
      </c>
      <c r="O376" t="s">
        <v>948</v>
      </c>
      <c r="P376" t="s">
        <v>867</v>
      </c>
      <c r="Q376" t="s">
        <v>949</v>
      </c>
      <c r="R376" t="s">
        <v>950</v>
      </c>
      <c r="S376" t="s">
        <v>232</v>
      </c>
      <c r="T376" t="s">
        <v>504</v>
      </c>
      <c r="U376" t="s">
        <v>43</v>
      </c>
      <c r="V376" t="s">
        <v>234</v>
      </c>
      <c r="W376" t="s">
        <v>42</v>
      </c>
      <c r="X376" t="s">
        <v>21</v>
      </c>
      <c r="Y376" t="s">
        <v>236</v>
      </c>
      <c r="Z376">
        <v>2716</v>
      </c>
      <c r="AA376">
        <v>2716</v>
      </c>
      <c r="AB376" t="s">
        <v>237</v>
      </c>
      <c r="AC376">
        <v>4.66</v>
      </c>
      <c r="AD376">
        <v>12656.56</v>
      </c>
      <c r="AE376">
        <v>3340.68</v>
      </c>
      <c r="AF376" t="s">
        <v>870</v>
      </c>
      <c r="AG376">
        <v>9315.8799999999992</v>
      </c>
      <c r="AH376">
        <v>0.74</v>
      </c>
    </row>
    <row r="377" spans="1:34" x14ac:dyDescent="0.25">
      <c r="A377" t="s">
        <v>837</v>
      </c>
      <c r="B377">
        <v>376</v>
      </c>
      <c r="C377" t="s">
        <v>487</v>
      </c>
      <c r="D377" t="s">
        <v>261</v>
      </c>
      <c r="E377" t="s">
        <v>247</v>
      </c>
      <c r="F377" t="s">
        <v>1425</v>
      </c>
      <c r="G377" s="25">
        <v>44262</v>
      </c>
      <c r="H377">
        <v>14</v>
      </c>
      <c r="I377">
        <v>66</v>
      </c>
      <c r="J377" t="s">
        <v>1426</v>
      </c>
      <c r="K377" t="s">
        <v>876</v>
      </c>
      <c r="L377" t="s">
        <v>231</v>
      </c>
      <c r="M377" t="s">
        <v>872</v>
      </c>
      <c r="N377" t="s">
        <v>184</v>
      </c>
      <c r="O377" t="s">
        <v>948</v>
      </c>
      <c r="P377" t="s">
        <v>867</v>
      </c>
      <c r="Q377" t="s">
        <v>949</v>
      </c>
      <c r="R377" t="s">
        <v>950</v>
      </c>
      <c r="S377" t="s">
        <v>232</v>
      </c>
      <c r="T377" t="s">
        <v>509</v>
      </c>
      <c r="U377" t="s">
        <v>45</v>
      </c>
      <c r="V377" t="s">
        <v>234</v>
      </c>
      <c r="W377" t="s">
        <v>44</v>
      </c>
      <c r="X377" t="s">
        <v>21</v>
      </c>
      <c r="Y377" t="s">
        <v>304</v>
      </c>
      <c r="Z377">
        <v>3564</v>
      </c>
      <c r="AA377">
        <v>3564</v>
      </c>
      <c r="AB377" t="s">
        <v>237</v>
      </c>
      <c r="AC377">
        <v>4.66</v>
      </c>
      <c r="AD377">
        <v>16608.240000000002</v>
      </c>
      <c r="AE377">
        <v>4383.72</v>
      </c>
      <c r="AF377" t="s">
        <v>870</v>
      </c>
      <c r="AG377">
        <v>12224.52</v>
      </c>
      <c r="AH377">
        <v>0.74</v>
      </c>
    </row>
    <row r="378" spans="1:34" x14ac:dyDescent="0.25">
      <c r="A378" t="s">
        <v>551</v>
      </c>
      <c r="B378">
        <v>377</v>
      </c>
      <c r="C378" t="s">
        <v>487</v>
      </c>
      <c r="D378" t="s">
        <v>261</v>
      </c>
      <c r="E378" t="s">
        <v>247</v>
      </c>
      <c r="F378" t="s">
        <v>1425</v>
      </c>
      <c r="G378" s="25">
        <v>44262</v>
      </c>
      <c r="H378">
        <v>14</v>
      </c>
      <c r="I378">
        <v>66</v>
      </c>
      <c r="J378" t="s">
        <v>1428</v>
      </c>
      <c r="K378" t="s">
        <v>510</v>
      </c>
      <c r="L378" t="s">
        <v>231</v>
      </c>
      <c r="M378" t="s">
        <v>997</v>
      </c>
      <c r="N378" t="s">
        <v>185</v>
      </c>
      <c r="O378" t="s">
        <v>1004</v>
      </c>
      <c r="P378" t="s">
        <v>867</v>
      </c>
      <c r="Q378" t="s">
        <v>1429</v>
      </c>
      <c r="R378" t="s">
        <v>1430</v>
      </c>
      <c r="S378" t="s">
        <v>537</v>
      </c>
      <c r="T378" t="s">
        <v>504</v>
      </c>
      <c r="U378" t="s">
        <v>43</v>
      </c>
      <c r="V378" t="s">
        <v>234</v>
      </c>
      <c r="W378" t="s">
        <v>42</v>
      </c>
      <c r="X378" t="s">
        <v>21</v>
      </c>
      <c r="Y378" t="s">
        <v>236</v>
      </c>
      <c r="Z378">
        <v>3174</v>
      </c>
      <c r="AA378">
        <v>3174</v>
      </c>
      <c r="AB378" t="s">
        <v>237</v>
      </c>
      <c r="AC378">
        <v>5.13</v>
      </c>
      <c r="AD378">
        <v>16282.62</v>
      </c>
      <c r="AE378">
        <v>3904.02</v>
      </c>
      <c r="AF378" t="s">
        <v>870</v>
      </c>
      <c r="AG378">
        <v>12378.6</v>
      </c>
      <c r="AH378">
        <v>0.76</v>
      </c>
    </row>
    <row r="379" spans="1:34" x14ac:dyDescent="0.25">
      <c r="A379" t="s">
        <v>833</v>
      </c>
      <c r="B379">
        <v>378</v>
      </c>
      <c r="C379" t="s">
        <v>487</v>
      </c>
      <c r="D379" t="s">
        <v>261</v>
      </c>
      <c r="E379" t="s">
        <v>247</v>
      </c>
      <c r="F379" t="s">
        <v>1425</v>
      </c>
      <c r="G379" s="25">
        <v>44262</v>
      </c>
      <c r="H379">
        <v>14</v>
      </c>
      <c r="I379">
        <v>66</v>
      </c>
      <c r="J379" t="s">
        <v>1427</v>
      </c>
      <c r="K379" t="s">
        <v>510</v>
      </c>
      <c r="L379" t="s">
        <v>231</v>
      </c>
      <c r="M379" t="s">
        <v>865</v>
      </c>
      <c r="N379" t="s">
        <v>186</v>
      </c>
      <c r="O379" t="s">
        <v>1012</v>
      </c>
      <c r="P379" t="s">
        <v>867</v>
      </c>
      <c r="Q379" t="s">
        <v>1013</v>
      </c>
      <c r="R379" t="s">
        <v>1229</v>
      </c>
      <c r="S379" t="s">
        <v>537</v>
      </c>
      <c r="T379" t="s">
        <v>504</v>
      </c>
      <c r="U379" t="s">
        <v>43</v>
      </c>
      <c r="V379" t="s">
        <v>234</v>
      </c>
      <c r="W379" t="s">
        <v>42</v>
      </c>
      <c r="X379" t="s">
        <v>21</v>
      </c>
      <c r="Y379" t="s">
        <v>236</v>
      </c>
      <c r="Z379">
        <v>2489</v>
      </c>
      <c r="AA379">
        <v>2489</v>
      </c>
      <c r="AB379" t="s">
        <v>237</v>
      </c>
      <c r="AC379">
        <v>5.13</v>
      </c>
      <c r="AD379">
        <v>12768.57</v>
      </c>
      <c r="AE379">
        <v>3061.47</v>
      </c>
      <c r="AF379" t="s">
        <v>870</v>
      </c>
      <c r="AG379">
        <v>9707.1</v>
      </c>
      <c r="AH379">
        <v>0.76</v>
      </c>
    </row>
    <row r="380" spans="1:34" x14ac:dyDescent="0.25">
      <c r="A380" t="s">
        <v>784</v>
      </c>
      <c r="B380">
        <v>379</v>
      </c>
      <c r="C380" t="s">
        <v>487</v>
      </c>
      <c r="D380" t="s">
        <v>261</v>
      </c>
      <c r="E380" t="s">
        <v>247</v>
      </c>
      <c r="F380" t="s">
        <v>1425</v>
      </c>
      <c r="G380" s="25">
        <v>44262</v>
      </c>
      <c r="H380">
        <v>14</v>
      </c>
      <c r="I380">
        <v>66</v>
      </c>
      <c r="J380" t="s">
        <v>1436</v>
      </c>
      <c r="K380" t="s">
        <v>510</v>
      </c>
      <c r="L380" t="s">
        <v>231</v>
      </c>
      <c r="M380" t="s">
        <v>911</v>
      </c>
      <c r="N380" t="s">
        <v>186</v>
      </c>
      <c r="O380" t="s">
        <v>1121</v>
      </c>
      <c r="P380" t="s">
        <v>867</v>
      </c>
      <c r="Q380" t="s">
        <v>1122</v>
      </c>
      <c r="R380" t="s">
        <v>1123</v>
      </c>
      <c r="S380" t="s">
        <v>537</v>
      </c>
      <c r="T380" t="s">
        <v>509</v>
      </c>
      <c r="U380" t="s">
        <v>45</v>
      </c>
      <c r="V380" t="s">
        <v>234</v>
      </c>
      <c r="W380" t="s">
        <v>44</v>
      </c>
      <c r="X380" t="s">
        <v>21</v>
      </c>
      <c r="Y380" t="s">
        <v>304</v>
      </c>
      <c r="Z380">
        <v>2972</v>
      </c>
      <c r="AA380">
        <v>2972</v>
      </c>
      <c r="AB380" t="s">
        <v>237</v>
      </c>
      <c r="AC380">
        <v>5.13</v>
      </c>
      <c r="AD380">
        <v>15246.36</v>
      </c>
      <c r="AE380">
        <v>3655.56</v>
      </c>
      <c r="AF380" t="s">
        <v>870</v>
      </c>
      <c r="AG380">
        <v>11590.8</v>
      </c>
      <c r="AH380">
        <v>0.76</v>
      </c>
    </row>
    <row r="381" spans="1:34" x14ac:dyDescent="0.25">
      <c r="A381" t="s">
        <v>727</v>
      </c>
      <c r="B381">
        <v>380</v>
      </c>
      <c r="C381" t="s">
        <v>487</v>
      </c>
      <c r="D381" t="s">
        <v>261</v>
      </c>
      <c r="E381" t="s">
        <v>247</v>
      </c>
      <c r="F381" t="s">
        <v>1425</v>
      </c>
      <c r="G381" s="25">
        <v>44262</v>
      </c>
      <c r="H381">
        <v>14</v>
      </c>
      <c r="I381">
        <v>66</v>
      </c>
      <c r="J381" t="s">
        <v>1432</v>
      </c>
      <c r="K381" t="s">
        <v>510</v>
      </c>
      <c r="L381" t="s">
        <v>231</v>
      </c>
      <c r="M381" t="s">
        <v>872</v>
      </c>
      <c r="N381" t="s">
        <v>184</v>
      </c>
      <c r="O381" t="s">
        <v>1433</v>
      </c>
      <c r="P381" t="s">
        <v>867</v>
      </c>
      <c r="Q381" t="s">
        <v>1434</v>
      </c>
      <c r="R381" t="s">
        <v>1435</v>
      </c>
      <c r="S381" t="s">
        <v>537</v>
      </c>
      <c r="T381" t="s">
        <v>509</v>
      </c>
      <c r="U381" t="s">
        <v>45</v>
      </c>
      <c r="V381" t="s">
        <v>234</v>
      </c>
      <c r="W381" t="s">
        <v>44</v>
      </c>
      <c r="X381" t="s">
        <v>21</v>
      </c>
      <c r="Y381" t="s">
        <v>304</v>
      </c>
      <c r="Z381">
        <v>3170</v>
      </c>
      <c r="AA381">
        <v>3170</v>
      </c>
      <c r="AB381" t="s">
        <v>237</v>
      </c>
      <c r="AC381">
        <v>5.13</v>
      </c>
      <c r="AD381">
        <v>16262.1</v>
      </c>
      <c r="AE381">
        <v>3899.1</v>
      </c>
      <c r="AF381" t="s">
        <v>870</v>
      </c>
      <c r="AG381">
        <v>12363</v>
      </c>
      <c r="AH381">
        <v>0.76</v>
      </c>
    </row>
    <row r="382" spans="1:34" x14ac:dyDescent="0.25">
      <c r="A382" t="s">
        <v>747</v>
      </c>
      <c r="B382">
        <v>381</v>
      </c>
      <c r="C382" t="s">
        <v>487</v>
      </c>
      <c r="D382" t="s">
        <v>261</v>
      </c>
      <c r="E382" t="s">
        <v>247</v>
      </c>
      <c r="F382" t="s">
        <v>1425</v>
      </c>
      <c r="G382" s="25">
        <v>44262</v>
      </c>
      <c r="H382">
        <v>14</v>
      </c>
      <c r="I382">
        <v>66</v>
      </c>
      <c r="J382" t="s">
        <v>1431</v>
      </c>
      <c r="K382" t="s">
        <v>510</v>
      </c>
      <c r="L382" t="s">
        <v>231</v>
      </c>
      <c r="M382" t="s">
        <v>173</v>
      </c>
      <c r="N382" t="s">
        <v>185</v>
      </c>
      <c r="O382" t="s">
        <v>966</v>
      </c>
      <c r="P382" t="s">
        <v>867</v>
      </c>
      <c r="Q382" t="s">
        <v>1270</v>
      </c>
      <c r="R382" t="s">
        <v>1271</v>
      </c>
      <c r="S382" t="s">
        <v>537</v>
      </c>
      <c r="T382" t="s">
        <v>509</v>
      </c>
      <c r="U382" t="s">
        <v>45</v>
      </c>
      <c r="V382" t="s">
        <v>234</v>
      </c>
      <c r="W382" t="s">
        <v>44</v>
      </c>
      <c r="X382" t="s">
        <v>21</v>
      </c>
      <c r="Y382" t="s">
        <v>304</v>
      </c>
      <c r="Z382">
        <v>2792</v>
      </c>
      <c r="AA382">
        <v>2792</v>
      </c>
      <c r="AB382" t="s">
        <v>237</v>
      </c>
      <c r="AC382">
        <v>5.13</v>
      </c>
      <c r="AD382">
        <v>14322.96</v>
      </c>
      <c r="AE382">
        <v>3434.16</v>
      </c>
      <c r="AF382" t="s">
        <v>870</v>
      </c>
      <c r="AG382">
        <v>10888.8</v>
      </c>
      <c r="AH382">
        <v>0.76</v>
      </c>
    </row>
    <row r="383" spans="1:34" x14ac:dyDescent="0.25">
      <c r="A383" t="s">
        <v>776</v>
      </c>
      <c r="B383">
        <v>382</v>
      </c>
      <c r="C383" t="s">
        <v>487</v>
      </c>
      <c r="D383" t="s">
        <v>261</v>
      </c>
      <c r="E383" t="s">
        <v>247</v>
      </c>
      <c r="F383" t="s">
        <v>1425</v>
      </c>
      <c r="G383" s="25">
        <v>44262</v>
      </c>
      <c r="H383">
        <v>14</v>
      </c>
      <c r="I383">
        <v>66</v>
      </c>
      <c r="J383" t="s">
        <v>1437</v>
      </c>
      <c r="K383" t="s">
        <v>510</v>
      </c>
      <c r="L383" t="s">
        <v>231</v>
      </c>
      <c r="M383" t="s">
        <v>911</v>
      </c>
      <c r="N383" t="s">
        <v>186</v>
      </c>
      <c r="O383" t="s">
        <v>1008</v>
      </c>
      <c r="P383" t="s">
        <v>867</v>
      </c>
      <c r="Q383" t="s">
        <v>1438</v>
      </c>
      <c r="R383" t="s">
        <v>1439</v>
      </c>
      <c r="S383" t="s">
        <v>537</v>
      </c>
      <c r="T383" t="s">
        <v>509</v>
      </c>
      <c r="U383" t="s">
        <v>45</v>
      </c>
      <c r="V383" t="s">
        <v>234</v>
      </c>
      <c r="W383" t="s">
        <v>44</v>
      </c>
      <c r="X383" t="s">
        <v>21</v>
      </c>
      <c r="Y383" t="s">
        <v>304</v>
      </c>
      <c r="Z383">
        <v>2580</v>
      </c>
      <c r="AA383">
        <v>2580</v>
      </c>
      <c r="AB383" t="s">
        <v>237</v>
      </c>
      <c r="AC383">
        <v>5.13</v>
      </c>
      <c r="AD383">
        <v>13235.4</v>
      </c>
      <c r="AE383">
        <v>3173.4</v>
      </c>
      <c r="AF383" t="s">
        <v>870</v>
      </c>
      <c r="AG383">
        <v>10062</v>
      </c>
      <c r="AH383">
        <v>0.76</v>
      </c>
    </row>
    <row r="384" spans="1:34" x14ac:dyDescent="0.25">
      <c r="A384" t="s">
        <v>739</v>
      </c>
      <c r="B384">
        <v>383</v>
      </c>
      <c r="C384" t="s">
        <v>487</v>
      </c>
      <c r="D384" t="s">
        <v>261</v>
      </c>
      <c r="E384" t="s">
        <v>326</v>
      </c>
      <c r="F384" t="s">
        <v>1440</v>
      </c>
      <c r="G384" s="25">
        <v>44263</v>
      </c>
      <c r="H384">
        <v>14</v>
      </c>
      <c r="I384">
        <v>67</v>
      </c>
      <c r="J384" t="s">
        <v>1441</v>
      </c>
      <c r="K384" t="s">
        <v>876</v>
      </c>
      <c r="L384" t="s">
        <v>231</v>
      </c>
      <c r="M384" t="s">
        <v>872</v>
      </c>
      <c r="N384" t="s">
        <v>184</v>
      </c>
      <c r="O384" t="s">
        <v>1176</v>
      </c>
      <c r="P384" t="s">
        <v>867</v>
      </c>
      <c r="Q384" t="s">
        <v>1177</v>
      </c>
      <c r="R384" t="s">
        <v>1178</v>
      </c>
      <c r="S384" t="s">
        <v>232</v>
      </c>
      <c r="T384" t="s">
        <v>504</v>
      </c>
      <c r="U384" t="s">
        <v>43</v>
      </c>
      <c r="V384" t="s">
        <v>234</v>
      </c>
      <c r="W384" t="s">
        <v>42</v>
      </c>
      <c r="X384" t="s">
        <v>21</v>
      </c>
      <c r="Y384" t="s">
        <v>236</v>
      </c>
      <c r="Z384">
        <v>3448</v>
      </c>
      <c r="AA384">
        <v>3448</v>
      </c>
      <c r="AB384" t="s">
        <v>237</v>
      </c>
      <c r="AC384">
        <v>4.66</v>
      </c>
      <c r="AD384">
        <v>16067.68</v>
      </c>
      <c r="AE384">
        <v>4241.04</v>
      </c>
      <c r="AF384" t="s">
        <v>870</v>
      </c>
      <c r="AG384">
        <v>11826.64</v>
      </c>
      <c r="AH384">
        <v>0.74</v>
      </c>
    </row>
    <row r="385" spans="1:34" x14ac:dyDescent="0.25">
      <c r="A385" t="s">
        <v>753</v>
      </c>
      <c r="B385">
        <v>384</v>
      </c>
      <c r="C385" t="s">
        <v>487</v>
      </c>
      <c r="D385" t="s">
        <v>261</v>
      </c>
      <c r="E385" t="s">
        <v>326</v>
      </c>
      <c r="F385" t="s">
        <v>1440</v>
      </c>
      <c r="G385" s="25">
        <v>44263</v>
      </c>
      <c r="H385">
        <v>14</v>
      </c>
      <c r="I385">
        <v>67</v>
      </c>
      <c r="J385" t="s">
        <v>1441</v>
      </c>
      <c r="K385" t="s">
        <v>510</v>
      </c>
      <c r="L385" t="s">
        <v>231</v>
      </c>
      <c r="M385" t="s">
        <v>872</v>
      </c>
      <c r="N385" t="s">
        <v>184</v>
      </c>
      <c r="O385" t="s">
        <v>1176</v>
      </c>
      <c r="P385" t="s">
        <v>867</v>
      </c>
      <c r="Q385" t="s">
        <v>1177</v>
      </c>
      <c r="R385" t="s">
        <v>1178</v>
      </c>
      <c r="S385" t="s">
        <v>232</v>
      </c>
      <c r="T385" t="s">
        <v>509</v>
      </c>
      <c r="U385" t="s">
        <v>45</v>
      </c>
      <c r="V385" t="s">
        <v>234</v>
      </c>
      <c r="W385" t="s">
        <v>44</v>
      </c>
      <c r="X385" t="s">
        <v>21</v>
      </c>
      <c r="Y385" t="s">
        <v>304</v>
      </c>
      <c r="Z385">
        <v>2802</v>
      </c>
      <c r="AA385">
        <v>2802</v>
      </c>
      <c r="AB385" t="s">
        <v>237</v>
      </c>
      <c r="AC385">
        <v>4.66</v>
      </c>
      <c r="AD385">
        <v>13057.32</v>
      </c>
      <c r="AE385">
        <v>3446.46</v>
      </c>
      <c r="AF385" t="s">
        <v>870</v>
      </c>
      <c r="AG385">
        <v>9610.86</v>
      </c>
      <c r="AH385">
        <v>0.74</v>
      </c>
    </row>
    <row r="386" spans="1:34" x14ac:dyDescent="0.25">
      <c r="A386" t="s">
        <v>635</v>
      </c>
      <c r="B386">
        <v>385</v>
      </c>
      <c r="C386" t="s">
        <v>487</v>
      </c>
      <c r="D386" t="s">
        <v>261</v>
      </c>
      <c r="E386" t="s">
        <v>326</v>
      </c>
      <c r="F386" t="s">
        <v>1440</v>
      </c>
      <c r="G386" s="25">
        <v>44263</v>
      </c>
      <c r="H386">
        <v>14</v>
      </c>
      <c r="I386">
        <v>67</v>
      </c>
      <c r="J386" t="s">
        <v>1444</v>
      </c>
      <c r="K386" t="s">
        <v>510</v>
      </c>
      <c r="L386" t="s">
        <v>231</v>
      </c>
      <c r="M386" t="s">
        <v>872</v>
      </c>
      <c r="N386" t="s">
        <v>184</v>
      </c>
      <c r="O386" t="s">
        <v>1024</v>
      </c>
      <c r="P386" t="s">
        <v>867</v>
      </c>
      <c r="Q386" t="s">
        <v>1025</v>
      </c>
      <c r="R386" t="s">
        <v>1026</v>
      </c>
      <c r="S386" t="s">
        <v>537</v>
      </c>
      <c r="T386" t="s">
        <v>504</v>
      </c>
      <c r="U386" t="s">
        <v>43</v>
      </c>
      <c r="V386" t="s">
        <v>234</v>
      </c>
      <c r="W386" t="s">
        <v>42</v>
      </c>
      <c r="X386" t="s">
        <v>21</v>
      </c>
      <c r="Y386" t="s">
        <v>236</v>
      </c>
      <c r="Z386">
        <v>3156</v>
      </c>
      <c r="AA386">
        <v>3156</v>
      </c>
      <c r="AB386" t="s">
        <v>237</v>
      </c>
      <c r="AC386">
        <v>5.13</v>
      </c>
      <c r="AD386">
        <v>16190.28</v>
      </c>
      <c r="AE386">
        <v>3881.88</v>
      </c>
      <c r="AF386" t="s">
        <v>870</v>
      </c>
      <c r="AG386">
        <v>12308.4</v>
      </c>
      <c r="AH386">
        <v>0.76</v>
      </c>
    </row>
    <row r="387" spans="1:34" x14ac:dyDescent="0.25">
      <c r="A387" t="s">
        <v>745</v>
      </c>
      <c r="B387">
        <v>386</v>
      </c>
      <c r="C387" t="s">
        <v>487</v>
      </c>
      <c r="D387" t="s">
        <v>261</v>
      </c>
      <c r="E387" t="s">
        <v>326</v>
      </c>
      <c r="F387" t="s">
        <v>1440</v>
      </c>
      <c r="G387" s="25">
        <v>44263</v>
      </c>
      <c r="H387">
        <v>14</v>
      </c>
      <c r="I387">
        <v>67</v>
      </c>
      <c r="J387" t="s">
        <v>1443</v>
      </c>
      <c r="K387" t="s">
        <v>510</v>
      </c>
      <c r="L387" t="s">
        <v>231</v>
      </c>
      <c r="M387" t="s">
        <v>931</v>
      </c>
      <c r="N387" t="s">
        <v>186</v>
      </c>
      <c r="O387" t="s">
        <v>1130</v>
      </c>
      <c r="P387" t="s">
        <v>867</v>
      </c>
      <c r="Q387" t="s">
        <v>1131</v>
      </c>
      <c r="R387" t="s">
        <v>1132</v>
      </c>
      <c r="S387" t="s">
        <v>537</v>
      </c>
      <c r="T387" t="s">
        <v>504</v>
      </c>
      <c r="U387" t="s">
        <v>43</v>
      </c>
      <c r="V387" t="s">
        <v>234</v>
      </c>
      <c r="W387" t="s">
        <v>42</v>
      </c>
      <c r="X387" t="s">
        <v>21</v>
      </c>
      <c r="Y387" t="s">
        <v>236</v>
      </c>
      <c r="Z387">
        <v>2566</v>
      </c>
      <c r="AA387">
        <v>2566</v>
      </c>
      <c r="AB387" t="s">
        <v>237</v>
      </c>
      <c r="AC387">
        <v>5.13</v>
      </c>
      <c r="AD387">
        <v>13163.58</v>
      </c>
      <c r="AE387">
        <v>3156.18</v>
      </c>
      <c r="AF387" t="s">
        <v>870</v>
      </c>
      <c r="AG387">
        <v>10007.4</v>
      </c>
      <c r="AH387">
        <v>0.76</v>
      </c>
    </row>
    <row r="388" spans="1:34" x14ac:dyDescent="0.25">
      <c r="A388" t="s">
        <v>773</v>
      </c>
      <c r="B388">
        <v>387</v>
      </c>
      <c r="C388" t="s">
        <v>487</v>
      </c>
      <c r="D388" t="s">
        <v>261</v>
      </c>
      <c r="E388" t="s">
        <v>326</v>
      </c>
      <c r="F388" t="s">
        <v>1440</v>
      </c>
      <c r="G388" s="25">
        <v>44263</v>
      </c>
      <c r="H388">
        <v>14</v>
      </c>
      <c r="I388">
        <v>67</v>
      </c>
      <c r="J388" t="s">
        <v>1442</v>
      </c>
      <c r="K388" t="s">
        <v>510</v>
      </c>
      <c r="L388" t="s">
        <v>231</v>
      </c>
      <c r="M388" t="s">
        <v>931</v>
      </c>
      <c r="N388" t="s">
        <v>186</v>
      </c>
      <c r="O388" t="s">
        <v>1130</v>
      </c>
      <c r="P388" t="s">
        <v>867</v>
      </c>
      <c r="Q388" t="s">
        <v>1134</v>
      </c>
      <c r="R388" t="s">
        <v>1135</v>
      </c>
      <c r="S388" t="s">
        <v>537</v>
      </c>
      <c r="T388" t="s">
        <v>504</v>
      </c>
      <c r="U388" t="s">
        <v>43</v>
      </c>
      <c r="V388" t="s">
        <v>234</v>
      </c>
      <c r="W388" t="s">
        <v>42</v>
      </c>
      <c r="X388" t="s">
        <v>21</v>
      </c>
      <c r="Y388" t="s">
        <v>236</v>
      </c>
      <c r="Z388">
        <v>2712</v>
      </c>
      <c r="AA388">
        <v>2712</v>
      </c>
      <c r="AB388" t="s">
        <v>237</v>
      </c>
      <c r="AC388">
        <v>5.13</v>
      </c>
      <c r="AD388">
        <v>13912.56</v>
      </c>
      <c r="AE388">
        <v>3335.76</v>
      </c>
      <c r="AF388" t="s">
        <v>870</v>
      </c>
      <c r="AG388">
        <v>10576.8</v>
      </c>
      <c r="AH388">
        <v>0.76</v>
      </c>
    </row>
    <row r="389" spans="1:34" x14ac:dyDescent="0.25">
      <c r="A389" t="s">
        <v>714</v>
      </c>
      <c r="B389">
        <v>388</v>
      </c>
      <c r="C389" t="s">
        <v>487</v>
      </c>
      <c r="D389" t="s">
        <v>261</v>
      </c>
      <c r="E389" t="s">
        <v>326</v>
      </c>
      <c r="F389" t="s">
        <v>1440</v>
      </c>
      <c r="G389" s="25">
        <v>44263</v>
      </c>
      <c r="H389">
        <v>14</v>
      </c>
      <c r="I389">
        <v>67</v>
      </c>
      <c r="J389" t="s">
        <v>1448</v>
      </c>
      <c r="K389" t="s">
        <v>510</v>
      </c>
      <c r="L389" t="s">
        <v>231</v>
      </c>
      <c r="M389" t="s">
        <v>916</v>
      </c>
      <c r="N389" t="s">
        <v>185</v>
      </c>
      <c r="O389" t="s">
        <v>1449</v>
      </c>
      <c r="P389" t="s">
        <v>867</v>
      </c>
      <c r="Q389" t="s">
        <v>1450</v>
      </c>
      <c r="R389" t="s">
        <v>1451</v>
      </c>
      <c r="S389" t="s">
        <v>537</v>
      </c>
      <c r="T389" t="s">
        <v>509</v>
      </c>
      <c r="U389" t="s">
        <v>45</v>
      </c>
      <c r="V389" t="s">
        <v>234</v>
      </c>
      <c r="W389" t="s">
        <v>44</v>
      </c>
      <c r="X389" t="s">
        <v>21</v>
      </c>
      <c r="Y389" t="s">
        <v>304</v>
      </c>
      <c r="Z389">
        <v>2661</v>
      </c>
      <c r="AA389">
        <v>2661</v>
      </c>
      <c r="AB389" t="s">
        <v>237</v>
      </c>
      <c r="AC389">
        <v>5.13</v>
      </c>
      <c r="AD389">
        <v>13650.93</v>
      </c>
      <c r="AE389">
        <v>3273.03</v>
      </c>
      <c r="AF389" t="s">
        <v>870</v>
      </c>
      <c r="AG389">
        <v>10377.9</v>
      </c>
      <c r="AH389">
        <v>0.76</v>
      </c>
    </row>
    <row r="390" spans="1:34" x14ac:dyDescent="0.25">
      <c r="A390" t="s">
        <v>645</v>
      </c>
      <c r="B390">
        <v>389</v>
      </c>
      <c r="C390" t="s">
        <v>487</v>
      </c>
      <c r="D390" t="s">
        <v>261</v>
      </c>
      <c r="E390" t="s">
        <v>326</v>
      </c>
      <c r="F390" t="s">
        <v>1440</v>
      </c>
      <c r="G390" s="25">
        <v>44263</v>
      </c>
      <c r="H390">
        <v>14</v>
      </c>
      <c r="I390">
        <v>67</v>
      </c>
      <c r="J390" t="s">
        <v>1445</v>
      </c>
      <c r="K390" t="s">
        <v>510</v>
      </c>
      <c r="L390" t="s">
        <v>231</v>
      </c>
      <c r="M390" t="s">
        <v>878</v>
      </c>
      <c r="N390" t="s">
        <v>185</v>
      </c>
      <c r="O390" t="s">
        <v>989</v>
      </c>
      <c r="P390" t="s">
        <v>867</v>
      </c>
      <c r="Q390" t="s">
        <v>1446</v>
      </c>
      <c r="R390" t="s">
        <v>1447</v>
      </c>
      <c r="S390" t="s">
        <v>537</v>
      </c>
      <c r="T390" t="s">
        <v>509</v>
      </c>
      <c r="U390" t="s">
        <v>45</v>
      </c>
      <c r="V390" t="s">
        <v>234</v>
      </c>
      <c r="W390" t="s">
        <v>44</v>
      </c>
      <c r="X390" t="s">
        <v>21</v>
      </c>
      <c r="Y390" t="s">
        <v>304</v>
      </c>
      <c r="Z390">
        <v>2628</v>
      </c>
      <c r="AA390">
        <v>2628</v>
      </c>
      <c r="AB390" t="s">
        <v>237</v>
      </c>
      <c r="AC390">
        <v>5.13</v>
      </c>
      <c r="AD390">
        <v>13481.64</v>
      </c>
      <c r="AE390">
        <v>3232.44</v>
      </c>
      <c r="AF390" t="s">
        <v>870</v>
      </c>
      <c r="AG390">
        <v>10249.200000000001</v>
      </c>
      <c r="AH390">
        <v>0.76</v>
      </c>
    </row>
    <row r="391" spans="1:34" x14ac:dyDescent="0.25">
      <c r="A391" t="s">
        <v>807</v>
      </c>
      <c r="B391">
        <v>390</v>
      </c>
      <c r="C391" t="s">
        <v>487</v>
      </c>
      <c r="D391" t="s">
        <v>261</v>
      </c>
      <c r="E391" t="s">
        <v>326</v>
      </c>
      <c r="F391" t="s">
        <v>1440</v>
      </c>
      <c r="G391" s="25">
        <v>44263</v>
      </c>
      <c r="H391">
        <v>14</v>
      </c>
      <c r="I391">
        <v>67</v>
      </c>
      <c r="J391" t="s">
        <v>1453</v>
      </c>
      <c r="K391" t="s">
        <v>510</v>
      </c>
      <c r="L391" t="s">
        <v>231</v>
      </c>
      <c r="M391" t="s">
        <v>916</v>
      </c>
      <c r="N391" t="s">
        <v>185</v>
      </c>
      <c r="O391" t="s">
        <v>1296</v>
      </c>
      <c r="P391" t="s">
        <v>867</v>
      </c>
      <c r="Q391" t="s">
        <v>1297</v>
      </c>
      <c r="R391" t="s">
        <v>1298</v>
      </c>
      <c r="S391" t="s">
        <v>537</v>
      </c>
      <c r="T391" t="s">
        <v>509</v>
      </c>
      <c r="U391" t="s">
        <v>45</v>
      </c>
      <c r="V391" t="s">
        <v>234</v>
      </c>
      <c r="W391" t="s">
        <v>44</v>
      </c>
      <c r="X391" t="s">
        <v>21</v>
      </c>
      <c r="Y391" t="s">
        <v>304</v>
      </c>
      <c r="Z391">
        <v>2508</v>
      </c>
      <c r="AA391">
        <v>2508</v>
      </c>
      <c r="AB391" t="s">
        <v>237</v>
      </c>
      <c r="AC391">
        <v>5.13</v>
      </c>
      <c r="AD391">
        <v>12866.04</v>
      </c>
      <c r="AE391">
        <v>3084.84</v>
      </c>
      <c r="AF391" t="s">
        <v>870</v>
      </c>
      <c r="AG391">
        <v>9781.2000000000007</v>
      </c>
      <c r="AH391">
        <v>0.76</v>
      </c>
    </row>
    <row r="392" spans="1:34" x14ac:dyDescent="0.25">
      <c r="A392" t="s">
        <v>723</v>
      </c>
      <c r="B392">
        <v>391</v>
      </c>
      <c r="C392" t="s">
        <v>487</v>
      </c>
      <c r="D392" t="s">
        <v>261</v>
      </c>
      <c r="E392" t="s">
        <v>326</v>
      </c>
      <c r="F392" t="s">
        <v>1440</v>
      </c>
      <c r="G392" s="25">
        <v>44263</v>
      </c>
      <c r="H392">
        <v>14</v>
      </c>
      <c r="I392">
        <v>67</v>
      </c>
      <c r="J392" t="s">
        <v>1454</v>
      </c>
      <c r="K392" t="s">
        <v>510</v>
      </c>
      <c r="L392" t="s">
        <v>231</v>
      </c>
      <c r="M392" t="s">
        <v>931</v>
      </c>
      <c r="N392" t="s">
        <v>186</v>
      </c>
      <c r="O392" t="s">
        <v>1455</v>
      </c>
      <c r="P392" t="s">
        <v>867</v>
      </c>
      <c r="Q392" t="s">
        <v>1456</v>
      </c>
      <c r="R392" t="s">
        <v>1457</v>
      </c>
      <c r="S392" t="s">
        <v>537</v>
      </c>
      <c r="T392" t="s">
        <v>509</v>
      </c>
      <c r="U392" t="s">
        <v>45</v>
      </c>
      <c r="V392" t="s">
        <v>234</v>
      </c>
      <c r="W392" t="s">
        <v>44</v>
      </c>
      <c r="X392" t="s">
        <v>21</v>
      </c>
      <c r="Y392" t="s">
        <v>304</v>
      </c>
      <c r="Z392">
        <v>3203</v>
      </c>
      <c r="AA392">
        <v>3203</v>
      </c>
      <c r="AB392" t="s">
        <v>237</v>
      </c>
      <c r="AC392">
        <v>5.13</v>
      </c>
      <c r="AD392">
        <v>16431.39</v>
      </c>
      <c r="AE392">
        <v>3939.69</v>
      </c>
      <c r="AF392" t="s">
        <v>870</v>
      </c>
      <c r="AG392">
        <v>12491.7</v>
      </c>
      <c r="AH392">
        <v>0.76</v>
      </c>
    </row>
    <row r="393" spans="1:34" x14ac:dyDescent="0.25">
      <c r="A393" t="s">
        <v>659</v>
      </c>
      <c r="B393">
        <v>392</v>
      </c>
      <c r="C393" t="s">
        <v>487</v>
      </c>
      <c r="D393" t="s">
        <v>261</v>
      </c>
      <c r="E393" t="s">
        <v>326</v>
      </c>
      <c r="F393" t="s">
        <v>1440</v>
      </c>
      <c r="G393" s="25">
        <v>44263</v>
      </c>
      <c r="H393">
        <v>14</v>
      </c>
      <c r="I393">
        <v>67</v>
      </c>
      <c r="J393" t="s">
        <v>1452</v>
      </c>
      <c r="K393" t="s">
        <v>510</v>
      </c>
      <c r="L393" t="s">
        <v>231</v>
      </c>
      <c r="M393" t="s">
        <v>865</v>
      </c>
      <c r="N393" t="s">
        <v>186</v>
      </c>
      <c r="O393" t="s">
        <v>1012</v>
      </c>
      <c r="P393" t="s">
        <v>867</v>
      </c>
      <c r="Q393" t="s">
        <v>1137</v>
      </c>
      <c r="R393" t="s">
        <v>1138</v>
      </c>
      <c r="S393" t="s">
        <v>537</v>
      </c>
      <c r="T393" t="s">
        <v>509</v>
      </c>
      <c r="U393" t="s">
        <v>45</v>
      </c>
      <c r="V393" t="s">
        <v>234</v>
      </c>
      <c r="W393" t="s">
        <v>44</v>
      </c>
      <c r="X393" t="s">
        <v>21</v>
      </c>
      <c r="Y393" t="s">
        <v>304</v>
      </c>
      <c r="Z393">
        <v>2885</v>
      </c>
      <c r="AA393">
        <v>2885</v>
      </c>
      <c r="AB393" t="s">
        <v>237</v>
      </c>
      <c r="AC393">
        <v>5.13</v>
      </c>
      <c r="AD393">
        <v>14800.05</v>
      </c>
      <c r="AE393">
        <v>3548.55</v>
      </c>
      <c r="AF393" t="s">
        <v>870</v>
      </c>
      <c r="AG393">
        <v>11251.5</v>
      </c>
      <c r="AH393">
        <v>0.76</v>
      </c>
    </row>
    <row r="394" spans="1:34" x14ac:dyDescent="0.25">
      <c r="A394" t="s">
        <v>647</v>
      </c>
      <c r="B394">
        <v>393</v>
      </c>
      <c r="C394" t="s">
        <v>487</v>
      </c>
      <c r="D394" t="s">
        <v>261</v>
      </c>
      <c r="E394" t="s">
        <v>381</v>
      </c>
      <c r="F394" t="s">
        <v>1458</v>
      </c>
      <c r="G394" s="25">
        <v>44264</v>
      </c>
      <c r="H394">
        <v>14</v>
      </c>
      <c r="I394">
        <v>68</v>
      </c>
      <c r="J394" t="s">
        <v>1462</v>
      </c>
      <c r="K394" t="s">
        <v>510</v>
      </c>
      <c r="L394" t="s">
        <v>231</v>
      </c>
      <c r="M394" t="s">
        <v>997</v>
      </c>
      <c r="N394" t="s">
        <v>185</v>
      </c>
      <c r="O394" t="s">
        <v>1463</v>
      </c>
      <c r="P394" t="s">
        <v>867</v>
      </c>
      <c r="Q394" t="s">
        <v>1464</v>
      </c>
      <c r="R394" t="s">
        <v>1465</v>
      </c>
      <c r="S394" t="s">
        <v>537</v>
      </c>
      <c r="T394" t="s">
        <v>505</v>
      </c>
      <c r="U394" t="s">
        <v>41</v>
      </c>
      <c r="V394" t="s">
        <v>234</v>
      </c>
      <c r="W394" t="s">
        <v>40</v>
      </c>
      <c r="X394" t="s">
        <v>21</v>
      </c>
      <c r="Y394" t="s">
        <v>266</v>
      </c>
      <c r="Z394">
        <v>3097</v>
      </c>
      <c r="AA394">
        <v>3097</v>
      </c>
      <c r="AB394" t="s">
        <v>237</v>
      </c>
      <c r="AC394">
        <v>4.7300000000000004</v>
      </c>
      <c r="AD394">
        <v>14648.81</v>
      </c>
      <c r="AE394">
        <v>2787.3</v>
      </c>
      <c r="AF394" t="s">
        <v>870</v>
      </c>
      <c r="AG394">
        <v>11861.51</v>
      </c>
      <c r="AH394">
        <v>0.81</v>
      </c>
    </row>
    <row r="395" spans="1:34" x14ac:dyDescent="0.25">
      <c r="A395" t="s">
        <v>860</v>
      </c>
      <c r="B395">
        <v>394</v>
      </c>
      <c r="C395" t="s">
        <v>487</v>
      </c>
      <c r="D395" t="s">
        <v>261</v>
      </c>
      <c r="E395" t="s">
        <v>381</v>
      </c>
      <c r="F395" t="s">
        <v>1458</v>
      </c>
      <c r="G395" s="25">
        <v>44264</v>
      </c>
      <c r="H395">
        <v>14</v>
      </c>
      <c r="I395">
        <v>68</v>
      </c>
      <c r="J395" t="s">
        <v>1459</v>
      </c>
      <c r="K395" t="s">
        <v>510</v>
      </c>
      <c r="L395" t="s">
        <v>231</v>
      </c>
      <c r="M395" t="s">
        <v>878</v>
      </c>
      <c r="N395" t="s">
        <v>185</v>
      </c>
      <c r="O395" t="s">
        <v>989</v>
      </c>
      <c r="P395" t="s">
        <v>867</v>
      </c>
      <c r="Q395" t="s">
        <v>1460</v>
      </c>
      <c r="R395" t="s">
        <v>1461</v>
      </c>
      <c r="S395" t="s">
        <v>537</v>
      </c>
      <c r="T395" t="s">
        <v>505</v>
      </c>
      <c r="U395" t="s">
        <v>41</v>
      </c>
      <c r="V395" t="s">
        <v>234</v>
      </c>
      <c r="W395" t="s">
        <v>40</v>
      </c>
      <c r="X395" t="s">
        <v>21</v>
      </c>
      <c r="Y395" t="s">
        <v>266</v>
      </c>
      <c r="Z395">
        <v>3327</v>
      </c>
      <c r="AA395">
        <v>3327</v>
      </c>
      <c r="AB395" t="s">
        <v>237</v>
      </c>
      <c r="AC395">
        <v>4.7300000000000004</v>
      </c>
      <c r="AD395">
        <v>15736.71</v>
      </c>
      <c r="AE395">
        <v>2994.3</v>
      </c>
      <c r="AF395" t="s">
        <v>870</v>
      </c>
      <c r="AG395">
        <v>12742.41</v>
      </c>
      <c r="AH395">
        <v>0.81</v>
      </c>
    </row>
    <row r="396" spans="1:34" x14ac:dyDescent="0.25">
      <c r="A396" t="s">
        <v>764</v>
      </c>
      <c r="B396">
        <v>395</v>
      </c>
      <c r="C396" t="s">
        <v>487</v>
      </c>
      <c r="D396" t="s">
        <v>261</v>
      </c>
      <c r="E396" t="s">
        <v>381</v>
      </c>
      <c r="F396" t="s">
        <v>1458</v>
      </c>
      <c r="G396" s="25">
        <v>44264</v>
      </c>
      <c r="H396">
        <v>14</v>
      </c>
      <c r="I396">
        <v>68</v>
      </c>
      <c r="J396" t="s">
        <v>1467</v>
      </c>
      <c r="K396" t="s">
        <v>510</v>
      </c>
      <c r="L396" t="s">
        <v>231</v>
      </c>
      <c r="M396" t="s">
        <v>883</v>
      </c>
      <c r="N396" t="s">
        <v>185</v>
      </c>
      <c r="O396" t="s">
        <v>1468</v>
      </c>
      <c r="P396" t="s">
        <v>867</v>
      </c>
      <c r="Q396" t="s">
        <v>1469</v>
      </c>
      <c r="R396" t="s">
        <v>1470</v>
      </c>
      <c r="S396" t="s">
        <v>537</v>
      </c>
      <c r="T396" t="s">
        <v>504</v>
      </c>
      <c r="U396" t="s">
        <v>43</v>
      </c>
      <c r="V396" t="s">
        <v>234</v>
      </c>
      <c r="W396" t="s">
        <v>42</v>
      </c>
      <c r="X396" t="s">
        <v>21</v>
      </c>
      <c r="Y396" t="s">
        <v>236</v>
      </c>
      <c r="Z396">
        <v>2962</v>
      </c>
      <c r="AA396">
        <v>2962</v>
      </c>
      <c r="AB396" t="s">
        <v>237</v>
      </c>
      <c r="AC396">
        <v>5.13</v>
      </c>
      <c r="AD396">
        <v>15195.06</v>
      </c>
      <c r="AE396">
        <v>3643.26</v>
      </c>
      <c r="AF396" t="s">
        <v>870</v>
      </c>
      <c r="AG396">
        <v>11551.8</v>
      </c>
      <c r="AH396">
        <v>0.76</v>
      </c>
    </row>
    <row r="397" spans="1:34" x14ac:dyDescent="0.25">
      <c r="A397" t="s">
        <v>655</v>
      </c>
      <c r="B397">
        <v>396</v>
      </c>
      <c r="C397" t="s">
        <v>487</v>
      </c>
      <c r="D397" t="s">
        <v>261</v>
      </c>
      <c r="E397" t="s">
        <v>381</v>
      </c>
      <c r="F397" t="s">
        <v>1458</v>
      </c>
      <c r="G397" s="25">
        <v>44264</v>
      </c>
      <c r="H397">
        <v>14</v>
      </c>
      <c r="I397">
        <v>68</v>
      </c>
      <c r="J397" t="s">
        <v>1466</v>
      </c>
      <c r="K397" t="s">
        <v>510</v>
      </c>
      <c r="L397" t="s">
        <v>231</v>
      </c>
      <c r="M397" t="s">
        <v>888</v>
      </c>
      <c r="N397" t="s">
        <v>184</v>
      </c>
      <c r="O397" t="s">
        <v>1106</v>
      </c>
      <c r="P397" t="s">
        <v>867</v>
      </c>
      <c r="Q397" t="s">
        <v>1107</v>
      </c>
      <c r="R397" t="s">
        <v>1108</v>
      </c>
      <c r="S397" t="s">
        <v>537</v>
      </c>
      <c r="T397" t="s">
        <v>504</v>
      </c>
      <c r="U397" t="s">
        <v>43</v>
      </c>
      <c r="V397" t="s">
        <v>234</v>
      </c>
      <c r="W397" t="s">
        <v>42</v>
      </c>
      <c r="X397" t="s">
        <v>21</v>
      </c>
      <c r="Y397" t="s">
        <v>236</v>
      </c>
      <c r="Z397">
        <v>3040</v>
      </c>
      <c r="AA397">
        <v>3040</v>
      </c>
      <c r="AB397" t="s">
        <v>237</v>
      </c>
      <c r="AC397">
        <v>5.13</v>
      </c>
      <c r="AD397">
        <v>15595.2</v>
      </c>
      <c r="AE397">
        <v>3739.2</v>
      </c>
      <c r="AF397" t="s">
        <v>870</v>
      </c>
      <c r="AG397">
        <v>11856</v>
      </c>
      <c r="AH397">
        <v>0.76</v>
      </c>
    </row>
    <row r="398" spans="1:34" x14ac:dyDescent="0.25">
      <c r="A398" t="s">
        <v>795</v>
      </c>
      <c r="B398">
        <v>397</v>
      </c>
      <c r="C398" t="s">
        <v>487</v>
      </c>
      <c r="D398" t="s">
        <v>261</v>
      </c>
      <c r="E398" t="s">
        <v>381</v>
      </c>
      <c r="F398" t="s">
        <v>1458</v>
      </c>
      <c r="G398" s="25">
        <v>44264</v>
      </c>
      <c r="H398">
        <v>14</v>
      </c>
      <c r="I398">
        <v>68</v>
      </c>
      <c r="J398" t="s">
        <v>1471</v>
      </c>
      <c r="K398" t="s">
        <v>510</v>
      </c>
      <c r="L398" t="s">
        <v>231</v>
      </c>
      <c r="M398" t="s">
        <v>865</v>
      </c>
      <c r="N398" t="s">
        <v>186</v>
      </c>
      <c r="O398" t="s">
        <v>1012</v>
      </c>
      <c r="P398" t="s">
        <v>867</v>
      </c>
      <c r="Q398" t="s">
        <v>1472</v>
      </c>
      <c r="R398" t="s">
        <v>1473</v>
      </c>
      <c r="S398" t="s">
        <v>537</v>
      </c>
      <c r="T398" t="s">
        <v>504</v>
      </c>
      <c r="U398" t="s">
        <v>43</v>
      </c>
      <c r="V398" t="s">
        <v>234</v>
      </c>
      <c r="W398" t="s">
        <v>42</v>
      </c>
      <c r="X398" t="s">
        <v>21</v>
      </c>
      <c r="Y398" t="s">
        <v>236</v>
      </c>
      <c r="Z398">
        <v>3131</v>
      </c>
      <c r="AA398">
        <v>3131</v>
      </c>
      <c r="AB398" t="s">
        <v>237</v>
      </c>
      <c r="AC398">
        <v>5.13</v>
      </c>
      <c r="AD398">
        <v>16062.03</v>
      </c>
      <c r="AE398">
        <v>3851.13</v>
      </c>
      <c r="AF398" t="s">
        <v>870</v>
      </c>
      <c r="AG398">
        <v>12210.9</v>
      </c>
      <c r="AH398">
        <v>0.76</v>
      </c>
    </row>
    <row r="399" spans="1:34" x14ac:dyDescent="0.25">
      <c r="A399" t="s">
        <v>560</v>
      </c>
      <c r="B399">
        <v>398</v>
      </c>
      <c r="C399" t="s">
        <v>487</v>
      </c>
      <c r="D399" t="s">
        <v>261</v>
      </c>
      <c r="E399" t="s">
        <v>381</v>
      </c>
      <c r="F399" t="s">
        <v>1458</v>
      </c>
      <c r="G399" s="25">
        <v>44264</v>
      </c>
      <c r="H399">
        <v>14</v>
      </c>
      <c r="I399">
        <v>68</v>
      </c>
      <c r="J399" t="s">
        <v>1475</v>
      </c>
      <c r="K399" t="s">
        <v>510</v>
      </c>
      <c r="L399" t="s">
        <v>231</v>
      </c>
      <c r="M399" t="s">
        <v>872</v>
      </c>
      <c r="N399" t="s">
        <v>184</v>
      </c>
      <c r="O399" t="s">
        <v>1057</v>
      </c>
      <c r="P399" t="s">
        <v>867</v>
      </c>
      <c r="Q399" t="s">
        <v>1476</v>
      </c>
      <c r="R399" t="s">
        <v>1477</v>
      </c>
      <c r="S399" t="s">
        <v>537</v>
      </c>
      <c r="T399" t="s">
        <v>509</v>
      </c>
      <c r="U399" t="s">
        <v>45</v>
      </c>
      <c r="V399" t="s">
        <v>234</v>
      </c>
      <c r="W399" t="s">
        <v>44</v>
      </c>
      <c r="X399" t="s">
        <v>21</v>
      </c>
      <c r="Y399" t="s">
        <v>304</v>
      </c>
      <c r="Z399">
        <v>2513</v>
      </c>
      <c r="AA399">
        <v>2513</v>
      </c>
      <c r="AB399" t="s">
        <v>237</v>
      </c>
      <c r="AC399">
        <v>5.13</v>
      </c>
      <c r="AD399">
        <v>12891.69</v>
      </c>
      <c r="AE399">
        <v>3090.99</v>
      </c>
      <c r="AF399" t="s">
        <v>870</v>
      </c>
      <c r="AG399">
        <v>9800.7000000000007</v>
      </c>
      <c r="AH399">
        <v>0.76</v>
      </c>
    </row>
    <row r="400" spans="1:34" x14ac:dyDescent="0.25">
      <c r="A400" t="s">
        <v>612</v>
      </c>
      <c r="B400">
        <v>399</v>
      </c>
      <c r="C400" t="s">
        <v>487</v>
      </c>
      <c r="D400" t="s">
        <v>261</v>
      </c>
      <c r="E400" t="s">
        <v>381</v>
      </c>
      <c r="F400" t="s">
        <v>1458</v>
      </c>
      <c r="G400" s="25">
        <v>44264</v>
      </c>
      <c r="H400">
        <v>14</v>
      </c>
      <c r="I400">
        <v>68</v>
      </c>
      <c r="J400" t="s">
        <v>1474</v>
      </c>
      <c r="K400" t="s">
        <v>510</v>
      </c>
      <c r="L400" t="s">
        <v>231</v>
      </c>
      <c r="M400" t="s">
        <v>872</v>
      </c>
      <c r="N400" t="s">
        <v>184</v>
      </c>
      <c r="O400" t="s">
        <v>1102</v>
      </c>
      <c r="P400" t="s">
        <v>867</v>
      </c>
      <c r="Q400" t="s">
        <v>1103</v>
      </c>
      <c r="R400" t="s">
        <v>1104</v>
      </c>
      <c r="S400" t="s">
        <v>537</v>
      </c>
      <c r="T400" t="s">
        <v>509</v>
      </c>
      <c r="U400" t="s">
        <v>45</v>
      </c>
      <c r="V400" t="s">
        <v>234</v>
      </c>
      <c r="W400" t="s">
        <v>44</v>
      </c>
      <c r="X400" t="s">
        <v>21</v>
      </c>
      <c r="Y400" t="s">
        <v>304</v>
      </c>
      <c r="Z400">
        <v>1962</v>
      </c>
      <c r="AA400">
        <v>1962</v>
      </c>
      <c r="AB400" t="s">
        <v>237</v>
      </c>
      <c r="AC400">
        <v>5.13</v>
      </c>
      <c r="AD400">
        <v>10065.06</v>
      </c>
      <c r="AE400">
        <v>2413.2600000000002</v>
      </c>
      <c r="AF400" t="s">
        <v>870</v>
      </c>
      <c r="AG400">
        <v>7651.8</v>
      </c>
      <c r="AH400">
        <v>0.76</v>
      </c>
    </row>
    <row r="401" spans="1:34" x14ac:dyDescent="0.25">
      <c r="A401" t="s">
        <v>547</v>
      </c>
      <c r="B401">
        <v>400</v>
      </c>
      <c r="C401" t="s">
        <v>487</v>
      </c>
      <c r="D401" t="s">
        <v>261</v>
      </c>
      <c r="E401" t="s">
        <v>371</v>
      </c>
      <c r="F401" t="s">
        <v>1478</v>
      </c>
      <c r="G401" s="25">
        <v>44265</v>
      </c>
      <c r="H401">
        <v>14</v>
      </c>
      <c r="I401">
        <v>69</v>
      </c>
      <c r="J401" t="s">
        <v>1479</v>
      </c>
      <c r="K401" t="s">
        <v>876</v>
      </c>
      <c r="L401" t="s">
        <v>231</v>
      </c>
      <c r="M401" t="s">
        <v>865</v>
      </c>
      <c r="N401" t="s">
        <v>186</v>
      </c>
      <c r="O401" t="s">
        <v>1315</v>
      </c>
      <c r="P401" t="s">
        <v>867</v>
      </c>
      <c r="Q401" t="s">
        <v>1316</v>
      </c>
      <c r="R401" t="s">
        <v>1317</v>
      </c>
      <c r="S401" t="s">
        <v>232</v>
      </c>
      <c r="T401" t="s">
        <v>504</v>
      </c>
      <c r="U401" t="s">
        <v>43</v>
      </c>
      <c r="V401" t="s">
        <v>234</v>
      </c>
      <c r="W401" t="s">
        <v>42</v>
      </c>
      <c r="X401" t="s">
        <v>21</v>
      </c>
      <c r="Y401" t="s">
        <v>236</v>
      </c>
      <c r="Z401">
        <v>3436</v>
      </c>
      <c r="AA401">
        <v>3436</v>
      </c>
      <c r="AB401" t="s">
        <v>237</v>
      </c>
      <c r="AC401">
        <v>4.66</v>
      </c>
      <c r="AD401">
        <v>16011.76</v>
      </c>
      <c r="AE401">
        <v>4226.28</v>
      </c>
      <c r="AF401" t="s">
        <v>870</v>
      </c>
      <c r="AG401">
        <v>11785.48</v>
      </c>
      <c r="AH401">
        <v>0.74</v>
      </c>
    </row>
    <row r="402" spans="1:34" x14ac:dyDescent="0.25">
      <c r="A402" t="s">
        <v>831</v>
      </c>
      <c r="B402">
        <v>401</v>
      </c>
      <c r="C402" t="s">
        <v>487</v>
      </c>
      <c r="D402" t="s">
        <v>261</v>
      </c>
      <c r="E402" t="s">
        <v>371</v>
      </c>
      <c r="F402" t="s">
        <v>1478</v>
      </c>
      <c r="G402" s="25">
        <v>44265</v>
      </c>
      <c r="H402">
        <v>14</v>
      </c>
      <c r="I402">
        <v>69</v>
      </c>
      <c r="J402" t="s">
        <v>1479</v>
      </c>
      <c r="K402" t="s">
        <v>510</v>
      </c>
      <c r="L402" t="s">
        <v>231</v>
      </c>
      <c r="M402" t="s">
        <v>865</v>
      </c>
      <c r="N402" t="s">
        <v>186</v>
      </c>
      <c r="O402" t="s">
        <v>1315</v>
      </c>
      <c r="P402" t="s">
        <v>867</v>
      </c>
      <c r="Q402" t="s">
        <v>1316</v>
      </c>
      <c r="R402" t="s">
        <v>1317</v>
      </c>
      <c r="S402" t="s">
        <v>232</v>
      </c>
      <c r="T402" t="s">
        <v>504</v>
      </c>
      <c r="U402" t="s">
        <v>43</v>
      </c>
      <c r="V402" t="s">
        <v>234</v>
      </c>
      <c r="W402" t="s">
        <v>42</v>
      </c>
      <c r="X402" t="s">
        <v>21</v>
      </c>
      <c r="Y402" t="s">
        <v>236</v>
      </c>
      <c r="Z402">
        <v>3075</v>
      </c>
      <c r="AA402">
        <v>3075</v>
      </c>
      <c r="AB402" t="s">
        <v>237</v>
      </c>
      <c r="AC402">
        <v>4.66</v>
      </c>
      <c r="AD402">
        <v>14329.5</v>
      </c>
      <c r="AE402">
        <v>3782.25</v>
      </c>
      <c r="AF402" t="s">
        <v>870</v>
      </c>
      <c r="AG402">
        <v>10547.25</v>
      </c>
      <c r="AH402">
        <v>0.74</v>
      </c>
    </row>
    <row r="403" spans="1:34" x14ac:dyDescent="0.25">
      <c r="A403" t="s">
        <v>782</v>
      </c>
      <c r="B403">
        <v>402</v>
      </c>
      <c r="C403" t="s">
        <v>487</v>
      </c>
      <c r="D403" t="s">
        <v>261</v>
      </c>
      <c r="E403" t="s">
        <v>371</v>
      </c>
      <c r="F403" t="s">
        <v>1478</v>
      </c>
      <c r="G403" s="25">
        <v>44265</v>
      </c>
      <c r="H403">
        <v>14</v>
      </c>
      <c r="I403">
        <v>69</v>
      </c>
      <c r="J403" t="s">
        <v>1483</v>
      </c>
      <c r="K403" t="s">
        <v>510</v>
      </c>
      <c r="L403" t="s">
        <v>231</v>
      </c>
      <c r="M403" t="s">
        <v>926</v>
      </c>
      <c r="N403" t="s">
        <v>185</v>
      </c>
      <c r="O403" t="s">
        <v>1484</v>
      </c>
      <c r="P403" t="s">
        <v>867</v>
      </c>
      <c r="Q403" t="s">
        <v>1485</v>
      </c>
      <c r="R403" t="s">
        <v>1486</v>
      </c>
      <c r="S403" t="s">
        <v>537</v>
      </c>
      <c r="T403" t="s">
        <v>505</v>
      </c>
      <c r="U403" t="s">
        <v>41</v>
      </c>
      <c r="V403" t="s">
        <v>234</v>
      </c>
      <c r="W403" t="s">
        <v>40</v>
      </c>
      <c r="X403" t="s">
        <v>21</v>
      </c>
      <c r="Y403" t="s">
        <v>266</v>
      </c>
      <c r="Z403">
        <v>2949</v>
      </c>
      <c r="AA403">
        <v>2949</v>
      </c>
      <c r="AB403" t="s">
        <v>237</v>
      </c>
      <c r="AC403">
        <v>4.7300000000000004</v>
      </c>
      <c r="AD403">
        <v>13948.77</v>
      </c>
      <c r="AE403">
        <v>2654.1</v>
      </c>
      <c r="AF403" t="s">
        <v>870</v>
      </c>
      <c r="AG403">
        <v>11294.67</v>
      </c>
      <c r="AH403">
        <v>0.81</v>
      </c>
    </row>
    <row r="404" spans="1:34" x14ac:dyDescent="0.25">
      <c r="A404" t="s">
        <v>687</v>
      </c>
      <c r="B404">
        <v>403</v>
      </c>
      <c r="C404" t="s">
        <v>487</v>
      </c>
      <c r="D404" t="s">
        <v>261</v>
      </c>
      <c r="E404" t="s">
        <v>371</v>
      </c>
      <c r="F404" t="s">
        <v>1478</v>
      </c>
      <c r="G404" s="25">
        <v>44265</v>
      </c>
      <c r="H404">
        <v>14</v>
      </c>
      <c r="I404">
        <v>69</v>
      </c>
      <c r="J404" t="s">
        <v>1488</v>
      </c>
      <c r="K404" t="s">
        <v>510</v>
      </c>
      <c r="L404" t="s">
        <v>231</v>
      </c>
      <c r="M404" t="s">
        <v>911</v>
      </c>
      <c r="N404" t="s">
        <v>186</v>
      </c>
      <c r="O404" t="s">
        <v>1016</v>
      </c>
      <c r="P404" t="s">
        <v>867</v>
      </c>
      <c r="Q404" t="s">
        <v>1489</v>
      </c>
      <c r="R404" t="s">
        <v>1490</v>
      </c>
      <c r="S404" t="s">
        <v>537</v>
      </c>
      <c r="T404" t="s">
        <v>505</v>
      </c>
      <c r="U404" t="s">
        <v>41</v>
      </c>
      <c r="V404" t="s">
        <v>234</v>
      </c>
      <c r="W404" t="s">
        <v>40</v>
      </c>
      <c r="X404" t="s">
        <v>21</v>
      </c>
      <c r="Y404" t="s">
        <v>266</v>
      </c>
      <c r="Z404">
        <v>2692</v>
      </c>
      <c r="AA404">
        <v>2692</v>
      </c>
      <c r="AB404" t="s">
        <v>237</v>
      </c>
      <c r="AC404">
        <v>4.7300000000000004</v>
      </c>
      <c r="AD404">
        <v>12733.16</v>
      </c>
      <c r="AE404">
        <v>2422.8000000000002</v>
      </c>
      <c r="AF404" t="s">
        <v>870</v>
      </c>
      <c r="AG404">
        <v>10310.36</v>
      </c>
      <c r="AH404">
        <v>0.81</v>
      </c>
    </row>
    <row r="405" spans="1:34" x14ac:dyDescent="0.25">
      <c r="A405" t="s">
        <v>825</v>
      </c>
      <c r="B405">
        <v>404</v>
      </c>
      <c r="C405" t="s">
        <v>487</v>
      </c>
      <c r="D405" t="s">
        <v>261</v>
      </c>
      <c r="E405" t="s">
        <v>371</v>
      </c>
      <c r="F405" t="s">
        <v>1478</v>
      </c>
      <c r="G405" s="25">
        <v>44265</v>
      </c>
      <c r="H405">
        <v>14</v>
      </c>
      <c r="I405">
        <v>69</v>
      </c>
      <c r="J405" t="s">
        <v>1480</v>
      </c>
      <c r="K405" t="s">
        <v>510</v>
      </c>
      <c r="L405" t="s">
        <v>231</v>
      </c>
      <c r="M405" t="s">
        <v>173</v>
      </c>
      <c r="N405" t="s">
        <v>185</v>
      </c>
      <c r="O405" t="s">
        <v>966</v>
      </c>
      <c r="P405" t="s">
        <v>867</v>
      </c>
      <c r="Q405" t="s">
        <v>1481</v>
      </c>
      <c r="R405" t="s">
        <v>1482</v>
      </c>
      <c r="S405" t="s">
        <v>537</v>
      </c>
      <c r="T405" t="s">
        <v>505</v>
      </c>
      <c r="U405" t="s">
        <v>41</v>
      </c>
      <c r="V405" t="s">
        <v>234</v>
      </c>
      <c r="W405" t="s">
        <v>40</v>
      </c>
      <c r="X405" t="s">
        <v>21</v>
      </c>
      <c r="Y405" t="s">
        <v>266</v>
      </c>
      <c r="Z405">
        <v>3386</v>
      </c>
      <c r="AA405">
        <v>3386</v>
      </c>
      <c r="AB405" t="s">
        <v>237</v>
      </c>
      <c r="AC405">
        <v>4.7300000000000004</v>
      </c>
      <c r="AD405">
        <v>16015.78</v>
      </c>
      <c r="AE405">
        <v>3047.4</v>
      </c>
      <c r="AF405" t="s">
        <v>870</v>
      </c>
      <c r="AG405">
        <v>12968.38</v>
      </c>
      <c r="AH405">
        <v>0.81</v>
      </c>
    </row>
    <row r="406" spans="1:34" x14ac:dyDescent="0.25">
      <c r="A406" t="s">
        <v>793</v>
      </c>
      <c r="B406">
        <v>405</v>
      </c>
      <c r="C406" t="s">
        <v>487</v>
      </c>
      <c r="D406" t="s">
        <v>261</v>
      </c>
      <c r="E406" t="s">
        <v>371</v>
      </c>
      <c r="F406" t="s">
        <v>1478</v>
      </c>
      <c r="G406" s="25">
        <v>44265</v>
      </c>
      <c r="H406">
        <v>14</v>
      </c>
      <c r="I406">
        <v>69</v>
      </c>
      <c r="J406" t="s">
        <v>1487</v>
      </c>
      <c r="K406" t="s">
        <v>510</v>
      </c>
      <c r="L406" t="s">
        <v>231</v>
      </c>
      <c r="M406" t="s">
        <v>872</v>
      </c>
      <c r="N406" t="s">
        <v>184</v>
      </c>
      <c r="O406" t="s">
        <v>1376</v>
      </c>
      <c r="P406" t="s">
        <v>867</v>
      </c>
      <c r="Q406" t="s">
        <v>1377</v>
      </c>
      <c r="R406" t="s">
        <v>1378</v>
      </c>
      <c r="S406" t="s">
        <v>537</v>
      </c>
      <c r="T406" t="s">
        <v>505</v>
      </c>
      <c r="U406" t="s">
        <v>41</v>
      </c>
      <c r="V406" t="s">
        <v>234</v>
      </c>
      <c r="W406" t="s">
        <v>40</v>
      </c>
      <c r="X406" t="s">
        <v>21</v>
      </c>
      <c r="Y406" t="s">
        <v>266</v>
      </c>
      <c r="Z406">
        <v>3403</v>
      </c>
      <c r="AA406">
        <v>3403</v>
      </c>
      <c r="AB406" t="s">
        <v>237</v>
      </c>
      <c r="AC406">
        <v>4.7300000000000004</v>
      </c>
      <c r="AD406">
        <v>16096.19</v>
      </c>
      <c r="AE406">
        <v>3062.7</v>
      </c>
      <c r="AF406" t="s">
        <v>870</v>
      </c>
      <c r="AG406">
        <v>13033.49</v>
      </c>
      <c r="AH406">
        <v>0.81</v>
      </c>
    </row>
    <row r="407" spans="1:34" x14ac:dyDescent="0.25">
      <c r="A407" t="s">
        <v>805</v>
      </c>
      <c r="B407">
        <v>406</v>
      </c>
      <c r="C407" t="s">
        <v>487</v>
      </c>
      <c r="D407" t="s">
        <v>261</v>
      </c>
      <c r="E407" t="s">
        <v>371</v>
      </c>
      <c r="F407" t="s">
        <v>1478</v>
      </c>
      <c r="G407" s="25">
        <v>44265</v>
      </c>
      <c r="H407">
        <v>14</v>
      </c>
      <c r="I407">
        <v>69</v>
      </c>
      <c r="J407" t="s">
        <v>1491</v>
      </c>
      <c r="K407" t="s">
        <v>510</v>
      </c>
      <c r="L407" t="s">
        <v>231</v>
      </c>
      <c r="M407" t="s">
        <v>888</v>
      </c>
      <c r="N407" t="s">
        <v>184</v>
      </c>
      <c r="O407" t="s">
        <v>889</v>
      </c>
      <c r="P407" t="s">
        <v>867</v>
      </c>
      <c r="Q407" t="s">
        <v>1380</v>
      </c>
      <c r="R407" t="s">
        <v>1381</v>
      </c>
      <c r="S407" t="s">
        <v>537</v>
      </c>
      <c r="T407" t="s">
        <v>504</v>
      </c>
      <c r="U407" t="s">
        <v>43</v>
      </c>
      <c r="V407" t="s">
        <v>234</v>
      </c>
      <c r="W407" t="s">
        <v>42</v>
      </c>
      <c r="X407" t="s">
        <v>21</v>
      </c>
      <c r="Y407" t="s">
        <v>236</v>
      </c>
      <c r="Z407">
        <v>2724</v>
      </c>
      <c r="AA407">
        <v>2724</v>
      </c>
      <c r="AB407" t="s">
        <v>237</v>
      </c>
      <c r="AC407">
        <v>5.13</v>
      </c>
      <c r="AD407">
        <v>13974.12</v>
      </c>
      <c r="AE407">
        <v>3350.52</v>
      </c>
      <c r="AF407" t="s">
        <v>870</v>
      </c>
      <c r="AG407">
        <v>10623.6</v>
      </c>
      <c r="AH407">
        <v>0.76</v>
      </c>
    </row>
    <row r="408" spans="1:34" x14ac:dyDescent="0.25">
      <c r="A408" t="s">
        <v>691</v>
      </c>
      <c r="B408">
        <v>407</v>
      </c>
      <c r="C408" t="s">
        <v>487</v>
      </c>
      <c r="D408" t="s">
        <v>261</v>
      </c>
      <c r="E408" t="s">
        <v>371</v>
      </c>
      <c r="F408" t="s">
        <v>1478</v>
      </c>
      <c r="G408" s="25">
        <v>44265</v>
      </c>
      <c r="H408">
        <v>14</v>
      </c>
      <c r="I408">
        <v>69</v>
      </c>
      <c r="J408" t="s">
        <v>1492</v>
      </c>
      <c r="K408" t="s">
        <v>510</v>
      </c>
      <c r="L408" t="s">
        <v>231</v>
      </c>
      <c r="M408" t="s">
        <v>997</v>
      </c>
      <c r="N408" t="s">
        <v>185</v>
      </c>
      <c r="O408" t="s">
        <v>1370</v>
      </c>
      <c r="P408" t="s">
        <v>867</v>
      </c>
      <c r="Q408" t="s">
        <v>1371</v>
      </c>
      <c r="R408" t="s">
        <v>1372</v>
      </c>
      <c r="S408" t="s">
        <v>537</v>
      </c>
      <c r="T408" t="s">
        <v>504</v>
      </c>
      <c r="U408" t="s">
        <v>43</v>
      </c>
      <c r="V408" t="s">
        <v>234</v>
      </c>
      <c r="W408" t="s">
        <v>42</v>
      </c>
      <c r="X408" t="s">
        <v>21</v>
      </c>
      <c r="Y408" t="s">
        <v>236</v>
      </c>
      <c r="Z408">
        <v>3227</v>
      </c>
      <c r="AA408">
        <v>3227</v>
      </c>
      <c r="AB408" t="s">
        <v>237</v>
      </c>
      <c r="AC408">
        <v>5.13</v>
      </c>
      <c r="AD408">
        <v>16554.509999999998</v>
      </c>
      <c r="AE408">
        <v>3969.21</v>
      </c>
      <c r="AF408" t="s">
        <v>870</v>
      </c>
      <c r="AG408">
        <v>12585.3</v>
      </c>
      <c r="AH408">
        <v>0.76</v>
      </c>
    </row>
    <row r="409" spans="1:34" x14ac:dyDescent="0.25">
      <c r="A409" t="s">
        <v>797</v>
      </c>
      <c r="B409">
        <v>408</v>
      </c>
      <c r="C409" t="s">
        <v>487</v>
      </c>
      <c r="D409" t="s">
        <v>261</v>
      </c>
      <c r="E409" t="s">
        <v>515</v>
      </c>
      <c r="F409" t="s">
        <v>1493</v>
      </c>
      <c r="G409" s="25">
        <v>44267</v>
      </c>
      <c r="H409">
        <v>15</v>
      </c>
      <c r="I409">
        <v>71</v>
      </c>
      <c r="J409" t="s">
        <v>1494</v>
      </c>
      <c r="K409" t="s">
        <v>510</v>
      </c>
      <c r="L409" t="s">
        <v>231</v>
      </c>
      <c r="M409" t="s">
        <v>872</v>
      </c>
      <c r="N409" t="s">
        <v>184</v>
      </c>
      <c r="O409" t="s">
        <v>958</v>
      </c>
      <c r="P409" t="s">
        <v>867</v>
      </c>
      <c r="Q409" t="s">
        <v>959</v>
      </c>
      <c r="R409" t="s">
        <v>960</v>
      </c>
      <c r="S409" t="s">
        <v>232</v>
      </c>
      <c r="T409" t="s">
        <v>504</v>
      </c>
      <c r="U409" t="s">
        <v>43</v>
      </c>
      <c r="V409" t="s">
        <v>234</v>
      </c>
      <c r="W409" t="s">
        <v>42</v>
      </c>
      <c r="X409" t="s">
        <v>21</v>
      </c>
      <c r="Y409" t="s">
        <v>236</v>
      </c>
      <c r="Z409">
        <v>2945</v>
      </c>
      <c r="AA409">
        <v>2945</v>
      </c>
      <c r="AB409" t="s">
        <v>237</v>
      </c>
      <c r="AC409">
        <v>4.66</v>
      </c>
      <c r="AD409">
        <v>13723.7</v>
      </c>
      <c r="AE409">
        <v>3622.35</v>
      </c>
      <c r="AF409" t="s">
        <v>870</v>
      </c>
      <c r="AG409">
        <v>10101.35</v>
      </c>
      <c r="AH409">
        <v>0.74</v>
      </c>
    </row>
    <row r="410" spans="1:34" x14ac:dyDescent="0.25">
      <c r="A410" t="s">
        <v>718</v>
      </c>
      <c r="B410">
        <v>409</v>
      </c>
      <c r="C410" t="s">
        <v>487</v>
      </c>
      <c r="D410" t="s">
        <v>261</v>
      </c>
      <c r="E410" t="s">
        <v>515</v>
      </c>
      <c r="F410" t="s">
        <v>1493</v>
      </c>
      <c r="G410" s="25">
        <v>44267</v>
      </c>
      <c r="H410">
        <v>15</v>
      </c>
      <c r="I410">
        <v>71</v>
      </c>
      <c r="J410" t="s">
        <v>1495</v>
      </c>
      <c r="K410" t="s">
        <v>510</v>
      </c>
      <c r="L410" t="s">
        <v>231</v>
      </c>
      <c r="M410" t="s">
        <v>872</v>
      </c>
      <c r="N410" t="s">
        <v>184</v>
      </c>
      <c r="O410" t="s">
        <v>1199</v>
      </c>
      <c r="P410" t="s">
        <v>867</v>
      </c>
      <c r="Q410" t="s">
        <v>1200</v>
      </c>
      <c r="R410" t="s">
        <v>1201</v>
      </c>
      <c r="S410" t="s">
        <v>232</v>
      </c>
      <c r="T410" t="s">
        <v>504</v>
      </c>
      <c r="U410" t="s">
        <v>43</v>
      </c>
      <c r="V410" t="s">
        <v>234</v>
      </c>
      <c r="W410" t="s">
        <v>42</v>
      </c>
      <c r="X410" t="s">
        <v>21</v>
      </c>
      <c r="Y410" t="s">
        <v>236</v>
      </c>
      <c r="Z410">
        <v>2746</v>
      </c>
      <c r="AA410">
        <v>2746</v>
      </c>
      <c r="AB410" t="s">
        <v>237</v>
      </c>
      <c r="AC410">
        <v>4.66</v>
      </c>
      <c r="AD410">
        <v>12796.36</v>
      </c>
      <c r="AE410">
        <v>3377.58</v>
      </c>
      <c r="AF410" t="s">
        <v>870</v>
      </c>
      <c r="AG410">
        <v>9418.7800000000007</v>
      </c>
      <c r="AH410">
        <v>0.74</v>
      </c>
    </row>
    <row r="411" spans="1:34" x14ac:dyDescent="0.25">
      <c r="A411" t="s">
        <v>663</v>
      </c>
      <c r="B411">
        <v>410</v>
      </c>
      <c r="C411" t="s">
        <v>487</v>
      </c>
      <c r="D411" t="s">
        <v>261</v>
      </c>
      <c r="E411" t="s">
        <v>515</v>
      </c>
      <c r="F411" t="s">
        <v>1493</v>
      </c>
      <c r="G411" s="25">
        <v>44267</v>
      </c>
      <c r="H411">
        <v>15</v>
      </c>
      <c r="I411">
        <v>71</v>
      </c>
      <c r="J411" t="s">
        <v>1496</v>
      </c>
      <c r="K411" t="s">
        <v>510</v>
      </c>
      <c r="L411" t="s">
        <v>231</v>
      </c>
      <c r="M411" t="s">
        <v>872</v>
      </c>
      <c r="N411" t="s">
        <v>184</v>
      </c>
      <c r="O411" t="s">
        <v>1497</v>
      </c>
      <c r="P411" t="s">
        <v>867</v>
      </c>
      <c r="Q411" t="s">
        <v>1498</v>
      </c>
      <c r="R411" t="s">
        <v>1499</v>
      </c>
      <c r="S411" t="s">
        <v>537</v>
      </c>
      <c r="T411" t="s">
        <v>504</v>
      </c>
      <c r="U411" t="s">
        <v>43</v>
      </c>
      <c r="V411" t="s">
        <v>234</v>
      </c>
      <c r="W411" t="s">
        <v>42</v>
      </c>
      <c r="X411" t="s">
        <v>21</v>
      </c>
      <c r="Y411" t="s">
        <v>236</v>
      </c>
      <c r="Z411">
        <v>3204</v>
      </c>
      <c r="AA411">
        <v>3204</v>
      </c>
      <c r="AB411" t="s">
        <v>237</v>
      </c>
      <c r="AC411">
        <v>5.13</v>
      </c>
      <c r="AD411">
        <v>16436.52</v>
      </c>
      <c r="AE411">
        <v>3940.92</v>
      </c>
      <c r="AF411" t="s">
        <v>870</v>
      </c>
      <c r="AG411">
        <v>12495.6</v>
      </c>
      <c r="AH411">
        <v>0.76</v>
      </c>
    </row>
    <row r="412" spans="1:34" x14ac:dyDescent="0.25">
      <c r="A412" t="s">
        <v>698</v>
      </c>
      <c r="B412">
        <v>411</v>
      </c>
      <c r="C412" t="s">
        <v>487</v>
      </c>
      <c r="D412" t="s">
        <v>261</v>
      </c>
      <c r="E412" t="s">
        <v>232</v>
      </c>
      <c r="F412" t="s">
        <v>1500</v>
      </c>
      <c r="G412" s="25">
        <v>44268</v>
      </c>
      <c r="H412">
        <v>15</v>
      </c>
      <c r="I412">
        <v>72</v>
      </c>
      <c r="J412" t="s">
        <v>1501</v>
      </c>
      <c r="K412" t="s">
        <v>510</v>
      </c>
      <c r="L412" t="s">
        <v>231</v>
      </c>
      <c r="M412" t="s">
        <v>872</v>
      </c>
      <c r="N412" t="s">
        <v>184</v>
      </c>
      <c r="O412" t="s">
        <v>894</v>
      </c>
      <c r="P412" t="s">
        <v>867</v>
      </c>
      <c r="Q412" t="s">
        <v>895</v>
      </c>
      <c r="R412" t="s">
        <v>896</v>
      </c>
      <c r="S412" t="s">
        <v>232</v>
      </c>
      <c r="T412" t="s">
        <v>505</v>
      </c>
      <c r="U412" t="s">
        <v>41</v>
      </c>
      <c r="V412" t="s">
        <v>234</v>
      </c>
      <c r="W412" t="s">
        <v>40</v>
      </c>
      <c r="X412" t="s">
        <v>21</v>
      </c>
      <c r="Y412" t="s">
        <v>266</v>
      </c>
      <c r="Z412">
        <v>3276</v>
      </c>
      <c r="AA412">
        <v>3276</v>
      </c>
      <c r="AB412" t="s">
        <v>237</v>
      </c>
      <c r="AC412">
        <v>4.0999999999999996</v>
      </c>
      <c r="AD412">
        <v>13431.6</v>
      </c>
      <c r="AE412">
        <v>2948.4</v>
      </c>
      <c r="AF412" t="s">
        <v>870</v>
      </c>
      <c r="AG412">
        <v>10483.200000000001</v>
      </c>
      <c r="AH412">
        <v>0.78</v>
      </c>
    </row>
    <row r="413" spans="1:34" x14ac:dyDescent="0.25">
      <c r="A413" t="s">
        <v>850</v>
      </c>
      <c r="B413">
        <v>412</v>
      </c>
      <c r="C413" t="s">
        <v>487</v>
      </c>
      <c r="D413" t="s">
        <v>261</v>
      </c>
      <c r="E413" t="s">
        <v>232</v>
      </c>
      <c r="F413" t="s">
        <v>1500</v>
      </c>
      <c r="G413" s="25">
        <v>44268</v>
      </c>
      <c r="H413">
        <v>15</v>
      </c>
      <c r="I413">
        <v>72</v>
      </c>
      <c r="J413" t="s">
        <v>1501</v>
      </c>
      <c r="K413" t="s">
        <v>876</v>
      </c>
      <c r="L413" t="s">
        <v>231</v>
      </c>
      <c r="M413" t="s">
        <v>872</v>
      </c>
      <c r="N413" t="s">
        <v>184</v>
      </c>
      <c r="O413" t="s">
        <v>894</v>
      </c>
      <c r="P413" t="s">
        <v>867</v>
      </c>
      <c r="Q413" t="s">
        <v>895</v>
      </c>
      <c r="R413" t="s">
        <v>896</v>
      </c>
      <c r="S413" t="s">
        <v>232</v>
      </c>
      <c r="T413" t="s">
        <v>505</v>
      </c>
      <c r="U413" t="s">
        <v>41</v>
      </c>
      <c r="V413" t="s">
        <v>234</v>
      </c>
      <c r="W413" t="s">
        <v>40</v>
      </c>
      <c r="X413" t="s">
        <v>21</v>
      </c>
      <c r="Y413" t="s">
        <v>266</v>
      </c>
      <c r="Z413">
        <v>3744</v>
      </c>
      <c r="AA413">
        <v>3744</v>
      </c>
      <c r="AB413" t="s">
        <v>237</v>
      </c>
      <c r="AC413">
        <v>4.0999999999999996</v>
      </c>
      <c r="AD413">
        <v>15350.4</v>
      </c>
      <c r="AE413">
        <v>3369.6</v>
      </c>
      <c r="AF413" t="s">
        <v>870</v>
      </c>
      <c r="AG413">
        <v>11980.8</v>
      </c>
      <c r="AH413">
        <v>0.78</v>
      </c>
    </row>
    <row r="414" spans="1:34" x14ac:dyDescent="0.25">
      <c r="A414" t="s">
        <v>530</v>
      </c>
      <c r="B414">
        <v>413</v>
      </c>
      <c r="C414" t="s">
        <v>487</v>
      </c>
      <c r="D414" t="s">
        <v>261</v>
      </c>
      <c r="E414" t="s">
        <v>232</v>
      </c>
      <c r="F414" t="s">
        <v>1500</v>
      </c>
      <c r="G414" s="25">
        <v>44268</v>
      </c>
      <c r="H414">
        <v>15</v>
      </c>
      <c r="I414">
        <v>72</v>
      </c>
      <c r="J414" t="s">
        <v>1501</v>
      </c>
      <c r="K414" t="s">
        <v>956</v>
      </c>
      <c r="L414" t="s">
        <v>231</v>
      </c>
      <c r="M414" t="s">
        <v>872</v>
      </c>
      <c r="N414" t="s">
        <v>184</v>
      </c>
      <c r="O414" t="s">
        <v>894</v>
      </c>
      <c r="P414" t="s">
        <v>867</v>
      </c>
      <c r="Q414" t="s">
        <v>895</v>
      </c>
      <c r="R414" t="s">
        <v>896</v>
      </c>
      <c r="S414" t="s">
        <v>232</v>
      </c>
      <c r="T414" t="s">
        <v>505</v>
      </c>
      <c r="U414" t="s">
        <v>41</v>
      </c>
      <c r="V414" t="s">
        <v>234</v>
      </c>
      <c r="W414" t="s">
        <v>40</v>
      </c>
      <c r="X414" t="s">
        <v>21</v>
      </c>
      <c r="Y414" t="s">
        <v>266</v>
      </c>
      <c r="Z414">
        <v>3506</v>
      </c>
      <c r="AA414">
        <v>3506</v>
      </c>
      <c r="AB414" t="s">
        <v>237</v>
      </c>
      <c r="AC414">
        <v>4.0999999999999996</v>
      </c>
      <c r="AD414">
        <v>14374.6</v>
      </c>
      <c r="AE414">
        <v>3155.4</v>
      </c>
      <c r="AF414" t="s">
        <v>870</v>
      </c>
      <c r="AG414">
        <v>11219.2</v>
      </c>
      <c r="AH414">
        <v>0.78</v>
      </c>
    </row>
    <row r="415" spans="1:34" x14ac:dyDescent="0.25">
      <c r="A415" t="s">
        <v>712</v>
      </c>
      <c r="B415">
        <v>414</v>
      </c>
      <c r="C415" t="s">
        <v>487</v>
      </c>
      <c r="D415" t="s">
        <v>261</v>
      </c>
      <c r="E415" t="s">
        <v>232</v>
      </c>
      <c r="F415" t="s">
        <v>1500</v>
      </c>
      <c r="G415" s="25">
        <v>44268</v>
      </c>
      <c r="H415">
        <v>15</v>
      </c>
      <c r="I415">
        <v>72</v>
      </c>
      <c r="J415" t="s">
        <v>1503</v>
      </c>
      <c r="K415" t="s">
        <v>921</v>
      </c>
      <c r="L415" t="s">
        <v>231</v>
      </c>
      <c r="M415" t="s">
        <v>865</v>
      </c>
      <c r="N415" t="s">
        <v>186</v>
      </c>
      <c r="O415" t="s">
        <v>866</v>
      </c>
      <c r="P415" t="s">
        <v>867</v>
      </c>
      <c r="Q415" t="s">
        <v>868</v>
      </c>
      <c r="R415" t="s">
        <v>869</v>
      </c>
      <c r="S415" t="s">
        <v>232</v>
      </c>
      <c r="T415" t="s">
        <v>505</v>
      </c>
      <c r="U415" t="s">
        <v>41</v>
      </c>
      <c r="V415" t="s">
        <v>234</v>
      </c>
      <c r="W415" t="s">
        <v>40</v>
      </c>
      <c r="X415" t="s">
        <v>21</v>
      </c>
      <c r="Y415" t="s">
        <v>266</v>
      </c>
      <c r="Z415">
        <v>3859</v>
      </c>
      <c r="AA415">
        <v>3859</v>
      </c>
      <c r="AB415" t="s">
        <v>237</v>
      </c>
      <c r="AC415">
        <v>4.0999999999999996</v>
      </c>
      <c r="AD415">
        <v>15821.9</v>
      </c>
      <c r="AE415">
        <v>3473.1</v>
      </c>
      <c r="AF415" t="s">
        <v>870</v>
      </c>
      <c r="AG415">
        <v>12348.8</v>
      </c>
      <c r="AH415">
        <v>0.78</v>
      </c>
    </row>
    <row r="416" spans="1:34" x14ac:dyDescent="0.25">
      <c r="A416" t="s">
        <v>700</v>
      </c>
      <c r="B416">
        <v>415</v>
      </c>
      <c r="C416" t="s">
        <v>487</v>
      </c>
      <c r="D416" t="s">
        <v>261</v>
      </c>
      <c r="E416" t="s">
        <v>232</v>
      </c>
      <c r="F416" t="s">
        <v>1500</v>
      </c>
      <c r="G416" s="25">
        <v>44268</v>
      </c>
      <c r="H416">
        <v>15</v>
      </c>
      <c r="I416">
        <v>72</v>
      </c>
      <c r="J416" t="s">
        <v>1502</v>
      </c>
      <c r="K416" t="s">
        <v>876</v>
      </c>
      <c r="L416" t="s">
        <v>231</v>
      </c>
      <c r="M416" t="s">
        <v>898</v>
      </c>
      <c r="N416" t="s">
        <v>185</v>
      </c>
      <c r="O416" t="s">
        <v>940</v>
      </c>
      <c r="P416" t="s">
        <v>867</v>
      </c>
      <c r="Q416" t="s">
        <v>941</v>
      </c>
      <c r="R416" t="s">
        <v>942</v>
      </c>
      <c r="S416" t="s">
        <v>232</v>
      </c>
      <c r="T416" t="s">
        <v>505</v>
      </c>
      <c r="U416" t="s">
        <v>41</v>
      </c>
      <c r="V416" t="s">
        <v>234</v>
      </c>
      <c r="W416" t="s">
        <v>40</v>
      </c>
      <c r="X416" t="s">
        <v>21</v>
      </c>
      <c r="Y416" t="s">
        <v>266</v>
      </c>
      <c r="Z416">
        <v>3294</v>
      </c>
      <c r="AA416">
        <v>3294</v>
      </c>
      <c r="AB416" t="s">
        <v>237</v>
      </c>
      <c r="AC416">
        <v>4.0999999999999996</v>
      </c>
      <c r="AD416">
        <v>13505.4</v>
      </c>
      <c r="AE416">
        <v>2964.6</v>
      </c>
      <c r="AF416" t="s">
        <v>870</v>
      </c>
      <c r="AG416">
        <v>10540.8</v>
      </c>
      <c r="AH416">
        <v>0.78</v>
      </c>
    </row>
    <row r="417" spans="1:34" x14ac:dyDescent="0.25">
      <c r="A417" t="s">
        <v>709</v>
      </c>
      <c r="B417">
        <v>416</v>
      </c>
      <c r="C417" t="s">
        <v>487</v>
      </c>
      <c r="D417" t="s">
        <v>261</v>
      </c>
      <c r="E417" t="s">
        <v>232</v>
      </c>
      <c r="F417" t="s">
        <v>1500</v>
      </c>
      <c r="G417" s="25">
        <v>44268</v>
      </c>
      <c r="H417">
        <v>15</v>
      </c>
      <c r="I417">
        <v>72</v>
      </c>
      <c r="J417" t="s">
        <v>1503</v>
      </c>
      <c r="K417" t="s">
        <v>876</v>
      </c>
      <c r="L417" t="s">
        <v>231</v>
      </c>
      <c r="M417" t="s">
        <v>865</v>
      </c>
      <c r="N417" t="s">
        <v>186</v>
      </c>
      <c r="O417" t="s">
        <v>866</v>
      </c>
      <c r="P417" t="s">
        <v>867</v>
      </c>
      <c r="Q417" t="s">
        <v>868</v>
      </c>
      <c r="R417" t="s">
        <v>869</v>
      </c>
      <c r="S417" t="s">
        <v>232</v>
      </c>
      <c r="T417" t="s">
        <v>505</v>
      </c>
      <c r="U417" t="s">
        <v>41</v>
      </c>
      <c r="V417" t="s">
        <v>234</v>
      </c>
      <c r="W417" t="s">
        <v>40</v>
      </c>
      <c r="X417" t="s">
        <v>21</v>
      </c>
      <c r="Y417" t="s">
        <v>266</v>
      </c>
      <c r="Z417">
        <v>3756</v>
      </c>
      <c r="AA417">
        <v>3756</v>
      </c>
      <c r="AB417" t="s">
        <v>237</v>
      </c>
      <c r="AC417">
        <v>4.0999999999999996</v>
      </c>
      <c r="AD417">
        <v>15399.6</v>
      </c>
      <c r="AE417">
        <v>3380.4</v>
      </c>
      <c r="AF417" t="s">
        <v>870</v>
      </c>
      <c r="AG417">
        <v>12019.2</v>
      </c>
      <c r="AH417">
        <v>0.78</v>
      </c>
    </row>
    <row r="418" spans="1:34" x14ac:dyDescent="0.25">
      <c r="A418" t="s">
        <v>703</v>
      </c>
      <c r="B418">
        <v>417</v>
      </c>
      <c r="C418" t="s">
        <v>487</v>
      </c>
      <c r="D418" t="s">
        <v>261</v>
      </c>
      <c r="E418" t="s">
        <v>232</v>
      </c>
      <c r="F418" t="s">
        <v>1500</v>
      </c>
      <c r="G418" s="25">
        <v>44268</v>
      </c>
      <c r="H418">
        <v>15</v>
      </c>
      <c r="I418">
        <v>72</v>
      </c>
      <c r="J418" t="s">
        <v>1503</v>
      </c>
      <c r="K418" t="s">
        <v>956</v>
      </c>
      <c r="L418" t="s">
        <v>231</v>
      </c>
      <c r="M418" t="s">
        <v>865</v>
      </c>
      <c r="N418" t="s">
        <v>186</v>
      </c>
      <c r="O418" t="s">
        <v>866</v>
      </c>
      <c r="P418" t="s">
        <v>867</v>
      </c>
      <c r="Q418" t="s">
        <v>868</v>
      </c>
      <c r="R418" t="s">
        <v>869</v>
      </c>
      <c r="S418" t="s">
        <v>232</v>
      </c>
      <c r="T418" t="s">
        <v>504</v>
      </c>
      <c r="U418" t="s">
        <v>43</v>
      </c>
      <c r="V418" t="s">
        <v>234</v>
      </c>
      <c r="W418" t="s">
        <v>42</v>
      </c>
      <c r="X418" t="s">
        <v>21</v>
      </c>
      <c r="Y418" t="s">
        <v>236</v>
      </c>
      <c r="Z418">
        <v>2976</v>
      </c>
      <c r="AA418">
        <v>2976</v>
      </c>
      <c r="AB418" t="s">
        <v>237</v>
      </c>
      <c r="AC418">
        <v>4.66</v>
      </c>
      <c r="AD418">
        <v>13868.16</v>
      </c>
      <c r="AE418">
        <v>3660.48</v>
      </c>
      <c r="AF418" t="s">
        <v>870</v>
      </c>
      <c r="AG418">
        <v>10207.68</v>
      </c>
      <c r="AH418">
        <v>0.74</v>
      </c>
    </row>
    <row r="419" spans="1:34" x14ac:dyDescent="0.25">
      <c r="A419" t="s">
        <v>588</v>
      </c>
      <c r="B419">
        <v>418</v>
      </c>
      <c r="C419" t="s">
        <v>487</v>
      </c>
      <c r="D419" t="s">
        <v>261</v>
      </c>
      <c r="E419" t="s">
        <v>232</v>
      </c>
      <c r="F419" t="s">
        <v>1500</v>
      </c>
      <c r="G419" s="25">
        <v>44268</v>
      </c>
      <c r="H419">
        <v>15</v>
      </c>
      <c r="I419">
        <v>72</v>
      </c>
      <c r="J419" t="s">
        <v>1503</v>
      </c>
      <c r="K419" t="s">
        <v>510</v>
      </c>
      <c r="L419" t="s">
        <v>231</v>
      </c>
      <c r="M419" t="s">
        <v>865</v>
      </c>
      <c r="N419" t="s">
        <v>186</v>
      </c>
      <c r="O419" t="s">
        <v>866</v>
      </c>
      <c r="P419" t="s">
        <v>867</v>
      </c>
      <c r="Q419" t="s">
        <v>868</v>
      </c>
      <c r="R419" t="s">
        <v>869</v>
      </c>
      <c r="S419" t="s">
        <v>232</v>
      </c>
      <c r="T419" t="s">
        <v>504</v>
      </c>
      <c r="U419" t="s">
        <v>43</v>
      </c>
      <c r="V419" t="s">
        <v>234</v>
      </c>
      <c r="W419" t="s">
        <v>42</v>
      </c>
      <c r="X419" t="s">
        <v>21</v>
      </c>
      <c r="Y419" t="s">
        <v>236</v>
      </c>
      <c r="Z419">
        <v>2718</v>
      </c>
      <c r="AA419">
        <v>2718</v>
      </c>
      <c r="AB419" t="s">
        <v>237</v>
      </c>
      <c r="AC419">
        <v>4.66</v>
      </c>
      <c r="AD419">
        <v>12665.88</v>
      </c>
      <c r="AE419">
        <v>3343.14</v>
      </c>
      <c r="AF419" t="s">
        <v>870</v>
      </c>
      <c r="AG419">
        <v>9322.74</v>
      </c>
      <c r="AH419">
        <v>0.74</v>
      </c>
    </row>
    <row r="420" spans="1:34" x14ac:dyDescent="0.25">
      <c r="A420" t="s">
        <v>839</v>
      </c>
      <c r="B420">
        <v>419</v>
      </c>
      <c r="C420" t="s">
        <v>487</v>
      </c>
      <c r="D420" t="s">
        <v>261</v>
      </c>
      <c r="E420" t="s">
        <v>232</v>
      </c>
      <c r="F420" t="s">
        <v>1500</v>
      </c>
      <c r="G420" s="25">
        <v>44268</v>
      </c>
      <c r="H420">
        <v>15</v>
      </c>
      <c r="I420">
        <v>72</v>
      </c>
      <c r="J420" t="s">
        <v>1504</v>
      </c>
      <c r="K420" t="s">
        <v>876</v>
      </c>
      <c r="L420" t="s">
        <v>231</v>
      </c>
      <c r="M420" t="s">
        <v>926</v>
      </c>
      <c r="N420" t="s">
        <v>185</v>
      </c>
      <c r="O420" t="s">
        <v>927</v>
      </c>
      <c r="P420" t="s">
        <v>867</v>
      </c>
      <c r="Q420" t="s">
        <v>928</v>
      </c>
      <c r="R420" t="s">
        <v>929</v>
      </c>
      <c r="S420" t="s">
        <v>232</v>
      </c>
      <c r="T420" t="s">
        <v>504</v>
      </c>
      <c r="U420" t="s">
        <v>43</v>
      </c>
      <c r="V420" t="s">
        <v>234</v>
      </c>
      <c r="W420" t="s">
        <v>42</v>
      </c>
      <c r="X420" t="s">
        <v>21</v>
      </c>
      <c r="Y420" t="s">
        <v>236</v>
      </c>
      <c r="Z420">
        <v>3127</v>
      </c>
      <c r="AA420">
        <v>3127</v>
      </c>
      <c r="AB420" t="s">
        <v>237</v>
      </c>
      <c r="AC420">
        <v>4.66</v>
      </c>
      <c r="AD420">
        <v>14571.82</v>
      </c>
      <c r="AE420">
        <v>3846.21</v>
      </c>
      <c r="AF420" t="s">
        <v>870</v>
      </c>
      <c r="AG420">
        <v>10725.61</v>
      </c>
      <c r="AH420">
        <v>0.74</v>
      </c>
    </row>
    <row r="421" spans="1:34" x14ac:dyDescent="0.25">
      <c r="A421" t="s">
        <v>622</v>
      </c>
      <c r="B421">
        <v>420</v>
      </c>
      <c r="C421" t="s">
        <v>487</v>
      </c>
      <c r="D421" t="s">
        <v>261</v>
      </c>
      <c r="E421" t="s">
        <v>232</v>
      </c>
      <c r="F421" t="s">
        <v>1500</v>
      </c>
      <c r="G421" s="25">
        <v>44268</v>
      </c>
      <c r="H421">
        <v>15</v>
      </c>
      <c r="I421">
        <v>72</v>
      </c>
      <c r="J421" t="s">
        <v>1501</v>
      </c>
      <c r="K421" t="s">
        <v>921</v>
      </c>
      <c r="L421" t="s">
        <v>231</v>
      </c>
      <c r="M421" t="s">
        <v>872</v>
      </c>
      <c r="N421" t="s">
        <v>184</v>
      </c>
      <c r="O421" t="s">
        <v>894</v>
      </c>
      <c r="P421" t="s">
        <v>867</v>
      </c>
      <c r="Q421" t="s">
        <v>895</v>
      </c>
      <c r="R421" t="s">
        <v>896</v>
      </c>
      <c r="S421" t="s">
        <v>232</v>
      </c>
      <c r="T421" t="s">
        <v>504</v>
      </c>
      <c r="U421" t="s">
        <v>43</v>
      </c>
      <c r="V421" t="s">
        <v>234</v>
      </c>
      <c r="W421" t="s">
        <v>42</v>
      </c>
      <c r="X421" t="s">
        <v>21</v>
      </c>
      <c r="Y421" t="s">
        <v>236</v>
      </c>
      <c r="Z421">
        <v>3105</v>
      </c>
      <c r="AA421">
        <v>3105</v>
      </c>
      <c r="AB421" t="s">
        <v>237</v>
      </c>
      <c r="AC421">
        <v>4.66</v>
      </c>
      <c r="AD421">
        <v>14469.3</v>
      </c>
      <c r="AE421">
        <v>3819.15</v>
      </c>
      <c r="AF421" t="s">
        <v>870</v>
      </c>
      <c r="AG421">
        <v>10650.15</v>
      </c>
      <c r="AH421">
        <v>0.74</v>
      </c>
    </row>
    <row r="422" spans="1:34" x14ac:dyDescent="0.25">
      <c r="A422" t="s">
        <v>550</v>
      </c>
      <c r="B422">
        <v>421</v>
      </c>
      <c r="C422" t="s">
        <v>487</v>
      </c>
      <c r="D422" t="s">
        <v>261</v>
      </c>
      <c r="E422" t="s">
        <v>232</v>
      </c>
      <c r="F422" t="s">
        <v>1500</v>
      </c>
      <c r="G422" s="25">
        <v>44268</v>
      </c>
      <c r="H422">
        <v>15</v>
      </c>
      <c r="I422">
        <v>72</v>
      </c>
      <c r="J422" t="s">
        <v>1504</v>
      </c>
      <c r="K422" t="s">
        <v>510</v>
      </c>
      <c r="L422" t="s">
        <v>231</v>
      </c>
      <c r="M422" t="s">
        <v>926</v>
      </c>
      <c r="N422" t="s">
        <v>185</v>
      </c>
      <c r="O422" t="s">
        <v>927</v>
      </c>
      <c r="P422" t="s">
        <v>867</v>
      </c>
      <c r="Q422" t="s">
        <v>928</v>
      </c>
      <c r="R422" t="s">
        <v>929</v>
      </c>
      <c r="S422" t="s">
        <v>232</v>
      </c>
      <c r="T422" t="s">
        <v>509</v>
      </c>
      <c r="U422" t="s">
        <v>45</v>
      </c>
      <c r="V422" t="s">
        <v>234</v>
      </c>
      <c r="W422" t="s">
        <v>44</v>
      </c>
      <c r="X422" t="s">
        <v>21</v>
      </c>
      <c r="Y422" t="s">
        <v>304</v>
      </c>
      <c r="Z422">
        <v>3453</v>
      </c>
      <c r="AA422">
        <v>3453</v>
      </c>
      <c r="AB422" t="s">
        <v>237</v>
      </c>
      <c r="AC422">
        <v>4.66</v>
      </c>
      <c r="AD422">
        <v>16090.98</v>
      </c>
      <c r="AE422">
        <v>4247.1899999999996</v>
      </c>
      <c r="AF422" t="s">
        <v>870</v>
      </c>
      <c r="AG422">
        <v>11843.79</v>
      </c>
      <c r="AH422">
        <v>0.74</v>
      </c>
    </row>
    <row r="423" spans="1:34" x14ac:dyDescent="0.25">
      <c r="A423" t="s">
        <v>609</v>
      </c>
      <c r="B423">
        <v>422</v>
      </c>
      <c r="C423" t="s">
        <v>487</v>
      </c>
      <c r="D423" t="s">
        <v>261</v>
      </c>
      <c r="E423" t="s">
        <v>232</v>
      </c>
      <c r="F423" t="s">
        <v>1500</v>
      </c>
      <c r="G423" s="25">
        <v>44268</v>
      </c>
      <c r="H423">
        <v>15</v>
      </c>
      <c r="I423">
        <v>72</v>
      </c>
      <c r="J423" t="s">
        <v>1502</v>
      </c>
      <c r="K423" t="s">
        <v>510</v>
      </c>
      <c r="L423" t="s">
        <v>231</v>
      </c>
      <c r="M423" t="s">
        <v>898</v>
      </c>
      <c r="N423" t="s">
        <v>185</v>
      </c>
      <c r="O423" t="s">
        <v>940</v>
      </c>
      <c r="P423" t="s">
        <v>867</v>
      </c>
      <c r="Q423" t="s">
        <v>941</v>
      </c>
      <c r="R423" t="s">
        <v>942</v>
      </c>
      <c r="S423" t="s">
        <v>232</v>
      </c>
      <c r="T423" t="s">
        <v>509</v>
      </c>
      <c r="U423" t="s">
        <v>45</v>
      </c>
      <c r="V423" t="s">
        <v>234</v>
      </c>
      <c r="W423" t="s">
        <v>44</v>
      </c>
      <c r="X423" t="s">
        <v>21</v>
      </c>
      <c r="Y423" t="s">
        <v>304</v>
      </c>
      <c r="Z423">
        <v>2778</v>
      </c>
      <c r="AA423">
        <v>2778</v>
      </c>
      <c r="AB423" t="s">
        <v>237</v>
      </c>
      <c r="AC423">
        <v>4.66</v>
      </c>
      <c r="AD423">
        <v>12945.48</v>
      </c>
      <c r="AE423">
        <v>3416.94</v>
      </c>
      <c r="AF423" t="s">
        <v>870</v>
      </c>
      <c r="AG423">
        <v>9528.5400000000009</v>
      </c>
      <c r="AH423">
        <v>0.74</v>
      </c>
    </row>
    <row r="424" spans="1:34" x14ac:dyDescent="0.25">
      <c r="A424" t="s">
        <v>543</v>
      </c>
      <c r="B424">
        <v>423</v>
      </c>
      <c r="C424" t="s">
        <v>487</v>
      </c>
      <c r="D424" t="s">
        <v>261</v>
      </c>
      <c r="E424" t="s">
        <v>232</v>
      </c>
      <c r="F424" t="s">
        <v>1500</v>
      </c>
      <c r="G424" s="25">
        <v>44268</v>
      </c>
      <c r="H424">
        <v>15</v>
      </c>
      <c r="I424">
        <v>72</v>
      </c>
      <c r="J424" t="s">
        <v>1505</v>
      </c>
      <c r="K424" t="s">
        <v>510</v>
      </c>
      <c r="L424" t="s">
        <v>231</v>
      </c>
      <c r="M424" t="s">
        <v>872</v>
      </c>
      <c r="N424" t="s">
        <v>184</v>
      </c>
      <c r="O424" t="s">
        <v>1092</v>
      </c>
      <c r="P424" t="s">
        <v>867</v>
      </c>
      <c r="Q424" t="s">
        <v>1093</v>
      </c>
      <c r="R424" t="s">
        <v>1094</v>
      </c>
      <c r="S424" t="s">
        <v>232</v>
      </c>
      <c r="T424" t="s">
        <v>509</v>
      </c>
      <c r="U424" t="s">
        <v>45</v>
      </c>
      <c r="V424" t="s">
        <v>234</v>
      </c>
      <c r="W424" t="s">
        <v>44</v>
      </c>
      <c r="X424" t="s">
        <v>21</v>
      </c>
      <c r="Y424" t="s">
        <v>304</v>
      </c>
      <c r="Z424">
        <v>3205</v>
      </c>
      <c r="AA424">
        <v>3205</v>
      </c>
      <c r="AB424" t="s">
        <v>237</v>
      </c>
      <c r="AC424">
        <v>4.66</v>
      </c>
      <c r="AD424">
        <v>14935.3</v>
      </c>
      <c r="AE424">
        <v>3942.15</v>
      </c>
      <c r="AF424" t="s">
        <v>870</v>
      </c>
      <c r="AG424">
        <v>10993.15</v>
      </c>
      <c r="AH424">
        <v>0.74</v>
      </c>
    </row>
    <row r="425" spans="1:34" x14ac:dyDescent="0.25">
      <c r="A425" t="s">
        <v>829</v>
      </c>
      <c r="B425">
        <v>424</v>
      </c>
      <c r="C425" t="s">
        <v>487</v>
      </c>
      <c r="D425" t="s">
        <v>261</v>
      </c>
      <c r="E425" t="s">
        <v>232</v>
      </c>
      <c r="F425" t="s">
        <v>1500</v>
      </c>
      <c r="G425" s="25">
        <v>44268</v>
      </c>
      <c r="H425">
        <v>15</v>
      </c>
      <c r="I425">
        <v>72</v>
      </c>
      <c r="J425" t="s">
        <v>1506</v>
      </c>
      <c r="K425" t="s">
        <v>510</v>
      </c>
      <c r="L425" t="s">
        <v>231</v>
      </c>
      <c r="M425" t="s">
        <v>872</v>
      </c>
      <c r="N425" t="s">
        <v>184</v>
      </c>
      <c r="O425" t="s">
        <v>1224</v>
      </c>
      <c r="P425" t="s">
        <v>867</v>
      </c>
      <c r="Q425" t="s">
        <v>1225</v>
      </c>
      <c r="R425" t="s">
        <v>1226</v>
      </c>
      <c r="S425" t="s">
        <v>232</v>
      </c>
      <c r="T425" t="s">
        <v>509</v>
      </c>
      <c r="U425" t="s">
        <v>45</v>
      </c>
      <c r="V425" t="s">
        <v>234</v>
      </c>
      <c r="W425" t="s">
        <v>44</v>
      </c>
      <c r="X425" t="s">
        <v>21</v>
      </c>
      <c r="Y425" t="s">
        <v>304</v>
      </c>
      <c r="Z425">
        <v>3433</v>
      </c>
      <c r="AA425">
        <v>3433</v>
      </c>
      <c r="AB425" t="s">
        <v>237</v>
      </c>
      <c r="AC425">
        <v>4.66</v>
      </c>
      <c r="AD425">
        <v>15997.78</v>
      </c>
      <c r="AE425">
        <v>4222.59</v>
      </c>
      <c r="AF425" t="s">
        <v>870</v>
      </c>
      <c r="AG425">
        <v>11775.19</v>
      </c>
      <c r="AH425">
        <v>0.74</v>
      </c>
    </row>
    <row r="426" spans="1:34" x14ac:dyDescent="0.25">
      <c r="A426" t="s">
        <v>633</v>
      </c>
      <c r="B426">
        <v>425</v>
      </c>
      <c r="C426" t="s">
        <v>487</v>
      </c>
      <c r="D426" t="s">
        <v>261</v>
      </c>
      <c r="E426" t="s">
        <v>232</v>
      </c>
      <c r="F426" t="s">
        <v>1500</v>
      </c>
      <c r="G426" s="25">
        <v>44268</v>
      </c>
      <c r="H426">
        <v>15</v>
      </c>
      <c r="I426">
        <v>72</v>
      </c>
      <c r="J426" t="s">
        <v>1507</v>
      </c>
      <c r="K426" t="s">
        <v>510</v>
      </c>
      <c r="L426" t="s">
        <v>231</v>
      </c>
      <c r="M426" t="s">
        <v>888</v>
      </c>
      <c r="N426" t="s">
        <v>184</v>
      </c>
      <c r="O426" t="s">
        <v>978</v>
      </c>
      <c r="P426" t="s">
        <v>867</v>
      </c>
      <c r="Q426" t="s">
        <v>1508</v>
      </c>
      <c r="R426" t="s">
        <v>1509</v>
      </c>
      <c r="S426" t="s">
        <v>537</v>
      </c>
      <c r="T426" t="s">
        <v>504</v>
      </c>
      <c r="U426" t="s">
        <v>43</v>
      </c>
      <c r="V426" t="s">
        <v>234</v>
      </c>
      <c r="W426" t="s">
        <v>42</v>
      </c>
      <c r="X426" t="s">
        <v>21</v>
      </c>
      <c r="Y426" t="s">
        <v>236</v>
      </c>
      <c r="Z426">
        <v>3132</v>
      </c>
      <c r="AA426">
        <v>3132</v>
      </c>
      <c r="AB426" t="s">
        <v>237</v>
      </c>
      <c r="AC426">
        <v>5.13</v>
      </c>
      <c r="AD426">
        <v>16067.16</v>
      </c>
      <c r="AE426">
        <v>3852.36</v>
      </c>
      <c r="AF426" t="s">
        <v>870</v>
      </c>
      <c r="AG426">
        <v>12214.8</v>
      </c>
      <c r="AH426">
        <v>0.76</v>
      </c>
    </row>
    <row r="427" spans="1:34" x14ac:dyDescent="0.25">
      <c r="A427" t="s">
        <v>526</v>
      </c>
      <c r="B427">
        <v>426</v>
      </c>
      <c r="C427" t="s">
        <v>487</v>
      </c>
      <c r="D427" t="s">
        <v>261</v>
      </c>
      <c r="E427" t="s">
        <v>232</v>
      </c>
      <c r="F427" t="s">
        <v>1500</v>
      </c>
      <c r="G427" s="25">
        <v>44268</v>
      </c>
      <c r="H427">
        <v>15</v>
      </c>
      <c r="I427">
        <v>72</v>
      </c>
      <c r="J427" t="s">
        <v>1510</v>
      </c>
      <c r="K427" t="s">
        <v>510</v>
      </c>
      <c r="L427" t="s">
        <v>231</v>
      </c>
      <c r="M427" t="s">
        <v>872</v>
      </c>
      <c r="N427" t="s">
        <v>184</v>
      </c>
      <c r="O427" t="s">
        <v>948</v>
      </c>
      <c r="P427" t="s">
        <v>867</v>
      </c>
      <c r="Q427" t="s">
        <v>1511</v>
      </c>
      <c r="R427" t="s">
        <v>1512</v>
      </c>
      <c r="S427" t="s">
        <v>537</v>
      </c>
      <c r="T427" t="s">
        <v>504</v>
      </c>
      <c r="U427" t="s">
        <v>43</v>
      </c>
      <c r="V427" t="s">
        <v>234</v>
      </c>
      <c r="W427" t="s">
        <v>42</v>
      </c>
      <c r="X427" t="s">
        <v>21</v>
      </c>
      <c r="Y427" t="s">
        <v>236</v>
      </c>
      <c r="Z427">
        <v>3244</v>
      </c>
      <c r="AA427">
        <v>3244</v>
      </c>
      <c r="AB427" t="s">
        <v>237</v>
      </c>
      <c r="AC427">
        <v>5.13</v>
      </c>
      <c r="AD427">
        <v>16641.72</v>
      </c>
      <c r="AE427">
        <v>3990.12</v>
      </c>
      <c r="AF427" t="s">
        <v>870</v>
      </c>
      <c r="AG427">
        <v>12651.6</v>
      </c>
      <c r="AH427">
        <v>0.76</v>
      </c>
    </row>
    <row r="428" spans="1:34" x14ac:dyDescent="0.25">
      <c r="A428" t="s">
        <v>738</v>
      </c>
      <c r="B428">
        <v>427</v>
      </c>
      <c r="C428" t="s">
        <v>487</v>
      </c>
      <c r="D428" t="s">
        <v>261</v>
      </c>
      <c r="E428" t="s">
        <v>232</v>
      </c>
      <c r="F428" t="s">
        <v>1500</v>
      </c>
      <c r="G428" s="25">
        <v>44268</v>
      </c>
      <c r="H428">
        <v>15</v>
      </c>
      <c r="I428">
        <v>72</v>
      </c>
      <c r="J428" t="s">
        <v>1513</v>
      </c>
      <c r="K428" t="s">
        <v>510</v>
      </c>
      <c r="L428" t="s">
        <v>231</v>
      </c>
      <c r="M428" t="s">
        <v>1184</v>
      </c>
      <c r="N428" t="s">
        <v>186</v>
      </c>
      <c r="O428" t="s">
        <v>1207</v>
      </c>
      <c r="P428" t="s">
        <v>867</v>
      </c>
      <c r="Q428" t="s">
        <v>1208</v>
      </c>
      <c r="R428" t="s">
        <v>1209</v>
      </c>
      <c r="S428" t="s">
        <v>537</v>
      </c>
      <c r="T428" t="s">
        <v>504</v>
      </c>
      <c r="U428" t="s">
        <v>43</v>
      </c>
      <c r="V428" t="s">
        <v>234</v>
      </c>
      <c r="W428" t="s">
        <v>42</v>
      </c>
      <c r="X428" t="s">
        <v>21</v>
      </c>
      <c r="Y428" t="s">
        <v>236</v>
      </c>
      <c r="Z428">
        <v>3128</v>
      </c>
      <c r="AA428">
        <v>3128</v>
      </c>
      <c r="AB428" t="s">
        <v>237</v>
      </c>
      <c r="AC428">
        <v>5.13</v>
      </c>
      <c r="AD428">
        <v>16046.64</v>
      </c>
      <c r="AE428">
        <v>3847.44</v>
      </c>
      <c r="AF428" t="s">
        <v>870</v>
      </c>
      <c r="AG428">
        <v>12199.2</v>
      </c>
      <c r="AH428">
        <v>0.76</v>
      </c>
    </row>
    <row r="429" spans="1:34" x14ac:dyDescent="0.25">
      <c r="A429" t="s">
        <v>848</v>
      </c>
      <c r="B429">
        <v>428</v>
      </c>
      <c r="C429" t="s">
        <v>487</v>
      </c>
      <c r="D429" t="s">
        <v>261</v>
      </c>
      <c r="E429" t="s">
        <v>232</v>
      </c>
      <c r="F429" t="s">
        <v>1500</v>
      </c>
      <c r="G429" s="25">
        <v>44268</v>
      </c>
      <c r="H429">
        <v>15</v>
      </c>
      <c r="I429">
        <v>72</v>
      </c>
      <c r="J429" t="s">
        <v>1514</v>
      </c>
      <c r="K429" t="s">
        <v>510</v>
      </c>
      <c r="L429" t="s">
        <v>231</v>
      </c>
      <c r="M429" t="s">
        <v>872</v>
      </c>
      <c r="N429" t="s">
        <v>184</v>
      </c>
      <c r="O429" t="s">
        <v>1515</v>
      </c>
      <c r="P429" t="s">
        <v>867</v>
      </c>
      <c r="Q429" t="s">
        <v>1516</v>
      </c>
      <c r="R429" t="s">
        <v>1517</v>
      </c>
      <c r="S429" t="s">
        <v>537</v>
      </c>
      <c r="T429" t="s">
        <v>509</v>
      </c>
      <c r="U429" t="s">
        <v>45</v>
      </c>
      <c r="V429" t="s">
        <v>234</v>
      </c>
      <c r="W429" t="s">
        <v>44</v>
      </c>
      <c r="X429" t="s">
        <v>21</v>
      </c>
      <c r="Y429" t="s">
        <v>304</v>
      </c>
      <c r="Z429">
        <v>2829</v>
      </c>
      <c r="AA429">
        <v>2829</v>
      </c>
      <c r="AB429" t="s">
        <v>237</v>
      </c>
      <c r="AC429">
        <v>5.13</v>
      </c>
      <c r="AD429">
        <v>14512.77</v>
      </c>
      <c r="AE429">
        <v>3479.67</v>
      </c>
      <c r="AF429" t="s">
        <v>870</v>
      </c>
      <c r="AG429">
        <v>11033.1</v>
      </c>
      <c r="AH429">
        <v>0.76</v>
      </c>
    </row>
    <row r="430" spans="1:34" x14ac:dyDescent="0.25">
      <c r="A430" t="s">
        <v>750</v>
      </c>
      <c r="B430">
        <v>429</v>
      </c>
      <c r="C430" t="s">
        <v>487</v>
      </c>
      <c r="D430" t="s">
        <v>261</v>
      </c>
      <c r="E430" t="s">
        <v>512</v>
      </c>
      <c r="F430" t="s">
        <v>1518</v>
      </c>
      <c r="G430" s="25">
        <v>44269</v>
      </c>
      <c r="H430">
        <v>15</v>
      </c>
      <c r="I430">
        <v>73</v>
      </c>
      <c r="J430" t="s">
        <v>1519</v>
      </c>
      <c r="K430" t="s">
        <v>510</v>
      </c>
      <c r="L430" t="s">
        <v>231</v>
      </c>
      <c r="M430" t="s">
        <v>865</v>
      </c>
      <c r="N430" t="s">
        <v>186</v>
      </c>
      <c r="O430" t="s">
        <v>1012</v>
      </c>
      <c r="P430" t="s">
        <v>867</v>
      </c>
      <c r="Q430" t="s">
        <v>1168</v>
      </c>
      <c r="R430" t="s">
        <v>1169</v>
      </c>
      <c r="S430" t="s">
        <v>232</v>
      </c>
      <c r="T430" t="s">
        <v>504</v>
      </c>
      <c r="U430" t="s">
        <v>43</v>
      </c>
      <c r="V430" t="s">
        <v>234</v>
      </c>
      <c r="W430" t="s">
        <v>42</v>
      </c>
      <c r="X430" t="s">
        <v>21</v>
      </c>
      <c r="Y430" t="s">
        <v>236</v>
      </c>
      <c r="Z430">
        <v>2967</v>
      </c>
      <c r="AA430">
        <v>2967</v>
      </c>
      <c r="AB430" t="s">
        <v>237</v>
      </c>
      <c r="AC430">
        <v>4.66</v>
      </c>
      <c r="AD430">
        <v>13826.22</v>
      </c>
      <c r="AE430">
        <v>3649.41</v>
      </c>
      <c r="AF430" t="s">
        <v>870</v>
      </c>
      <c r="AG430">
        <v>10176.81</v>
      </c>
      <c r="AH430">
        <v>0.74</v>
      </c>
    </row>
    <row r="431" spans="1:34" x14ac:dyDescent="0.25">
      <c r="A431" t="s">
        <v>744</v>
      </c>
      <c r="B431">
        <v>430</v>
      </c>
      <c r="C431" t="s">
        <v>487</v>
      </c>
      <c r="D431" t="s">
        <v>261</v>
      </c>
      <c r="E431" t="s">
        <v>512</v>
      </c>
      <c r="F431" t="s">
        <v>1518</v>
      </c>
      <c r="G431" s="25">
        <v>44269</v>
      </c>
      <c r="H431">
        <v>15</v>
      </c>
      <c r="I431">
        <v>73</v>
      </c>
      <c r="J431" t="s">
        <v>1520</v>
      </c>
      <c r="K431" t="s">
        <v>876</v>
      </c>
      <c r="L431" t="s">
        <v>231</v>
      </c>
      <c r="M431" t="s">
        <v>872</v>
      </c>
      <c r="N431" t="s">
        <v>184</v>
      </c>
      <c r="O431" t="s">
        <v>1199</v>
      </c>
      <c r="P431" t="s">
        <v>867</v>
      </c>
      <c r="Q431" t="s">
        <v>1390</v>
      </c>
      <c r="R431" t="s">
        <v>1391</v>
      </c>
      <c r="S431" t="s">
        <v>232</v>
      </c>
      <c r="T431" t="s">
        <v>509</v>
      </c>
      <c r="U431" t="s">
        <v>45</v>
      </c>
      <c r="V431" t="s">
        <v>234</v>
      </c>
      <c r="W431" t="s">
        <v>44</v>
      </c>
      <c r="X431" t="s">
        <v>21</v>
      </c>
      <c r="Y431" t="s">
        <v>304</v>
      </c>
      <c r="Z431">
        <v>2727</v>
      </c>
      <c r="AA431">
        <v>2727</v>
      </c>
      <c r="AB431" t="s">
        <v>237</v>
      </c>
      <c r="AC431">
        <v>4.66</v>
      </c>
      <c r="AD431">
        <v>12707.82</v>
      </c>
      <c r="AE431">
        <v>3354.21</v>
      </c>
      <c r="AF431" t="s">
        <v>870</v>
      </c>
      <c r="AG431">
        <v>9353.61</v>
      </c>
      <c r="AH431">
        <v>0.74</v>
      </c>
    </row>
    <row r="432" spans="1:34" x14ac:dyDescent="0.25">
      <c r="A432" t="s">
        <v>772</v>
      </c>
      <c r="B432">
        <v>431</v>
      </c>
      <c r="C432" t="s">
        <v>487</v>
      </c>
      <c r="D432" t="s">
        <v>261</v>
      </c>
      <c r="E432" t="s">
        <v>512</v>
      </c>
      <c r="F432" t="s">
        <v>1518</v>
      </c>
      <c r="G432" s="25">
        <v>44269</v>
      </c>
      <c r="H432">
        <v>15</v>
      </c>
      <c r="I432">
        <v>73</v>
      </c>
      <c r="J432" t="s">
        <v>1520</v>
      </c>
      <c r="K432" t="s">
        <v>510</v>
      </c>
      <c r="L432" t="s">
        <v>231</v>
      </c>
      <c r="M432" t="s">
        <v>872</v>
      </c>
      <c r="N432" t="s">
        <v>184</v>
      </c>
      <c r="O432" t="s">
        <v>1199</v>
      </c>
      <c r="P432" t="s">
        <v>867</v>
      </c>
      <c r="Q432" t="s">
        <v>1390</v>
      </c>
      <c r="R432" t="s">
        <v>1391</v>
      </c>
      <c r="S432" t="s">
        <v>232</v>
      </c>
      <c r="T432" t="s">
        <v>509</v>
      </c>
      <c r="U432" t="s">
        <v>45</v>
      </c>
      <c r="V432" t="s">
        <v>234</v>
      </c>
      <c r="W432" t="s">
        <v>44</v>
      </c>
      <c r="X432" t="s">
        <v>21</v>
      </c>
      <c r="Y432" t="s">
        <v>304</v>
      </c>
      <c r="Z432">
        <v>3007</v>
      </c>
      <c r="AA432">
        <v>3007</v>
      </c>
      <c r="AB432" t="s">
        <v>237</v>
      </c>
      <c r="AC432">
        <v>4.66</v>
      </c>
      <c r="AD432">
        <v>14012.62</v>
      </c>
      <c r="AE432">
        <v>3698.61</v>
      </c>
      <c r="AF432" t="s">
        <v>870</v>
      </c>
      <c r="AG432">
        <v>10314.01</v>
      </c>
      <c r="AH432">
        <v>0.74</v>
      </c>
    </row>
    <row r="433" spans="1:34" x14ac:dyDescent="0.25">
      <c r="A433" t="s">
        <v>713</v>
      </c>
      <c r="B433">
        <v>432</v>
      </c>
      <c r="C433" t="s">
        <v>487</v>
      </c>
      <c r="D433" t="s">
        <v>261</v>
      </c>
      <c r="E433" t="s">
        <v>512</v>
      </c>
      <c r="F433" t="s">
        <v>1518</v>
      </c>
      <c r="G433" s="25">
        <v>44269</v>
      </c>
      <c r="H433">
        <v>15</v>
      </c>
      <c r="I433">
        <v>73</v>
      </c>
      <c r="J433" t="s">
        <v>1519</v>
      </c>
      <c r="K433" t="s">
        <v>876</v>
      </c>
      <c r="L433" t="s">
        <v>231</v>
      </c>
      <c r="M433" t="s">
        <v>865</v>
      </c>
      <c r="N433" t="s">
        <v>186</v>
      </c>
      <c r="O433" t="s">
        <v>1012</v>
      </c>
      <c r="P433" t="s">
        <v>867</v>
      </c>
      <c r="Q433" t="s">
        <v>1168</v>
      </c>
      <c r="R433" t="s">
        <v>1169</v>
      </c>
      <c r="S433" t="s">
        <v>232</v>
      </c>
      <c r="T433" t="s">
        <v>509</v>
      </c>
      <c r="U433" t="s">
        <v>45</v>
      </c>
      <c r="V433" t="s">
        <v>234</v>
      </c>
      <c r="W433" t="s">
        <v>44</v>
      </c>
      <c r="X433" t="s">
        <v>21</v>
      </c>
      <c r="Y433" t="s">
        <v>304</v>
      </c>
      <c r="Z433">
        <v>3344</v>
      </c>
      <c r="AA433">
        <v>3344</v>
      </c>
      <c r="AB433" t="s">
        <v>237</v>
      </c>
      <c r="AC433">
        <v>4.66</v>
      </c>
      <c r="AD433">
        <v>15583.04</v>
      </c>
      <c r="AE433">
        <v>4113.12</v>
      </c>
      <c r="AF433" t="s">
        <v>870</v>
      </c>
      <c r="AG433">
        <v>11469.92</v>
      </c>
      <c r="AH433">
        <v>0.74</v>
      </c>
    </row>
    <row r="434" spans="1:34" x14ac:dyDescent="0.25">
      <c r="A434" t="s">
        <v>644</v>
      </c>
      <c r="B434">
        <v>433</v>
      </c>
      <c r="C434" t="s">
        <v>487</v>
      </c>
      <c r="D434" t="s">
        <v>261</v>
      </c>
      <c r="E434" t="s">
        <v>512</v>
      </c>
      <c r="F434" t="s">
        <v>1518</v>
      </c>
      <c r="G434" s="25">
        <v>44269</v>
      </c>
      <c r="H434">
        <v>15</v>
      </c>
      <c r="I434">
        <v>73</v>
      </c>
      <c r="J434" t="s">
        <v>1521</v>
      </c>
      <c r="K434" t="s">
        <v>510</v>
      </c>
      <c r="L434" t="s">
        <v>231</v>
      </c>
      <c r="M434" t="s">
        <v>911</v>
      </c>
      <c r="N434" t="s">
        <v>186</v>
      </c>
      <c r="O434" t="s">
        <v>1008</v>
      </c>
      <c r="P434" t="s">
        <v>867</v>
      </c>
      <c r="Q434" t="s">
        <v>1009</v>
      </c>
      <c r="R434" t="s">
        <v>1010</v>
      </c>
      <c r="S434" t="s">
        <v>537</v>
      </c>
      <c r="T434" t="s">
        <v>505</v>
      </c>
      <c r="U434" t="s">
        <v>41</v>
      </c>
      <c r="V434" t="s">
        <v>234</v>
      </c>
      <c r="W434" t="s">
        <v>40</v>
      </c>
      <c r="X434" t="s">
        <v>21</v>
      </c>
      <c r="Y434" t="s">
        <v>266</v>
      </c>
      <c r="Z434">
        <v>2740</v>
      </c>
      <c r="AA434">
        <v>2740</v>
      </c>
      <c r="AB434" t="s">
        <v>237</v>
      </c>
      <c r="AC434">
        <v>4.7300000000000004</v>
      </c>
      <c r="AD434">
        <v>12960.2</v>
      </c>
      <c r="AE434">
        <v>2466</v>
      </c>
      <c r="AF434" t="s">
        <v>870</v>
      </c>
      <c r="AG434">
        <v>10494.2</v>
      </c>
      <c r="AH434">
        <v>0.81</v>
      </c>
    </row>
    <row r="435" spans="1:34" x14ac:dyDescent="0.25">
      <c r="A435" t="s">
        <v>806</v>
      </c>
      <c r="B435">
        <v>434</v>
      </c>
      <c r="C435" t="s">
        <v>487</v>
      </c>
      <c r="D435" t="s">
        <v>261</v>
      </c>
      <c r="E435" t="s">
        <v>512</v>
      </c>
      <c r="F435" t="s">
        <v>1518</v>
      </c>
      <c r="G435" s="25">
        <v>44269</v>
      </c>
      <c r="H435">
        <v>15</v>
      </c>
      <c r="I435">
        <v>73</v>
      </c>
      <c r="J435" t="s">
        <v>1522</v>
      </c>
      <c r="K435" t="s">
        <v>510</v>
      </c>
      <c r="L435" t="s">
        <v>231</v>
      </c>
      <c r="M435" t="s">
        <v>926</v>
      </c>
      <c r="N435" t="s">
        <v>185</v>
      </c>
      <c r="O435" t="s">
        <v>953</v>
      </c>
      <c r="P435" t="s">
        <v>867</v>
      </c>
      <c r="Q435" t="s">
        <v>1028</v>
      </c>
      <c r="R435" t="s">
        <v>1029</v>
      </c>
      <c r="S435" t="s">
        <v>537</v>
      </c>
      <c r="T435" t="s">
        <v>509</v>
      </c>
      <c r="U435" t="s">
        <v>45</v>
      </c>
      <c r="V435" t="s">
        <v>234</v>
      </c>
      <c r="W435" t="s">
        <v>44</v>
      </c>
      <c r="X435" t="s">
        <v>21</v>
      </c>
      <c r="Y435" t="s">
        <v>304</v>
      </c>
      <c r="Z435">
        <v>2572</v>
      </c>
      <c r="AA435">
        <v>2572</v>
      </c>
      <c r="AB435" t="s">
        <v>237</v>
      </c>
      <c r="AC435">
        <v>5.13</v>
      </c>
      <c r="AD435">
        <v>13194.36</v>
      </c>
      <c r="AE435">
        <v>3163.56</v>
      </c>
      <c r="AF435" t="s">
        <v>870</v>
      </c>
      <c r="AG435">
        <v>10030.799999999999</v>
      </c>
      <c r="AH435">
        <v>0.76</v>
      </c>
    </row>
    <row r="436" spans="1:34" x14ac:dyDescent="0.25">
      <c r="A436" t="s">
        <v>603</v>
      </c>
      <c r="B436">
        <v>435</v>
      </c>
      <c r="C436" t="s">
        <v>487</v>
      </c>
      <c r="D436" t="s">
        <v>261</v>
      </c>
      <c r="E436" t="s">
        <v>512</v>
      </c>
      <c r="F436" t="s">
        <v>1518</v>
      </c>
      <c r="G436" s="25">
        <v>44269</v>
      </c>
      <c r="H436">
        <v>15</v>
      </c>
      <c r="I436">
        <v>73</v>
      </c>
      <c r="J436" t="s">
        <v>1523</v>
      </c>
      <c r="K436" t="s">
        <v>510</v>
      </c>
      <c r="L436" t="s">
        <v>231</v>
      </c>
      <c r="M436" t="s">
        <v>1114</v>
      </c>
      <c r="N436" t="s">
        <v>185</v>
      </c>
      <c r="O436" t="s">
        <v>1115</v>
      </c>
      <c r="P436" t="s">
        <v>867</v>
      </c>
      <c r="Q436" t="s">
        <v>1116</v>
      </c>
      <c r="R436" t="s">
        <v>1117</v>
      </c>
      <c r="S436" t="s">
        <v>537</v>
      </c>
      <c r="T436" t="s">
        <v>509</v>
      </c>
      <c r="U436" t="s">
        <v>45</v>
      </c>
      <c r="V436" t="s">
        <v>234</v>
      </c>
      <c r="W436" t="s">
        <v>44</v>
      </c>
      <c r="X436" t="s">
        <v>21</v>
      </c>
      <c r="Y436" t="s">
        <v>304</v>
      </c>
      <c r="Z436">
        <v>2953</v>
      </c>
      <c r="AA436">
        <v>2953</v>
      </c>
      <c r="AB436" t="s">
        <v>237</v>
      </c>
      <c r="AC436">
        <v>5.13</v>
      </c>
      <c r="AD436">
        <v>15148.89</v>
      </c>
      <c r="AE436">
        <v>3632.19</v>
      </c>
      <c r="AF436" t="s">
        <v>870</v>
      </c>
      <c r="AG436">
        <v>11516.7</v>
      </c>
      <c r="AH436">
        <v>0.76</v>
      </c>
    </row>
    <row r="437" spans="1:34" x14ac:dyDescent="0.25">
      <c r="A437" t="s">
        <v>769</v>
      </c>
      <c r="B437">
        <v>436</v>
      </c>
      <c r="C437" t="s">
        <v>487</v>
      </c>
      <c r="D437" t="s">
        <v>261</v>
      </c>
      <c r="E437" t="s">
        <v>512</v>
      </c>
      <c r="F437" t="s">
        <v>1518</v>
      </c>
      <c r="G437" s="25">
        <v>44269</v>
      </c>
      <c r="H437">
        <v>15</v>
      </c>
      <c r="I437">
        <v>73</v>
      </c>
      <c r="J437" t="s">
        <v>1524</v>
      </c>
      <c r="K437" t="s">
        <v>510</v>
      </c>
      <c r="L437" t="s">
        <v>231</v>
      </c>
      <c r="M437" t="s">
        <v>872</v>
      </c>
      <c r="N437" t="s">
        <v>184</v>
      </c>
      <c r="O437" t="s">
        <v>1273</v>
      </c>
      <c r="P437" t="s">
        <v>867</v>
      </c>
      <c r="Q437" t="s">
        <v>1274</v>
      </c>
      <c r="R437" t="s">
        <v>1275</v>
      </c>
      <c r="S437" t="s">
        <v>537</v>
      </c>
      <c r="T437" t="s">
        <v>509</v>
      </c>
      <c r="U437" t="s">
        <v>45</v>
      </c>
      <c r="V437" t="s">
        <v>234</v>
      </c>
      <c r="W437" t="s">
        <v>44</v>
      </c>
      <c r="X437" t="s">
        <v>21</v>
      </c>
      <c r="Y437" t="s">
        <v>304</v>
      </c>
      <c r="Z437">
        <v>2606</v>
      </c>
      <c r="AA437">
        <v>2606</v>
      </c>
      <c r="AB437" t="s">
        <v>237</v>
      </c>
      <c r="AC437">
        <v>5.13</v>
      </c>
      <c r="AD437">
        <v>13368.78</v>
      </c>
      <c r="AE437">
        <v>3205.38</v>
      </c>
      <c r="AF437" t="s">
        <v>870</v>
      </c>
      <c r="AG437">
        <v>10163.4</v>
      </c>
      <c r="AH437">
        <v>0.76</v>
      </c>
    </row>
    <row r="438" spans="1:34" x14ac:dyDescent="0.25">
      <c r="A438" t="s">
        <v>761</v>
      </c>
      <c r="B438">
        <v>437</v>
      </c>
      <c r="C438" t="s">
        <v>487</v>
      </c>
      <c r="D438" t="s">
        <v>261</v>
      </c>
      <c r="E438" t="s">
        <v>512</v>
      </c>
      <c r="F438" t="s">
        <v>1518</v>
      </c>
      <c r="G438" s="25">
        <v>44269</v>
      </c>
      <c r="H438">
        <v>15</v>
      </c>
      <c r="I438">
        <v>73</v>
      </c>
      <c r="J438" t="s">
        <v>1525</v>
      </c>
      <c r="K438" t="s">
        <v>510</v>
      </c>
      <c r="L438" t="s">
        <v>231</v>
      </c>
      <c r="M438" t="s">
        <v>872</v>
      </c>
      <c r="N438" t="s">
        <v>184</v>
      </c>
      <c r="O438" t="s">
        <v>1407</v>
      </c>
      <c r="P438" t="s">
        <v>867</v>
      </c>
      <c r="Q438" t="s">
        <v>1408</v>
      </c>
      <c r="R438" t="s">
        <v>1409</v>
      </c>
      <c r="S438" t="s">
        <v>537</v>
      </c>
      <c r="T438" t="s">
        <v>509</v>
      </c>
      <c r="U438" t="s">
        <v>45</v>
      </c>
      <c r="V438" t="s">
        <v>234</v>
      </c>
      <c r="W438" t="s">
        <v>44</v>
      </c>
      <c r="X438" t="s">
        <v>21</v>
      </c>
      <c r="Y438" t="s">
        <v>304</v>
      </c>
      <c r="Z438">
        <v>2957</v>
      </c>
      <c r="AA438">
        <v>2957</v>
      </c>
      <c r="AB438" t="s">
        <v>237</v>
      </c>
      <c r="AC438">
        <v>5.13</v>
      </c>
      <c r="AD438">
        <v>15169.41</v>
      </c>
      <c r="AE438">
        <v>3637.11</v>
      </c>
      <c r="AF438" t="s">
        <v>870</v>
      </c>
      <c r="AG438">
        <v>11532.3</v>
      </c>
      <c r="AH438">
        <v>0.76</v>
      </c>
    </row>
    <row r="439" spans="1:34" x14ac:dyDescent="0.25">
      <c r="A439" t="s">
        <v>859</v>
      </c>
      <c r="B439">
        <v>438</v>
      </c>
      <c r="C439" t="s">
        <v>487</v>
      </c>
      <c r="D439" t="s">
        <v>261</v>
      </c>
      <c r="E439" t="s">
        <v>512</v>
      </c>
      <c r="F439" t="s">
        <v>1518</v>
      </c>
      <c r="G439" s="25">
        <v>44269</v>
      </c>
      <c r="H439">
        <v>15</v>
      </c>
      <c r="I439">
        <v>73</v>
      </c>
      <c r="J439" t="s">
        <v>1526</v>
      </c>
      <c r="K439" t="s">
        <v>510</v>
      </c>
      <c r="L439" t="s">
        <v>231</v>
      </c>
      <c r="M439" t="s">
        <v>872</v>
      </c>
      <c r="N439" t="s">
        <v>184</v>
      </c>
      <c r="O439" t="s">
        <v>903</v>
      </c>
      <c r="P439" t="s">
        <v>867</v>
      </c>
      <c r="Q439" t="s">
        <v>1527</v>
      </c>
      <c r="R439" t="s">
        <v>1528</v>
      </c>
      <c r="S439" t="s">
        <v>537</v>
      </c>
      <c r="T439" t="s">
        <v>509</v>
      </c>
      <c r="U439" t="s">
        <v>45</v>
      </c>
      <c r="V439" t="s">
        <v>234</v>
      </c>
      <c r="W439" t="s">
        <v>44</v>
      </c>
      <c r="X439" t="s">
        <v>21</v>
      </c>
      <c r="Y439" t="s">
        <v>304</v>
      </c>
      <c r="Z439">
        <v>2747</v>
      </c>
      <c r="AA439">
        <v>2747</v>
      </c>
      <c r="AB439" t="s">
        <v>237</v>
      </c>
      <c r="AC439">
        <v>5.13</v>
      </c>
      <c r="AD439">
        <v>14092.11</v>
      </c>
      <c r="AE439">
        <v>3378.81</v>
      </c>
      <c r="AF439" t="s">
        <v>870</v>
      </c>
      <c r="AG439">
        <v>10713.3</v>
      </c>
      <c r="AH439">
        <v>0.76</v>
      </c>
    </row>
    <row r="440" spans="1:34" x14ac:dyDescent="0.25">
      <c r="A440" t="s">
        <v>586</v>
      </c>
      <c r="B440">
        <v>439</v>
      </c>
      <c r="C440" t="s">
        <v>487</v>
      </c>
      <c r="D440" t="s">
        <v>261</v>
      </c>
      <c r="E440" t="s">
        <v>512</v>
      </c>
      <c r="F440" t="s">
        <v>1518</v>
      </c>
      <c r="G440" s="25">
        <v>44269</v>
      </c>
      <c r="H440">
        <v>15</v>
      </c>
      <c r="I440">
        <v>73</v>
      </c>
      <c r="J440" t="s">
        <v>1529</v>
      </c>
      <c r="K440" t="s">
        <v>510</v>
      </c>
      <c r="L440" t="s">
        <v>231</v>
      </c>
      <c r="M440" t="s">
        <v>931</v>
      </c>
      <c r="N440" t="s">
        <v>186</v>
      </c>
      <c r="O440" t="s">
        <v>1285</v>
      </c>
      <c r="P440" t="s">
        <v>867</v>
      </c>
      <c r="Q440" t="s">
        <v>1286</v>
      </c>
      <c r="R440" t="s">
        <v>1287</v>
      </c>
      <c r="S440" t="s">
        <v>537</v>
      </c>
      <c r="T440" t="s">
        <v>509</v>
      </c>
      <c r="U440" t="s">
        <v>45</v>
      </c>
      <c r="V440" t="s">
        <v>234</v>
      </c>
      <c r="W440" t="s">
        <v>44</v>
      </c>
      <c r="X440" t="s">
        <v>21</v>
      </c>
      <c r="Y440" t="s">
        <v>304</v>
      </c>
      <c r="Z440">
        <v>3222</v>
      </c>
      <c r="AA440">
        <v>3222</v>
      </c>
      <c r="AB440" t="s">
        <v>237</v>
      </c>
      <c r="AC440">
        <v>5.13</v>
      </c>
      <c r="AD440">
        <v>16528.86</v>
      </c>
      <c r="AE440">
        <v>3963.06</v>
      </c>
      <c r="AF440" t="s">
        <v>870</v>
      </c>
      <c r="AG440">
        <v>12565.8</v>
      </c>
      <c r="AH440">
        <v>0.76</v>
      </c>
    </row>
    <row r="441" spans="1:34" x14ac:dyDescent="0.25">
      <c r="A441" t="s">
        <v>816</v>
      </c>
      <c r="B441">
        <v>440</v>
      </c>
      <c r="C441" t="s">
        <v>487</v>
      </c>
      <c r="D441" t="s">
        <v>261</v>
      </c>
      <c r="E441" t="s">
        <v>537</v>
      </c>
      <c r="F441" t="s">
        <v>1530</v>
      </c>
      <c r="G441" s="25">
        <v>44270</v>
      </c>
      <c r="H441">
        <v>15</v>
      </c>
      <c r="I441">
        <v>74</v>
      </c>
      <c r="J441" t="s">
        <v>1531</v>
      </c>
      <c r="K441" t="s">
        <v>510</v>
      </c>
      <c r="L441" t="s">
        <v>231</v>
      </c>
      <c r="M441" t="s">
        <v>872</v>
      </c>
      <c r="N441" t="s">
        <v>184</v>
      </c>
      <c r="O441" t="s">
        <v>1224</v>
      </c>
      <c r="P441" t="s">
        <v>867</v>
      </c>
      <c r="Q441" t="s">
        <v>1225</v>
      </c>
      <c r="R441" t="s">
        <v>1226</v>
      </c>
      <c r="S441" t="s">
        <v>232</v>
      </c>
      <c r="T441" t="s">
        <v>505</v>
      </c>
      <c r="U441" t="s">
        <v>41</v>
      </c>
      <c r="V441" t="s">
        <v>234</v>
      </c>
      <c r="W441" t="s">
        <v>40</v>
      </c>
      <c r="X441" t="s">
        <v>21</v>
      </c>
      <c r="Y441" t="s">
        <v>266</v>
      </c>
      <c r="Z441">
        <v>3491</v>
      </c>
      <c r="AA441">
        <v>3491</v>
      </c>
      <c r="AB441" t="s">
        <v>237</v>
      </c>
      <c r="AC441">
        <v>4.0999999999999996</v>
      </c>
      <c r="AD441">
        <v>14313.1</v>
      </c>
      <c r="AE441">
        <v>3141.9</v>
      </c>
      <c r="AF441" t="s">
        <v>870</v>
      </c>
      <c r="AG441">
        <v>11171.2</v>
      </c>
      <c r="AH441">
        <v>0.78</v>
      </c>
    </row>
    <row r="442" spans="1:34" x14ac:dyDescent="0.25">
      <c r="A442" t="s">
        <v>562</v>
      </c>
      <c r="B442">
        <v>441</v>
      </c>
      <c r="C442" t="s">
        <v>487</v>
      </c>
      <c r="D442" t="s">
        <v>261</v>
      </c>
      <c r="E442" t="s">
        <v>537</v>
      </c>
      <c r="F442" t="s">
        <v>1530</v>
      </c>
      <c r="G442" s="25">
        <v>44270</v>
      </c>
      <c r="H442">
        <v>15</v>
      </c>
      <c r="I442">
        <v>74</v>
      </c>
      <c r="J442" t="s">
        <v>1532</v>
      </c>
      <c r="K442" t="s">
        <v>876</v>
      </c>
      <c r="L442" t="s">
        <v>231</v>
      </c>
      <c r="M442" t="s">
        <v>173</v>
      </c>
      <c r="N442" t="s">
        <v>185</v>
      </c>
      <c r="O442" t="s">
        <v>1533</v>
      </c>
      <c r="P442" t="s">
        <v>867</v>
      </c>
      <c r="Q442" t="s">
        <v>1534</v>
      </c>
      <c r="R442" t="s">
        <v>1535</v>
      </c>
      <c r="S442" t="s">
        <v>232</v>
      </c>
      <c r="T442" t="s">
        <v>505</v>
      </c>
      <c r="U442" t="s">
        <v>41</v>
      </c>
      <c r="V442" t="s">
        <v>234</v>
      </c>
      <c r="W442" t="s">
        <v>40</v>
      </c>
      <c r="X442" t="s">
        <v>21</v>
      </c>
      <c r="Y442" t="s">
        <v>266</v>
      </c>
      <c r="Z442">
        <v>4057</v>
      </c>
      <c r="AA442">
        <v>4057</v>
      </c>
      <c r="AB442" t="s">
        <v>237</v>
      </c>
      <c r="AC442">
        <v>4.0999999999999996</v>
      </c>
      <c r="AD442">
        <v>16633.7</v>
      </c>
      <c r="AE442">
        <v>3651.3</v>
      </c>
      <c r="AF442" t="s">
        <v>870</v>
      </c>
      <c r="AG442">
        <v>12982.4</v>
      </c>
      <c r="AH442">
        <v>0.78</v>
      </c>
    </row>
    <row r="443" spans="1:34" x14ac:dyDescent="0.25">
      <c r="A443" t="s">
        <v>681</v>
      </c>
      <c r="B443">
        <v>442</v>
      </c>
      <c r="C443" t="s">
        <v>487</v>
      </c>
      <c r="D443" t="s">
        <v>261</v>
      </c>
      <c r="E443" t="s">
        <v>537</v>
      </c>
      <c r="F443" t="s">
        <v>1530</v>
      </c>
      <c r="G443" s="25">
        <v>44270</v>
      </c>
      <c r="H443">
        <v>15</v>
      </c>
      <c r="I443">
        <v>74</v>
      </c>
      <c r="J443" t="s">
        <v>1532</v>
      </c>
      <c r="K443" t="s">
        <v>510</v>
      </c>
      <c r="L443" t="s">
        <v>231</v>
      </c>
      <c r="M443" t="s">
        <v>173</v>
      </c>
      <c r="N443" t="s">
        <v>185</v>
      </c>
      <c r="O443" t="s">
        <v>1533</v>
      </c>
      <c r="P443" t="s">
        <v>867</v>
      </c>
      <c r="Q443" t="s">
        <v>1534</v>
      </c>
      <c r="R443" t="s">
        <v>1535</v>
      </c>
      <c r="S443" t="s">
        <v>232</v>
      </c>
      <c r="T443" t="s">
        <v>505</v>
      </c>
      <c r="U443" t="s">
        <v>41</v>
      </c>
      <c r="V443" t="s">
        <v>234</v>
      </c>
      <c r="W443" t="s">
        <v>40</v>
      </c>
      <c r="X443" t="s">
        <v>21</v>
      </c>
      <c r="Y443" t="s">
        <v>266</v>
      </c>
      <c r="Z443">
        <v>4062</v>
      </c>
      <c r="AA443">
        <v>4062</v>
      </c>
      <c r="AB443" t="s">
        <v>237</v>
      </c>
      <c r="AC443">
        <v>4.0999999999999996</v>
      </c>
      <c r="AD443">
        <v>16654.2</v>
      </c>
      <c r="AE443">
        <v>3655.8</v>
      </c>
      <c r="AF443" t="s">
        <v>870</v>
      </c>
      <c r="AG443">
        <v>12998.4</v>
      </c>
      <c r="AH443">
        <v>0.78</v>
      </c>
    </row>
    <row r="444" spans="1:34" x14ac:dyDescent="0.25">
      <c r="A444" t="s">
        <v>735</v>
      </c>
      <c r="B444">
        <v>443</v>
      </c>
      <c r="C444" t="s">
        <v>487</v>
      </c>
      <c r="D444" t="s">
        <v>261</v>
      </c>
      <c r="E444" t="s">
        <v>537</v>
      </c>
      <c r="F444" t="s">
        <v>1530</v>
      </c>
      <c r="G444" s="25">
        <v>44270</v>
      </c>
      <c r="H444">
        <v>15</v>
      </c>
      <c r="I444">
        <v>74</v>
      </c>
      <c r="J444" t="s">
        <v>1536</v>
      </c>
      <c r="K444" t="s">
        <v>876</v>
      </c>
      <c r="L444" t="s">
        <v>231</v>
      </c>
      <c r="M444" t="s">
        <v>926</v>
      </c>
      <c r="N444" t="s">
        <v>185</v>
      </c>
      <c r="O444" t="s">
        <v>953</v>
      </c>
      <c r="P444" t="s">
        <v>867</v>
      </c>
      <c r="Q444" t="s">
        <v>954</v>
      </c>
      <c r="R444" t="s">
        <v>955</v>
      </c>
      <c r="S444" t="s">
        <v>232</v>
      </c>
      <c r="T444" t="s">
        <v>504</v>
      </c>
      <c r="U444" t="s">
        <v>43</v>
      </c>
      <c r="V444" t="s">
        <v>234</v>
      </c>
      <c r="W444" t="s">
        <v>42</v>
      </c>
      <c r="X444" t="s">
        <v>21</v>
      </c>
      <c r="Y444" t="s">
        <v>236</v>
      </c>
      <c r="Z444">
        <v>3485</v>
      </c>
      <c r="AA444">
        <v>3485</v>
      </c>
      <c r="AB444" t="s">
        <v>237</v>
      </c>
      <c r="AC444">
        <v>4.66</v>
      </c>
      <c r="AD444">
        <v>16240.1</v>
      </c>
      <c r="AE444">
        <v>4286.55</v>
      </c>
      <c r="AF444" t="s">
        <v>870</v>
      </c>
      <c r="AG444">
        <v>11953.55</v>
      </c>
      <c r="AH444">
        <v>0.74</v>
      </c>
    </row>
    <row r="445" spans="1:34" x14ac:dyDescent="0.25">
      <c r="A445" t="s">
        <v>546</v>
      </c>
      <c r="B445">
        <v>444</v>
      </c>
      <c r="C445" t="s">
        <v>487</v>
      </c>
      <c r="D445" t="s">
        <v>261</v>
      </c>
      <c r="E445" t="s">
        <v>537</v>
      </c>
      <c r="F445" t="s">
        <v>1530</v>
      </c>
      <c r="G445" s="25">
        <v>44270</v>
      </c>
      <c r="H445">
        <v>15</v>
      </c>
      <c r="I445">
        <v>74</v>
      </c>
      <c r="J445" t="s">
        <v>1531</v>
      </c>
      <c r="K445" t="s">
        <v>876</v>
      </c>
      <c r="L445" t="s">
        <v>231</v>
      </c>
      <c r="M445" t="s">
        <v>872</v>
      </c>
      <c r="N445" t="s">
        <v>184</v>
      </c>
      <c r="O445" t="s">
        <v>1224</v>
      </c>
      <c r="P445" t="s">
        <v>867</v>
      </c>
      <c r="Q445" t="s">
        <v>1225</v>
      </c>
      <c r="R445" t="s">
        <v>1226</v>
      </c>
      <c r="S445" t="s">
        <v>232</v>
      </c>
      <c r="T445" t="s">
        <v>508</v>
      </c>
      <c r="U445" t="s">
        <v>47</v>
      </c>
      <c r="V445" t="s">
        <v>234</v>
      </c>
      <c r="W445" t="s">
        <v>46</v>
      </c>
      <c r="X445" t="s">
        <v>21</v>
      </c>
      <c r="Y445" t="s">
        <v>288</v>
      </c>
      <c r="Z445">
        <v>3622</v>
      </c>
      <c r="AA445">
        <v>3622</v>
      </c>
      <c r="AB445" t="s">
        <v>237</v>
      </c>
      <c r="AC445">
        <v>4.18</v>
      </c>
      <c r="AD445">
        <v>15139.96</v>
      </c>
      <c r="AE445">
        <v>2861.38</v>
      </c>
      <c r="AF445" t="s">
        <v>870</v>
      </c>
      <c r="AG445">
        <v>12278.58</v>
      </c>
      <c r="AH445">
        <v>0.81</v>
      </c>
    </row>
    <row r="446" spans="1:34" x14ac:dyDescent="0.25">
      <c r="A446" t="s">
        <v>731</v>
      </c>
      <c r="B446">
        <v>445</v>
      </c>
      <c r="C446" t="s">
        <v>487</v>
      </c>
      <c r="D446" t="s">
        <v>261</v>
      </c>
      <c r="E446" t="s">
        <v>537</v>
      </c>
      <c r="F446" t="s">
        <v>1530</v>
      </c>
      <c r="G446" s="25">
        <v>44270</v>
      </c>
      <c r="H446">
        <v>15</v>
      </c>
      <c r="I446">
        <v>74</v>
      </c>
      <c r="J446" t="s">
        <v>1536</v>
      </c>
      <c r="K446" t="s">
        <v>510</v>
      </c>
      <c r="L446" t="s">
        <v>231</v>
      </c>
      <c r="M446" t="s">
        <v>926</v>
      </c>
      <c r="N446" t="s">
        <v>185</v>
      </c>
      <c r="O446" t="s">
        <v>953</v>
      </c>
      <c r="P446" t="s">
        <v>867</v>
      </c>
      <c r="Q446" t="s">
        <v>954</v>
      </c>
      <c r="R446" t="s">
        <v>955</v>
      </c>
      <c r="S446" t="s">
        <v>232</v>
      </c>
      <c r="T446" t="s">
        <v>508</v>
      </c>
      <c r="U446" t="s">
        <v>47</v>
      </c>
      <c r="V446" t="s">
        <v>234</v>
      </c>
      <c r="W446" t="s">
        <v>46</v>
      </c>
      <c r="X446" t="s">
        <v>21</v>
      </c>
      <c r="Y446" t="s">
        <v>288</v>
      </c>
      <c r="Z446">
        <v>3403</v>
      </c>
      <c r="AA446">
        <v>3403</v>
      </c>
      <c r="AB446" t="s">
        <v>237</v>
      </c>
      <c r="AC446">
        <v>4.18</v>
      </c>
      <c r="AD446">
        <v>14224.54</v>
      </c>
      <c r="AE446">
        <v>2688.37</v>
      </c>
      <c r="AF446" t="s">
        <v>870</v>
      </c>
      <c r="AG446">
        <v>11536.17</v>
      </c>
      <c r="AH446">
        <v>0.81</v>
      </c>
    </row>
    <row r="447" spans="1:34" x14ac:dyDescent="0.25">
      <c r="A447" t="s">
        <v>540</v>
      </c>
      <c r="B447">
        <v>446</v>
      </c>
      <c r="C447" t="s">
        <v>487</v>
      </c>
      <c r="D447" t="s">
        <v>261</v>
      </c>
      <c r="E447" t="s">
        <v>575</v>
      </c>
      <c r="F447" t="s">
        <v>1537</v>
      </c>
      <c r="G447" s="25">
        <v>44271</v>
      </c>
      <c r="H447">
        <v>15</v>
      </c>
      <c r="I447">
        <v>75</v>
      </c>
      <c r="J447" t="s">
        <v>1538</v>
      </c>
      <c r="K447" t="s">
        <v>921</v>
      </c>
      <c r="L447" t="s">
        <v>231</v>
      </c>
      <c r="M447" t="s">
        <v>931</v>
      </c>
      <c r="N447" t="s">
        <v>186</v>
      </c>
      <c r="O447" t="s">
        <v>936</v>
      </c>
      <c r="P447" t="s">
        <v>867</v>
      </c>
      <c r="Q447" t="s">
        <v>937</v>
      </c>
      <c r="R447" t="s">
        <v>938</v>
      </c>
      <c r="S447" t="s">
        <v>239</v>
      </c>
      <c r="T447" t="s">
        <v>500</v>
      </c>
      <c r="U447" t="s">
        <v>265</v>
      </c>
      <c r="V447" t="s">
        <v>234</v>
      </c>
      <c r="W447" t="s">
        <v>52</v>
      </c>
      <c r="X447" t="s">
        <v>235</v>
      </c>
      <c r="Y447" t="s">
        <v>266</v>
      </c>
      <c r="Z447">
        <v>1675</v>
      </c>
      <c r="AA447">
        <v>1675</v>
      </c>
      <c r="AB447" t="s">
        <v>237</v>
      </c>
      <c r="AC447">
        <v>4.9800000000000004</v>
      </c>
      <c r="AD447">
        <v>8341.5</v>
      </c>
      <c r="AE447">
        <v>2713.5</v>
      </c>
      <c r="AF447" t="s">
        <v>870</v>
      </c>
      <c r="AG447">
        <v>5628</v>
      </c>
      <c r="AH447">
        <v>0.67</v>
      </c>
    </row>
    <row r="448" spans="1:34" x14ac:dyDescent="0.25">
      <c r="A448" t="s">
        <v>800</v>
      </c>
      <c r="B448">
        <v>447</v>
      </c>
      <c r="C448" t="s">
        <v>487</v>
      </c>
      <c r="D448" t="s">
        <v>261</v>
      </c>
      <c r="E448" t="s">
        <v>575</v>
      </c>
      <c r="F448" t="s">
        <v>1537</v>
      </c>
      <c r="G448" s="25">
        <v>44271</v>
      </c>
      <c r="H448">
        <v>15</v>
      </c>
      <c r="I448">
        <v>75</v>
      </c>
      <c r="J448" t="s">
        <v>1538</v>
      </c>
      <c r="K448" t="s">
        <v>510</v>
      </c>
      <c r="L448" t="s">
        <v>231</v>
      </c>
      <c r="M448" t="s">
        <v>931</v>
      </c>
      <c r="N448" t="s">
        <v>186</v>
      </c>
      <c r="O448" t="s">
        <v>936</v>
      </c>
      <c r="P448" t="s">
        <v>867</v>
      </c>
      <c r="Q448" t="s">
        <v>937</v>
      </c>
      <c r="R448" t="s">
        <v>938</v>
      </c>
      <c r="S448" t="s">
        <v>239</v>
      </c>
      <c r="T448" t="s">
        <v>500</v>
      </c>
      <c r="U448" t="s">
        <v>265</v>
      </c>
      <c r="V448" t="s">
        <v>234</v>
      </c>
      <c r="W448" t="s">
        <v>52</v>
      </c>
      <c r="X448" t="s">
        <v>235</v>
      </c>
      <c r="Y448" t="s">
        <v>266</v>
      </c>
      <c r="Z448">
        <v>3238</v>
      </c>
      <c r="AA448">
        <v>3238</v>
      </c>
      <c r="AB448" t="s">
        <v>237</v>
      </c>
      <c r="AC448">
        <v>4.9800000000000004</v>
      </c>
      <c r="AD448">
        <v>16125.24</v>
      </c>
      <c r="AE448">
        <v>5245.56</v>
      </c>
      <c r="AF448" t="s">
        <v>870</v>
      </c>
      <c r="AG448">
        <v>10879.68</v>
      </c>
      <c r="AH448">
        <v>0.67</v>
      </c>
    </row>
    <row r="449" spans="1:34" x14ac:dyDescent="0.25">
      <c r="A449" t="s">
        <v>721</v>
      </c>
      <c r="B449">
        <v>448</v>
      </c>
      <c r="C449" t="s">
        <v>487</v>
      </c>
      <c r="D449" t="s">
        <v>261</v>
      </c>
      <c r="E449" t="s">
        <v>575</v>
      </c>
      <c r="F449" t="s">
        <v>1537</v>
      </c>
      <c r="G449" s="25">
        <v>44271</v>
      </c>
      <c r="H449">
        <v>15</v>
      </c>
      <c r="I449">
        <v>75</v>
      </c>
      <c r="J449" t="s">
        <v>1538</v>
      </c>
      <c r="K449" t="s">
        <v>876</v>
      </c>
      <c r="L449" t="s">
        <v>231</v>
      </c>
      <c r="M449" t="s">
        <v>931</v>
      </c>
      <c r="N449" t="s">
        <v>186</v>
      </c>
      <c r="O449" t="s">
        <v>936</v>
      </c>
      <c r="P449" t="s">
        <v>867</v>
      </c>
      <c r="Q449" t="s">
        <v>937</v>
      </c>
      <c r="R449" t="s">
        <v>938</v>
      </c>
      <c r="S449" t="s">
        <v>239</v>
      </c>
      <c r="T449" t="s">
        <v>500</v>
      </c>
      <c r="U449" t="s">
        <v>265</v>
      </c>
      <c r="V449" t="s">
        <v>234</v>
      </c>
      <c r="W449" t="s">
        <v>52</v>
      </c>
      <c r="X449" t="s">
        <v>235</v>
      </c>
      <c r="Y449" t="s">
        <v>266</v>
      </c>
      <c r="Z449">
        <v>2712</v>
      </c>
      <c r="AA449">
        <v>2712</v>
      </c>
      <c r="AB449" t="s">
        <v>237</v>
      </c>
      <c r="AC449">
        <v>4.9800000000000004</v>
      </c>
      <c r="AD449">
        <v>13505.76</v>
      </c>
      <c r="AE449">
        <v>4393.4399999999996</v>
      </c>
      <c r="AF449" t="s">
        <v>870</v>
      </c>
      <c r="AG449">
        <v>9112.32</v>
      </c>
      <c r="AH449">
        <v>0.67</v>
      </c>
    </row>
    <row r="450" spans="1:34" x14ac:dyDescent="0.25">
      <c r="A450" t="s">
        <v>559</v>
      </c>
      <c r="B450">
        <v>449</v>
      </c>
      <c r="C450" t="s">
        <v>487</v>
      </c>
      <c r="D450" t="s">
        <v>261</v>
      </c>
      <c r="E450" t="s">
        <v>575</v>
      </c>
      <c r="F450" t="s">
        <v>1537</v>
      </c>
      <c r="G450" s="25">
        <v>44271</v>
      </c>
      <c r="H450">
        <v>15</v>
      </c>
      <c r="I450">
        <v>75</v>
      </c>
      <c r="J450" t="s">
        <v>1542</v>
      </c>
      <c r="K450" t="s">
        <v>510</v>
      </c>
      <c r="L450" t="s">
        <v>231</v>
      </c>
      <c r="M450" t="s">
        <v>931</v>
      </c>
      <c r="N450" t="s">
        <v>186</v>
      </c>
      <c r="O450" t="s">
        <v>1308</v>
      </c>
      <c r="P450" t="s">
        <v>867</v>
      </c>
      <c r="Q450" t="s">
        <v>1543</v>
      </c>
      <c r="R450" t="s">
        <v>1544</v>
      </c>
      <c r="S450" t="s">
        <v>537</v>
      </c>
      <c r="T450" t="s">
        <v>508</v>
      </c>
      <c r="U450" t="s">
        <v>47</v>
      </c>
      <c r="V450" t="s">
        <v>234</v>
      </c>
      <c r="W450" t="s">
        <v>46</v>
      </c>
      <c r="X450" t="s">
        <v>21</v>
      </c>
      <c r="Y450" t="s">
        <v>288</v>
      </c>
      <c r="Z450">
        <v>3329</v>
      </c>
      <c r="AA450">
        <v>3329</v>
      </c>
      <c r="AB450" t="s">
        <v>237</v>
      </c>
      <c r="AC450">
        <v>4.5999999999999996</v>
      </c>
      <c r="AD450">
        <v>15313.4</v>
      </c>
      <c r="AE450">
        <v>2629.91</v>
      </c>
      <c r="AF450" t="s">
        <v>870</v>
      </c>
      <c r="AG450">
        <v>12683.49</v>
      </c>
      <c r="AH450">
        <v>0.83</v>
      </c>
    </row>
    <row r="451" spans="1:34" x14ac:dyDescent="0.25">
      <c r="A451" t="s">
        <v>571</v>
      </c>
      <c r="B451">
        <v>450</v>
      </c>
      <c r="C451" t="s">
        <v>487</v>
      </c>
      <c r="D451" t="s">
        <v>261</v>
      </c>
      <c r="E451" t="s">
        <v>575</v>
      </c>
      <c r="F451" t="s">
        <v>1537</v>
      </c>
      <c r="G451" s="25">
        <v>44271</v>
      </c>
      <c r="H451">
        <v>15</v>
      </c>
      <c r="I451">
        <v>75</v>
      </c>
      <c r="J451" t="s">
        <v>1539</v>
      </c>
      <c r="K451" t="s">
        <v>510</v>
      </c>
      <c r="L451" t="s">
        <v>231</v>
      </c>
      <c r="M451" t="s">
        <v>872</v>
      </c>
      <c r="N451" t="s">
        <v>184</v>
      </c>
      <c r="O451" t="s">
        <v>1057</v>
      </c>
      <c r="P451" t="s">
        <v>867</v>
      </c>
      <c r="Q451" t="s">
        <v>1540</v>
      </c>
      <c r="R451" t="s">
        <v>1541</v>
      </c>
      <c r="S451" t="s">
        <v>537</v>
      </c>
      <c r="T451" t="s">
        <v>508</v>
      </c>
      <c r="U451" t="s">
        <v>47</v>
      </c>
      <c r="V451" t="s">
        <v>234</v>
      </c>
      <c r="W451" t="s">
        <v>46</v>
      </c>
      <c r="X451" t="s">
        <v>21</v>
      </c>
      <c r="Y451" t="s">
        <v>288</v>
      </c>
      <c r="Z451">
        <v>3129</v>
      </c>
      <c r="AA451">
        <v>3129</v>
      </c>
      <c r="AB451" t="s">
        <v>237</v>
      </c>
      <c r="AC451">
        <v>4.5999999999999996</v>
      </c>
      <c r="AD451">
        <v>14393.4</v>
      </c>
      <c r="AE451">
        <v>2471.91</v>
      </c>
      <c r="AF451" t="s">
        <v>870</v>
      </c>
      <c r="AG451">
        <v>11921.49</v>
      </c>
      <c r="AH451">
        <v>0.83</v>
      </c>
    </row>
    <row r="452" spans="1:34" x14ac:dyDescent="0.25">
      <c r="A452" t="s">
        <v>802</v>
      </c>
      <c r="B452">
        <v>451</v>
      </c>
      <c r="C452" t="s">
        <v>487</v>
      </c>
      <c r="D452" t="s">
        <v>261</v>
      </c>
      <c r="E452" t="s">
        <v>620</v>
      </c>
      <c r="F452" t="s">
        <v>1545</v>
      </c>
      <c r="G452" s="25">
        <v>44272</v>
      </c>
      <c r="H452">
        <v>16</v>
      </c>
      <c r="I452">
        <v>76</v>
      </c>
      <c r="J452" t="s">
        <v>1546</v>
      </c>
      <c r="K452" t="s">
        <v>510</v>
      </c>
      <c r="L452" t="s">
        <v>231</v>
      </c>
      <c r="M452" t="s">
        <v>911</v>
      </c>
      <c r="N452" t="s">
        <v>186</v>
      </c>
      <c r="O452" t="s">
        <v>970</v>
      </c>
      <c r="P452" t="s">
        <v>867</v>
      </c>
      <c r="Q452" t="s">
        <v>1547</v>
      </c>
      <c r="R452" t="s">
        <v>1548</v>
      </c>
      <c r="S452" t="s">
        <v>239</v>
      </c>
      <c r="T452" t="s">
        <v>500</v>
      </c>
      <c r="U452" t="s">
        <v>265</v>
      </c>
      <c r="V452" t="s">
        <v>234</v>
      </c>
      <c r="W452" t="s">
        <v>52</v>
      </c>
      <c r="X452" t="s">
        <v>235</v>
      </c>
      <c r="Y452" t="s">
        <v>266</v>
      </c>
      <c r="Z452">
        <v>3153</v>
      </c>
      <c r="AA452">
        <v>3153</v>
      </c>
      <c r="AB452" t="s">
        <v>237</v>
      </c>
      <c r="AC452">
        <v>4.9800000000000004</v>
      </c>
      <c r="AD452">
        <v>15701.94</v>
      </c>
      <c r="AE452">
        <v>5107.8599999999997</v>
      </c>
      <c r="AF452" t="s">
        <v>870</v>
      </c>
      <c r="AG452">
        <v>10594.08</v>
      </c>
      <c r="AH452">
        <v>0.67</v>
      </c>
    </row>
    <row r="453" spans="1:34" x14ac:dyDescent="0.25">
      <c r="A453" t="s">
        <v>564</v>
      </c>
      <c r="B453">
        <v>452</v>
      </c>
      <c r="C453" t="s">
        <v>487</v>
      </c>
      <c r="D453" t="s">
        <v>261</v>
      </c>
      <c r="E453" t="s">
        <v>620</v>
      </c>
      <c r="F453" t="s">
        <v>1545</v>
      </c>
      <c r="G453" s="25">
        <v>44272</v>
      </c>
      <c r="H453">
        <v>16</v>
      </c>
      <c r="I453">
        <v>76</v>
      </c>
      <c r="J453" t="s">
        <v>1546</v>
      </c>
      <c r="K453" t="s">
        <v>876</v>
      </c>
      <c r="L453" t="s">
        <v>231</v>
      </c>
      <c r="M453" t="s">
        <v>911</v>
      </c>
      <c r="N453" t="s">
        <v>186</v>
      </c>
      <c r="O453" t="s">
        <v>970</v>
      </c>
      <c r="P453" t="s">
        <v>867</v>
      </c>
      <c r="Q453" t="s">
        <v>1547</v>
      </c>
      <c r="R453" t="s">
        <v>1548</v>
      </c>
      <c r="S453" t="s">
        <v>239</v>
      </c>
      <c r="T453" t="s">
        <v>500</v>
      </c>
      <c r="U453" t="s">
        <v>265</v>
      </c>
      <c r="V453" t="s">
        <v>234</v>
      </c>
      <c r="W453" t="s">
        <v>52</v>
      </c>
      <c r="X453" t="s">
        <v>235</v>
      </c>
      <c r="Y453" t="s">
        <v>266</v>
      </c>
      <c r="Z453">
        <v>3217</v>
      </c>
      <c r="AA453">
        <v>3217</v>
      </c>
      <c r="AB453" t="s">
        <v>237</v>
      </c>
      <c r="AC453">
        <v>4.9800000000000004</v>
      </c>
      <c r="AD453">
        <v>16020.66</v>
      </c>
      <c r="AE453">
        <v>5211.54</v>
      </c>
      <c r="AF453" t="s">
        <v>870</v>
      </c>
      <c r="AG453">
        <v>10809.12</v>
      </c>
      <c r="AH453">
        <v>0.67</v>
      </c>
    </row>
    <row r="454" spans="1:34" x14ac:dyDescent="0.25">
      <c r="A454" t="s">
        <v>717</v>
      </c>
      <c r="B454">
        <v>453</v>
      </c>
      <c r="C454" t="s">
        <v>487</v>
      </c>
      <c r="D454" t="s">
        <v>261</v>
      </c>
      <c r="E454" t="s">
        <v>620</v>
      </c>
      <c r="F454" t="s">
        <v>1545</v>
      </c>
      <c r="G454" s="25">
        <v>44272</v>
      </c>
      <c r="H454">
        <v>16</v>
      </c>
      <c r="I454">
        <v>76</v>
      </c>
      <c r="J454" t="s">
        <v>1546</v>
      </c>
      <c r="K454" t="s">
        <v>921</v>
      </c>
      <c r="L454" t="s">
        <v>231</v>
      </c>
      <c r="M454" t="s">
        <v>911</v>
      </c>
      <c r="N454" t="s">
        <v>186</v>
      </c>
      <c r="O454" t="s">
        <v>970</v>
      </c>
      <c r="P454" t="s">
        <v>867</v>
      </c>
      <c r="Q454" t="s">
        <v>1547</v>
      </c>
      <c r="R454" t="s">
        <v>1548</v>
      </c>
      <c r="S454" t="s">
        <v>239</v>
      </c>
      <c r="T454" t="s">
        <v>500</v>
      </c>
      <c r="U454" t="s">
        <v>265</v>
      </c>
      <c r="V454" t="s">
        <v>234</v>
      </c>
      <c r="W454" t="s">
        <v>52</v>
      </c>
      <c r="X454" t="s">
        <v>235</v>
      </c>
      <c r="Y454" t="s">
        <v>266</v>
      </c>
      <c r="Z454">
        <v>3088</v>
      </c>
      <c r="AA454">
        <v>3088</v>
      </c>
      <c r="AB454" t="s">
        <v>237</v>
      </c>
      <c r="AC454">
        <v>4.9800000000000004</v>
      </c>
      <c r="AD454">
        <v>15378.24</v>
      </c>
      <c r="AE454">
        <v>5002.5600000000004</v>
      </c>
      <c r="AF454" t="s">
        <v>870</v>
      </c>
      <c r="AG454">
        <v>10375.68</v>
      </c>
      <c r="AH454">
        <v>0.67</v>
      </c>
    </row>
    <row r="455" spans="1:34" x14ac:dyDescent="0.25">
      <c r="A455" t="s">
        <v>770</v>
      </c>
      <c r="B455">
        <v>454</v>
      </c>
      <c r="C455" t="s">
        <v>487</v>
      </c>
      <c r="D455" t="s">
        <v>261</v>
      </c>
      <c r="E455" t="s">
        <v>620</v>
      </c>
      <c r="F455" t="s">
        <v>1545</v>
      </c>
      <c r="G455" s="25">
        <v>44272</v>
      </c>
      <c r="H455">
        <v>16</v>
      </c>
      <c r="I455">
        <v>76</v>
      </c>
      <c r="J455" t="s">
        <v>1549</v>
      </c>
      <c r="K455" t="s">
        <v>921</v>
      </c>
      <c r="L455" t="s">
        <v>231</v>
      </c>
      <c r="M455" t="s">
        <v>865</v>
      </c>
      <c r="N455" t="s">
        <v>186</v>
      </c>
      <c r="O455" t="s">
        <v>1302</v>
      </c>
      <c r="P455" t="s">
        <v>867</v>
      </c>
      <c r="Q455" t="s">
        <v>1303</v>
      </c>
      <c r="R455" t="s">
        <v>1304</v>
      </c>
      <c r="S455" t="s">
        <v>232</v>
      </c>
      <c r="T455" t="s">
        <v>505</v>
      </c>
      <c r="U455" t="s">
        <v>41</v>
      </c>
      <c r="V455" t="s">
        <v>234</v>
      </c>
      <c r="W455" t="s">
        <v>40</v>
      </c>
      <c r="X455" t="s">
        <v>21</v>
      </c>
      <c r="Y455" t="s">
        <v>266</v>
      </c>
      <c r="Z455">
        <v>3643</v>
      </c>
      <c r="AA455">
        <v>3643</v>
      </c>
      <c r="AB455" t="s">
        <v>237</v>
      </c>
      <c r="AC455">
        <v>4.0999999999999996</v>
      </c>
      <c r="AD455">
        <v>14936.3</v>
      </c>
      <c r="AE455">
        <v>3278.7</v>
      </c>
      <c r="AF455" t="s">
        <v>870</v>
      </c>
      <c r="AG455">
        <v>11657.6</v>
      </c>
      <c r="AH455">
        <v>0.78</v>
      </c>
    </row>
    <row r="456" spans="1:34" x14ac:dyDescent="0.25">
      <c r="A456" t="s">
        <v>579</v>
      </c>
      <c r="B456">
        <v>455</v>
      </c>
      <c r="C456" t="s">
        <v>487</v>
      </c>
      <c r="D456" t="s">
        <v>261</v>
      </c>
      <c r="E456" t="s">
        <v>620</v>
      </c>
      <c r="F456" t="s">
        <v>1545</v>
      </c>
      <c r="G456" s="25">
        <v>44272</v>
      </c>
      <c r="H456">
        <v>16</v>
      </c>
      <c r="I456">
        <v>76</v>
      </c>
      <c r="J456" t="s">
        <v>1550</v>
      </c>
      <c r="K456" t="s">
        <v>876</v>
      </c>
      <c r="L456" t="s">
        <v>231</v>
      </c>
      <c r="M456" t="s">
        <v>931</v>
      </c>
      <c r="N456" t="s">
        <v>186</v>
      </c>
      <c r="O456" t="s">
        <v>1082</v>
      </c>
      <c r="P456" t="s">
        <v>867</v>
      </c>
      <c r="Q456" t="s">
        <v>1083</v>
      </c>
      <c r="R456" t="s">
        <v>1084</v>
      </c>
      <c r="S456" t="s">
        <v>232</v>
      </c>
      <c r="T456" t="s">
        <v>504</v>
      </c>
      <c r="U456" t="s">
        <v>43</v>
      </c>
      <c r="V456" t="s">
        <v>234</v>
      </c>
      <c r="W456" t="s">
        <v>42</v>
      </c>
      <c r="X456" t="s">
        <v>21</v>
      </c>
      <c r="Y456" t="s">
        <v>236</v>
      </c>
      <c r="Z456">
        <v>2999</v>
      </c>
      <c r="AA456">
        <v>2999</v>
      </c>
      <c r="AB456" t="s">
        <v>237</v>
      </c>
      <c r="AC456">
        <v>4.66</v>
      </c>
      <c r="AD456">
        <v>13975.34</v>
      </c>
      <c r="AE456">
        <v>3688.77</v>
      </c>
      <c r="AF456" t="s">
        <v>870</v>
      </c>
      <c r="AG456">
        <v>10286.57</v>
      </c>
      <c r="AH456">
        <v>0.74</v>
      </c>
    </row>
    <row r="457" spans="1:34" x14ac:dyDescent="0.25">
      <c r="A457" t="s">
        <v>757</v>
      </c>
      <c r="B457">
        <v>456</v>
      </c>
      <c r="C457" t="s">
        <v>487</v>
      </c>
      <c r="D457" t="s">
        <v>261</v>
      </c>
      <c r="E457" t="s">
        <v>620</v>
      </c>
      <c r="F457" t="s">
        <v>1545</v>
      </c>
      <c r="G457" s="25">
        <v>44272</v>
      </c>
      <c r="H457">
        <v>16</v>
      </c>
      <c r="I457">
        <v>76</v>
      </c>
      <c r="J457" t="s">
        <v>1550</v>
      </c>
      <c r="K457" t="s">
        <v>956</v>
      </c>
      <c r="L457" t="s">
        <v>231</v>
      </c>
      <c r="M457" t="s">
        <v>931</v>
      </c>
      <c r="N457" t="s">
        <v>186</v>
      </c>
      <c r="O457" t="s">
        <v>1082</v>
      </c>
      <c r="P457" t="s">
        <v>867</v>
      </c>
      <c r="Q457" t="s">
        <v>1083</v>
      </c>
      <c r="R457" t="s">
        <v>1084</v>
      </c>
      <c r="S457" t="s">
        <v>232</v>
      </c>
      <c r="T457" t="s">
        <v>504</v>
      </c>
      <c r="U457" t="s">
        <v>43</v>
      </c>
      <c r="V457" t="s">
        <v>234</v>
      </c>
      <c r="W457" t="s">
        <v>42</v>
      </c>
      <c r="X457" t="s">
        <v>21</v>
      </c>
      <c r="Y457" t="s">
        <v>236</v>
      </c>
      <c r="Z457">
        <v>3006</v>
      </c>
      <c r="AA457">
        <v>3006</v>
      </c>
      <c r="AB457" t="s">
        <v>237</v>
      </c>
      <c r="AC457">
        <v>4.66</v>
      </c>
      <c r="AD457">
        <v>14007.96</v>
      </c>
      <c r="AE457">
        <v>3697.38</v>
      </c>
      <c r="AF457" t="s">
        <v>870</v>
      </c>
      <c r="AG457">
        <v>10310.58</v>
      </c>
      <c r="AH457">
        <v>0.74</v>
      </c>
    </row>
    <row r="458" spans="1:34" x14ac:dyDescent="0.25">
      <c r="A458" t="s">
        <v>672</v>
      </c>
      <c r="B458">
        <v>457</v>
      </c>
      <c r="C458" t="s">
        <v>487</v>
      </c>
      <c r="D458" t="s">
        <v>261</v>
      </c>
      <c r="E458" t="s">
        <v>620</v>
      </c>
      <c r="F458" t="s">
        <v>1545</v>
      </c>
      <c r="G458" s="25">
        <v>44272</v>
      </c>
      <c r="H458">
        <v>16</v>
      </c>
      <c r="I458">
        <v>76</v>
      </c>
      <c r="J458" t="s">
        <v>1549</v>
      </c>
      <c r="K458" t="s">
        <v>510</v>
      </c>
      <c r="L458" t="s">
        <v>231</v>
      </c>
      <c r="M458" t="s">
        <v>865</v>
      </c>
      <c r="N458" t="s">
        <v>186</v>
      </c>
      <c r="O458" t="s">
        <v>1302</v>
      </c>
      <c r="P458" t="s">
        <v>867</v>
      </c>
      <c r="Q458" t="s">
        <v>1303</v>
      </c>
      <c r="R458" t="s">
        <v>1304</v>
      </c>
      <c r="S458" t="s">
        <v>232</v>
      </c>
      <c r="T458" t="s">
        <v>504</v>
      </c>
      <c r="U458" t="s">
        <v>43</v>
      </c>
      <c r="V458" t="s">
        <v>234</v>
      </c>
      <c r="W458" t="s">
        <v>42</v>
      </c>
      <c r="X458" t="s">
        <v>21</v>
      </c>
      <c r="Y458" t="s">
        <v>236</v>
      </c>
      <c r="Z458">
        <v>3270</v>
      </c>
      <c r="AA458">
        <v>3270</v>
      </c>
      <c r="AB458" t="s">
        <v>237</v>
      </c>
      <c r="AC458">
        <v>4.66</v>
      </c>
      <c r="AD458">
        <v>15238.2</v>
      </c>
      <c r="AE458">
        <v>4022.1</v>
      </c>
      <c r="AF458" t="s">
        <v>870</v>
      </c>
      <c r="AG458">
        <v>11216.1</v>
      </c>
      <c r="AH458">
        <v>0.74</v>
      </c>
    </row>
    <row r="459" spans="1:34" x14ac:dyDescent="0.25">
      <c r="A459" t="s">
        <v>711</v>
      </c>
      <c r="B459">
        <v>458</v>
      </c>
      <c r="C459" t="s">
        <v>487</v>
      </c>
      <c r="D459" t="s">
        <v>261</v>
      </c>
      <c r="E459" t="s">
        <v>620</v>
      </c>
      <c r="F459" t="s">
        <v>1545</v>
      </c>
      <c r="G459" s="25">
        <v>44272</v>
      </c>
      <c r="H459">
        <v>16</v>
      </c>
      <c r="I459">
        <v>76</v>
      </c>
      <c r="J459" t="s">
        <v>1549</v>
      </c>
      <c r="K459" t="s">
        <v>876</v>
      </c>
      <c r="L459" t="s">
        <v>231</v>
      </c>
      <c r="M459" t="s">
        <v>865</v>
      </c>
      <c r="N459" t="s">
        <v>186</v>
      </c>
      <c r="O459" t="s">
        <v>1302</v>
      </c>
      <c r="P459" t="s">
        <v>867</v>
      </c>
      <c r="Q459" t="s">
        <v>1303</v>
      </c>
      <c r="R459" t="s">
        <v>1304</v>
      </c>
      <c r="S459" t="s">
        <v>232</v>
      </c>
      <c r="T459" t="s">
        <v>504</v>
      </c>
      <c r="U459" t="s">
        <v>43</v>
      </c>
      <c r="V459" t="s">
        <v>234</v>
      </c>
      <c r="W459" t="s">
        <v>42</v>
      </c>
      <c r="X459" t="s">
        <v>21</v>
      </c>
      <c r="Y459" t="s">
        <v>236</v>
      </c>
      <c r="Z459">
        <v>2868</v>
      </c>
      <c r="AA459">
        <v>2868</v>
      </c>
      <c r="AB459" t="s">
        <v>237</v>
      </c>
      <c r="AC459">
        <v>4.66</v>
      </c>
      <c r="AD459">
        <v>13364.88</v>
      </c>
      <c r="AE459">
        <v>3527.64</v>
      </c>
      <c r="AF459" t="s">
        <v>870</v>
      </c>
      <c r="AG459">
        <v>9837.24</v>
      </c>
      <c r="AH459">
        <v>0.74</v>
      </c>
    </row>
    <row r="460" spans="1:34" x14ac:dyDescent="0.25">
      <c r="A460" t="s">
        <v>812</v>
      </c>
      <c r="B460">
        <v>459</v>
      </c>
      <c r="C460" t="s">
        <v>487</v>
      </c>
      <c r="D460" t="s">
        <v>261</v>
      </c>
      <c r="E460" t="s">
        <v>620</v>
      </c>
      <c r="F460" t="s">
        <v>1545</v>
      </c>
      <c r="G460" s="25">
        <v>44272</v>
      </c>
      <c r="H460">
        <v>16</v>
      </c>
      <c r="I460">
        <v>76</v>
      </c>
      <c r="J460" t="s">
        <v>1549</v>
      </c>
      <c r="K460" t="s">
        <v>956</v>
      </c>
      <c r="L460" t="s">
        <v>231</v>
      </c>
      <c r="M460" t="s">
        <v>865</v>
      </c>
      <c r="N460" t="s">
        <v>186</v>
      </c>
      <c r="O460" t="s">
        <v>1302</v>
      </c>
      <c r="P460" t="s">
        <v>867</v>
      </c>
      <c r="Q460" t="s">
        <v>1303</v>
      </c>
      <c r="R460" t="s">
        <v>1304</v>
      </c>
      <c r="S460" t="s">
        <v>232</v>
      </c>
      <c r="T460" t="s">
        <v>500</v>
      </c>
      <c r="U460" t="s">
        <v>265</v>
      </c>
      <c r="V460" t="s">
        <v>234</v>
      </c>
      <c r="W460" t="s">
        <v>52</v>
      </c>
      <c r="X460" t="s">
        <v>235</v>
      </c>
      <c r="Y460" t="s">
        <v>266</v>
      </c>
      <c r="Z460">
        <v>2688</v>
      </c>
      <c r="AA460">
        <v>2688</v>
      </c>
      <c r="AB460" t="s">
        <v>237</v>
      </c>
      <c r="AC460">
        <v>5.08</v>
      </c>
      <c r="AD460">
        <v>13655.04</v>
      </c>
      <c r="AE460">
        <v>4354.5600000000004</v>
      </c>
      <c r="AF460" t="s">
        <v>870</v>
      </c>
      <c r="AG460">
        <v>9300.48</v>
      </c>
      <c r="AH460">
        <v>0.68</v>
      </c>
    </row>
    <row r="461" spans="1:34" x14ac:dyDescent="0.25">
      <c r="A461" t="s">
        <v>590</v>
      </c>
      <c r="B461">
        <v>460</v>
      </c>
      <c r="C461" t="s">
        <v>487</v>
      </c>
      <c r="D461" t="s">
        <v>261</v>
      </c>
      <c r="E461" t="s">
        <v>620</v>
      </c>
      <c r="F461" t="s">
        <v>1545</v>
      </c>
      <c r="G461" s="25">
        <v>44272</v>
      </c>
      <c r="H461">
        <v>16</v>
      </c>
      <c r="I461">
        <v>76</v>
      </c>
      <c r="J461" t="s">
        <v>1551</v>
      </c>
      <c r="K461" t="s">
        <v>921</v>
      </c>
      <c r="L461" t="s">
        <v>231</v>
      </c>
      <c r="M461" t="s">
        <v>926</v>
      </c>
      <c r="N461" t="s">
        <v>185</v>
      </c>
      <c r="O461" t="s">
        <v>974</v>
      </c>
      <c r="P461" t="s">
        <v>867</v>
      </c>
      <c r="Q461" t="s">
        <v>975</v>
      </c>
      <c r="R461" t="s">
        <v>976</v>
      </c>
      <c r="S461" t="s">
        <v>232</v>
      </c>
      <c r="T461" t="s">
        <v>500</v>
      </c>
      <c r="U461" t="s">
        <v>265</v>
      </c>
      <c r="V461" t="s">
        <v>234</v>
      </c>
      <c r="W461" t="s">
        <v>52</v>
      </c>
      <c r="X461" t="s">
        <v>235</v>
      </c>
      <c r="Y461" t="s">
        <v>266</v>
      </c>
      <c r="Z461">
        <v>57</v>
      </c>
      <c r="AA461">
        <v>57</v>
      </c>
      <c r="AB461" t="s">
        <v>237</v>
      </c>
      <c r="AC461">
        <v>5.08</v>
      </c>
      <c r="AD461">
        <v>289.56</v>
      </c>
      <c r="AE461">
        <v>92.34</v>
      </c>
      <c r="AF461" t="s">
        <v>870</v>
      </c>
      <c r="AG461">
        <v>197.22</v>
      </c>
      <c r="AH461">
        <v>0.68</v>
      </c>
    </row>
    <row r="462" spans="1:34" x14ac:dyDescent="0.25">
      <c r="A462" t="s">
        <v>702</v>
      </c>
      <c r="B462">
        <v>461</v>
      </c>
      <c r="C462" t="s">
        <v>487</v>
      </c>
      <c r="D462" t="s">
        <v>261</v>
      </c>
      <c r="E462" t="s">
        <v>620</v>
      </c>
      <c r="F462" t="s">
        <v>1545</v>
      </c>
      <c r="G462" s="25">
        <v>44272</v>
      </c>
      <c r="H462">
        <v>16</v>
      </c>
      <c r="I462">
        <v>76</v>
      </c>
      <c r="J462" t="s">
        <v>1551</v>
      </c>
      <c r="K462" t="s">
        <v>510</v>
      </c>
      <c r="L462" t="s">
        <v>231</v>
      </c>
      <c r="M462" t="s">
        <v>926</v>
      </c>
      <c r="N462" t="s">
        <v>185</v>
      </c>
      <c r="O462" t="s">
        <v>974</v>
      </c>
      <c r="P462" t="s">
        <v>867</v>
      </c>
      <c r="Q462" t="s">
        <v>975</v>
      </c>
      <c r="R462" t="s">
        <v>976</v>
      </c>
      <c r="S462" t="s">
        <v>232</v>
      </c>
      <c r="T462" t="s">
        <v>500</v>
      </c>
      <c r="U462" t="s">
        <v>265</v>
      </c>
      <c r="V462" t="s">
        <v>234</v>
      </c>
      <c r="W462" t="s">
        <v>52</v>
      </c>
      <c r="X462" t="s">
        <v>235</v>
      </c>
      <c r="Y462" t="s">
        <v>266</v>
      </c>
      <c r="Z462">
        <v>2794</v>
      </c>
      <c r="AA462">
        <v>2794</v>
      </c>
      <c r="AB462" t="s">
        <v>237</v>
      </c>
      <c r="AC462">
        <v>5.08</v>
      </c>
      <c r="AD462">
        <v>14193.52</v>
      </c>
      <c r="AE462">
        <v>4526.28</v>
      </c>
      <c r="AF462" t="s">
        <v>870</v>
      </c>
      <c r="AG462">
        <v>9667.24</v>
      </c>
      <c r="AH462">
        <v>0.68</v>
      </c>
    </row>
    <row r="463" spans="1:34" x14ac:dyDescent="0.25">
      <c r="A463" t="s">
        <v>587</v>
      </c>
      <c r="B463">
        <v>462</v>
      </c>
      <c r="C463" t="s">
        <v>487</v>
      </c>
      <c r="D463" t="s">
        <v>261</v>
      </c>
      <c r="E463" t="s">
        <v>620</v>
      </c>
      <c r="F463" t="s">
        <v>1545</v>
      </c>
      <c r="G463" s="25">
        <v>44272</v>
      </c>
      <c r="H463">
        <v>16</v>
      </c>
      <c r="I463">
        <v>76</v>
      </c>
      <c r="J463" t="s">
        <v>1551</v>
      </c>
      <c r="K463" t="s">
        <v>876</v>
      </c>
      <c r="L463" t="s">
        <v>231</v>
      </c>
      <c r="M463" t="s">
        <v>926</v>
      </c>
      <c r="N463" t="s">
        <v>185</v>
      </c>
      <c r="O463" t="s">
        <v>974</v>
      </c>
      <c r="P463" t="s">
        <v>867</v>
      </c>
      <c r="Q463" t="s">
        <v>975</v>
      </c>
      <c r="R463" t="s">
        <v>976</v>
      </c>
      <c r="S463" t="s">
        <v>232</v>
      </c>
      <c r="T463" t="s">
        <v>500</v>
      </c>
      <c r="U463" t="s">
        <v>265</v>
      </c>
      <c r="V463" t="s">
        <v>234</v>
      </c>
      <c r="W463" t="s">
        <v>52</v>
      </c>
      <c r="X463" t="s">
        <v>235</v>
      </c>
      <c r="Y463" t="s">
        <v>266</v>
      </c>
      <c r="Z463">
        <v>3279</v>
      </c>
      <c r="AA463">
        <v>3279</v>
      </c>
      <c r="AB463" t="s">
        <v>237</v>
      </c>
      <c r="AC463">
        <v>5.08</v>
      </c>
      <c r="AD463">
        <v>16657.32</v>
      </c>
      <c r="AE463">
        <v>5311.98</v>
      </c>
      <c r="AF463" t="s">
        <v>870</v>
      </c>
      <c r="AG463">
        <v>11345.34</v>
      </c>
      <c r="AH463">
        <v>0.68</v>
      </c>
    </row>
    <row r="464" spans="1:34" x14ac:dyDescent="0.25">
      <c r="A464" t="s">
        <v>1552</v>
      </c>
      <c r="B464">
        <v>463</v>
      </c>
      <c r="C464" t="s">
        <v>487</v>
      </c>
      <c r="D464" t="s">
        <v>261</v>
      </c>
      <c r="E464" t="s">
        <v>620</v>
      </c>
      <c r="F464" t="s">
        <v>1545</v>
      </c>
      <c r="G464" s="25">
        <v>44272</v>
      </c>
      <c r="H464">
        <v>16</v>
      </c>
      <c r="I464">
        <v>76</v>
      </c>
      <c r="J464" t="s">
        <v>1550</v>
      </c>
      <c r="K464" t="s">
        <v>510</v>
      </c>
      <c r="L464" t="s">
        <v>231</v>
      </c>
      <c r="M464" t="s">
        <v>931</v>
      </c>
      <c r="N464" t="s">
        <v>186</v>
      </c>
      <c r="O464" t="s">
        <v>1082</v>
      </c>
      <c r="P464" t="s">
        <v>867</v>
      </c>
      <c r="Q464" t="s">
        <v>1083</v>
      </c>
      <c r="R464" t="s">
        <v>1084</v>
      </c>
      <c r="S464" t="s">
        <v>232</v>
      </c>
      <c r="T464" t="s">
        <v>500</v>
      </c>
      <c r="U464" t="s">
        <v>265</v>
      </c>
      <c r="V464" t="s">
        <v>234</v>
      </c>
      <c r="W464" t="s">
        <v>52</v>
      </c>
      <c r="X464" t="s">
        <v>235</v>
      </c>
      <c r="Y464" t="s">
        <v>266</v>
      </c>
      <c r="Z464">
        <v>2753</v>
      </c>
      <c r="AA464">
        <v>2753</v>
      </c>
      <c r="AB464" t="s">
        <v>237</v>
      </c>
      <c r="AC464">
        <v>5.08</v>
      </c>
      <c r="AD464">
        <v>13985.24</v>
      </c>
      <c r="AE464">
        <v>4459.8599999999997</v>
      </c>
      <c r="AF464" t="s">
        <v>870</v>
      </c>
      <c r="AG464">
        <v>9525.3799999999992</v>
      </c>
      <c r="AH464">
        <v>0.68</v>
      </c>
    </row>
    <row r="465" spans="1:34" x14ac:dyDescent="0.25">
      <c r="A465" t="s">
        <v>1553</v>
      </c>
      <c r="B465">
        <v>464</v>
      </c>
      <c r="C465" t="s">
        <v>487</v>
      </c>
      <c r="D465" t="s">
        <v>261</v>
      </c>
      <c r="E465" t="s">
        <v>620</v>
      </c>
      <c r="F465" t="s">
        <v>1545</v>
      </c>
      <c r="G465" s="25">
        <v>44272</v>
      </c>
      <c r="H465">
        <v>16</v>
      </c>
      <c r="I465">
        <v>76</v>
      </c>
      <c r="J465" t="s">
        <v>1550</v>
      </c>
      <c r="K465" t="s">
        <v>921</v>
      </c>
      <c r="L465" t="s">
        <v>231</v>
      </c>
      <c r="M465" t="s">
        <v>931</v>
      </c>
      <c r="N465" t="s">
        <v>186</v>
      </c>
      <c r="O465" t="s">
        <v>1082</v>
      </c>
      <c r="P465" t="s">
        <v>867</v>
      </c>
      <c r="Q465" t="s">
        <v>1083</v>
      </c>
      <c r="R465" t="s">
        <v>1084</v>
      </c>
      <c r="S465" t="s">
        <v>232</v>
      </c>
      <c r="T465" t="s">
        <v>500</v>
      </c>
      <c r="U465" t="s">
        <v>265</v>
      </c>
      <c r="V465" t="s">
        <v>234</v>
      </c>
      <c r="W465" t="s">
        <v>52</v>
      </c>
      <c r="X465" t="s">
        <v>235</v>
      </c>
      <c r="Y465" t="s">
        <v>266</v>
      </c>
      <c r="Z465">
        <v>2971</v>
      </c>
      <c r="AA465">
        <v>2971</v>
      </c>
      <c r="AB465" t="s">
        <v>237</v>
      </c>
      <c r="AC465">
        <v>5.08</v>
      </c>
      <c r="AD465">
        <v>15092.68</v>
      </c>
      <c r="AE465">
        <v>4813.0200000000004</v>
      </c>
      <c r="AF465" t="s">
        <v>870</v>
      </c>
      <c r="AG465">
        <v>10279.66</v>
      </c>
      <c r="AH465">
        <v>0.68</v>
      </c>
    </row>
    <row r="466" spans="1:34" x14ac:dyDescent="0.25">
      <c r="A466" t="s">
        <v>1554</v>
      </c>
      <c r="B466">
        <v>465</v>
      </c>
      <c r="C466" t="s">
        <v>487</v>
      </c>
      <c r="D466" t="s">
        <v>261</v>
      </c>
      <c r="E466" t="s">
        <v>620</v>
      </c>
      <c r="F466" t="s">
        <v>1545</v>
      </c>
      <c r="G466" s="25">
        <v>44272</v>
      </c>
      <c r="H466">
        <v>16</v>
      </c>
      <c r="I466">
        <v>76</v>
      </c>
      <c r="J466" t="s">
        <v>1555</v>
      </c>
      <c r="K466" t="s">
        <v>510</v>
      </c>
      <c r="L466" t="s">
        <v>231</v>
      </c>
      <c r="M466" t="s">
        <v>872</v>
      </c>
      <c r="N466" t="s">
        <v>184</v>
      </c>
      <c r="O466" t="s">
        <v>903</v>
      </c>
      <c r="P466" t="s">
        <v>867</v>
      </c>
      <c r="Q466" t="s">
        <v>1556</v>
      </c>
      <c r="R466" t="s">
        <v>1557</v>
      </c>
      <c r="S466" t="s">
        <v>537</v>
      </c>
      <c r="T466" t="s">
        <v>508</v>
      </c>
      <c r="U466" t="s">
        <v>47</v>
      </c>
      <c r="V466" t="s">
        <v>234</v>
      </c>
      <c r="W466" t="s">
        <v>46</v>
      </c>
      <c r="X466" t="s">
        <v>21</v>
      </c>
      <c r="Y466" t="s">
        <v>288</v>
      </c>
      <c r="Z466">
        <v>2904</v>
      </c>
      <c r="AA466">
        <v>2904</v>
      </c>
      <c r="AB466" t="s">
        <v>237</v>
      </c>
      <c r="AC466">
        <v>4.5999999999999996</v>
      </c>
      <c r="AD466">
        <v>13358.4</v>
      </c>
      <c r="AE466">
        <v>2294.16</v>
      </c>
      <c r="AF466" t="s">
        <v>870</v>
      </c>
      <c r="AG466">
        <v>11064.24</v>
      </c>
      <c r="AH466">
        <v>0.83</v>
      </c>
    </row>
    <row r="467" spans="1:34" x14ac:dyDescent="0.25">
      <c r="A467" t="s">
        <v>1558</v>
      </c>
      <c r="B467">
        <v>466</v>
      </c>
      <c r="C467" t="s">
        <v>487</v>
      </c>
      <c r="D467" t="s">
        <v>261</v>
      </c>
      <c r="E467" t="s">
        <v>620</v>
      </c>
      <c r="F467" t="s">
        <v>1545</v>
      </c>
      <c r="G467" s="25">
        <v>44272</v>
      </c>
      <c r="H467">
        <v>16</v>
      </c>
      <c r="I467">
        <v>76</v>
      </c>
      <c r="J467" t="s">
        <v>1559</v>
      </c>
      <c r="K467" t="s">
        <v>510</v>
      </c>
      <c r="L467" t="s">
        <v>231</v>
      </c>
      <c r="M467" t="s">
        <v>872</v>
      </c>
      <c r="N467" t="s">
        <v>184</v>
      </c>
      <c r="O467" t="s">
        <v>903</v>
      </c>
      <c r="P467" t="s">
        <v>867</v>
      </c>
      <c r="Q467" t="s">
        <v>904</v>
      </c>
      <c r="R467" t="s">
        <v>905</v>
      </c>
      <c r="S467" t="s">
        <v>537</v>
      </c>
      <c r="T467" t="s">
        <v>508</v>
      </c>
      <c r="U467" t="s">
        <v>47</v>
      </c>
      <c r="V467" t="s">
        <v>234</v>
      </c>
      <c r="W467" t="s">
        <v>46</v>
      </c>
      <c r="X467" t="s">
        <v>21</v>
      </c>
      <c r="Y467" t="s">
        <v>288</v>
      </c>
      <c r="Z467">
        <v>2784</v>
      </c>
      <c r="AA467">
        <v>2784</v>
      </c>
      <c r="AB467" t="s">
        <v>237</v>
      </c>
      <c r="AC467">
        <v>4.5999999999999996</v>
      </c>
      <c r="AD467">
        <v>12806.4</v>
      </c>
      <c r="AE467">
        <v>2199.36</v>
      </c>
      <c r="AF467" t="s">
        <v>870</v>
      </c>
      <c r="AG467">
        <v>10607.04</v>
      </c>
      <c r="AH467">
        <v>0.83</v>
      </c>
    </row>
    <row r="468" spans="1:34" x14ac:dyDescent="0.25">
      <c r="A468" t="s">
        <v>1560</v>
      </c>
      <c r="B468">
        <v>467</v>
      </c>
      <c r="C468" t="s">
        <v>487</v>
      </c>
      <c r="D468" t="s">
        <v>261</v>
      </c>
      <c r="E468" t="s">
        <v>620</v>
      </c>
      <c r="F468" t="s">
        <v>1545</v>
      </c>
      <c r="G468" s="25">
        <v>44272</v>
      </c>
      <c r="H468">
        <v>16</v>
      </c>
      <c r="I468">
        <v>76</v>
      </c>
      <c r="J468" t="s">
        <v>1561</v>
      </c>
      <c r="K468" t="s">
        <v>510</v>
      </c>
      <c r="L468" t="s">
        <v>231</v>
      </c>
      <c r="M468" t="s">
        <v>931</v>
      </c>
      <c r="N468" t="s">
        <v>186</v>
      </c>
      <c r="O468" t="s">
        <v>1455</v>
      </c>
      <c r="P468" t="s">
        <v>867</v>
      </c>
      <c r="Q468" t="s">
        <v>1456</v>
      </c>
      <c r="R468" t="s">
        <v>1457</v>
      </c>
      <c r="S468" t="s">
        <v>537</v>
      </c>
      <c r="T468" t="s">
        <v>508</v>
      </c>
      <c r="U468" t="s">
        <v>47</v>
      </c>
      <c r="V468" t="s">
        <v>234</v>
      </c>
      <c r="W468" t="s">
        <v>46</v>
      </c>
      <c r="X468" t="s">
        <v>21</v>
      </c>
      <c r="Y468" t="s">
        <v>288</v>
      </c>
      <c r="Z468">
        <v>3389</v>
      </c>
      <c r="AA468">
        <v>3389</v>
      </c>
      <c r="AB468" t="s">
        <v>237</v>
      </c>
      <c r="AC468">
        <v>4.5999999999999996</v>
      </c>
      <c r="AD468">
        <v>15589.4</v>
      </c>
      <c r="AE468">
        <v>2677.31</v>
      </c>
      <c r="AF468" t="s">
        <v>870</v>
      </c>
      <c r="AG468">
        <v>12912.09</v>
      </c>
      <c r="AH468">
        <v>0.83</v>
      </c>
    </row>
    <row r="469" spans="1:34" x14ac:dyDescent="0.25">
      <c r="A469" t="s">
        <v>1562</v>
      </c>
      <c r="B469">
        <v>468</v>
      </c>
      <c r="C469" t="s">
        <v>487</v>
      </c>
      <c r="D469" t="s">
        <v>261</v>
      </c>
      <c r="E469" t="s">
        <v>534</v>
      </c>
      <c r="F469" t="s">
        <v>1563</v>
      </c>
      <c r="G469" s="25">
        <v>44273</v>
      </c>
      <c r="H469">
        <v>16</v>
      </c>
      <c r="I469">
        <v>77</v>
      </c>
      <c r="J469" t="s">
        <v>1564</v>
      </c>
      <c r="K469" t="s">
        <v>956</v>
      </c>
      <c r="L469" t="s">
        <v>231</v>
      </c>
      <c r="M469" t="s">
        <v>865</v>
      </c>
      <c r="N469" t="s">
        <v>186</v>
      </c>
      <c r="O469" t="s">
        <v>1012</v>
      </c>
      <c r="P469" t="s">
        <v>867</v>
      </c>
      <c r="Q469" t="s">
        <v>1325</v>
      </c>
      <c r="R469" t="s">
        <v>1328</v>
      </c>
      <c r="S469" t="s">
        <v>232</v>
      </c>
      <c r="T469" t="s">
        <v>505</v>
      </c>
      <c r="U469" t="s">
        <v>41</v>
      </c>
      <c r="V469" t="s">
        <v>234</v>
      </c>
      <c r="W469" t="s">
        <v>40</v>
      </c>
      <c r="X469" t="s">
        <v>21</v>
      </c>
      <c r="Y469" t="s">
        <v>266</v>
      </c>
      <c r="Z469">
        <v>3464</v>
      </c>
      <c r="AA469">
        <v>3464</v>
      </c>
      <c r="AB469" t="s">
        <v>237</v>
      </c>
      <c r="AC469">
        <v>4.0999999999999996</v>
      </c>
      <c r="AD469">
        <v>14202.4</v>
      </c>
      <c r="AE469">
        <v>3117.6</v>
      </c>
      <c r="AF469" t="s">
        <v>870</v>
      </c>
      <c r="AG469">
        <v>11084.8</v>
      </c>
      <c r="AH469">
        <v>0.78</v>
      </c>
    </row>
    <row r="470" spans="1:34" x14ac:dyDescent="0.25">
      <c r="A470" t="s">
        <v>1565</v>
      </c>
      <c r="B470">
        <v>469</v>
      </c>
      <c r="C470" t="s">
        <v>487</v>
      </c>
      <c r="D470" t="s">
        <v>261</v>
      </c>
      <c r="E470" t="s">
        <v>534</v>
      </c>
      <c r="F470" t="s">
        <v>1563</v>
      </c>
      <c r="G470" s="25">
        <v>44273</v>
      </c>
      <c r="H470">
        <v>16</v>
      </c>
      <c r="I470">
        <v>77</v>
      </c>
      <c r="J470" t="s">
        <v>1566</v>
      </c>
      <c r="K470" t="s">
        <v>956</v>
      </c>
      <c r="L470" t="s">
        <v>231</v>
      </c>
      <c r="M470" t="s">
        <v>865</v>
      </c>
      <c r="N470" t="s">
        <v>186</v>
      </c>
      <c r="O470" t="s">
        <v>1069</v>
      </c>
      <c r="P470" t="s">
        <v>867</v>
      </c>
      <c r="Q470" t="s">
        <v>1153</v>
      </c>
      <c r="R470" t="s">
        <v>1154</v>
      </c>
      <c r="S470" t="s">
        <v>232</v>
      </c>
      <c r="T470" t="s">
        <v>508</v>
      </c>
      <c r="U470" t="s">
        <v>47</v>
      </c>
      <c r="V470" t="s">
        <v>234</v>
      </c>
      <c r="W470" t="s">
        <v>46</v>
      </c>
      <c r="X470" t="s">
        <v>21</v>
      </c>
      <c r="Y470" t="s">
        <v>288</v>
      </c>
      <c r="Z470">
        <v>3391</v>
      </c>
      <c r="AA470">
        <v>3391</v>
      </c>
      <c r="AB470" t="s">
        <v>237</v>
      </c>
      <c r="AC470">
        <v>4.18</v>
      </c>
      <c r="AD470">
        <v>14174.38</v>
      </c>
      <c r="AE470">
        <v>2678.89</v>
      </c>
      <c r="AF470" t="s">
        <v>870</v>
      </c>
      <c r="AG470">
        <v>11495.49</v>
      </c>
      <c r="AH470">
        <v>0.81</v>
      </c>
    </row>
    <row r="471" spans="1:34" x14ac:dyDescent="0.25">
      <c r="A471" t="s">
        <v>1567</v>
      </c>
      <c r="B471">
        <v>470</v>
      </c>
      <c r="C471" t="s">
        <v>487</v>
      </c>
      <c r="D471" t="s">
        <v>261</v>
      </c>
      <c r="E471" t="s">
        <v>534</v>
      </c>
      <c r="F471" t="s">
        <v>1563</v>
      </c>
      <c r="G471" s="25">
        <v>44273</v>
      </c>
      <c r="H471">
        <v>16</v>
      </c>
      <c r="I471">
        <v>77</v>
      </c>
      <c r="J471" t="s">
        <v>1566</v>
      </c>
      <c r="K471" t="s">
        <v>510</v>
      </c>
      <c r="L471" t="s">
        <v>231</v>
      </c>
      <c r="M471" t="s">
        <v>865</v>
      </c>
      <c r="N471" t="s">
        <v>186</v>
      </c>
      <c r="O471" t="s">
        <v>1069</v>
      </c>
      <c r="P471" t="s">
        <v>867</v>
      </c>
      <c r="Q471" t="s">
        <v>1153</v>
      </c>
      <c r="R471" t="s">
        <v>1154</v>
      </c>
      <c r="S471" t="s">
        <v>232</v>
      </c>
      <c r="T471" t="s">
        <v>508</v>
      </c>
      <c r="U471" t="s">
        <v>47</v>
      </c>
      <c r="V471" t="s">
        <v>234</v>
      </c>
      <c r="W471" t="s">
        <v>46</v>
      </c>
      <c r="X471" t="s">
        <v>21</v>
      </c>
      <c r="Y471" t="s">
        <v>288</v>
      </c>
      <c r="Z471">
        <v>3324</v>
      </c>
      <c r="AA471">
        <v>3324</v>
      </c>
      <c r="AB471" t="s">
        <v>237</v>
      </c>
      <c r="AC471">
        <v>4.18</v>
      </c>
      <c r="AD471">
        <v>13894.32</v>
      </c>
      <c r="AE471">
        <v>2625.96</v>
      </c>
      <c r="AF471" t="s">
        <v>870</v>
      </c>
      <c r="AG471">
        <v>11268.36</v>
      </c>
      <c r="AH471">
        <v>0.81</v>
      </c>
    </row>
    <row r="472" spans="1:34" x14ac:dyDescent="0.25">
      <c r="A472" t="s">
        <v>1568</v>
      </c>
      <c r="B472">
        <v>471</v>
      </c>
      <c r="C472" t="s">
        <v>487</v>
      </c>
      <c r="D472" t="s">
        <v>261</v>
      </c>
      <c r="E472" t="s">
        <v>534</v>
      </c>
      <c r="F472" t="s">
        <v>1563</v>
      </c>
      <c r="G472" s="25">
        <v>44273</v>
      </c>
      <c r="H472">
        <v>16</v>
      </c>
      <c r="I472">
        <v>77</v>
      </c>
      <c r="J472" t="s">
        <v>1574</v>
      </c>
      <c r="K472" t="s">
        <v>510</v>
      </c>
      <c r="L472" t="s">
        <v>231</v>
      </c>
      <c r="M472" t="s">
        <v>872</v>
      </c>
      <c r="N472" t="s">
        <v>184</v>
      </c>
      <c r="O472" t="s">
        <v>948</v>
      </c>
      <c r="P472" t="s">
        <v>867</v>
      </c>
      <c r="Q472" t="s">
        <v>949</v>
      </c>
      <c r="R472" t="s">
        <v>950</v>
      </c>
      <c r="S472" t="s">
        <v>232</v>
      </c>
      <c r="T472" t="s">
        <v>500</v>
      </c>
      <c r="U472" t="s">
        <v>265</v>
      </c>
      <c r="V472" t="s">
        <v>234</v>
      </c>
      <c r="W472" t="s">
        <v>52</v>
      </c>
      <c r="X472" t="s">
        <v>235</v>
      </c>
      <c r="Y472" t="s">
        <v>266</v>
      </c>
      <c r="Z472">
        <v>1896</v>
      </c>
      <c r="AA472">
        <v>1896</v>
      </c>
      <c r="AB472" t="s">
        <v>237</v>
      </c>
      <c r="AC472">
        <v>5.08</v>
      </c>
      <c r="AD472">
        <v>9631.68</v>
      </c>
      <c r="AE472">
        <v>3071.52</v>
      </c>
      <c r="AF472" t="s">
        <v>870</v>
      </c>
      <c r="AG472">
        <v>6560.16</v>
      </c>
      <c r="AH472">
        <v>0.68</v>
      </c>
    </row>
    <row r="473" spans="1:34" x14ac:dyDescent="0.25">
      <c r="A473" t="s">
        <v>1569</v>
      </c>
      <c r="B473">
        <v>472</v>
      </c>
      <c r="C473" t="s">
        <v>487</v>
      </c>
      <c r="D473" t="s">
        <v>261</v>
      </c>
      <c r="E473" t="s">
        <v>534</v>
      </c>
      <c r="F473" t="s">
        <v>1563</v>
      </c>
      <c r="G473" s="25">
        <v>44273</v>
      </c>
      <c r="H473">
        <v>16</v>
      </c>
      <c r="I473">
        <v>77</v>
      </c>
      <c r="J473" t="s">
        <v>1564</v>
      </c>
      <c r="K473" t="s">
        <v>510</v>
      </c>
      <c r="L473" t="s">
        <v>231</v>
      </c>
      <c r="M473" t="s">
        <v>865</v>
      </c>
      <c r="N473" t="s">
        <v>186</v>
      </c>
      <c r="O473" t="s">
        <v>1012</v>
      </c>
      <c r="P473" t="s">
        <v>867</v>
      </c>
      <c r="Q473" t="s">
        <v>1325</v>
      </c>
      <c r="R473" t="s">
        <v>1328</v>
      </c>
      <c r="S473" t="s">
        <v>232</v>
      </c>
      <c r="T473" t="s">
        <v>500</v>
      </c>
      <c r="U473" t="s">
        <v>265</v>
      </c>
      <c r="V473" t="s">
        <v>234</v>
      </c>
      <c r="W473" t="s">
        <v>52</v>
      </c>
      <c r="X473" t="s">
        <v>235</v>
      </c>
      <c r="Y473" t="s">
        <v>266</v>
      </c>
      <c r="Z473">
        <v>2481</v>
      </c>
      <c r="AA473">
        <v>2481</v>
      </c>
      <c r="AB473" t="s">
        <v>237</v>
      </c>
      <c r="AC473">
        <v>5.08</v>
      </c>
      <c r="AD473">
        <v>12603.48</v>
      </c>
      <c r="AE473">
        <v>4019.22</v>
      </c>
      <c r="AF473" t="s">
        <v>870</v>
      </c>
      <c r="AG473">
        <v>8584.26</v>
      </c>
      <c r="AH473">
        <v>0.68</v>
      </c>
    </row>
    <row r="474" spans="1:34" x14ac:dyDescent="0.25">
      <c r="A474" t="s">
        <v>1570</v>
      </c>
      <c r="B474">
        <v>473</v>
      </c>
      <c r="C474" t="s">
        <v>487</v>
      </c>
      <c r="D474" t="s">
        <v>261</v>
      </c>
      <c r="E474" t="s">
        <v>534</v>
      </c>
      <c r="F474" t="s">
        <v>1563</v>
      </c>
      <c r="G474" s="25">
        <v>44273</v>
      </c>
      <c r="H474">
        <v>16</v>
      </c>
      <c r="I474">
        <v>77</v>
      </c>
      <c r="J474" t="s">
        <v>1564</v>
      </c>
      <c r="K474" t="s">
        <v>921</v>
      </c>
      <c r="L474" t="s">
        <v>231</v>
      </c>
      <c r="M474" t="s">
        <v>865</v>
      </c>
      <c r="N474" t="s">
        <v>186</v>
      </c>
      <c r="O474" t="s">
        <v>1012</v>
      </c>
      <c r="P474" t="s">
        <v>867</v>
      </c>
      <c r="Q474" t="s">
        <v>1325</v>
      </c>
      <c r="R474" t="s">
        <v>1328</v>
      </c>
      <c r="S474" t="s">
        <v>232</v>
      </c>
      <c r="T474" t="s">
        <v>500</v>
      </c>
      <c r="U474" t="s">
        <v>265</v>
      </c>
      <c r="V474" t="s">
        <v>234</v>
      </c>
      <c r="W474" t="s">
        <v>52</v>
      </c>
      <c r="X474" t="s">
        <v>235</v>
      </c>
      <c r="Y474" t="s">
        <v>266</v>
      </c>
      <c r="Z474">
        <v>2880</v>
      </c>
      <c r="AA474">
        <v>2880</v>
      </c>
      <c r="AB474" t="s">
        <v>237</v>
      </c>
      <c r="AC474">
        <v>5.08</v>
      </c>
      <c r="AD474">
        <v>14630.4</v>
      </c>
      <c r="AE474">
        <v>4665.6000000000004</v>
      </c>
      <c r="AF474" t="s">
        <v>870</v>
      </c>
      <c r="AG474">
        <v>9964.7999999999993</v>
      </c>
      <c r="AH474">
        <v>0.68</v>
      </c>
    </row>
    <row r="475" spans="1:34" x14ac:dyDescent="0.25">
      <c r="A475" t="s">
        <v>1571</v>
      </c>
      <c r="B475">
        <v>474</v>
      </c>
      <c r="C475" t="s">
        <v>487</v>
      </c>
      <c r="D475" t="s">
        <v>261</v>
      </c>
      <c r="E475" t="s">
        <v>534</v>
      </c>
      <c r="F475" t="s">
        <v>1563</v>
      </c>
      <c r="G475" s="25">
        <v>44273</v>
      </c>
      <c r="H475">
        <v>16</v>
      </c>
      <c r="I475">
        <v>77</v>
      </c>
      <c r="J475" t="s">
        <v>1564</v>
      </c>
      <c r="K475" t="s">
        <v>876</v>
      </c>
      <c r="L475" t="s">
        <v>231</v>
      </c>
      <c r="M475" t="s">
        <v>865</v>
      </c>
      <c r="N475" t="s">
        <v>186</v>
      </c>
      <c r="O475" t="s">
        <v>1012</v>
      </c>
      <c r="P475" t="s">
        <v>867</v>
      </c>
      <c r="Q475" t="s">
        <v>1325</v>
      </c>
      <c r="R475" t="s">
        <v>1328</v>
      </c>
      <c r="S475" t="s">
        <v>232</v>
      </c>
      <c r="T475" t="s">
        <v>500</v>
      </c>
      <c r="U475" t="s">
        <v>265</v>
      </c>
      <c r="V475" t="s">
        <v>234</v>
      </c>
      <c r="W475" t="s">
        <v>52</v>
      </c>
      <c r="X475" t="s">
        <v>235</v>
      </c>
      <c r="Y475" t="s">
        <v>266</v>
      </c>
      <c r="Z475">
        <v>2776</v>
      </c>
      <c r="AA475">
        <v>2776</v>
      </c>
      <c r="AB475" t="s">
        <v>237</v>
      </c>
      <c r="AC475">
        <v>5.08</v>
      </c>
      <c r="AD475">
        <v>14102.08</v>
      </c>
      <c r="AE475">
        <v>4497.12</v>
      </c>
      <c r="AF475" t="s">
        <v>870</v>
      </c>
      <c r="AG475">
        <v>9604.9599999999991</v>
      </c>
      <c r="AH475">
        <v>0.68</v>
      </c>
    </row>
    <row r="476" spans="1:34" x14ac:dyDescent="0.25">
      <c r="A476" t="s">
        <v>1572</v>
      </c>
      <c r="B476">
        <v>475</v>
      </c>
      <c r="C476" t="s">
        <v>487</v>
      </c>
      <c r="D476" t="s">
        <v>261</v>
      </c>
      <c r="E476" t="s">
        <v>534</v>
      </c>
      <c r="F476" t="s">
        <v>1563</v>
      </c>
      <c r="G476" s="25">
        <v>44273</v>
      </c>
      <c r="H476">
        <v>16</v>
      </c>
      <c r="I476">
        <v>77</v>
      </c>
      <c r="J476" t="s">
        <v>1566</v>
      </c>
      <c r="K476" t="s">
        <v>921</v>
      </c>
      <c r="L476" t="s">
        <v>231</v>
      </c>
      <c r="M476" t="s">
        <v>865</v>
      </c>
      <c r="N476" t="s">
        <v>186</v>
      </c>
      <c r="O476" t="s">
        <v>1069</v>
      </c>
      <c r="P476" t="s">
        <v>867</v>
      </c>
      <c r="Q476" t="s">
        <v>1153</v>
      </c>
      <c r="R476" t="s">
        <v>1154</v>
      </c>
      <c r="S476" t="s">
        <v>232</v>
      </c>
      <c r="T476" t="s">
        <v>500</v>
      </c>
      <c r="U476" t="s">
        <v>265</v>
      </c>
      <c r="V476" t="s">
        <v>234</v>
      </c>
      <c r="W476" t="s">
        <v>52</v>
      </c>
      <c r="X476" t="s">
        <v>235</v>
      </c>
      <c r="Y476" t="s">
        <v>266</v>
      </c>
      <c r="Z476">
        <v>3067</v>
      </c>
      <c r="AA476">
        <v>3067</v>
      </c>
      <c r="AB476" t="s">
        <v>237</v>
      </c>
      <c r="AC476">
        <v>5.08</v>
      </c>
      <c r="AD476">
        <v>15580.36</v>
      </c>
      <c r="AE476">
        <v>4968.54</v>
      </c>
      <c r="AF476" t="s">
        <v>870</v>
      </c>
      <c r="AG476">
        <v>10611.82</v>
      </c>
      <c r="AH476">
        <v>0.68</v>
      </c>
    </row>
    <row r="477" spans="1:34" x14ac:dyDescent="0.25">
      <c r="A477" t="s">
        <v>1573</v>
      </c>
      <c r="B477">
        <v>476</v>
      </c>
      <c r="C477" t="s">
        <v>487</v>
      </c>
      <c r="D477" t="s">
        <v>261</v>
      </c>
      <c r="E477" t="s">
        <v>534</v>
      </c>
      <c r="F477" t="s">
        <v>1563</v>
      </c>
      <c r="G477" s="25">
        <v>44273</v>
      </c>
      <c r="H477">
        <v>16</v>
      </c>
      <c r="I477">
        <v>77</v>
      </c>
      <c r="J477" t="s">
        <v>1566</v>
      </c>
      <c r="K477" t="s">
        <v>876</v>
      </c>
      <c r="L477" t="s">
        <v>231</v>
      </c>
      <c r="M477" t="s">
        <v>865</v>
      </c>
      <c r="N477" t="s">
        <v>186</v>
      </c>
      <c r="O477" t="s">
        <v>1069</v>
      </c>
      <c r="P477" t="s">
        <v>867</v>
      </c>
      <c r="Q477" t="s">
        <v>1153</v>
      </c>
      <c r="R477" t="s">
        <v>1154</v>
      </c>
      <c r="S477" t="s">
        <v>232</v>
      </c>
      <c r="T477" t="s">
        <v>500</v>
      </c>
      <c r="U477" t="s">
        <v>265</v>
      </c>
      <c r="V477" t="s">
        <v>234</v>
      </c>
      <c r="W477" t="s">
        <v>52</v>
      </c>
      <c r="X477" t="s">
        <v>235</v>
      </c>
      <c r="Y477" t="s">
        <v>266</v>
      </c>
      <c r="Z477">
        <v>3275</v>
      </c>
      <c r="AA477">
        <v>3275</v>
      </c>
      <c r="AB477" t="s">
        <v>237</v>
      </c>
      <c r="AC477">
        <v>5.08</v>
      </c>
      <c r="AD477">
        <v>16637</v>
      </c>
      <c r="AE477">
        <v>5305.5</v>
      </c>
      <c r="AF477" t="s">
        <v>870</v>
      </c>
      <c r="AG477">
        <v>11331.5</v>
      </c>
      <c r="AH477">
        <v>0.68</v>
      </c>
    </row>
    <row r="478" spans="1:34" x14ac:dyDescent="0.25">
      <c r="A478" t="s">
        <v>1575</v>
      </c>
      <c r="B478">
        <v>477</v>
      </c>
      <c r="C478" t="s">
        <v>487</v>
      </c>
      <c r="D478" t="s">
        <v>261</v>
      </c>
      <c r="E478" t="s">
        <v>534</v>
      </c>
      <c r="F478" t="s">
        <v>1563</v>
      </c>
      <c r="G478" s="25">
        <v>44273</v>
      </c>
      <c r="H478">
        <v>16</v>
      </c>
      <c r="I478">
        <v>77</v>
      </c>
      <c r="J478" t="s">
        <v>1576</v>
      </c>
      <c r="K478" t="s">
        <v>510</v>
      </c>
      <c r="L478" t="s">
        <v>231</v>
      </c>
      <c r="M478" t="s">
        <v>872</v>
      </c>
      <c r="N478" t="s">
        <v>184</v>
      </c>
      <c r="O478" t="s">
        <v>1577</v>
      </c>
      <c r="P478" t="s">
        <v>867</v>
      </c>
      <c r="Q478" t="s">
        <v>1578</v>
      </c>
      <c r="R478" t="s">
        <v>1579</v>
      </c>
      <c r="S478" t="s">
        <v>537</v>
      </c>
      <c r="T478" t="s">
        <v>508</v>
      </c>
      <c r="U478" t="s">
        <v>47</v>
      </c>
      <c r="V478" t="s">
        <v>234</v>
      </c>
      <c r="W478" t="s">
        <v>46</v>
      </c>
      <c r="X478" t="s">
        <v>21</v>
      </c>
      <c r="Y478" t="s">
        <v>288</v>
      </c>
      <c r="Z478">
        <v>3052</v>
      </c>
      <c r="AA478">
        <v>3052</v>
      </c>
      <c r="AB478" t="s">
        <v>237</v>
      </c>
      <c r="AC478">
        <v>4.5999999999999996</v>
      </c>
      <c r="AD478">
        <v>14039.2</v>
      </c>
      <c r="AE478">
        <v>2411.08</v>
      </c>
      <c r="AF478" t="s">
        <v>870</v>
      </c>
      <c r="AG478">
        <v>11628.12</v>
      </c>
      <c r="AH478">
        <v>0.83</v>
      </c>
    </row>
    <row r="479" spans="1:34" x14ac:dyDescent="0.25">
      <c r="A479" t="s">
        <v>1580</v>
      </c>
      <c r="B479">
        <v>478</v>
      </c>
      <c r="C479" t="s">
        <v>487</v>
      </c>
      <c r="D479" t="s">
        <v>261</v>
      </c>
      <c r="E479" t="s">
        <v>534</v>
      </c>
      <c r="F479" t="s">
        <v>1563</v>
      </c>
      <c r="G479" s="25">
        <v>44273</v>
      </c>
      <c r="H479">
        <v>16</v>
      </c>
      <c r="I479">
        <v>77</v>
      </c>
      <c r="J479" t="s">
        <v>1581</v>
      </c>
      <c r="K479" t="s">
        <v>510</v>
      </c>
      <c r="L479" t="s">
        <v>231</v>
      </c>
      <c r="M479" t="s">
        <v>888</v>
      </c>
      <c r="N479" t="s">
        <v>184</v>
      </c>
      <c r="O479" t="s">
        <v>1126</v>
      </c>
      <c r="P479" t="s">
        <v>867</v>
      </c>
      <c r="Q479" t="s">
        <v>1582</v>
      </c>
      <c r="R479" t="s">
        <v>1583</v>
      </c>
      <c r="S479" t="s">
        <v>537</v>
      </c>
      <c r="T479" t="s">
        <v>508</v>
      </c>
      <c r="U479" t="s">
        <v>47</v>
      </c>
      <c r="V479" t="s">
        <v>234</v>
      </c>
      <c r="W479" t="s">
        <v>46</v>
      </c>
      <c r="X479" t="s">
        <v>21</v>
      </c>
      <c r="Y479" t="s">
        <v>288</v>
      </c>
      <c r="Z479">
        <v>3038</v>
      </c>
      <c r="AA479">
        <v>3038</v>
      </c>
      <c r="AB479" t="s">
        <v>237</v>
      </c>
      <c r="AC479">
        <v>4.5999999999999996</v>
      </c>
      <c r="AD479">
        <v>13974.8</v>
      </c>
      <c r="AE479">
        <v>2400.02</v>
      </c>
      <c r="AF479" t="s">
        <v>870</v>
      </c>
      <c r="AG479">
        <v>11574.78</v>
      </c>
      <c r="AH479">
        <v>0.83</v>
      </c>
    </row>
    <row r="480" spans="1:34" x14ac:dyDescent="0.25">
      <c r="A480" t="s">
        <v>1584</v>
      </c>
      <c r="B480">
        <v>479</v>
      </c>
      <c r="C480" t="s">
        <v>487</v>
      </c>
      <c r="D480" t="s">
        <v>261</v>
      </c>
      <c r="E480" t="s">
        <v>552</v>
      </c>
      <c r="F480" t="s">
        <v>1585</v>
      </c>
      <c r="G480" s="25">
        <v>44274</v>
      </c>
      <c r="H480">
        <v>16</v>
      </c>
      <c r="I480">
        <v>78</v>
      </c>
      <c r="J480" t="s">
        <v>1586</v>
      </c>
      <c r="K480" t="s">
        <v>510</v>
      </c>
      <c r="L480" t="s">
        <v>231</v>
      </c>
      <c r="M480" t="s">
        <v>872</v>
      </c>
      <c r="N480" t="s">
        <v>184</v>
      </c>
      <c r="O480" t="s">
        <v>922</v>
      </c>
      <c r="P480" t="s">
        <v>867</v>
      </c>
      <c r="Q480" t="s">
        <v>923</v>
      </c>
      <c r="R480" t="s">
        <v>924</v>
      </c>
      <c r="S480" t="s">
        <v>232</v>
      </c>
      <c r="T480" t="s">
        <v>508</v>
      </c>
      <c r="U480" t="s">
        <v>47</v>
      </c>
      <c r="V480" t="s">
        <v>234</v>
      </c>
      <c r="W480" t="s">
        <v>46</v>
      </c>
      <c r="X480" t="s">
        <v>21</v>
      </c>
      <c r="Y480" t="s">
        <v>288</v>
      </c>
      <c r="Z480">
        <v>3092</v>
      </c>
      <c r="AA480">
        <v>3092</v>
      </c>
      <c r="AB480" t="s">
        <v>237</v>
      </c>
      <c r="AC480">
        <v>4.18</v>
      </c>
      <c r="AD480">
        <v>12924.56</v>
      </c>
      <c r="AE480">
        <v>2442.6799999999998</v>
      </c>
      <c r="AF480" t="s">
        <v>870</v>
      </c>
      <c r="AG480">
        <v>10481.879999999999</v>
      </c>
      <c r="AH480">
        <v>0.81</v>
      </c>
    </row>
    <row r="481" spans="1:34" x14ac:dyDescent="0.25">
      <c r="A481" t="s">
        <v>1587</v>
      </c>
      <c r="B481">
        <v>480</v>
      </c>
      <c r="C481" t="s">
        <v>487</v>
      </c>
      <c r="D481" t="s">
        <v>261</v>
      </c>
      <c r="E481" t="s">
        <v>531</v>
      </c>
      <c r="F481" t="s">
        <v>1588</v>
      </c>
      <c r="G481" s="25">
        <v>44275</v>
      </c>
      <c r="H481">
        <v>16</v>
      </c>
      <c r="I481">
        <v>79</v>
      </c>
      <c r="J481" t="s">
        <v>1589</v>
      </c>
      <c r="K481" t="s">
        <v>510</v>
      </c>
      <c r="L481" t="s">
        <v>231</v>
      </c>
      <c r="M481" t="s">
        <v>872</v>
      </c>
      <c r="N481" t="s">
        <v>184</v>
      </c>
      <c r="O481" t="s">
        <v>958</v>
      </c>
      <c r="P481" t="s">
        <v>867</v>
      </c>
      <c r="Q481" t="s">
        <v>959</v>
      </c>
      <c r="R481" t="s">
        <v>960</v>
      </c>
      <c r="S481" t="s">
        <v>232</v>
      </c>
      <c r="T481" t="s">
        <v>508</v>
      </c>
      <c r="U481" t="s">
        <v>47</v>
      </c>
      <c r="V481" t="s">
        <v>234</v>
      </c>
      <c r="W481" t="s">
        <v>46</v>
      </c>
      <c r="X481" t="s">
        <v>21</v>
      </c>
      <c r="Y481" t="s">
        <v>288</v>
      </c>
      <c r="Z481">
        <v>3764</v>
      </c>
      <c r="AA481">
        <v>3764</v>
      </c>
      <c r="AB481" t="s">
        <v>237</v>
      </c>
      <c r="AC481">
        <v>4.18</v>
      </c>
      <c r="AD481">
        <v>15733.52</v>
      </c>
      <c r="AE481">
        <v>2973.56</v>
      </c>
      <c r="AF481" t="s">
        <v>870</v>
      </c>
      <c r="AG481">
        <v>12759.96</v>
      </c>
      <c r="AH481">
        <v>0.81</v>
      </c>
    </row>
    <row r="482" spans="1:34" x14ac:dyDescent="0.25">
      <c r="A482" t="s">
        <v>1590</v>
      </c>
      <c r="B482">
        <v>481</v>
      </c>
      <c r="C482" t="s">
        <v>487</v>
      </c>
      <c r="D482" t="s">
        <v>261</v>
      </c>
      <c r="E482" t="s">
        <v>531</v>
      </c>
      <c r="F482" t="s">
        <v>1588</v>
      </c>
      <c r="G482" s="25">
        <v>44275</v>
      </c>
      <c r="H482">
        <v>16</v>
      </c>
      <c r="I482">
        <v>79</v>
      </c>
      <c r="J482" t="s">
        <v>1591</v>
      </c>
      <c r="K482" t="s">
        <v>510</v>
      </c>
      <c r="L482" t="s">
        <v>231</v>
      </c>
      <c r="M482" t="s">
        <v>878</v>
      </c>
      <c r="N482" t="s">
        <v>185</v>
      </c>
      <c r="O482" t="s">
        <v>989</v>
      </c>
      <c r="P482" t="s">
        <v>867</v>
      </c>
      <c r="Q482" t="s">
        <v>1592</v>
      </c>
      <c r="R482" t="s">
        <v>1593</v>
      </c>
      <c r="S482" t="s">
        <v>537</v>
      </c>
      <c r="T482" t="s">
        <v>508</v>
      </c>
      <c r="U482" t="s">
        <v>47</v>
      </c>
      <c r="V482" t="s">
        <v>234</v>
      </c>
      <c r="W482" t="s">
        <v>46</v>
      </c>
      <c r="X482" t="s">
        <v>21</v>
      </c>
      <c r="Y482" t="s">
        <v>288</v>
      </c>
      <c r="Z482">
        <v>3278</v>
      </c>
      <c r="AA482">
        <v>3278</v>
      </c>
      <c r="AB482" t="s">
        <v>237</v>
      </c>
      <c r="AC482">
        <v>4.5999999999999996</v>
      </c>
      <c r="AD482">
        <v>15078.8</v>
      </c>
      <c r="AE482">
        <v>2589.62</v>
      </c>
      <c r="AF482" t="s">
        <v>870</v>
      </c>
      <c r="AG482">
        <v>12489.18</v>
      </c>
      <c r="AH482">
        <v>0.83</v>
      </c>
    </row>
    <row r="483" spans="1:34" x14ac:dyDescent="0.25">
      <c r="A483" t="s">
        <v>1594</v>
      </c>
      <c r="B483">
        <v>482</v>
      </c>
      <c r="C483" t="s">
        <v>487</v>
      </c>
      <c r="D483" t="s">
        <v>261</v>
      </c>
      <c r="E483" t="s">
        <v>408</v>
      </c>
      <c r="F483" t="s">
        <v>1595</v>
      </c>
      <c r="G483" s="25">
        <v>44276</v>
      </c>
      <c r="H483">
        <v>16</v>
      </c>
      <c r="I483">
        <v>80</v>
      </c>
      <c r="J483" t="s">
        <v>1596</v>
      </c>
      <c r="K483" t="s">
        <v>510</v>
      </c>
      <c r="L483" t="s">
        <v>231</v>
      </c>
      <c r="M483" t="s">
        <v>173</v>
      </c>
      <c r="N483" t="s">
        <v>185</v>
      </c>
      <c r="O483" t="s">
        <v>966</v>
      </c>
      <c r="P483" t="s">
        <v>867</v>
      </c>
      <c r="Q483" t="s">
        <v>1597</v>
      </c>
      <c r="R483" t="s">
        <v>1598</v>
      </c>
      <c r="S483" t="s">
        <v>239</v>
      </c>
      <c r="T483" t="s">
        <v>500</v>
      </c>
      <c r="U483" t="s">
        <v>265</v>
      </c>
      <c r="V483" t="s">
        <v>234</v>
      </c>
      <c r="W483" t="s">
        <v>52</v>
      </c>
      <c r="X483" t="s">
        <v>235</v>
      </c>
      <c r="Y483" t="s">
        <v>266</v>
      </c>
      <c r="Z483">
        <v>2552</v>
      </c>
      <c r="AA483">
        <v>2552</v>
      </c>
      <c r="AB483" t="s">
        <v>237</v>
      </c>
      <c r="AC483">
        <v>4.9800000000000004</v>
      </c>
      <c r="AD483">
        <v>12708.96</v>
      </c>
      <c r="AE483">
        <v>4134.24</v>
      </c>
      <c r="AF483" t="s">
        <v>870</v>
      </c>
      <c r="AG483">
        <v>8574.7199999999993</v>
      </c>
      <c r="AH483">
        <v>0.67</v>
      </c>
    </row>
    <row r="484" spans="1:34" x14ac:dyDescent="0.25">
      <c r="A484" t="s">
        <v>1599</v>
      </c>
      <c r="B484">
        <v>483</v>
      </c>
      <c r="C484" t="s">
        <v>487</v>
      </c>
      <c r="D484" t="s">
        <v>261</v>
      </c>
      <c r="E484" t="s">
        <v>408</v>
      </c>
      <c r="F484" t="s">
        <v>1595</v>
      </c>
      <c r="G484" s="25">
        <v>44276</v>
      </c>
      <c r="H484">
        <v>16</v>
      </c>
      <c r="I484">
        <v>80</v>
      </c>
      <c r="J484" t="s">
        <v>1596</v>
      </c>
      <c r="K484" t="s">
        <v>876</v>
      </c>
      <c r="L484" t="s">
        <v>231</v>
      </c>
      <c r="M484" t="s">
        <v>173</v>
      </c>
      <c r="N484" t="s">
        <v>185</v>
      </c>
      <c r="O484" t="s">
        <v>966</v>
      </c>
      <c r="P484" t="s">
        <v>867</v>
      </c>
      <c r="Q484" t="s">
        <v>1597</v>
      </c>
      <c r="R484" t="s">
        <v>1598</v>
      </c>
      <c r="S484" t="s">
        <v>239</v>
      </c>
      <c r="T484" t="s">
        <v>500</v>
      </c>
      <c r="U484" t="s">
        <v>265</v>
      </c>
      <c r="V484" t="s">
        <v>234</v>
      </c>
      <c r="W484" t="s">
        <v>52</v>
      </c>
      <c r="X484" t="s">
        <v>235</v>
      </c>
      <c r="Y484" t="s">
        <v>266</v>
      </c>
      <c r="Z484">
        <v>2658</v>
      </c>
      <c r="AA484">
        <v>2658</v>
      </c>
      <c r="AB484" t="s">
        <v>237</v>
      </c>
      <c r="AC484">
        <v>4.9800000000000004</v>
      </c>
      <c r="AD484">
        <v>13236.84</v>
      </c>
      <c r="AE484">
        <v>4305.96</v>
      </c>
      <c r="AF484" t="s">
        <v>870</v>
      </c>
      <c r="AG484">
        <v>8930.8799999999992</v>
      </c>
      <c r="AH484">
        <v>0.67</v>
      </c>
    </row>
    <row r="485" spans="1:34" x14ac:dyDescent="0.25">
      <c r="A485" t="s">
        <v>1600</v>
      </c>
      <c r="B485">
        <v>484</v>
      </c>
      <c r="C485" t="s">
        <v>487</v>
      </c>
      <c r="D485" t="s">
        <v>261</v>
      </c>
      <c r="E485" t="s">
        <v>408</v>
      </c>
      <c r="F485" t="s">
        <v>1595</v>
      </c>
      <c r="G485" s="25">
        <v>44276</v>
      </c>
      <c r="H485">
        <v>16</v>
      </c>
      <c r="I485">
        <v>80</v>
      </c>
      <c r="J485" t="s">
        <v>1596</v>
      </c>
      <c r="K485" t="s">
        <v>921</v>
      </c>
      <c r="L485" t="s">
        <v>231</v>
      </c>
      <c r="M485" t="s">
        <v>173</v>
      </c>
      <c r="N485" t="s">
        <v>185</v>
      </c>
      <c r="O485" t="s">
        <v>966</v>
      </c>
      <c r="P485" t="s">
        <v>867</v>
      </c>
      <c r="Q485" t="s">
        <v>1597</v>
      </c>
      <c r="R485" t="s">
        <v>1598</v>
      </c>
      <c r="S485" t="s">
        <v>239</v>
      </c>
      <c r="T485" t="s">
        <v>500</v>
      </c>
      <c r="U485" t="s">
        <v>265</v>
      </c>
      <c r="V485" t="s">
        <v>234</v>
      </c>
      <c r="W485" t="s">
        <v>52</v>
      </c>
      <c r="X485" t="s">
        <v>235</v>
      </c>
      <c r="Y485" t="s">
        <v>266</v>
      </c>
      <c r="Z485">
        <v>668</v>
      </c>
      <c r="AA485">
        <v>668</v>
      </c>
      <c r="AB485" t="s">
        <v>237</v>
      </c>
      <c r="AC485">
        <v>4.9800000000000004</v>
      </c>
      <c r="AD485">
        <v>3326.64</v>
      </c>
      <c r="AE485">
        <v>1082.1600000000001</v>
      </c>
      <c r="AF485" t="s">
        <v>870</v>
      </c>
      <c r="AG485">
        <v>2244.48</v>
      </c>
      <c r="AH485">
        <v>0.67</v>
      </c>
    </row>
    <row r="486" spans="1:34" x14ac:dyDescent="0.25">
      <c r="A486" t="s">
        <v>1601</v>
      </c>
      <c r="B486">
        <v>485</v>
      </c>
      <c r="C486" t="s">
        <v>487</v>
      </c>
      <c r="D486" t="s">
        <v>261</v>
      </c>
      <c r="E486" t="s">
        <v>408</v>
      </c>
      <c r="F486" t="s">
        <v>1595</v>
      </c>
      <c r="G486" s="25">
        <v>44276</v>
      </c>
      <c r="H486">
        <v>16</v>
      </c>
      <c r="I486">
        <v>80</v>
      </c>
      <c r="J486" t="s">
        <v>1602</v>
      </c>
      <c r="K486" t="s">
        <v>956</v>
      </c>
      <c r="L486" t="s">
        <v>231</v>
      </c>
      <c r="M486" t="s">
        <v>1114</v>
      </c>
      <c r="N486" t="s">
        <v>185</v>
      </c>
      <c r="O486" t="s">
        <v>1255</v>
      </c>
      <c r="P486" t="s">
        <v>867</v>
      </c>
      <c r="Q486" t="s">
        <v>1256</v>
      </c>
      <c r="R486" t="s">
        <v>1257</v>
      </c>
      <c r="S486" t="s">
        <v>232</v>
      </c>
      <c r="T486" t="s">
        <v>505</v>
      </c>
      <c r="U486" t="s">
        <v>41</v>
      </c>
      <c r="V486" t="s">
        <v>234</v>
      </c>
      <c r="W486" t="s">
        <v>40</v>
      </c>
      <c r="X486" t="s">
        <v>21</v>
      </c>
      <c r="Y486" t="s">
        <v>266</v>
      </c>
      <c r="Z486">
        <v>3505</v>
      </c>
      <c r="AA486">
        <v>3505</v>
      </c>
      <c r="AB486" t="s">
        <v>237</v>
      </c>
      <c r="AC486">
        <v>4.0999999999999996</v>
      </c>
      <c r="AD486">
        <v>14370.5</v>
      </c>
      <c r="AE486">
        <v>3154.5</v>
      </c>
      <c r="AF486" t="s">
        <v>870</v>
      </c>
      <c r="AG486">
        <v>11216</v>
      </c>
      <c r="AH486">
        <v>0.78</v>
      </c>
    </row>
    <row r="487" spans="1:34" x14ac:dyDescent="0.25">
      <c r="A487" t="s">
        <v>1603</v>
      </c>
      <c r="B487">
        <v>486</v>
      </c>
      <c r="C487" t="s">
        <v>487</v>
      </c>
      <c r="D487" t="s">
        <v>261</v>
      </c>
      <c r="E487" t="s">
        <v>408</v>
      </c>
      <c r="F487" t="s">
        <v>1595</v>
      </c>
      <c r="G487" s="25">
        <v>44276</v>
      </c>
      <c r="H487">
        <v>16</v>
      </c>
      <c r="I487">
        <v>80</v>
      </c>
      <c r="J487" t="s">
        <v>1602</v>
      </c>
      <c r="K487" t="s">
        <v>876</v>
      </c>
      <c r="L487" t="s">
        <v>231</v>
      </c>
      <c r="M487" t="s">
        <v>1114</v>
      </c>
      <c r="N487" t="s">
        <v>185</v>
      </c>
      <c r="O487" t="s">
        <v>1255</v>
      </c>
      <c r="P487" t="s">
        <v>867</v>
      </c>
      <c r="Q487" t="s">
        <v>1256</v>
      </c>
      <c r="R487" t="s">
        <v>1257</v>
      </c>
      <c r="S487" t="s">
        <v>232</v>
      </c>
      <c r="T487" t="s">
        <v>505</v>
      </c>
      <c r="U487" t="s">
        <v>41</v>
      </c>
      <c r="V487" t="s">
        <v>234</v>
      </c>
      <c r="W487" t="s">
        <v>40</v>
      </c>
      <c r="X487" t="s">
        <v>21</v>
      </c>
      <c r="Y487" t="s">
        <v>266</v>
      </c>
      <c r="Z487">
        <v>3279</v>
      </c>
      <c r="AA487">
        <v>3279</v>
      </c>
      <c r="AB487" t="s">
        <v>237</v>
      </c>
      <c r="AC487">
        <v>4.0999999999999996</v>
      </c>
      <c r="AD487">
        <v>13443.9</v>
      </c>
      <c r="AE487">
        <v>2951.1</v>
      </c>
      <c r="AF487" t="s">
        <v>870</v>
      </c>
      <c r="AG487">
        <v>10492.8</v>
      </c>
      <c r="AH487">
        <v>0.78</v>
      </c>
    </row>
    <row r="488" spans="1:34" x14ac:dyDescent="0.25">
      <c r="A488" t="s">
        <v>1604</v>
      </c>
      <c r="B488">
        <v>487</v>
      </c>
      <c r="C488" t="s">
        <v>487</v>
      </c>
      <c r="D488" t="s">
        <v>261</v>
      </c>
      <c r="E488" t="s">
        <v>408</v>
      </c>
      <c r="F488" t="s">
        <v>1595</v>
      </c>
      <c r="G488" s="25">
        <v>44276</v>
      </c>
      <c r="H488">
        <v>16</v>
      </c>
      <c r="I488">
        <v>80</v>
      </c>
      <c r="J488" t="s">
        <v>1605</v>
      </c>
      <c r="K488" t="s">
        <v>876</v>
      </c>
      <c r="L488" t="s">
        <v>231</v>
      </c>
      <c r="M488" t="s">
        <v>888</v>
      </c>
      <c r="N488" t="s">
        <v>184</v>
      </c>
      <c r="O488" t="s">
        <v>1219</v>
      </c>
      <c r="P488" t="s">
        <v>867</v>
      </c>
      <c r="Q488" t="s">
        <v>1220</v>
      </c>
      <c r="R488" t="s">
        <v>1221</v>
      </c>
      <c r="S488" t="s">
        <v>232</v>
      </c>
      <c r="T488" t="s">
        <v>504</v>
      </c>
      <c r="U488" t="s">
        <v>43</v>
      </c>
      <c r="V488" t="s">
        <v>234</v>
      </c>
      <c r="W488" t="s">
        <v>42</v>
      </c>
      <c r="X488" t="s">
        <v>21</v>
      </c>
      <c r="Y488" t="s">
        <v>236</v>
      </c>
      <c r="Z488">
        <v>842</v>
      </c>
      <c r="AA488">
        <v>842</v>
      </c>
      <c r="AB488" t="s">
        <v>237</v>
      </c>
      <c r="AC488">
        <v>4.66</v>
      </c>
      <c r="AD488">
        <v>3923.72</v>
      </c>
      <c r="AE488">
        <v>1035.6600000000001</v>
      </c>
      <c r="AF488" t="s">
        <v>870</v>
      </c>
      <c r="AG488">
        <v>2888.06</v>
      </c>
      <c r="AH488">
        <v>0.74</v>
      </c>
    </row>
    <row r="489" spans="1:34" x14ac:dyDescent="0.25">
      <c r="A489" t="s">
        <v>1606</v>
      </c>
      <c r="B489">
        <v>488</v>
      </c>
      <c r="C489" t="s">
        <v>487</v>
      </c>
      <c r="D489" t="s">
        <v>261</v>
      </c>
      <c r="E489" t="s">
        <v>408</v>
      </c>
      <c r="F489" t="s">
        <v>1595</v>
      </c>
      <c r="G489" s="25">
        <v>44276</v>
      </c>
      <c r="H489">
        <v>16</v>
      </c>
      <c r="I489">
        <v>80</v>
      </c>
      <c r="J489" t="s">
        <v>1602</v>
      </c>
      <c r="K489" t="s">
        <v>510</v>
      </c>
      <c r="L489" t="s">
        <v>231</v>
      </c>
      <c r="M489" t="s">
        <v>1114</v>
      </c>
      <c r="N489" t="s">
        <v>185</v>
      </c>
      <c r="O489" t="s">
        <v>1255</v>
      </c>
      <c r="P489" t="s">
        <v>867</v>
      </c>
      <c r="Q489" t="s">
        <v>1256</v>
      </c>
      <c r="R489" t="s">
        <v>1257</v>
      </c>
      <c r="S489" t="s">
        <v>232</v>
      </c>
      <c r="T489" t="s">
        <v>508</v>
      </c>
      <c r="U489" t="s">
        <v>47</v>
      </c>
      <c r="V489" t="s">
        <v>234</v>
      </c>
      <c r="W489" t="s">
        <v>46</v>
      </c>
      <c r="X489" t="s">
        <v>21</v>
      </c>
      <c r="Y489" t="s">
        <v>288</v>
      </c>
      <c r="Z489">
        <v>3458</v>
      </c>
      <c r="AA489">
        <v>3458</v>
      </c>
      <c r="AB489" t="s">
        <v>237</v>
      </c>
      <c r="AC489">
        <v>4.18</v>
      </c>
      <c r="AD489">
        <v>14454.44</v>
      </c>
      <c r="AE489">
        <v>2731.82</v>
      </c>
      <c r="AF489" t="s">
        <v>870</v>
      </c>
      <c r="AG489">
        <v>11722.62</v>
      </c>
      <c r="AH489">
        <v>0.81</v>
      </c>
    </row>
    <row r="490" spans="1:34" x14ac:dyDescent="0.25">
      <c r="A490" t="s">
        <v>1608</v>
      </c>
      <c r="B490">
        <v>489</v>
      </c>
      <c r="C490" t="s">
        <v>487</v>
      </c>
      <c r="D490" t="s">
        <v>261</v>
      </c>
      <c r="E490" t="s">
        <v>408</v>
      </c>
      <c r="F490" t="s">
        <v>1595</v>
      </c>
      <c r="G490" s="25">
        <v>44276</v>
      </c>
      <c r="H490">
        <v>16</v>
      </c>
      <c r="I490">
        <v>80</v>
      </c>
      <c r="J490" t="s">
        <v>1607</v>
      </c>
      <c r="K490" t="s">
        <v>510</v>
      </c>
      <c r="L490" t="s">
        <v>231</v>
      </c>
      <c r="M490" t="s">
        <v>878</v>
      </c>
      <c r="N490" t="s">
        <v>185</v>
      </c>
      <c r="O490" t="s">
        <v>989</v>
      </c>
      <c r="P490" t="s">
        <v>867</v>
      </c>
      <c r="Q490" t="s">
        <v>990</v>
      </c>
      <c r="R490" t="s">
        <v>991</v>
      </c>
      <c r="S490" t="s">
        <v>232</v>
      </c>
      <c r="T490" t="s">
        <v>508</v>
      </c>
      <c r="U490" t="s">
        <v>47</v>
      </c>
      <c r="V490" t="s">
        <v>234</v>
      </c>
      <c r="W490" t="s">
        <v>46</v>
      </c>
      <c r="X490" t="s">
        <v>21</v>
      </c>
      <c r="Y490" t="s">
        <v>288</v>
      </c>
      <c r="Z490">
        <v>3976</v>
      </c>
      <c r="AA490">
        <v>3976</v>
      </c>
      <c r="AB490" t="s">
        <v>237</v>
      </c>
      <c r="AC490">
        <v>4.18</v>
      </c>
      <c r="AD490">
        <v>16619.68</v>
      </c>
      <c r="AE490">
        <v>3141.04</v>
      </c>
      <c r="AF490" t="s">
        <v>870</v>
      </c>
      <c r="AG490">
        <v>13478.64</v>
      </c>
      <c r="AH490">
        <v>0.81</v>
      </c>
    </row>
    <row r="491" spans="1:34" x14ac:dyDescent="0.25">
      <c r="A491" t="s">
        <v>1609</v>
      </c>
      <c r="B491">
        <v>490</v>
      </c>
      <c r="C491" t="s">
        <v>487</v>
      </c>
      <c r="D491" t="s">
        <v>261</v>
      </c>
      <c r="E491" t="s">
        <v>408</v>
      </c>
      <c r="F491" t="s">
        <v>1595</v>
      </c>
      <c r="G491" s="25">
        <v>44276</v>
      </c>
      <c r="H491">
        <v>16</v>
      </c>
      <c r="I491">
        <v>80</v>
      </c>
      <c r="J491" t="s">
        <v>1607</v>
      </c>
      <c r="K491" t="s">
        <v>921</v>
      </c>
      <c r="L491" t="s">
        <v>231</v>
      </c>
      <c r="M491" t="s">
        <v>878</v>
      </c>
      <c r="N491" t="s">
        <v>185</v>
      </c>
      <c r="O491" t="s">
        <v>989</v>
      </c>
      <c r="P491" t="s">
        <v>867</v>
      </c>
      <c r="Q491" t="s">
        <v>990</v>
      </c>
      <c r="R491" t="s">
        <v>991</v>
      </c>
      <c r="S491" t="s">
        <v>232</v>
      </c>
      <c r="T491" t="s">
        <v>508</v>
      </c>
      <c r="U491" t="s">
        <v>47</v>
      </c>
      <c r="V491" t="s">
        <v>234</v>
      </c>
      <c r="W491" t="s">
        <v>46</v>
      </c>
      <c r="X491" t="s">
        <v>21</v>
      </c>
      <c r="Y491" t="s">
        <v>288</v>
      </c>
      <c r="Z491">
        <v>3660</v>
      </c>
      <c r="AA491">
        <v>3660</v>
      </c>
      <c r="AB491" t="s">
        <v>237</v>
      </c>
      <c r="AC491">
        <v>4.18</v>
      </c>
      <c r="AD491">
        <v>15298.8</v>
      </c>
      <c r="AE491">
        <v>2891.4</v>
      </c>
      <c r="AF491" t="s">
        <v>870</v>
      </c>
      <c r="AG491">
        <v>12407.4</v>
      </c>
      <c r="AH491">
        <v>0.81</v>
      </c>
    </row>
    <row r="492" spans="1:34" x14ac:dyDescent="0.25">
      <c r="A492" t="s">
        <v>1610</v>
      </c>
      <c r="B492">
        <v>491</v>
      </c>
      <c r="C492" t="s">
        <v>487</v>
      </c>
      <c r="D492" t="s">
        <v>261</v>
      </c>
      <c r="E492" t="s">
        <v>408</v>
      </c>
      <c r="F492" t="s">
        <v>1595</v>
      </c>
      <c r="G492" s="25">
        <v>44276</v>
      </c>
      <c r="H492">
        <v>16</v>
      </c>
      <c r="I492">
        <v>80</v>
      </c>
      <c r="J492" t="s">
        <v>1607</v>
      </c>
      <c r="K492" t="s">
        <v>956</v>
      </c>
      <c r="L492" t="s">
        <v>231</v>
      </c>
      <c r="M492" t="s">
        <v>878</v>
      </c>
      <c r="N492" t="s">
        <v>185</v>
      </c>
      <c r="O492" t="s">
        <v>989</v>
      </c>
      <c r="P492" t="s">
        <v>867</v>
      </c>
      <c r="Q492" t="s">
        <v>990</v>
      </c>
      <c r="R492" t="s">
        <v>991</v>
      </c>
      <c r="S492" t="s">
        <v>232</v>
      </c>
      <c r="T492" t="s">
        <v>500</v>
      </c>
      <c r="U492" t="s">
        <v>265</v>
      </c>
      <c r="V492" t="s">
        <v>234</v>
      </c>
      <c r="W492" t="s">
        <v>52</v>
      </c>
      <c r="X492" t="s">
        <v>235</v>
      </c>
      <c r="Y492" t="s">
        <v>266</v>
      </c>
      <c r="Z492">
        <v>3206</v>
      </c>
      <c r="AA492">
        <v>3206</v>
      </c>
      <c r="AB492" t="s">
        <v>237</v>
      </c>
      <c r="AC492">
        <v>5.08</v>
      </c>
      <c r="AD492">
        <v>16286.48</v>
      </c>
      <c r="AE492">
        <v>5193.72</v>
      </c>
      <c r="AF492" t="s">
        <v>870</v>
      </c>
      <c r="AG492">
        <v>11092.76</v>
      </c>
      <c r="AH492">
        <v>0.68</v>
      </c>
    </row>
    <row r="493" spans="1:34" x14ac:dyDescent="0.25">
      <c r="A493" t="s">
        <v>1611</v>
      </c>
      <c r="B493">
        <v>492</v>
      </c>
      <c r="C493" t="s">
        <v>487</v>
      </c>
      <c r="D493" t="s">
        <v>261</v>
      </c>
      <c r="E493" t="s">
        <v>408</v>
      </c>
      <c r="F493" t="s">
        <v>1595</v>
      </c>
      <c r="G493" s="25">
        <v>44276</v>
      </c>
      <c r="H493">
        <v>16</v>
      </c>
      <c r="I493">
        <v>80</v>
      </c>
      <c r="J493" t="s">
        <v>1605</v>
      </c>
      <c r="K493" t="s">
        <v>510</v>
      </c>
      <c r="L493" t="s">
        <v>231</v>
      </c>
      <c r="M493" t="s">
        <v>888</v>
      </c>
      <c r="N493" t="s">
        <v>184</v>
      </c>
      <c r="O493" t="s">
        <v>1219</v>
      </c>
      <c r="P493" t="s">
        <v>867</v>
      </c>
      <c r="Q493" t="s">
        <v>1220</v>
      </c>
      <c r="R493" t="s">
        <v>1221</v>
      </c>
      <c r="S493" t="s">
        <v>232</v>
      </c>
      <c r="T493" t="s">
        <v>500</v>
      </c>
      <c r="U493" t="s">
        <v>265</v>
      </c>
      <c r="V493" t="s">
        <v>234</v>
      </c>
      <c r="W493" t="s">
        <v>52</v>
      </c>
      <c r="X493" t="s">
        <v>235</v>
      </c>
      <c r="Y493" t="s">
        <v>266</v>
      </c>
      <c r="Z493">
        <v>3161</v>
      </c>
      <c r="AA493">
        <v>3161</v>
      </c>
      <c r="AB493" t="s">
        <v>237</v>
      </c>
      <c r="AC493">
        <v>5.08</v>
      </c>
      <c r="AD493">
        <v>16057.88</v>
      </c>
      <c r="AE493">
        <v>5120.82</v>
      </c>
      <c r="AF493" t="s">
        <v>870</v>
      </c>
      <c r="AG493">
        <v>10937.06</v>
      </c>
      <c r="AH493">
        <v>0.68</v>
      </c>
    </row>
    <row r="494" spans="1:34" x14ac:dyDescent="0.25">
      <c r="A494" t="s">
        <v>1612</v>
      </c>
      <c r="B494">
        <v>493</v>
      </c>
      <c r="C494" t="s">
        <v>487</v>
      </c>
      <c r="D494" t="s">
        <v>261</v>
      </c>
      <c r="E494" t="s">
        <v>408</v>
      </c>
      <c r="F494" t="s">
        <v>1595</v>
      </c>
      <c r="G494" s="25">
        <v>44276</v>
      </c>
      <c r="H494">
        <v>16</v>
      </c>
      <c r="I494">
        <v>80</v>
      </c>
      <c r="J494" t="s">
        <v>1605</v>
      </c>
      <c r="K494" t="s">
        <v>921</v>
      </c>
      <c r="L494" t="s">
        <v>231</v>
      </c>
      <c r="M494" t="s">
        <v>888</v>
      </c>
      <c r="N494" t="s">
        <v>184</v>
      </c>
      <c r="O494" t="s">
        <v>1219</v>
      </c>
      <c r="P494" t="s">
        <v>867</v>
      </c>
      <c r="Q494" t="s">
        <v>1220</v>
      </c>
      <c r="R494" t="s">
        <v>1221</v>
      </c>
      <c r="S494" t="s">
        <v>232</v>
      </c>
      <c r="T494" t="s">
        <v>500</v>
      </c>
      <c r="U494" t="s">
        <v>265</v>
      </c>
      <c r="V494" t="s">
        <v>234</v>
      </c>
      <c r="W494" t="s">
        <v>52</v>
      </c>
      <c r="X494" t="s">
        <v>235</v>
      </c>
      <c r="Y494" t="s">
        <v>266</v>
      </c>
      <c r="Z494">
        <v>2782</v>
      </c>
      <c r="AA494">
        <v>2782</v>
      </c>
      <c r="AB494" t="s">
        <v>237</v>
      </c>
      <c r="AC494">
        <v>5.08</v>
      </c>
      <c r="AD494">
        <v>14132.56</v>
      </c>
      <c r="AE494">
        <v>4506.84</v>
      </c>
      <c r="AF494" t="s">
        <v>870</v>
      </c>
      <c r="AG494">
        <v>9625.7199999999993</v>
      </c>
      <c r="AH494">
        <v>0.68</v>
      </c>
    </row>
    <row r="495" spans="1:34" x14ac:dyDescent="0.25">
      <c r="A495" t="s">
        <v>1613</v>
      </c>
      <c r="B495">
        <v>494</v>
      </c>
      <c r="C495" t="s">
        <v>487</v>
      </c>
      <c r="D495" t="s">
        <v>261</v>
      </c>
      <c r="E495" t="s">
        <v>408</v>
      </c>
      <c r="F495" t="s">
        <v>1595</v>
      </c>
      <c r="G495" s="25">
        <v>44276</v>
      </c>
      <c r="H495">
        <v>16</v>
      </c>
      <c r="I495">
        <v>80</v>
      </c>
      <c r="J495" t="s">
        <v>1605</v>
      </c>
      <c r="K495" t="s">
        <v>956</v>
      </c>
      <c r="L495" t="s">
        <v>231</v>
      </c>
      <c r="M495" t="s">
        <v>888</v>
      </c>
      <c r="N495" t="s">
        <v>184</v>
      </c>
      <c r="O495" t="s">
        <v>1219</v>
      </c>
      <c r="P495" t="s">
        <v>867</v>
      </c>
      <c r="Q495" t="s">
        <v>1220</v>
      </c>
      <c r="R495" t="s">
        <v>1221</v>
      </c>
      <c r="S495" t="s">
        <v>232</v>
      </c>
      <c r="T495" t="s">
        <v>500</v>
      </c>
      <c r="U495" t="s">
        <v>265</v>
      </c>
      <c r="V495" t="s">
        <v>234</v>
      </c>
      <c r="W495" t="s">
        <v>52</v>
      </c>
      <c r="X495" t="s">
        <v>235</v>
      </c>
      <c r="Y495" t="s">
        <v>266</v>
      </c>
      <c r="Z495">
        <v>3105</v>
      </c>
      <c r="AA495">
        <v>3105</v>
      </c>
      <c r="AB495" t="s">
        <v>237</v>
      </c>
      <c r="AC495">
        <v>5.08</v>
      </c>
      <c r="AD495">
        <v>15773.4</v>
      </c>
      <c r="AE495">
        <v>5030.1000000000004</v>
      </c>
      <c r="AF495" t="s">
        <v>870</v>
      </c>
      <c r="AG495">
        <v>10743.3</v>
      </c>
      <c r="AH495">
        <v>0.68</v>
      </c>
    </row>
    <row r="496" spans="1:34" x14ac:dyDescent="0.25">
      <c r="A496" t="s">
        <v>1614</v>
      </c>
      <c r="B496">
        <v>495</v>
      </c>
      <c r="C496" t="s">
        <v>487</v>
      </c>
      <c r="D496" t="s">
        <v>261</v>
      </c>
      <c r="E496" t="s">
        <v>408</v>
      </c>
      <c r="F496" t="s">
        <v>1595</v>
      </c>
      <c r="G496" s="25">
        <v>44276</v>
      </c>
      <c r="H496">
        <v>16</v>
      </c>
      <c r="I496">
        <v>80</v>
      </c>
      <c r="J496" t="s">
        <v>1602</v>
      </c>
      <c r="K496" t="s">
        <v>921</v>
      </c>
      <c r="L496" t="s">
        <v>231</v>
      </c>
      <c r="M496" t="s">
        <v>1114</v>
      </c>
      <c r="N496" t="s">
        <v>185</v>
      </c>
      <c r="O496" t="s">
        <v>1255</v>
      </c>
      <c r="P496" t="s">
        <v>867</v>
      </c>
      <c r="Q496" t="s">
        <v>1256</v>
      </c>
      <c r="R496" t="s">
        <v>1257</v>
      </c>
      <c r="S496" t="s">
        <v>232</v>
      </c>
      <c r="T496" t="s">
        <v>500</v>
      </c>
      <c r="U496" t="s">
        <v>265</v>
      </c>
      <c r="V496" t="s">
        <v>234</v>
      </c>
      <c r="W496" t="s">
        <v>52</v>
      </c>
      <c r="X496" t="s">
        <v>235</v>
      </c>
      <c r="Y496" t="s">
        <v>266</v>
      </c>
      <c r="Z496">
        <v>3241</v>
      </c>
      <c r="AA496">
        <v>3241</v>
      </c>
      <c r="AB496" t="s">
        <v>237</v>
      </c>
      <c r="AC496">
        <v>5.08</v>
      </c>
      <c r="AD496">
        <v>16464.28</v>
      </c>
      <c r="AE496">
        <v>5250.42</v>
      </c>
      <c r="AF496" t="s">
        <v>870</v>
      </c>
      <c r="AG496">
        <v>11213.86</v>
      </c>
      <c r="AH496">
        <v>0.68</v>
      </c>
    </row>
    <row r="497" spans="1:34" x14ac:dyDescent="0.25">
      <c r="A497" t="s">
        <v>1615</v>
      </c>
      <c r="B497">
        <v>496</v>
      </c>
      <c r="C497" t="s">
        <v>487</v>
      </c>
      <c r="D497" t="s">
        <v>261</v>
      </c>
      <c r="E497" t="s">
        <v>408</v>
      </c>
      <c r="F497" t="s">
        <v>1595</v>
      </c>
      <c r="G497" s="25">
        <v>44276</v>
      </c>
      <c r="H497">
        <v>16</v>
      </c>
      <c r="I497">
        <v>80</v>
      </c>
      <c r="J497" t="s">
        <v>1607</v>
      </c>
      <c r="K497" t="s">
        <v>876</v>
      </c>
      <c r="L497" t="s">
        <v>231</v>
      </c>
      <c r="M497" t="s">
        <v>878</v>
      </c>
      <c r="N497" t="s">
        <v>185</v>
      </c>
      <c r="O497" t="s">
        <v>989</v>
      </c>
      <c r="P497" t="s">
        <v>867</v>
      </c>
      <c r="Q497" t="s">
        <v>990</v>
      </c>
      <c r="R497" t="s">
        <v>991</v>
      </c>
      <c r="S497" t="s">
        <v>232</v>
      </c>
      <c r="T497" t="s">
        <v>500</v>
      </c>
      <c r="U497" t="s">
        <v>265</v>
      </c>
      <c r="V497" t="s">
        <v>234</v>
      </c>
      <c r="W497" t="s">
        <v>52</v>
      </c>
      <c r="X497" t="s">
        <v>235</v>
      </c>
      <c r="Y497" t="s">
        <v>266</v>
      </c>
      <c r="Z497">
        <v>2502</v>
      </c>
      <c r="AA497">
        <v>2502</v>
      </c>
      <c r="AB497" t="s">
        <v>237</v>
      </c>
      <c r="AC497">
        <v>5.08</v>
      </c>
      <c r="AD497">
        <v>12710.16</v>
      </c>
      <c r="AE497">
        <v>4053.24</v>
      </c>
      <c r="AF497" t="s">
        <v>870</v>
      </c>
      <c r="AG497">
        <v>8656.92</v>
      </c>
      <c r="AH497">
        <v>0.68</v>
      </c>
    </row>
    <row r="498" spans="1:34" x14ac:dyDescent="0.25">
      <c r="A498" t="s">
        <v>1616</v>
      </c>
      <c r="B498">
        <v>497</v>
      </c>
      <c r="C498" t="s">
        <v>487</v>
      </c>
      <c r="D498" t="s">
        <v>261</v>
      </c>
      <c r="E498" t="s">
        <v>408</v>
      </c>
      <c r="F498" t="s">
        <v>1595</v>
      </c>
      <c r="G498" s="25">
        <v>44276</v>
      </c>
      <c r="H498">
        <v>16</v>
      </c>
      <c r="I498">
        <v>80</v>
      </c>
      <c r="J498" t="s">
        <v>1617</v>
      </c>
      <c r="K498" t="s">
        <v>510</v>
      </c>
      <c r="L498" t="s">
        <v>231</v>
      </c>
      <c r="M498" t="s">
        <v>878</v>
      </c>
      <c r="N498" t="s">
        <v>185</v>
      </c>
      <c r="O498" t="s">
        <v>989</v>
      </c>
      <c r="P498" t="s">
        <v>867</v>
      </c>
      <c r="Q498" t="s">
        <v>1460</v>
      </c>
      <c r="R498" t="s">
        <v>1461</v>
      </c>
      <c r="S498" t="s">
        <v>537</v>
      </c>
      <c r="T498" t="s">
        <v>505</v>
      </c>
      <c r="U498" t="s">
        <v>41</v>
      </c>
      <c r="V498" t="s">
        <v>234</v>
      </c>
      <c r="W498" t="s">
        <v>40</v>
      </c>
      <c r="X498" t="s">
        <v>21</v>
      </c>
      <c r="Y498" t="s">
        <v>266</v>
      </c>
      <c r="Z498">
        <v>2722</v>
      </c>
      <c r="AA498">
        <v>2722</v>
      </c>
      <c r="AB498" t="s">
        <v>237</v>
      </c>
      <c r="AC498">
        <v>4.7300000000000004</v>
      </c>
      <c r="AD498">
        <v>12875.06</v>
      </c>
      <c r="AE498">
        <v>2449.8000000000002</v>
      </c>
      <c r="AF498" t="s">
        <v>870</v>
      </c>
      <c r="AG498">
        <v>10425.26</v>
      </c>
      <c r="AH498">
        <v>0.81</v>
      </c>
    </row>
    <row r="499" spans="1:34" x14ac:dyDescent="0.25">
      <c r="A499" t="s">
        <v>1618</v>
      </c>
      <c r="B499">
        <v>498</v>
      </c>
      <c r="C499" t="s">
        <v>487</v>
      </c>
      <c r="D499" t="s">
        <v>261</v>
      </c>
      <c r="E499" t="s">
        <v>408</v>
      </c>
      <c r="F499" t="s">
        <v>1595</v>
      </c>
      <c r="G499" s="25">
        <v>44276</v>
      </c>
      <c r="H499">
        <v>16</v>
      </c>
      <c r="I499">
        <v>80</v>
      </c>
      <c r="J499" t="s">
        <v>1619</v>
      </c>
      <c r="K499" t="s">
        <v>510</v>
      </c>
      <c r="L499" t="s">
        <v>231</v>
      </c>
      <c r="M499" t="s">
        <v>926</v>
      </c>
      <c r="N499" t="s">
        <v>185</v>
      </c>
      <c r="O499" t="s">
        <v>1484</v>
      </c>
      <c r="P499" t="s">
        <v>867</v>
      </c>
      <c r="Q499" t="s">
        <v>1485</v>
      </c>
      <c r="R499" t="s">
        <v>1486</v>
      </c>
      <c r="S499" t="s">
        <v>537</v>
      </c>
      <c r="T499" t="s">
        <v>505</v>
      </c>
      <c r="U499" t="s">
        <v>41</v>
      </c>
      <c r="V499" t="s">
        <v>234</v>
      </c>
      <c r="W499" t="s">
        <v>40</v>
      </c>
      <c r="X499" t="s">
        <v>21</v>
      </c>
      <c r="Y499" t="s">
        <v>266</v>
      </c>
      <c r="Z499">
        <v>2670</v>
      </c>
      <c r="AA499">
        <v>2670</v>
      </c>
      <c r="AB499" t="s">
        <v>237</v>
      </c>
      <c r="AC499">
        <v>4.7300000000000004</v>
      </c>
      <c r="AD499">
        <v>12629.1</v>
      </c>
      <c r="AE499">
        <v>2403</v>
      </c>
      <c r="AF499" t="s">
        <v>870</v>
      </c>
      <c r="AG499">
        <v>10226.1</v>
      </c>
      <c r="AH499">
        <v>0.81</v>
      </c>
    </row>
    <row r="500" spans="1:34" x14ac:dyDescent="0.25">
      <c r="A500" t="s">
        <v>1620</v>
      </c>
      <c r="B500">
        <v>499</v>
      </c>
      <c r="C500" t="s">
        <v>487</v>
      </c>
      <c r="D500" t="s">
        <v>261</v>
      </c>
      <c r="E500" t="s">
        <v>408</v>
      </c>
      <c r="F500" t="s">
        <v>1595</v>
      </c>
      <c r="G500" s="25">
        <v>44276</v>
      </c>
      <c r="H500">
        <v>16</v>
      </c>
      <c r="I500">
        <v>80</v>
      </c>
      <c r="J500" t="s">
        <v>1621</v>
      </c>
      <c r="K500" t="s">
        <v>510</v>
      </c>
      <c r="L500" t="s">
        <v>231</v>
      </c>
      <c r="M500" t="s">
        <v>911</v>
      </c>
      <c r="N500" t="s">
        <v>186</v>
      </c>
      <c r="O500" t="s">
        <v>970</v>
      </c>
      <c r="P500" t="s">
        <v>867</v>
      </c>
      <c r="Q500" t="s">
        <v>1622</v>
      </c>
      <c r="R500" t="s">
        <v>1623</v>
      </c>
      <c r="S500" t="s">
        <v>537</v>
      </c>
      <c r="T500" t="s">
        <v>505</v>
      </c>
      <c r="U500" t="s">
        <v>41</v>
      </c>
      <c r="V500" t="s">
        <v>234</v>
      </c>
      <c r="W500" t="s">
        <v>40</v>
      </c>
      <c r="X500" t="s">
        <v>21</v>
      </c>
      <c r="Y500" t="s">
        <v>266</v>
      </c>
      <c r="Z500">
        <v>3215</v>
      </c>
      <c r="AA500">
        <v>3215</v>
      </c>
      <c r="AB500" t="s">
        <v>237</v>
      </c>
      <c r="AC500">
        <v>4.7300000000000004</v>
      </c>
      <c r="AD500">
        <v>15206.95</v>
      </c>
      <c r="AE500">
        <v>2893.5</v>
      </c>
      <c r="AF500" t="s">
        <v>870</v>
      </c>
      <c r="AG500">
        <v>12313.45</v>
      </c>
      <c r="AH500">
        <v>0.81</v>
      </c>
    </row>
    <row r="501" spans="1:34" x14ac:dyDescent="0.25">
      <c r="A501" t="s">
        <v>1624</v>
      </c>
      <c r="B501">
        <v>500</v>
      </c>
      <c r="C501" t="s">
        <v>487</v>
      </c>
      <c r="D501" t="s">
        <v>261</v>
      </c>
      <c r="E501" t="s">
        <v>408</v>
      </c>
      <c r="F501" t="s">
        <v>1595</v>
      </c>
      <c r="G501" s="25">
        <v>44276</v>
      </c>
      <c r="H501">
        <v>16</v>
      </c>
      <c r="I501">
        <v>80</v>
      </c>
      <c r="J501" t="s">
        <v>1625</v>
      </c>
      <c r="K501" t="s">
        <v>510</v>
      </c>
      <c r="L501" t="s">
        <v>231</v>
      </c>
      <c r="M501" t="s">
        <v>931</v>
      </c>
      <c r="N501" t="s">
        <v>186</v>
      </c>
      <c r="O501" t="s">
        <v>1626</v>
      </c>
      <c r="P501" t="s">
        <v>867</v>
      </c>
      <c r="Q501" t="s">
        <v>1627</v>
      </c>
      <c r="R501" t="s">
        <v>1628</v>
      </c>
      <c r="S501" t="s">
        <v>537</v>
      </c>
      <c r="T501" t="s">
        <v>505</v>
      </c>
      <c r="U501" t="s">
        <v>41</v>
      </c>
      <c r="V501" t="s">
        <v>234</v>
      </c>
      <c r="W501" t="s">
        <v>40</v>
      </c>
      <c r="X501" t="s">
        <v>21</v>
      </c>
      <c r="Y501" t="s">
        <v>266</v>
      </c>
      <c r="Z501">
        <v>2769</v>
      </c>
      <c r="AA501">
        <v>2769</v>
      </c>
      <c r="AB501" t="s">
        <v>237</v>
      </c>
      <c r="AC501">
        <v>4.7300000000000004</v>
      </c>
      <c r="AD501">
        <v>13097.37</v>
      </c>
      <c r="AE501">
        <v>2492.1</v>
      </c>
      <c r="AF501" t="s">
        <v>870</v>
      </c>
      <c r="AG501">
        <v>10605.27</v>
      </c>
      <c r="AH501">
        <v>0.81</v>
      </c>
    </row>
    <row r="502" spans="1:34" x14ac:dyDescent="0.25">
      <c r="A502" t="s">
        <v>1629</v>
      </c>
      <c r="B502">
        <v>501</v>
      </c>
      <c r="C502" t="s">
        <v>487</v>
      </c>
      <c r="D502" t="s">
        <v>261</v>
      </c>
      <c r="E502" t="s">
        <v>408</v>
      </c>
      <c r="F502" t="s">
        <v>1595</v>
      </c>
      <c r="G502" s="25">
        <v>44276</v>
      </c>
      <c r="H502">
        <v>16</v>
      </c>
      <c r="I502">
        <v>80</v>
      </c>
      <c r="J502" t="s">
        <v>1630</v>
      </c>
      <c r="K502" t="s">
        <v>510</v>
      </c>
      <c r="L502" t="s">
        <v>231</v>
      </c>
      <c r="M502" t="s">
        <v>911</v>
      </c>
      <c r="N502" t="s">
        <v>186</v>
      </c>
      <c r="O502" t="s">
        <v>1008</v>
      </c>
      <c r="P502" t="s">
        <v>867</v>
      </c>
      <c r="Q502" t="s">
        <v>1631</v>
      </c>
      <c r="R502" t="s">
        <v>1632</v>
      </c>
      <c r="S502" t="s">
        <v>537</v>
      </c>
      <c r="T502" t="s">
        <v>508</v>
      </c>
      <c r="U502" t="s">
        <v>47</v>
      </c>
      <c r="V502" t="s">
        <v>234</v>
      </c>
      <c r="W502" t="s">
        <v>46</v>
      </c>
      <c r="X502" t="s">
        <v>21</v>
      </c>
      <c r="Y502" t="s">
        <v>288</v>
      </c>
      <c r="Z502">
        <v>3022</v>
      </c>
      <c r="AA502">
        <v>3022</v>
      </c>
      <c r="AB502" t="s">
        <v>237</v>
      </c>
      <c r="AC502">
        <v>4.5999999999999996</v>
      </c>
      <c r="AD502">
        <v>13901.2</v>
      </c>
      <c r="AE502">
        <v>2387.38</v>
      </c>
      <c r="AF502" t="s">
        <v>870</v>
      </c>
      <c r="AG502">
        <v>11513.82</v>
      </c>
      <c r="AH502">
        <v>0.83</v>
      </c>
    </row>
    <row r="503" spans="1:34" x14ac:dyDescent="0.25">
      <c r="A503" t="s">
        <v>2758</v>
      </c>
      <c r="B503">
        <v>502</v>
      </c>
      <c r="C503" t="s">
        <v>487</v>
      </c>
      <c r="D503" t="s">
        <v>322</v>
      </c>
      <c r="E503" t="s">
        <v>229</v>
      </c>
      <c r="F503" t="s">
        <v>1643</v>
      </c>
      <c r="G503" s="25">
        <v>44277</v>
      </c>
      <c r="H503">
        <v>17</v>
      </c>
      <c r="I503">
        <v>81</v>
      </c>
      <c r="J503" t="s">
        <v>2940</v>
      </c>
      <c r="K503" t="s">
        <v>510</v>
      </c>
      <c r="L503" t="s">
        <v>231</v>
      </c>
      <c r="M503" t="s">
        <v>911</v>
      </c>
      <c r="N503" t="s">
        <v>186</v>
      </c>
      <c r="O503" t="s">
        <v>970</v>
      </c>
      <c r="P503" t="s">
        <v>867</v>
      </c>
      <c r="Q503" t="s">
        <v>1265</v>
      </c>
      <c r="R503" t="s">
        <v>1266</v>
      </c>
      <c r="S503" t="s">
        <v>239</v>
      </c>
      <c r="T503" t="s">
        <v>500</v>
      </c>
      <c r="U503" t="s">
        <v>265</v>
      </c>
      <c r="V503" t="s">
        <v>234</v>
      </c>
      <c r="W503" t="s">
        <v>52</v>
      </c>
      <c r="X503" t="s">
        <v>235</v>
      </c>
      <c r="Y503" t="s">
        <v>266</v>
      </c>
      <c r="Z503">
        <v>2923</v>
      </c>
      <c r="AA503">
        <v>2923</v>
      </c>
      <c r="AB503" t="s">
        <v>237</v>
      </c>
      <c r="AC503">
        <v>4.9800000000000004</v>
      </c>
      <c r="AD503">
        <v>14556.54</v>
      </c>
      <c r="AE503">
        <v>4735.26</v>
      </c>
      <c r="AF503" t="s">
        <v>870</v>
      </c>
      <c r="AG503">
        <v>9821.2800000000007</v>
      </c>
      <c r="AH503">
        <v>0.67</v>
      </c>
    </row>
    <row r="504" spans="1:34" x14ac:dyDescent="0.25">
      <c r="A504" t="s">
        <v>2842</v>
      </c>
      <c r="B504">
        <v>503</v>
      </c>
      <c r="C504" t="s">
        <v>487</v>
      </c>
      <c r="D504" t="s">
        <v>322</v>
      </c>
      <c r="E504" t="s">
        <v>229</v>
      </c>
      <c r="F504" t="s">
        <v>1643</v>
      </c>
      <c r="G504" s="25">
        <v>44277</v>
      </c>
      <c r="H504">
        <v>17</v>
      </c>
      <c r="I504">
        <v>81</v>
      </c>
      <c r="J504" t="s">
        <v>2940</v>
      </c>
      <c r="K504" t="s">
        <v>921</v>
      </c>
      <c r="L504" t="s">
        <v>231</v>
      </c>
      <c r="M504" t="s">
        <v>911</v>
      </c>
      <c r="N504" t="s">
        <v>186</v>
      </c>
      <c r="O504" t="s">
        <v>970</v>
      </c>
      <c r="P504" t="s">
        <v>867</v>
      </c>
      <c r="Q504" t="s">
        <v>1265</v>
      </c>
      <c r="R504" t="s">
        <v>1266</v>
      </c>
      <c r="S504" t="s">
        <v>239</v>
      </c>
      <c r="T504" t="s">
        <v>503</v>
      </c>
      <c r="U504" t="s">
        <v>303</v>
      </c>
      <c r="V504" t="s">
        <v>234</v>
      </c>
      <c r="W504" t="s">
        <v>56</v>
      </c>
      <c r="X504" t="s">
        <v>235</v>
      </c>
      <c r="Y504" t="s">
        <v>304</v>
      </c>
      <c r="Z504">
        <v>2369</v>
      </c>
      <c r="AA504">
        <v>2369</v>
      </c>
      <c r="AB504" t="s">
        <v>237</v>
      </c>
      <c r="AC504">
        <v>4.6100000000000003</v>
      </c>
      <c r="AD504">
        <v>10921.09</v>
      </c>
      <c r="AE504">
        <v>5401.32</v>
      </c>
      <c r="AF504" t="s">
        <v>870</v>
      </c>
      <c r="AG504">
        <v>5519.77</v>
      </c>
      <c r="AH504">
        <v>0.51</v>
      </c>
    </row>
    <row r="505" spans="1:34" x14ac:dyDescent="0.25">
      <c r="A505" t="s">
        <v>2062</v>
      </c>
      <c r="B505">
        <v>504</v>
      </c>
      <c r="C505" t="s">
        <v>487</v>
      </c>
      <c r="D505" t="s">
        <v>322</v>
      </c>
      <c r="E505" t="s">
        <v>229</v>
      </c>
      <c r="F505" t="s">
        <v>1643</v>
      </c>
      <c r="G505" s="25">
        <v>44277</v>
      </c>
      <c r="H505">
        <v>17</v>
      </c>
      <c r="I505">
        <v>81</v>
      </c>
      <c r="J505" t="s">
        <v>2940</v>
      </c>
      <c r="K505" t="s">
        <v>876</v>
      </c>
      <c r="L505" t="s">
        <v>231</v>
      </c>
      <c r="M505" t="s">
        <v>911</v>
      </c>
      <c r="N505" t="s">
        <v>186</v>
      </c>
      <c r="O505" t="s">
        <v>970</v>
      </c>
      <c r="P505" t="s">
        <v>867</v>
      </c>
      <c r="Q505" t="s">
        <v>1265</v>
      </c>
      <c r="R505" t="s">
        <v>1266</v>
      </c>
      <c r="S505" t="s">
        <v>239</v>
      </c>
      <c r="T505" t="s">
        <v>503</v>
      </c>
      <c r="U505" t="s">
        <v>303</v>
      </c>
      <c r="V505" t="s">
        <v>234</v>
      </c>
      <c r="W505" t="s">
        <v>56</v>
      </c>
      <c r="X505" t="s">
        <v>235</v>
      </c>
      <c r="Y505" t="s">
        <v>304</v>
      </c>
      <c r="Z505">
        <v>3631</v>
      </c>
      <c r="AA505">
        <v>3631</v>
      </c>
      <c r="AB505" t="s">
        <v>237</v>
      </c>
      <c r="AC505">
        <v>4.6100000000000003</v>
      </c>
      <c r="AD505">
        <v>16738.91</v>
      </c>
      <c r="AE505">
        <v>8278.68</v>
      </c>
      <c r="AF505" t="s">
        <v>870</v>
      </c>
      <c r="AG505">
        <v>8460.23</v>
      </c>
      <c r="AH505">
        <v>0.51</v>
      </c>
    </row>
    <row r="506" spans="1:34" x14ac:dyDescent="0.25">
      <c r="A506" t="s">
        <v>2115</v>
      </c>
      <c r="B506">
        <v>505</v>
      </c>
      <c r="C506" t="s">
        <v>487</v>
      </c>
      <c r="D506" t="s">
        <v>322</v>
      </c>
      <c r="E506" t="s">
        <v>229</v>
      </c>
      <c r="F506" t="s">
        <v>1643</v>
      </c>
      <c r="G506" s="25">
        <v>44277</v>
      </c>
      <c r="H506">
        <v>17</v>
      </c>
      <c r="I506">
        <v>81</v>
      </c>
      <c r="J506" t="s">
        <v>2941</v>
      </c>
      <c r="K506" t="s">
        <v>510</v>
      </c>
      <c r="L506" t="s">
        <v>231</v>
      </c>
      <c r="M506" t="s">
        <v>865</v>
      </c>
      <c r="N506" t="s">
        <v>186</v>
      </c>
      <c r="O506" t="s">
        <v>1012</v>
      </c>
      <c r="P506" t="s">
        <v>867</v>
      </c>
      <c r="Q506" t="s">
        <v>1325</v>
      </c>
      <c r="R506" t="s">
        <v>1328</v>
      </c>
      <c r="S506" t="s">
        <v>232</v>
      </c>
      <c r="T506" t="s">
        <v>505</v>
      </c>
      <c r="U506" t="s">
        <v>41</v>
      </c>
      <c r="V506" t="s">
        <v>234</v>
      </c>
      <c r="W506" t="s">
        <v>40</v>
      </c>
      <c r="X506" t="s">
        <v>21</v>
      </c>
      <c r="Y506" t="s">
        <v>266</v>
      </c>
      <c r="Z506">
        <v>3689</v>
      </c>
      <c r="AA506">
        <v>3689</v>
      </c>
      <c r="AB506" t="s">
        <v>237</v>
      </c>
      <c r="AC506">
        <v>4.0999999999999996</v>
      </c>
      <c r="AD506">
        <v>15124.9</v>
      </c>
      <c r="AE506">
        <v>3320.1</v>
      </c>
      <c r="AF506" t="s">
        <v>870</v>
      </c>
      <c r="AG506">
        <v>11804.8</v>
      </c>
      <c r="AH506">
        <v>0.78</v>
      </c>
    </row>
    <row r="507" spans="1:34" x14ac:dyDescent="0.25">
      <c r="A507" t="s">
        <v>2131</v>
      </c>
      <c r="B507">
        <v>506</v>
      </c>
      <c r="C507" t="s">
        <v>487</v>
      </c>
      <c r="D507" t="s">
        <v>322</v>
      </c>
      <c r="E507" t="s">
        <v>229</v>
      </c>
      <c r="F507" t="s">
        <v>1643</v>
      </c>
      <c r="G507" s="25">
        <v>44277</v>
      </c>
      <c r="H507">
        <v>17</v>
      </c>
      <c r="I507">
        <v>81</v>
      </c>
      <c r="J507" t="s">
        <v>2942</v>
      </c>
      <c r="K507" t="s">
        <v>876</v>
      </c>
      <c r="L507" t="s">
        <v>231</v>
      </c>
      <c r="M507" t="s">
        <v>878</v>
      </c>
      <c r="N507" t="s">
        <v>185</v>
      </c>
      <c r="O507" t="s">
        <v>879</v>
      </c>
      <c r="P507" t="s">
        <v>867</v>
      </c>
      <c r="Q507" t="s">
        <v>880</v>
      </c>
      <c r="R507" t="s">
        <v>881</v>
      </c>
      <c r="S507" t="s">
        <v>232</v>
      </c>
      <c r="T507" t="s">
        <v>505</v>
      </c>
      <c r="U507" t="s">
        <v>41</v>
      </c>
      <c r="V507" t="s">
        <v>234</v>
      </c>
      <c r="W507" t="s">
        <v>40</v>
      </c>
      <c r="X507" t="s">
        <v>21</v>
      </c>
      <c r="Y507" t="s">
        <v>266</v>
      </c>
      <c r="Z507">
        <v>3684</v>
      </c>
      <c r="AA507">
        <v>3684</v>
      </c>
      <c r="AB507" t="s">
        <v>237</v>
      </c>
      <c r="AC507">
        <v>4.0999999999999996</v>
      </c>
      <c r="AD507">
        <v>15104.4</v>
      </c>
      <c r="AE507">
        <v>3315.6</v>
      </c>
      <c r="AF507" t="s">
        <v>870</v>
      </c>
      <c r="AG507">
        <v>11788.8</v>
      </c>
      <c r="AH507">
        <v>0.78</v>
      </c>
    </row>
    <row r="508" spans="1:34" x14ac:dyDescent="0.25">
      <c r="A508" t="s">
        <v>1814</v>
      </c>
      <c r="B508">
        <v>507</v>
      </c>
      <c r="C508" t="s">
        <v>487</v>
      </c>
      <c r="D508" t="s">
        <v>322</v>
      </c>
      <c r="E508" t="s">
        <v>229</v>
      </c>
      <c r="F508" t="s">
        <v>1643</v>
      </c>
      <c r="G508" s="25">
        <v>44277</v>
      </c>
      <c r="H508">
        <v>17</v>
      </c>
      <c r="I508">
        <v>81</v>
      </c>
      <c r="J508" t="s">
        <v>2942</v>
      </c>
      <c r="K508" t="s">
        <v>956</v>
      </c>
      <c r="L508" t="s">
        <v>231</v>
      </c>
      <c r="M508" t="s">
        <v>878</v>
      </c>
      <c r="N508" t="s">
        <v>185</v>
      </c>
      <c r="O508" t="s">
        <v>879</v>
      </c>
      <c r="P508" t="s">
        <v>867</v>
      </c>
      <c r="Q508" t="s">
        <v>880</v>
      </c>
      <c r="R508" t="s">
        <v>881</v>
      </c>
      <c r="S508" t="s">
        <v>232</v>
      </c>
      <c r="T508" t="s">
        <v>505</v>
      </c>
      <c r="U508" t="s">
        <v>41</v>
      </c>
      <c r="V508" t="s">
        <v>234</v>
      </c>
      <c r="W508" t="s">
        <v>40</v>
      </c>
      <c r="X508" t="s">
        <v>21</v>
      </c>
      <c r="Y508" t="s">
        <v>266</v>
      </c>
      <c r="Z508">
        <v>3316</v>
      </c>
      <c r="AA508">
        <v>3316</v>
      </c>
      <c r="AB508" t="s">
        <v>237</v>
      </c>
      <c r="AC508">
        <v>4.0999999999999996</v>
      </c>
      <c r="AD508">
        <v>13595.6</v>
      </c>
      <c r="AE508">
        <v>2984.4</v>
      </c>
      <c r="AF508" t="s">
        <v>870</v>
      </c>
      <c r="AG508">
        <v>10611.2</v>
      </c>
      <c r="AH508">
        <v>0.78</v>
      </c>
    </row>
    <row r="509" spans="1:34" x14ac:dyDescent="0.25">
      <c r="A509" t="s">
        <v>2659</v>
      </c>
      <c r="B509">
        <v>508</v>
      </c>
      <c r="C509" t="s">
        <v>487</v>
      </c>
      <c r="D509" t="s">
        <v>322</v>
      </c>
      <c r="E509" t="s">
        <v>229</v>
      </c>
      <c r="F509" t="s">
        <v>1643</v>
      </c>
      <c r="G509" s="25">
        <v>44277</v>
      </c>
      <c r="H509">
        <v>17</v>
      </c>
      <c r="I509">
        <v>81</v>
      </c>
      <c r="J509" t="s">
        <v>2941</v>
      </c>
      <c r="K509" t="s">
        <v>921</v>
      </c>
      <c r="L509" t="s">
        <v>231</v>
      </c>
      <c r="M509" t="s">
        <v>865</v>
      </c>
      <c r="N509" t="s">
        <v>186</v>
      </c>
      <c r="O509" t="s">
        <v>1012</v>
      </c>
      <c r="P509" t="s">
        <v>867</v>
      </c>
      <c r="Q509" t="s">
        <v>1325</v>
      </c>
      <c r="R509" t="s">
        <v>1328</v>
      </c>
      <c r="S509" t="s">
        <v>232</v>
      </c>
      <c r="T509" t="s">
        <v>508</v>
      </c>
      <c r="U509" t="s">
        <v>47</v>
      </c>
      <c r="V509" t="s">
        <v>234</v>
      </c>
      <c r="W509" t="s">
        <v>46</v>
      </c>
      <c r="X509" t="s">
        <v>21</v>
      </c>
      <c r="Y509" t="s">
        <v>288</v>
      </c>
      <c r="Z509">
        <v>3704</v>
      </c>
      <c r="AA509">
        <v>3704</v>
      </c>
      <c r="AB509" t="s">
        <v>237</v>
      </c>
      <c r="AC509">
        <v>4.18</v>
      </c>
      <c r="AD509">
        <v>15482.72</v>
      </c>
      <c r="AE509">
        <v>2926.16</v>
      </c>
      <c r="AF509" t="s">
        <v>870</v>
      </c>
      <c r="AG509">
        <v>12556.56</v>
      </c>
      <c r="AH509">
        <v>0.81</v>
      </c>
    </row>
    <row r="510" spans="1:34" x14ac:dyDescent="0.25">
      <c r="A510" t="s">
        <v>1913</v>
      </c>
      <c r="B510">
        <v>509</v>
      </c>
      <c r="C510" t="s">
        <v>487</v>
      </c>
      <c r="D510" t="s">
        <v>322</v>
      </c>
      <c r="E510" t="s">
        <v>229</v>
      </c>
      <c r="F510" t="s">
        <v>1643</v>
      </c>
      <c r="G510" s="25">
        <v>44277</v>
      </c>
      <c r="H510">
        <v>17</v>
      </c>
      <c r="I510">
        <v>81</v>
      </c>
      <c r="J510" t="s">
        <v>2943</v>
      </c>
      <c r="K510" t="s">
        <v>876</v>
      </c>
      <c r="L510" t="s">
        <v>231</v>
      </c>
      <c r="M510" t="s">
        <v>888</v>
      </c>
      <c r="N510" t="s">
        <v>184</v>
      </c>
      <c r="O510" t="s">
        <v>1219</v>
      </c>
      <c r="P510" t="s">
        <v>867</v>
      </c>
      <c r="Q510" t="s">
        <v>1220</v>
      </c>
      <c r="R510" t="s">
        <v>1221</v>
      </c>
      <c r="S510" t="s">
        <v>232</v>
      </c>
      <c r="T510" t="s">
        <v>508</v>
      </c>
      <c r="U510" t="s">
        <v>47</v>
      </c>
      <c r="V510" t="s">
        <v>234</v>
      </c>
      <c r="W510" t="s">
        <v>46</v>
      </c>
      <c r="X510" t="s">
        <v>21</v>
      </c>
      <c r="Y510" t="s">
        <v>288</v>
      </c>
      <c r="Z510">
        <v>3652</v>
      </c>
      <c r="AA510">
        <v>3652</v>
      </c>
      <c r="AB510" t="s">
        <v>237</v>
      </c>
      <c r="AC510">
        <v>4.18</v>
      </c>
      <c r="AD510">
        <v>15265.36</v>
      </c>
      <c r="AE510">
        <v>2885.08</v>
      </c>
      <c r="AF510" t="s">
        <v>870</v>
      </c>
      <c r="AG510">
        <v>12380.28</v>
      </c>
      <c r="AH510">
        <v>0.81</v>
      </c>
    </row>
    <row r="511" spans="1:34" x14ac:dyDescent="0.25">
      <c r="A511" t="s">
        <v>1976</v>
      </c>
      <c r="B511">
        <v>510</v>
      </c>
      <c r="C511" t="s">
        <v>487</v>
      </c>
      <c r="D511" t="s">
        <v>322</v>
      </c>
      <c r="E511" t="s">
        <v>229</v>
      </c>
      <c r="F511" t="s">
        <v>1643</v>
      </c>
      <c r="G511" s="25">
        <v>44277</v>
      </c>
      <c r="H511">
        <v>17</v>
      </c>
      <c r="I511">
        <v>81</v>
      </c>
      <c r="J511" t="s">
        <v>2943</v>
      </c>
      <c r="K511" t="s">
        <v>510</v>
      </c>
      <c r="L511" t="s">
        <v>231</v>
      </c>
      <c r="M511" t="s">
        <v>888</v>
      </c>
      <c r="N511" t="s">
        <v>184</v>
      </c>
      <c r="O511" t="s">
        <v>1219</v>
      </c>
      <c r="P511" t="s">
        <v>867</v>
      </c>
      <c r="Q511" t="s">
        <v>1220</v>
      </c>
      <c r="R511" t="s">
        <v>1221</v>
      </c>
      <c r="S511" t="s">
        <v>232</v>
      </c>
      <c r="T511" t="s">
        <v>500</v>
      </c>
      <c r="U511" t="s">
        <v>265</v>
      </c>
      <c r="V511" t="s">
        <v>234</v>
      </c>
      <c r="W511" t="s">
        <v>52</v>
      </c>
      <c r="X511" t="s">
        <v>235</v>
      </c>
      <c r="Y511" t="s">
        <v>266</v>
      </c>
      <c r="Z511">
        <v>225</v>
      </c>
      <c r="AA511">
        <v>225</v>
      </c>
      <c r="AB511" t="s">
        <v>237</v>
      </c>
      <c r="AC511">
        <v>5.08</v>
      </c>
      <c r="AD511">
        <v>1143</v>
      </c>
      <c r="AE511">
        <v>364.5</v>
      </c>
      <c r="AF511" t="s">
        <v>870</v>
      </c>
      <c r="AG511">
        <v>778.5</v>
      </c>
      <c r="AH511">
        <v>0.68</v>
      </c>
    </row>
    <row r="512" spans="1:34" x14ac:dyDescent="0.25">
      <c r="A512" t="s">
        <v>2772</v>
      </c>
      <c r="B512">
        <v>511</v>
      </c>
      <c r="C512" t="s">
        <v>487</v>
      </c>
      <c r="D512" t="s">
        <v>322</v>
      </c>
      <c r="E512" t="s">
        <v>229</v>
      </c>
      <c r="F512" t="s">
        <v>1643</v>
      </c>
      <c r="G512" s="25">
        <v>44277</v>
      </c>
      <c r="H512">
        <v>17</v>
      </c>
      <c r="I512">
        <v>81</v>
      </c>
      <c r="J512" t="s">
        <v>2942</v>
      </c>
      <c r="K512" t="s">
        <v>921</v>
      </c>
      <c r="L512" t="s">
        <v>231</v>
      </c>
      <c r="M512" t="s">
        <v>878</v>
      </c>
      <c r="N512" t="s">
        <v>185</v>
      </c>
      <c r="O512" t="s">
        <v>879</v>
      </c>
      <c r="P512" t="s">
        <v>867</v>
      </c>
      <c r="Q512" t="s">
        <v>880</v>
      </c>
      <c r="R512" t="s">
        <v>881</v>
      </c>
      <c r="S512" t="s">
        <v>232</v>
      </c>
      <c r="T512" t="s">
        <v>500</v>
      </c>
      <c r="U512" t="s">
        <v>265</v>
      </c>
      <c r="V512" t="s">
        <v>234</v>
      </c>
      <c r="W512" t="s">
        <v>52</v>
      </c>
      <c r="X512" t="s">
        <v>235</v>
      </c>
      <c r="Y512" t="s">
        <v>266</v>
      </c>
      <c r="Z512">
        <v>2642</v>
      </c>
      <c r="AA512">
        <v>2642</v>
      </c>
      <c r="AB512" t="s">
        <v>237</v>
      </c>
      <c r="AC512">
        <v>5.08</v>
      </c>
      <c r="AD512">
        <v>13421.36</v>
      </c>
      <c r="AE512">
        <v>4280.04</v>
      </c>
      <c r="AF512" t="s">
        <v>870</v>
      </c>
      <c r="AG512">
        <v>9141.32</v>
      </c>
      <c r="AH512">
        <v>0.68</v>
      </c>
    </row>
    <row r="513" spans="1:34" x14ac:dyDescent="0.25">
      <c r="A513" t="s">
        <v>2036</v>
      </c>
      <c r="B513">
        <v>512</v>
      </c>
      <c r="C513" t="s">
        <v>487</v>
      </c>
      <c r="D513" t="s">
        <v>322</v>
      </c>
      <c r="E513" t="s">
        <v>229</v>
      </c>
      <c r="F513" t="s">
        <v>1643</v>
      </c>
      <c r="G513" s="25">
        <v>44277</v>
      </c>
      <c r="H513">
        <v>17</v>
      </c>
      <c r="I513">
        <v>81</v>
      </c>
      <c r="J513" t="s">
        <v>2942</v>
      </c>
      <c r="K513" t="s">
        <v>510</v>
      </c>
      <c r="L513" t="s">
        <v>231</v>
      </c>
      <c r="M513" t="s">
        <v>878</v>
      </c>
      <c r="N513" t="s">
        <v>185</v>
      </c>
      <c r="O513" t="s">
        <v>879</v>
      </c>
      <c r="P513" t="s">
        <v>867</v>
      </c>
      <c r="Q513" t="s">
        <v>880</v>
      </c>
      <c r="R513" t="s">
        <v>881</v>
      </c>
      <c r="S513" t="s">
        <v>232</v>
      </c>
      <c r="T513" t="s">
        <v>500</v>
      </c>
      <c r="U513" t="s">
        <v>265</v>
      </c>
      <c r="V513" t="s">
        <v>234</v>
      </c>
      <c r="W513" t="s">
        <v>52</v>
      </c>
      <c r="X513" t="s">
        <v>235</v>
      </c>
      <c r="Y513" t="s">
        <v>266</v>
      </c>
      <c r="Z513">
        <v>2577</v>
      </c>
      <c r="AA513">
        <v>2577</v>
      </c>
      <c r="AB513" t="s">
        <v>237</v>
      </c>
      <c r="AC513">
        <v>5.08</v>
      </c>
      <c r="AD513">
        <v>13091.16</v>
      </c>
      <c r="AE513">
        <v>4174.74</v>
      </c>
      <c r="AF513" t="s">
        <v>870</v>
      </c>
      <c r="AG513">
        <v>8916.42</v>
      </c>
      <c r="AH513">
        <v>0.68</v>
      </c>
    </row>
    <row r="514" spans="1:34" x14ac:dyDescent="0.25">
      <c r="A514" t="s">
        <v>2518</v>
      </c>
      <c r="B514">
        <v>513</v>
      </c>
      <c r="C514" t="s">
        <v>487</v>
      </c>
      <c r="D514" t="s">
        <v>322</v>
      </c>
      <c r="E514" t="s">
        <v>229</v>
      </c>
      <c r="F514" t="s">
        <v>1643</v>
      </c>
      <c r="G514" s="25">
        <v>44277</v>
      </c>
      <c r="H514">
        <v>17</v>
      </c>
      <c r="I514">
        <v>81</v>
      </c>
      <c r="J514" t="s">
        <v>2941</v>
      </c>
      <c r="K514" t="s">
        <v>876</v>
      </c>
      <c r="L514" t="s">
        <v>231</v>
      </c>
      <c r="M514" t="s">
        <v>865</v>
      </c>
      <c r="N514" t="s">
        <v>186</v>
      </c>
      <c r="O514" t="s">
        <v>1012</v>
      </c>
      <c r="P514" t="s">
        <v>867</v>
      </c>
      <c r="Q514" t="s">
        <v>1325</v>
      </c>
      <c r="R514" t="s">
        <v>1328</v>
      </c>
      <c r="S514" t="s">
        <v>232</v>
      </c>
      <c r="T514" t="s">
        <v>500</v>
      </c>
      <c r="U514" t="s">
        <v>265</v>
      </c>
      <c r="V514" t="s">
        <v>234</v>
      </c>
      <c r="W514" t="s">
        <v>52</v>
      </c>
      <c r="X514" t="s">
        <v>235</v>
      </c>
      <c r="Y514" t="s">
        <v>266</v>
      </c>
      <c r="Z514">
        <v>2887</v>
      </c>
      <c r="AA514">
        <v>2887</v>
      </c>
      <c r="AB514" t="s">
        <v>237</v>
      </c>
      <c r="AC514">
        <v>5.08</v>
      </c>
      <c r="AD514">
        <v>14665.96</v>
      </c>
      <c r="AE514">
        <v>4676.9399999999996</v>
      </c>
      <c r="AF514" t="s">
        <v>870</v>
      </c>
      <c r="AG514">
        <v>9989.02</v>
      </c>
      <c r="AH514">
        <v>0.68</v>
      </c>
    </row>
    <row r="515" spans="1:34" x14ac:dyDescent="0.25">
      <c r="A515" t="s">
        <v>2856</v>
      </c>
      <c r="B515">
        <v>514</v>
      </c>
      <c r="C515" t="s">
        <v>487</v>
      </c>
      <c r="D515" t="s">
        <v>322</v>
      </c>
      <c r="E515" t="s">
        <v>229</v>
      </c>
      <c r="F515" t="s">
        <v>1643</v>
      </c>
      <c r="G515" s="25">
        <v>44277</v>
      </c>
      <c r="H515">
        <v>17</v>
      </c>
      <c r="I515">
        <v>81</v>
      </c>
      <c r="J515" t="s">
        <v>2941</v>
      </c>
      <c r="K515" t="s">
        <v>956</v>
      </c>
      <c r="L515" t="s">
        <v>231</v>
      </c>
      <c r="M515" t="s">
        <v>865</v>
      </c>
      <c r="N515" t="s">
        <v>186</v>
      </c>
      <c r="O515" t="s">
        <v>1012</v>
      </c>
      <c r="P515" t="s">
        <v>867</v>
      </c>
      <c r="Q515" t="s">
        <v>1325</v>
      </c>
      <c r="R515" t="s">
        <v>1328</v>
      </c>
      <c r="S515" t="s">
        <v>232</v>
      </c>
      <c r="T515" t="s">
        <v>500</v>
      </c>
      <c r="U515" t="s">
        <v>265</v>
      </c>
      <c r="V515" t="s">
        <v>234</v>
      </c>
      <c r="W515" t="s">
        <v>52</v>
      </c>
      <c r="X515" t="s">
        <v>235</v>
      </c>
      <c r="Y515" t="s">
        <v>266</v>
      </c>
      <c r="Z515">
        <v>2871</v>
      </c>
      <c r="AA515">
        <v>2871</v>
      </c>
      <c r="AB515" t="s">
        <v>237</v>
      </c>
      <c r="AC515">
        <v>5.08</v>
      </c>
      <c r="AD515">
        <v>14584.68</v>
      </c>
      <c r="AE515">
        <v>4651.0200000000004</v>
      </c>
      <c r="AF515" t="s">
        <v>870</v>
      </c>
      <c r="AG515">
        <v>9933.66</v>
      </c>
      <c r="AH515">
        <v>0.68</v>
      </c>
    </row>
    <row r="516" spans="1:34" x14ac:dyDescent="0.25">
      <c r="A516" t="s">
        <v>2345</v>
      </c>
      <c r="B516">
        <v>515</v>
      </c>
      <c r="C516" t="s">
        <v>487</v>
      </c>
      <c r="D516" t="s">
        <v>322</v>
      </c>
      <c r="E516" t="s">
        <v>229</v>
      </c>
      <c r="F516" t="s">
        <v>1643</v>
      </c>
      <c r="G516" s="25">
        <v>44277</v>
      </c>
      <c r="H516">
        <v>17</v>
      </c>
      <c r="I516">
        <v>81</v>
      </c>
      <c r="J516" t="s">
        <v>2944</v>
      </c>
      <c r="K516" t="s">
        <v>510</v>
      </c>
      <c r="L516" t="s">
        <v>231</v>
      </c>
      <c r="M516" t="s">
        <v>173</v>
      </c>
      <c r="N516" t="s">
        <v>185</v>
      </c>
      <c r="O516" t="s">
        <v>966</v>
      </c>
      <c r="P516" t="s">
        <v>867</v>
      </c>
      <c r="Q516" t="s">
        <v>1481</v>
      </c>
      <c r="R516" t="s">
        <v>1482</v>
      </c>
      <c r="S516" t="s">
        <v>537</v>
      </c>
      <c r="T516" t="s">
        <v>505</v>
      </c>
      <c r="U516" t="s">
        <v>41</v>
      </c>
      <c r="V516" t="s">
        <v>234</v>
      </c>
      <c r="W516" t="s">
        <v>40</v>
      </c>
      <c r="X516" t="s">
        <v>21</v>
      </c>
      <c r="Y516" t="s">
        <v>266</v>
      </c>
      <c r="Z516">
        <v>3241</v>
      </c>
      <c r="AA516">
        <v>3241</v>
      </c>
      <c r="AB516" t="s">
        <v>237</v>
      </c>
      <c r="AC516">
        <v>4.7300000000000004</v>
      </c>
      <c r="AD516">
        <v>15329.93</v>
      </c>
      <c r="AE516">
        <v>2916.9</v>
      </c>
      <c r="AF516" t="s">
        <v>870</v>
      </c>
      <c r="AG516">
        <v>12413.03</v>
      </c>
      <c r="AH516">
        <v>0.81</v>
      </c>
    </row>
    <row r="517" spans="1:34" x14ac:dyDescent="0.25">
      <c r="A517" t="s">
        <v>2398</v>
      </c>
      <c r="B517">
        <v>516</v>
      </c>
      <c r="C517" t="s">
        <v>487</v>
      </c>
      <c r="D517" t="s">
        <v>322</v>
      </c>
      <c r="E517" t="s">
        <v>231</v>
      </c>
      <c r="F517" t="s">
        <v>2945</v>
      </c>
      <c r="G517" s="25">
        <v>44278</v>
      </c>
      <c r="H517">
        <v>17</v>
      </c>
      <c r="I517">
        <v>82</v>
      </c>
      <c r="J517" t="s">
        <v>2946</v>
      </c>
      <c r="K517" t="s">
        <v>921</v>
      </c>
      <c r="L517" t="s">
        <v>231</v>
      </c>
      <c r="M517" t="s">
        <v>865</v>
      </c>
      <c r="N517" t="s">
        <v>186</v>
      </c>
      <c r="O517" t="s">
        <v>2947</v>
      </c>
      <c r="P517" t="s">
        <v>867</v>
      </c>
      <c r="Q517" t="s">
        <v>2948</v>
      </c>
      <c r="R517" t="s">
        <v>2949</v>
      </c>
      <c r="S517" t="s">
        <v>239</v>
      </c>
      <c r="T517" t="s">
        <v>503</v>
      </c>
      <c r="U517" t="s">
        <v>303</v>
      </c>
      <c r="V517" t="s">
        <v>234</v>
      </c>
      <c r="W517" t="s">
        <v>56</v>
      </c>
      <c r="X517" t="s">
        <v>235</v>
      </c>
      <c r="Y517" t="s">
        <v>304</v>
      </c>
      <c r="Z517">
        <v>3417</v>
      </c>
      <c r="AA517">
        <v>3417</v>
      </c>
      <c r="AB517" t="s">
        <v>237</v>
      </c>
      <c r="AC517">
        <v>4.6100000000000003</v>
      </c>
      <c r="AD517">
        <v>15752.37</v>
      </c>
      <c r="AE517">
        <v>7790.76</v>
      </c>
      <c r="AF517" t="s">
        <v>870</v>
      </c>
      <c r="AG517">
        <v>7961.61</v>
      </c>
      <c r="AH517">
        <v>0.51</v>
      </c>
    </row>
    <row r="518" spans="1:34" x14ac:dyDescent="0.25">
      <c r="A518" t="s">
        <v>1871</v>
      </c>
      <c r="B518">
        <v>517</v>
      </c>
      <c r="C518" t="s">
        <v>487</v>
      </c>
      <c r="D518" t="s">
        <v>322</v>
      </c>
      <c r="E518" t="s">
        <v>231</v>
      </c>
      <c r="F518" t="s">
        <v>2945</v>
      </c>
      <c r="G518" s="25">
        <v>44278</v>
      </c>
      <c r="H518">
        <v>17</v>
      </c>
      <c r="I518">
        <v>82</v>
      </c>
      <c r="J518" t="s">
        <v>2946</v>
      </c>
      <c r="K518" t="s">
        <v>876</v>
      </c>
      <c r="L518" t="s">
        <v>231</v>
      </c>
      <c r="M518" t="s">
        <v>865</v>
      </c>
      <c r="N518" t="s">
        <v>186</v>
      </c>
      <c r="O518" t="s">
        <v>2947</v>
      </c>
      <c r="P518" t="s">
        <v>867</v>
      </c>
      <c r="Q518" t="s">
        <v>2948</v>
      </c>
      <c r="R518" t="s">
        <v>2949</v>
      </c>
      <c r="S518" t="s">
        <v>239</v>
      </c>
      <c r="T518" t="s">
        <v>503</v>
      </c>
      <c r="U518" t="s">
        <v>303</v>
      </c>
      <c r="V518" t="s">
        <v>234</v>
      </c>
      <c r="W518" t="s">
        <v>56</v>
      </c>
      <c r="X518" t="s">
        <v>235</v>
      </c>
      <c r="Y518" t="s">
        <v>304</v>
      </c>
      <c r="Z518">
        <v>3614</v>
      </c>
      <c r="AA518">
        <v>3614</v>
      </c>
      <c r="AB518" t="s">
        <v>237</v>
      </c>
      <c r="AC518">
        <v>4.6100000000000003</v>
      </c>
      <c r="AD518">
        <v>16660.54</v>
      </c>
      <c r="AE518">
        <v>8239.92</v>
      </c>
      <c r="AF518" t="s">
        <v>870</v>
      </c>
      <c r="AG518">
        <v>8420.6200000000008</v>
      </c>
      <c r="AH518">
        <v>0.51</v>
      </c>
    </row>
    <row r="519" spans="1:34" x14ac:dyDescent="0.25">
      <c r="A519" t="s">
        <v>1875</v>
      </c>
      <c r="B519">
        <v>518</v>
      </c>
      <c r="C519" t="s">
        <v>487</v>
      </c>
      <c r="D519" t="s">
        <v>322</v>
      </c>
      <c r="E519" t="s">
        <v>231</v>
      </c>
      <c r="F519" t="s">
        <v>2945</v>
      </c>
      <c r="G519" s="25">
        <v>44278</v>
      </c>
      <c r="H519">
        <v>17</v>
      </c>
      <c r="I519">
        <v>82</v>
      </c>
      <c r="J519" t="s">
        <v>2946</v>
      </c>
      <c r="K519" t="s">
        <v>510</v>
      </c>
      <c r="L519" t="s">
        <v>231</v>
      </c>
      <c r="M519" t="s">
        <v>865</v>
      </c>
      <c r="N519" t="s">
        <v>186</v>
      </c>
      <c r="O519" t="s">
        <v>2947</v>
      </c>
      <c r="P519" t="s">
        <v>867</v>
      </c>
      <c r="Q519" t="s">
        <v>2948</v>
      </c>
      <c r="R519" t="s">
        <v>2949</v>
      </c>
      <c r="S519" t="s">
        <v>239</v>
      </c>
      <c r="T519" t="s">
        <v>503</v>
      </c>
      <c r="U519" t="s">
        <v>303</v>
      </c>
      <c r="V519" t="s">
        <v>234</v>
      </c>
      <c r="W519" t="s">
        <v>56</v>
      </c>
      <c r="X519" t="s">
        <v>235</v>
      </c>
      <c r="Y519" t="s">
        <v>304</v>
      </c>
      <c r="Z519">
        <v>3371</v>
      </c>
      <c r="AA519">
        <v>3371</v>
      </c>
      <c r="AB519" t="s">
        <v>237</v>
      </c>
      <c r="AC519">
        <v>4.6100000000000003</v>
      </c>
      <c r="AD519">
        <v>15540.31</v>
      </c>
      <c r="AE519">
        <v>7685.88</v>
      </c>
      <c r="AF519" t="s">
        <v>870</v>
      </c>
      <c r="AG519">
        <v>7854.43</v>
      </c>
      <c r="AH519">
        <v>0.51</v>
      </c>
    </row>
    <row r="520" spans="1:34" x14ac:dyDescent="0.25">
      <c r="A520" t="s">
        <v>2581</v>
      </c>
      <c r="B520">
        <v>519</v>
      </c>
      <c r="C520" t="s">
        <v>487</v>
      </c>
      <c r="D520" t="s">
        <v>322</v>
      </c>
      <c r="E520" t="s">
        <v>231</v>
      </c>
      <c r="F520" t="s">
        <v>2945</v>
      </c>
      <c r="G520" s="25">
        <v>44278</v>
      </c>
      <c r="H520">
        <v>17</v>
      </c>
      <c r="I520">
        <v>82</v>
      </c>
      <c r="J520" t="s">
        <v>2950</v>
      </c>
      <c r="K520" t="s">
        <v>956</v>
      </c>
      <c r="L520" t="s">
        <v>231</v>
      </c>
      <c r="M520" t="s">
        <v>898</v>
      </c>
      <c r="N520" t="s">
        <v>185</v>
      </c>
      <c r="O520" t="s">
        <v>899</v>
      </c>
      <c r="P520" t="s">
        <v>867</v>
      </c>
      <c r="Q520" t="s">
        <v>900</v>
      </c>
      <c r="R520" t="s">
        <v>901</v>
      </c>
      <c r="S520" t="s">
        <v>232</v>
      </c>
      <c r="T520" t="s">
        <v>509</v>
      </c>
      <c r="U520" t="s">
        <v>45</v>
      </c>
      <c r="V520" t="s">
        <v>234</v>
      </c>
      <c r="W520" t="s">
        <v>44</v>
      </c>
      <c r="X520" t="s">
        <v>21</v>
      </c>
      <c r="Y520" t="s">
        <v>304</v>
      </c>
      <c r="Z520">
        <v>167</v>
      </c>
      <c r="AA520">
        <v>167</v>
      </c>
      <c r="AB520" t="s">
        <v>237</v>
      </c>
      <c r="AC520">
        <v>4.66</v>
      </c>
      <c r="AD520">
        <v>778.22</v>
      </c>
      <c r="AE520">
        <v>205.41</v>
      </c>
      <c r="AF520" t="s">
        <v>870</v>
      </c>
      <c r="AG520">
        <v>572.80999999999995</v>
      </c>
      <c r="AH520">
        <v>0.74</v>
      </c>
    </row>
    <row r="521" spans="1:34" x14ac:dyDescent="0.25">
      <c r="A521" t="s">
        <v>2078</v>
      </c>
      <c r="B521">
        <v>520</v>
      </c>
      <c r="C521" t="s">
        <v>487</v>
      </c>
      <c r="D521" t="s">
        <v>322</v>
      </c>
      <c r="E521" t="s">
        <v>231</v>
      </c>
      <c r="F521" t="s">
        <v>2945</v>
      </c>
      <c r="G521" s="25">
        <v>44278</v>
      </c>
      <c r="H521">
        <v>17</v>
      </c>
      <c r="I521">
        <v>82</v>
      </c>
      <c r="J521" t="s">
        <v>2951</v>
      </c>
      <c r="K521" t="s">
        <v>921</v>
      </c>
      <c r="L521" t="s">
        <v>231</v>
      </c>
      <c r="M521" t="s">
        <v>865</v>
      </c>
      <c r="N521" t="s">
        <v>186</v>
      </c>
      <c r="O521" t="s">
        <v>866</v>
      </c>
      <c r="P521" t="s">
        <v>867</v>
      </c>
      <c r="Q521" t="s">
        <v>868</v>
      </c>
      <c r="R521" t="s">
        <v>869</v>
      </c>
      <c r="S521" t="s">
        <v>232</v>
      </c>
      <c r="T521" t="s">
        <v>508</v>
      </c>
      <c r="U521" t="s">
        <v>47</v>
      </c>
      <c r="V521" t="s">
        <v>234</v>
      </c>
      <c r="W521" t="s">
        <v>46</v>
      </c>
      <c r="X521" t="s">
        <v>21</v>
      </c>
      <c r="Y521" t="s">
        <v>288</v>
      </c>
      <c r="Z521">
        <v>3717</v>
      </c>
      <c r="AA521">
        <v>3717</v>
      </c>
      <c r="AB521" t="s">
        <v>237</v>
      </c>
      <c r="AC521">
        <v>4.18</v>
      </c>
      <c r="AD521">
        <v>15537.06</v>
      </c>
      <c r="AE521">
        <v>2936.43</v>
      </c>
      <c r="AF521" t="s">
        <v>870</v>
      </c>
      <c r="AG521">
        <v>12600.63</v>
      </c>
      <c r="AH521">
        <v>0.81</v>
      </c>
    </row>
    <row r="522" spans="1:34" x14ac:dyDescent="0.25">
      <c r="A522" t="s">
        <v>2798</v>
      </c>
      <c r="B522">
        <v>521</v>
      </c>
      <c r="C522" t="s">
        <v>487</v>
      </c>
      <c r="D522" t="s">
        <v>322</v>
      </c>
      <c r="E522" t="s">
        <v>231</v>
      </c>
      <c r="F522" t="s">
        <v>2945</v>
      </c>
      <c r="G522" s="25">
        <v>44278</v>
      </c>
      <c r="H522">
        <v>17</v>
      </c>
      <c r="I522">
        <v>82</v>
      </c>
      <c r="J522" t="s">
        <v>2950</v>
      </c>
      <c r="K522" t="s">
        <v>921</v>
      </c>
      <c r="L522" t="s">
        <v>231</v>
      </c>
      <c r="M522" t="s">
        <v>898</v>
      </c>
      <c r="N522" t="s">
        <v>185</v>
      </c>
      <c r="O522" t="s">
        <v>899</v>
      </c>
      <c r="P522" t="s">
        <v>867</v>
      </c>
      <c r="Q522" t="s">
        <v>900</v>
      </c>
      <c r="R522" t="s">
        <v>901</v>
      </c>
      <c r="S522" t="s">
        <v>232</v>
      </c>
      <c r="T522" t="s">
        <v>508</v>
      </c>
      <c r="U522" t="s">
        <v>47</v>
      </c>
      <c r="V522" t="s">
        <v>234</v>
      </c>
      <c r="W522" t="s">
        <v>46</v>
      </c>
      <c r="X522" t="s">
        <v>21</v>
      </c>
      <c r="Y522" t="s">
        <v>288</v>
      </c>
      <c r="Z522">
        <v>3038</v>
      </c>
      <c r="AA522">
        <v>3038</v>
      </c>
      <c r="AB522" t="s">
        <v>237</v>
      </c>
      <c r="AC522">
        <v>4.18</v>
      </c>
      <c r="AD522">
        <v>12698.84</v>
      </c>
      <c r="AE522">
        <v>2400.02</v>
      </c>
      <c r="AF522" t="s">
        <v>870</v>
      </c>
      <c r="AG522">
        <v>10298.82</v>
      </c>
      <c r="AH522">
        <v>0.81</v>
      </c>
    </row>
    <row r="523" spans="1:34" x14ac:dyDescent="0.25">
      <c r="A523" t="s">
        <v>2411</v>
      </c>
      <c r="B523">
        <v>522</v>
      </c>
      <c r="C523" t="s">
        <v>487</v>
      </c>
      <c r="D523" t="s">
        <v>322</v>
      </c>
      <c r="E523" t="s">
        <v>231</v>
      </c>
      <c r="F523" t="s">
        <v>2945</v>
      </c>
      <c r="G523" s="25">
        <v>44278</v>
      </c>
      <c r="H523">
        <v>17</v>
      </c>
      <c r="I523">
        <v>82</v>
      </c>
      <c r="J523" t="s">
        <v>2950</v>
      </c>
      <c r="K523" t="s">
        <v>876</v>
      </c>
      <c r="L523" t="s">
        <v>231</v>
      </c>
      <c r="M523" t="s">
        <v>898</v>
      </c>
      <c r="N523" t="s">
        <v>185</v>
      </c>
      <c r="O523" t="s">
        <v>899</v>
      </c>
      <c r="P523" t="s">
        <v>867</v>
      </c>
      <c r="Q523" t="s">
        <v>900</v>
      </c>
      <c r="R523" t="s">
        <v>901</v>
      </c>
      <c r="S523" t="s">
        <v>232</v>
      </c>
      <c r="T523" t="s">
        <v>503</v>
      </c>
      <c r="U523" t="s">
        <v>303</v>
      </c>
      <c r="V523" t="s">
        <v>234</v>
      </c>
      <c r="W523" t="s">
        <v>56</v>
      </c>
      <c r="X523" t="s">
        <v>235</v>
      </c>
      <c r="Y523" t="s">
        <v>304</v>
      </c>
      <c r="Z523">
        <v>610</v>
      </c>
      <c r="AA523">
        <v>610</v>
      </c>
      <c r="AB523" t="s">
        <v>237</v>
      </c>
      <c r="AC523">
        <v>4.71</v>
      </c>
      <c r="AD523">
        <v>2873.1</v>
      </c>
      <c r="AE523">
        <v>1390.8</v>
      </c>
      <c r="AF523" t="s">
        <v>870</v>
      </c>
      <c r="AG523">
        <v>1482.3</v>
      </c>
      <c r="AH523">
        <v>0.52</v>
      </c>
    </row>
    <row r="524" spans="1:34" x14ac:dyDescent="0.25">
      <c r="A524" t="s">
        <v>2416</v>
      </c>
      <c r="B524">
        <v>523</v>
      </c>
      <c r="C524" t="s">
        <v>487</v>
      </c>
      <c r="D524" t="s">
        <v>322</v>
      </c>
      <c r="E524" t="s">
        <v>231</v>
      </c>
      <c r="F524" t="s">
        <v>2945</v>
      </c>
      <c r="G524" s="25">
        <v>44278</v>
      </c>
      <c r="H524">
        <v>17</v>
      </c>
      <c r="I524">
        <v>82</v>
      </c>
      <c r="J524" t="s">
        <v>2950</v>
      </c>
      <c r="K524" t="s">
        <v>510</v>
      </c>
      <c r="L524" t="s">
        <v>231</v>
      </c>
      <c r="M524" t="s">
        <v>898</v>
      </c>
      <c r="N524" t="s">
        <v>185</v>
      </c>
      <c r="O524" t="s">
        <v>899</v>
      </c>
      <c r="P524" t="s">
        <v>867</v>
      </c>
      <c r="Q524" t="s">
        <v>900</v>
      </c>
      <c r="R524" t="s">
        <v>901</v>
      </c>
      <c r="S524" t="s">
        <v>232</v>
      </c>
      <c r="T524" t="s">
        <v>503</v>
      </c>
      <c r="U524" t="s">
        <v>303</v>
      </c>
      <c r="V524" t="s">
        <v>234</v>
      </c>
      <c r="W524" t="s">
        <v>56</v>
      </c>
      <c r="X524" t="s">
        <v>235</v>
      </c>
      <c r="Y524" t="s">
        <v>304</v>
      </c>
      <c r="Z524">
        <v>3298</v>
      </c>
      <c r="AA524">
        <v>3298</v>
      </c>
      <c r="AB524" t="s">
        <v>237</v>
      </c>
      <c r="AC524">
        <v>4.71</v>
      </c>
      <c r="AD524">
        <v>15533.58</v>
      </c>
      <c r="AE524">
        <v>7519.44</v>
      </c>
      <c r="AF524" t="s">
        <v>870</v>
      </c>
      <c r="AG524">
        <v>8014.14</v>
      </c>
      <c r="AH524">
        <v>0.52</v>
      </c>
    </row>
    <row r="525" spans="1:34" x14ac:dyDescent="0.25">
      <c r="A525" t="s">
        <v>2428</v>
      </c>
      <c r="B525">
        <v>524</v>
      </c>
      <c r="C525" t="s">
        <v>487</v>
      </c>
      <c r="D525" t="s">
        <v>322</v>
      </c>
      <c r="E525" t="s">
        <v>231</v>
      </c>
      <c r="F525" t="s">
        <v>2945</v>
      </c>
      <c r="G525" s="25">
        <v>44278</v>
      </c>
      <c r="H525">
        <v>17</v>
      </c>
      <c r="I525">
        <v>82</v>
      </c>
      <c r="J525" t="s">
        <v>2951</v>
      </c>
      <c r="K525" t="s">
        <v>510</v>
      </c>
      <c r="L525" t="s">
        <v>231</v>
      </c>
      <c r="M525" t="s">
        <v>865</v>
      </c>
      <c r="N525" t="s">
        <v>186</v>
      </c>
      <c r="O525" t="s">
        <v>866</v>
      </c>
      <c r="P525" t="s">
        <v>867</v>
      </c>
      <c r="Q525" t="s">
        <v>868</v>
      </c>
      <c r="R525" t="s">
        <v>869</v>
      </c>
      <c r="S525" t="s">
        <v>232</v>
      </c>
      <c r="T525" t="s">
        <v>503</v>
      </c>
      <c r="U525" t="s">
        <v>303</v>
      </c>
      <c r="V525" t="s">
        <v>234</v>
      </c>
      <c r="W525" t="s">
        <v>56</v>
      </c>
      <c r="X525" t="s">
        <v>235</v>
      </c>
      <c r="Y525" t="s">
        <v>304</v>
      </c>
      <c r="Z525">
        <v>3374</v>
      </c>
      <c r="AA525">
        <v>3374</v>
      </c>
      <c r="AB525" t="s">
        <v>237</v>
      </c>
      <c r="AC525">
        <v>4.71</v>
      </c>
      <c r="AD525">
        <v>15891.54</v>
      </c>
      <c r="AE525">
        <v>7692.72</v>
      </c>
      <c r="AF525" t="s">
        <v>870</v>
      </c>
      <c r="AG525">
        <v>8198.82</v>
      </c>
      <c r="AH525">
        <v>0.52</v>
      </c>
    </row>
    <row r="526" spans="1:34" x14ac:dyDescent="0.25">
      <c r="A526" t="s">
        <v>2896</v>
      </c>
      <c r="B526">
        <v>525</v>
      </c>
      <c r="C526" t="s">
        <v>487</v>
      </c>
      <c r="D526" t="s">
        <v>322</v>
      </c>
      <c r="E526" t="s">
        <v>231</v>
      </c>
      <c r="F526" t="s">
        <v>2945</v>
      </c>
      <c r="G526" s="25">
        <v>44278</v>
      </c>
      <c r="H526">
        <v>17</v>
      </c>
      <c r="I526">
        <v>82</v>
      </c>
      <c r="J526" t="s">
        <v>2951</v>
      </c>
      <c r="K526" t="s">
        <v>876</v>
      </c>
      <c r="L526" t="s">
        <v>231</v>
      </c>
      <c r="M526" t="s">
        <v>865</v>
      </c>
      <c r="N526" t="s">
        <v>186</v>
      </c>
      <c r="O526" t="s">
        <v>866</v>
      </c>
      <c r="P526" t="s">
        <v>867</v>
      </c>
      <c r="Q526" t="s">
        <v>868</v>
      </c>
      <c r="R526" t="s">
        <v>869</v>
      </c>
      <c r="S526" t="s">
        <v>232</v>
      </c>
      <c r="T526" t="s">
        <v>503</v>
      </c>
      <c r="U526" t="s">
        <v>303</v>
      </c>
      <c r="V526" t="s">
        <v>234</v>
      </c>
      <c r="W526" t="s">
        <v>56</v>
      </c>
      <c r="X526" t="s">
        <v>235</v>
      </c>
      <c r="Y526" t="s">
        <v>304</v>
      </c>
      <c r="Z526">
        <v>2800</v>
      </c>
      <c r="AA526">
        <v>2800</v>
      </c>
      <c r="AB526" t="s">
        <v>237</v>
      </c>
      <c r="AC526">
        <v>4.71</v>
      </c>
      <c r="AD526">
        <v>13188</v>
      </c>
      <c r="AE526">
        <v>6384</v>
      </c>
      <c r="AF526" t="s">
        <v>870</v>
      </c>
      <c r="AG526">
        <v>6804</v>
      </c>
      <c r="AH526">
        <v>0.52</v>
      </c>
    </row>
    <row r="527" spans="1:34" x14ac:dyDescent="0.25">
      <c r="A527" t="s">
        <v>2414</v>
      </c>
      <c r="B527">
        <v>526</v>
      </c>
      <c r="C527" t="s">
        <v>487</v>
      </c>
      <c r="D527" t="s">
        <v>322</v>
      </c>
      <c r="E527" t="s">
        <v>231</v>
      </c>
      <c r="F527" t="s">
        <v>2945</v>
      </c>
      <c r="G527" s="25">
        <v>44278</v>
      </c>
      <c r="H527">
        <v>17</v>
      </c>
      <c r="I527">
        <v>82</v>
      </c>
      <c r="J527" t="s">
        <v>2951</v>
      </c>
      <c r="K527" t="s">
        <v>956</v>
      </c>
      <c r="L527" t="s">
        <v>231</v>
      </c>
      <c r="M527" t="s">
        <v>865</v>
      </c>
      <c r="N527" t="s">
        <v>186</v>
      </c>
      <c r="O527" t="s">
        <v>866</v>
      </c>
      <c r="P527" t="s">
        <v>867</v>
      </c>
      <c r="Q527" t="s">
        <v>868</v>
      </c>
      <c r="R527" t="s">
        <v>869</v>
      </c>
      <c r="S527" t="s">
        <v>232</v>
      </c>
      <c r="T527" t="s">
        <v>503</v>
      </c>
      <c r="U527" t="s">
        <v>303</v>
      </c>
      <c r="V527" t="s">
        <v>234</v>
      </c>
      <c r="W527" t="s">
        <v>56</v>
      </c>
      <c r="X527" t="s">
        <v>235</v>
      </c>
      <c r="Y527" t="s">
        <v>304</v>
      </c>
      <c r="Z527">
        <v>3516</v>
      </c>
      <c r="AA527">
        <v>3516</v>
      </c>
      <c r="AB527" t="s">
        <v>237</v>
      </c>
      <c r="AC527">
        <v>4.71</v>
      </c>
      <c r="AD527">
        <v>16560.36</v>
      </c>
      <c r="AE527">
        <v>8016.48</v>
      </c>
      <c r="AF527" t="s">
        <v>870</v>
      </c>
      <c r="AG527">
        <v>8543.8799999999992</v>
      </c>
      <c r="AH527">
        <v>0.52</v>
      </c>
    </row>
    <row r="528" spans="1:34" x14ac:dyDescent="0.25">
      <c r="A528" t="s">
        <v>2182</v>
      </c>
      <c r="B528">
        <v>527</v>
      </c>
      <c r="C528" t="s">
        <v>487</v>
      </c>
      <c r="D528" t="s">
        <v>322</v>
      </c>
      <c r="E528" t="s">
        <v>256</v>
      </c>
      <c r="F528" t="s">
        <v>2952</v>
      </c>
      <c r="G528" s="25">
        <v>44279</v>
      </c>
      <c r="H528">
        <v>17</v>
      </c>
      <c r="I528">
        <v>83</v>
      </c>
      <c r="J528" t="s">
        <v>2953</v>
      </c>
      <c r="K528" t="s">
        <v>876</v>
      </c>
      <c r="L528" t="s">
        <v>231</v>
      </c>
      <c r="M528" t="s">
        <v>931</v>
      </c>
      <c r="N528" t="s">
        <v>186</v>
      </c>
      <c r="O528" t="s">
        <v>1251</v>
      </c>
      <c r="P528" t="s">
        <v>867</v>
      </c>
      <c r="Q528" t="s">
        <v>1252</v>
      </c>
      <c r="R528" t="s">
        <v>1253</v>
      </c>
      <c r="S528" t="s">
        <v>239</v>
      </c>
      <c r="T528" t="s">
        <v>491</v>
      </c>
      <c r="U528" t="s">
        <v>233</v>
      </c>
      <c r="V528" t="s">
        <v>234</v>
      </c>
      <c r="W528" t="s">
        <v>54</v>
      </c>
      <c r="X528" t="s">
        <v>235</v>
      </c>
      <c r="Y528" t="s">
        <v>236</v>
      </c>
      <c r="Z528">
        <v>2336</v>
      </c>
      <c r="AA528">
        <v>2336</v>
      </c>
      <c r="AB528" t="s">
        <v>237</v>
      </c>
      <c r="AC528">
        <v>5.68</v>
      </c>
      <c r="AD528">
        <v>13268.48</v>
      </c>
      <c r="AE528">
        <v>5302.72</v>
      </c>
      <c r="AF528" t="s">
        <v>870</v>
      </c>
      <c r="AG528">
        <v>7965.76</v>
      </c>
      <c r="AH528">
        <v>0.6</v>
      </c>
    </row>
    <row r="529" spans="1:34" x14ac:dyDescent="0.25">
      <c r="A529" t="s">
        <v>2197</v>
      </c>
      <c r="B529">
        <v>528</v>
      </c>
      <c r="C529" t="s">
        <v>487</v>
      </c>
      <c r="D529" t="s">
        <v>322</v>
      </c>
      <c r="E529" t="s">
        <v>256</v>
      </c>
      <c r="F529" t="s">
        <v>2952</v>
      </c>
      <c r="G529" s="25">
        <v>44279</v>
      </c>
      <c r="H529">
        <v>17</v>
      </c>
      <c r="I529">
        <v>83</v>
      </c>
      <c r="J529" t="s">
        <v>2953</v>
      </c>
      <c r="K529" t="s">
        <v>510</v>
      </c>
      <c r="L529" t="s">
        <v>231</v>
      </c>
      <c r="M529" t="s">
        <v>931</v>
      </c>
      <c r="N529" t="s">
        <v>186</v>
      </c>
      <c r="O529" t="s">
        <v>1251</v>
      </c>
      <c r="P529" t="s">
        <v>867</v>
      </c>
      <c r="Q529" t="s">
        <v>1252</v>
      </c>
      <c r="R529" t="s">
        <v>1253</v>
      </c>
      <c r="S529" t="s">
        <v>239</v>
      </c>
      <c r="T529" t="s">
        <v>491</v>
      </c>
      <c r="U529" t="s">
        <v>233</v>
      </c>
      <c r="V529" t="s">
        <v>234</v>
      </c>
      <c r="W529" t="s">
        <v>54</v>
      </c>
      <c r="X529" t="s">
        <v>235</v>
      </c>
      <c r="Y529" t="s">
        <v>236</v>
      </c>
      <c r="Z529">
        <v>2337</v>
      </c>
      <c r="AA529">
        <v>2337</v>
      </c>
      <c r="AB529" t="s">
        <v>237</v>
      </c>
      <c r="AC529">
        <v>5.68</v>
      </c>
      <c r="AD529">
        <v>13274.16</v>
      </c>
      <c r="AE529">
        <v>5304.99</v>
      </c>
      <c r="AF529" t="s">
        <v>870</v>
      </c>
      <c r="AG529">
        <v>7969.17</v>
      </c>
      <c r="AH529">
        <v>0.6</v>
      </c>
    </row>
    <row r="530" spans="1:34" x14ac:dyDescent="0.25">
      <c r="A530" t="s">
        <v>2339</v>
      </c>
      <c r="B530">
        <v>529</v>
      </c>
      <c r="C530" t="s">
        <v>487</v>
      </c>
      <c r="D530" t="s">
        <v>322</v>
      </c>
      <c r="E530" t="s">
        <v>256</v>
      </c>
      <c r="F530" t="s">
        <v>2952</v>
      </c>
      <c r="G530" s="25">
        <v>44279</v>
      </c>
      <c r="H530">
        <v>17</v>
      </c>
      <c r="I530">
        <v>83</v>
      </c>
      <c r="J530" t="s">
        <v>2953</v>
      </c>
      <c r="K530" t="s">
        <v>921</v>
      </c>
      <c r="L530" t="s">
        <v>231</v>
      </c>
      <c r="M530" t="s">
        <v>931</v>
      </c>
      <c r="N530" t="s">
        <v>186</v>
      </c>
      <c r="O530" t="s">
        <v>1251</v>
      </c>
      <c r="P530" t="s">
        <v>867</v>
      </c>
      <c r="Q530" t="s">
        <v>1252</v>
      </c>
      <c r="R530" t="s">
        <v>1253</v>
      </c>
      <c r="S530" t="s">
        <v>239</v>
      </c>
      <c r="T530" t="s">
        <v>503</v>
      </c>
      <c r="U530" t="s">
        <v>303</v>
      </c>
      <c r="V530" t="s">
        <v>234</v>
      </c>
      <c r="W530" t="s">
        <v>56</v>
      </c>
      <c r="X530" t="s">
        <v>235</v>
      </c>
      <c r="Y530" t="s">
        <v>304</v>
      </c>
      <c r="Z530">
        <v>2797</v>
      </c>
      <c r="AA530">
        <v>2797</v>
      </c>
      <c r="AB530" t="s">
        <v>237</v>
      </c>
      <c r="AC530">
        <v>4.6100000000000003</v>
      </c>
      <c r="AD530">
        <v>12894.17</v>
      </c>
      <c r="AE530">
        <v>6377.16</v>
      </c>
      <c r="AF530" t="s">
        <v>870</v>
      </c>
      <c r="AG530">
        <v>6517.01</v>
      </c>
      <c r="AH530">
        <v>0.51</v>
      </c>
    </row>
    <row r="531" spans="1:34" x14ac:dyDescent="0.25">
      <c r="A531" t="s">
        <v>1864</v>
      </c>
      <c r="B531">
        <v>530</v>
      </c>
      <c r="C531" t="s">
        <v>487</v>
      </c>
      <c r="D531" t="s">
        <v>322</v>
      </c>
      <c r="E531" t="s">
        <v>256</v>
      </c>
      <c r="F531" t="s">
        <v>2952</v>
      </c>
      <c r="G531" s="25">
        <v>44279</v>
      </c>
      <c r="H531">
        <v>17</v>
      </c>
      <c r="I531">
        <v>83</v>
      </c>
      <c r="J531" t="s">
        <v>2954</v>
      </c>
      <c r="K531" t="s">
        <v>510</v>
      </c>
      <c r="L531" t="s">
        <v>231</v>
      </c>
      <c r="M531" t="s">
        <v>883</v>
      </c>
      <c r="N531" t="s">
        <v>185</v>
      </c>
      <c r="O531" t="s">
        <v>1290</v>
      </c>
      <c r="P531" t="s">
        <v>867</v>
      </c>
      <c r="Q531" t="s">
        <v>1291</v>
      </c>
      <c r="R531" t="s">
        <v>1292</v>
      </c>
      <c r="S531" t="s">
        <v>232</v>
      </c>
      <c r="T531" t="s">
        <v>505</v>
      </c>
      <c r="U531" t="s">
        <v>41</v>
      </c>
      <c r="V531" t="s">
        <v>234</v>
      </c>
      <c r="W531" t="s">
        <v>40</v>
      </c>
      <c r="X531" t="s">
        <v>21</v>
      </c>
      <c r="Y531" t="s">
        <v>266</v>
      </c>
      <c r="Z531">
        <v>2344</v>
      </c>
      <c r="AA531">
        <v>2344</v>
      </c>
      <c r="AB531" t="s">
        <v>237</v>
      </c>
      <c r="AC531">
        <v>4.51</v>
      </c>
      <c r="AD531">
        <v>10571.44</v>
      </c>
      <c r="AE531">
        <v>2109.6</v>
      </c>
      <c r="AF531" t="s">
        <v>870</v>
      </c>
      <c r="AG531">
        <v>8461.84</v>
      </c>
      <c r="AH531">
        <v>0.8</v>
      </c>
    </row>
    <row r="532" spans="1:34" x14ac:dyDescent="0.25">
      <c r="A532" t="s">
        <v>2435</v>
      </c>
      <c r="B532">
        <v>531</v>
      </c>
      <c r="C532" t="s">
        <v>487</v>
      </c>
      <c r="D532" t="s">
        <v>322</v>
      </c>
      <c r="E532" t="s">
        <v>256</v>
      </c>
      <c r="F532" t="s">
        <v>2952</v>
      </c>
      <c r="G532" s="25">
        <v>44279</v>
      </c>
      <c r="H532">
        <v>17</v>
      </c>
      <c r="I532">
        <v>83</v>
      </c>
      <c r="J532" t="s">
        <v>2954</v>
      </c>
      <c r="K532" t="s">
        <v>921</v>
      </c>
      <c r="L532" t="s">
        <v>231</v>
      </c>
      <c r="M532" t="s">
        <v>883</v>
      </c>
      <c r="N532" t="s">
        <v>185</v>
      </c>
      <c r="O532" t="s">
        <v>1290</v>
      </c>
      <c r="P532" t="s">
        <v>867</v>
      </c>
      <c r="Q532" t="s">
        <v>1291</v>
      </c>
      <c r="R532" t="s">
        <v>1292</v>
      </c>
      <c r="S532" t="s">
        <v>232</v>
      </c>
      <c r="T532" t="s">
        <v>508</v>
      </c>
      <c r="U532" t="s">
        <v>47</v>
      </c>
      <c r="V532" t="s">
        <v>234</v>
      </c>
      <c r="W532" t="s">
        <v>46</v>
      </c>
      <c r="X532" t="s">
        <v>21</v>
      </c>
      <c r="Y532" t="s">
        <v>288</v>
      </c>
      <c r="Z532">
        <v>3033</v>
      </c>
      <c r="AA532">
        <v>3033</v>
      </c>
      <c r="AB532" t="s">
        <v>237</v>
      </c>
      <c r="AC532">
        <v>4.3899999999999997</v>
      </c>
      <c r="AD532">
        <v>13314.87</v>
      </c>
      <c r="AE532">
        <v>2396.0700000000002</v>
      </c>
      <c r="AF532" t="s">
        <v>870</v>
      </c>
      <c r="AG532">
        <v>10918.8</v>
      </c>
      <c r="AH532">
        <v>0.82</v>
      </c>
    </row>
    <row r="533" spans="1:34" x14ac:dyDescent="0.25">
      <c r="A533" t="s">
        <v>2505</v>
      </c>
      <c r="B533">
        <v>532</v>
      </c>
      <c r="C533" t="s">
        <v>487</v>
      </c>
      <c r="D533" t="s">
        <v>322</v>
      </c>
      <c r="E533" t="s">
        <v>256</v>
      </c>
      <c r="F533" t="s">
        <v>2952</v>
      </c>
      <c r="G533" s="25">
        <v>44279</v>
      </c>
      <c r="H533">
        <v>17</v>
      </c>
      <c r="I533">
        <v>83</v>
      </c>
      <c r="J533" t="s">
        <v>2954</v>
      </c>
      <c r="K533" t="s">
        <v>956</v>
      </c>
      <c r="L533" t="s">
        <v>231</v>
      </c>
      <c r="M533" t="s">
        <v>883</v>
      </c>
      <c r="N533" t="s">
        <v>185</v>
      </c>
      <c r="O533" t="s">
        <v>1290</v>
      </c>
      <c r="P533" t="s">
        <v>867</v>
      </c>
      <c r="Q533" t="s">
        <v>1291</v>
      </c>
      <c r="R533" t="s">
        <v>1292</v>
      </c>
      <c r="S533" t="s">
        <v>232</v>
      </c>
      <c r="T533" t="s">
        <v>491</v>
      </c>
      <c r="U533" t="s">
        <v>233</v>
      </c>
      <c r="V533" t="s">
        <v>234</v>
      </c>
      <c r="W533" t="s">
        <v>54</v>
      </c>
      <c r="X533" t="s">
        <v>235</v>
      </c>
      <c r="Y533" t="s">
        <v>236</v>
      </c>
      <c r="Z533">
        <v>340</v>
      </c>
      <c r="AA533">
        <v>340</v>
      </c>
      <c r="AB533" t="s">
        <v>237</v>
      </c>
      <c r="AC533">
        <v>6.09</v>
      </c>
      <c r="AD533">
        <v>2070.6</v>
      </c>
      <c r="AE533">
        <v>771.8</v>
      </c>
      <c r="AF533" t="s">
        <v>870</v>
      </c>
      <c r="AG533">
        <v>1298.8</v>
      </c>
      <c r="AH533">
        <v>0.63</v>
      </c>
    </row>
    <row r="534" spans="1:34" x14ac:dyDescent="0.25">
      <c r="A534" t="s">
        <v>1980</v>
      </c>
      <c r="B534">
        <v>533</v>
      </c>
      <c r="C534" t="s">
        <v>487</v>
      </c>
      <c r="D534" t="s">
        <v>322</v>
      </c>
      <c r="E534" t="s">
        <v>256</v>
      </c>
      <c r="F534" t="s">
        <v>2952</v>
      </c>
      <c r="G534" s="25">
        <v>44279</v>
      </c>
      <c r="H534">
        <v>17</v>
      </c>
      <c r="I534">
        <v>83</v>
      </c>
      <c r="J534" t="s">
        <v>2955</v>
      </c>
      <c r="K534" t="s">
        <v>510</v>
      </c>
      <c r="L534" t="s">
        <v>231</v>
      </c>
      <c r="M534" t="s">
        <v>911</v>
      </c>
      <c r="N534" t="s">
        <v>186</v>
      </c>
      <c r="O534" t="s">
        <v>1016</v>
      </c>
      <c r="P534" t="s">
        <v>867</v>
      </c>
      <c r="Q534" t="s">
        <v>1334</v>
      </c>
      <c r="R534" t="s">
        <v>1335</v>
      </c>
      <c r="S534" t="s">
        <v>232</v>
      </c>
      <c r="T534" t="s">
        <v>491</v>
      </c>
      <c r="U534" t="s">
        <v>233</v>
      </c>
      <c r="V534" t="s">
        <v>234</v>
      </c>
      <c r="W534" t="s">
        <v>54</v>
      </c>
      <c r="X534" t="s">
        <v>235</v>
      </c>
      <c r="Y534" t="s">
        <v>236</v>
      </c>
      <c r="Z534">
        <v>2693</v>
      </c>
      <c r="AA534">
        <v>2693</v>
      </c>
      <c r="AB534" t="s">
        <v>237</v>
      </c>
      <c r="AC534">
        <v>6.09</v>
      </c>
      <c r="AD534">
        <v>16400.37</v>
      </c>
      <c r="AE534">
        <v>6113.11</v>
      </c>
      <c r="AF534" t="s">
        <v>870</v>
      </c>
      <c r="AG534">
        <v>10287.26</v>
      </c>
      <c r="AH534">
        <v>0.63</v>
      </c>
    </row>
    <row r="535" spans="1:34" x14ac:dyDescent="0.25">
      <c r="A535" t="s">
        <v>1920</v>
      </c>
      <c r="B535">
        <v>534</v>
      </c>
      <c r="C535" t="s">
        <v>487</v>
      </c>
      <c r="D535" t="s">
        <v>322</v>
      </c>
      <c r="E535" t="s">
        <v>256</v>
      </c>
      <c r="F535" t="s">
        <v>2952</v>
      </c>
      <c r="G535" s="25">
        <v>44279</v>
      </c>
      <c r="H535">
        <v>17</v>
      </c>
      <c r="I535">
        <v>83</v>
      </c>
      <c r="J535" t="s">
        <v>2955</v>
      </c>
      <c r="K535" t="s">
        <v>956</v>
      </c>
      <c r="L535" t="s">
        <v>231</v>
      </c>
      <c r="M535" t="s">
        <v>911</v>
      </c>
      <c r="N535" t="s">
        <v>186</v>
      </c>
      <c r="O535" t="s">
        <v>1016</v>
      </c>
      <c r="P535" t="s">
        <v>867</v>
      </c>
      <c r="Q535" t="s">
        <v>1334</v>
      </c>
      <c r="R535" t="s">
        <v>1335</v>
      </c>
      <c r="S535" t="s">
        <v>232</v>
      </c>
      <c r="T535" t="s">
        <v>491</v>
      </c>
      <c r="U535" t="s">
        <v>233</v>
      </c>
      <c r="V535" t="s">
        <v>234</v>
      </c>
      <c r="W535" t="s">
        <v>54</v>
      </c>
      <c r="X535" t="s">
        <v>235</v>
      </c>
      <c r="Y535" t="s">
        <v>236</v>
      </c>
      <c r="Z535">
        <v>2323</v>
      </c>
      <c r="AA535">
        <v>2323</v>
      </c>
      <c r="AB535" t="s">
        <v>237</v>
      </c>
      <c r="AC535">
        <v>6.09</v>
      </c>
      <c r="AD535">
        <v>14147.07</v>
      </c>
      <c r="AE535">
        <v>5273.21</v>
      </c>
      <c r="AF535" t="s">
        <v>870</v>
      </c>
      <c r="AG535">
        <v>8873.86</v>
      </c>
      <c r="AH535">
        <v>0.63</v>
      </c>
    </row>
    <row r="536" spans="1:34" x14ac:dyDescent="0.25">
      <c r="A536" t="s">
        <v>1738</v>
      </c>
      <c r="B536">
        <v>535</v>
      </c>
      <c r="C536" t="s">
        <v>487</v>
      </c>
      <c r="D536" t="s">
        <v>322</v>
      </c>
      <c r="E536" t="s">
        <v>256</v>
      </c>
      <c r="F536" t="s">
        <v>2952</v>
      </c>
      <c r="G536" s="25">
        <v>44279</v>
      </c>
      <c r="H536">
        <v>17</v>
      </c>
      <c r="I536">
        <v>83</v>
      </c>
      <c r="J536" t="s">
        <v>2954</v>
      </c>
      <c r="K536" t="s">
        <v>876</v>
      </c>
      <c r="L536" t="s">
        <v>231</v>
      </c>
      <c r="M536" t="s">
        <v>883</v>
      </c>
      <c r="N536" t="s">
        <v>185</v>
      </c>
      <c r="O536" t="s">
        <v>1290</v>
      </c>
      <c r="P536" t="s">
        <v>867</v>
      </c>
      <c r="Q536" t="s">
        <v>1291</v>
      </c>
      <c r="R536" t="s">
        <v>1292</v>
      </c>
      <c r="S536" t="s">
        <v>232</v>
      </c>
      <c r="T536" t="s">
        <v>491</v>
      </c>
      <c r="U536" t="s">
        <v>233</v>
      </c>
      <c r="V536" t="s">
        <v>234</v>
      </c>
      <c r="W536" t="s">
        <v>54</v>
      </c>
      <c r="X536" t="s">
        <v>235</v>
      </c>
      <c r="Y536" t="s">
        <v>236</v>
      </c>
      <c r="Z536">
        <v>2096</v>
      </c>
      <c r="AA536">
        <v>2096</v>
      </c>
      <c r="AB536" t="s">
        <v>237</v>
      </c>
      <c r="AC536">
        <v>6.09</v>
      </c>
      <c r="AD536">
        <v>12764.64</v>
      </c>
      <c r="AE536">
        <v>4757.92</v>
      </c>
      <c r="AF536" t="s">
        <v>870</v>
      </c>
      <c r="AG536">
        <v>8006.72</v>
      </c>
      <c r="AH536">
        <v>0.63</v>
      </c>
    </row>
    <row r="537" spans="1:34" x14ac:dyDescent="0.25">
      <c r="A537" t="s">
        <v>2069</v>
      </c>
      <c r="B537">
        <v>536</v>
      </c>
      <c r="C537" t="s">
        <v>487</v>
      </c>
      <c r="D537" t="s">
        <v>322</v>
      </c>
      <c r="E537" t="s">
        <v>256</v>
      </c>
      <c r="F537" t="s">
        <v>2952</v>
      </c>
      <c r="G537" s="25">
        <v>44279</v>
      </c>
      <c r="H537">
        <v>17</v>
      </c>
      <c r="I537">
        <v>83</v>
      </c>
      <c r="J537" t="s">
        <v>2955</v>
      </c>
      <c r="K537" t="s">
        <v>876</v>
      </c>
      <c r="L537" t="s">
        <v>231</v>
      </c>
      <c r="M537" t="s">
        <v>911</v>
      </c>
      <c r="N537" t="s">
        <v>186</v>
      </c>
      <c r="O537" t="s">
        <v>1016</v>
      </c>
      <c r="P537" t="s">
        <v>867</v>
      </c>
      <c r="Q537" t="s">
        <v>1334</v>
      </c>
      <c r="R537" t="s">
        <v>1335</v>
      </c>
      <c r="S537" t="s">
        <v>232</v>
      </c>
      <c r="T537" t="s">
        <v>503</v>
      </c>
      <c r="U537" t="s">
        <v>303</v>
      </c>
      <c r="V537" t="s">
        <v>234</v>
      </c>
      <c r="W537" t="s">
        <v>56</v>
      </c>
      <c r="X537" t="s">
        <v>235</v>
      </c>
      <c r="Y537" t="s">
        <v>304</v>
      </c>
      <c r="Z537">
        <v>3022</v>
      </c>
      <c r="AA537">
        <v>3022</v>
      </c>
      <c r="AB537" t="s">
        <v>237</v>
      </c>
      <c r="AC537">
        <v>4.9400000000000004</v>
      </c>
      <c r="AD537">
        <v>14928.68</v>
      </c>
      <c r="AE537">
        <v>6890.16</v>
      </c>
      <c r="AF537" t="s">
        <v>870</v>
      </c>
      <c r="AG537">
        <v>8038.52</v>
      </c>
      <c r="AH537">
        <v>0.54</v>
      </c>
    </row>
    <row r="538" spans="1:34" x14ac:dyDescent="0.25">
      <c r="A538" t="s">
        <v>2611</v>
      </c>
      <c r="B538">
        <v>537</v>
      </c>
      <c r="C538" t="s">
        <v>487</v>
      </c>
      <c r="D538" t="s">
        <v>322</v>
      </c>
      <c r="E538" t="s">
        <v>256</v>
      </c>
      <c r="F538" t="s">
        <v>2952</v>
      </c>
      <c r="G538" s="25">
        <v>44279</v>
      </c>
      <c r="H538">
        <v>17</v>
      </c>
      <c r="I538">
        <v>83</v>
      </c>
      <c r="J538" t="s">
        <v>2955</v>
      </c>
      <c r="K538" t="s">
        <v>921</v>
      </c>
      <c r="L538" t="s">
        <v>231</v>
      </c>
      <c r="M538" t="s">
        <v>911</v>
      </c>
      <c r="N538" t="s">
        <v>186</v>
      </c>
      <c r="O538" t="s">
        <v>1016</v>
      </c>
      <c r="P538" t="s">
        <v>867</v>
      </c>
      <c r="Q538" t="s">
        <v>1334</v>
      </c>
      <c r="R538" t="s">
        <v>1335</v>
      </c>
      <c r="S538" t="s">
        <v>232</v>
      </c>
      <c r="T538" t="s">
        <v>503</v>
      </c>
      <c r="U538" t="s">
        <v>303</v>
      </c>
      <c r="V538" t="s">
        <v>234</v>
      </c>
      <c r="W538" t="s">
        <v>56</v>
      </c>
      <c r="X538" t="s">
        <v>235</v>
      </c>
      <c r="Y538" t="s">
        <v>304</v>
      </c>
      <c r="Z538">
        <v>2181</v>
      </c>
      <c r="AA538">
        <v>2181</v>
      </c>
      <c r="AB538" t="s">
        <v>237</v>
      </c>
      <c r="AC538">
        <v>4.9400000000000004</v>
      </c>
      <c r="AD538">
        <v>10774.14</v>
      </c>
      <c r="AE538">
        <v>4972.68</v>
      </c>
      <c r="AF538" t="s">
        <v>870</v>
      </c>
      <c r="AG538">
        <v>5801.46</v>
      </c>
      <c r="AH538">
        <v>0.54</v>
      </c>
    </row>
    <row r="539" spans="1:34" x14ac:dyDescent="0.25">
      <c r="A539" t="s">
        <v>2293</v>
      </c>
      <c r="B539">
        <v>538</v>
      </c>
      <c r="C539" t="s">
        <v>487</v>
      </c>
      <c r="D539" t="s">
        <v>322</v>
      </c>
      <c r="E539" t="s">
        <v>261</v>
      </c>
      <c r="F539" t="s">
        <v>2956</v>
      </c>
      <c r="G539" s="25">
        <v>44280</v>
      </c>
      <c r="H539">
        <v>17</v>
      </c>
      <c r="I539">
        <v>84</v>
      </c>
      <c r="J539" t="s">
        <v>2957</v>
      </c>
      <c r="K539" t="s">
        <v>510</v>
      </c>
      <c r="L539" t="s">
        <v>231</v>
      </c>
      <c r="M539" t="s">
        <v>931</v>
      </c>
      <c r="N539" t="s">
        <v>186</v>
      </c>
      <c r="O539" t="s">
        <v>1251</v>
      </c>
      <c r="P539" t="s">
        <v>867</v>
      </c>
      <c r="Q539" t="s">
        <v>1252</v>
      </c>
      <c r="R539" t="s">
        <v>1253</v>
      </c>
      <c r="S539" t="s">
        <v>239</v>
      </c>
      <c r="T539" t="s">
        <v>491</v>
      </c>
      <c r="U539" t="s">
        <v>233</v>
      </c>
      <c r="V539" t="s">
        <v>234</v>
      </c>
      <c r="W539" t="s">
        <v>54</v>
      </c>
      <c r="X539" t="s">
        <v>235</v>
      </c>
      <c r="Y539" t="s">
        <v>236</v>
      </c>
      <c r="Z539">
        <v>2704</v>
      </c>
      <c r="AA539">
        <v>2704</v>
      </c>
      <c r="AB539" t="s">
        <v>237</v>
      </c>
      <c r="AC539">
        <v>5.97</v>
      </c>
      <c r="AD539">
        <v>16142.88</v>
      </c>
      <c r="AE539">
        <v>6138.08</v>
      </c>
      <c r="AF539" t="s">
        <v>870</v>
      </c>
      <c r="AG539">
        <v>10004.799999999999</v>
      </c>
      <c r="AH539">
        <v>0.62</v>
      </c>
    </row>
    <row r="540" spans="1:34" x14ac:dyDescent="0.25">
      <c r="A540" t="s">
        <v>2401</v>
      </c>
      <c r="B540">
        <v>539</v>
      </c>
      <c r="C540" t="s">
        <v>487</v>
      </c>
      <c r="D540" t="s">
        <v>322</v>
      </c>
      <c r="E540" t="s">
        <v>261</v>
      </c>
      <c r="F540" t="s">
        <v>2956</v>
      </c>
      <c r="G540" s="25">
        <v>44280</v>
      </c>
      <c r="H540">
        <v>17</v>
      </c>
      <c r="I540">
        <v>84</v>
      </c>
      <c r="J540" t="s">
        <v>2957</v>
      </c>
      <c r="K540" t="s">
        <v>876</v>
      </c>
      <c r="L540" t="s">
        <v>231</v>
      </c>
      <c r="M540" t="s">
        <v>931</v>
      </c>
      <c r="N540" t="s">
        <v>186</v>
      </c>
      <c r="O540" t="s">
        <v>1251</v>
      </c>
      <c r="P540" t="s">
        <v>867</v>
      </c>
      <c r="Q540" t="s">
        <v>1252</v>
      </c>
      <c r="R540" t="s">
        <v>1253</v>
      </c>
      <c r="S540" t="s">
        <v>239</v>
      </c>
      <c r="T540" t="s">
        <v>491</v>
      </c>
      <c r="U540" t="s">
        <v>233</v>
      </c>
      <c r="V540" t="s">
        <v>234</v>
      </c>
      <c r="W540" t="s">
        <v>54</v>
      </c>
      <c r="X540" t="s">
        <v>235</v>
      </c>
      <c r="Y540" t="s">
        <v>236</v>
      </c>
      <c r="Z540">
        <v>2731</v>
      </c>
      <c r="AA540">
        <v>2731</v>
      </c>
      <c r="AB540" t="s">
        <v>237</v>
      </c>
      <c r="AC540">
        <v>5.97</v>
      </c>
      <c r="AD540">
        <v>16304.07</v>
      </c>
      <c r="AE540">
        <v>6199.37</v>
      </c>
      <c r="AF540" t="s">
        <v>870</v>
      </c>
      <c r="AG540">
        <v>10104.700000000001</v>
      </c>
      <c r="AH540">
        <v>0.62</v>
      </c>
    </row>
    <row r="541" spans="1:34" x14ac:dyDescent="0.25">
      <c r="A541" t="s">
        <v>2404</v>
      </c>
      <c r="B541">
        <v>540</v>
      </c>
      <c r="C541" t="s">
        <v>487</v>
      </c>
      <c r="D541" t="s">
        <v>322</v>
      </c>
      <c r="E541" t="s">
        <v>261</v>
      </c>
      <c r="F541" t="s">
        <v>2956</v>
      </c>
      <c r="G541" s="25">
        <v>44280</v>
      </c>
      <c r="H541">
        <v>17</v>
      </c>
      <c r="I541">
        <v>84</v>
      </c>
      <c r="J541" t="s">
        <v>2957</v>
      </c>
      <c r="K541" t="s">
        <v>921</v>
      </c>
      <c r="L541" t="s">
        <v>231</v>
      </c>
      <c r="M541" t="s">
        <v>931</v>
      </c>
      <c r="N541" t="s">
        <v>186</v>
      </c>
      <c r="O541" t="s">
        <v>1251</v>
      </c>
      <c r="P541" t="s">
        <v>867</v>
      </c>
      <c r="Q541" t="s">
        <v>1252</v>
      </c>
      <c r="R541" t="s">
        <v>1253</v>
      </c>
      <c r="S541" t="s">
        <v>239</v>
      </c>
      <c r="T541" t="s">
        <v>491</v>
      </c>
      <c r="U541" t="s">
        <v>233</v>
      </c>
      <c r="V541" t="s">
        <v>234</v>
      </c>
      <c r="W541" t="s">
        <v>54</v>
      </c>
      <c r="X541" t="s">
        <v>235</v>
      </c>
      <c r="Y541" t="s">
        <v>236</v>
      </c>
      <c r="Z541">
        <v>2260</v>
      </c>
      <c r="AA541">
        <v>2260</v>
      </c>
      <c r="AB541" t="s">
        <v>237</v>
      </c>
      <c r="AC541">
        <v>5.97</v>
      </c>
      <c r="AD541">
        <v>13492.2</v>
      </c>
      <c r="AE541">
        <v>5130.2</v>
      </c>
      <c r="AF541" t="s">
        <v>870</v>
      </c>
      <c r="AG541">
        <v>8362</v>
      </c>
      <c r="AH541">
        <v>0.62</v>
      </c>
    </row>
    <row r="542" spans="1:34" x14ac:dyDescent="0.25">
      <c r="A542" t="s">
        <v>1706</v>
      </c>
      <c r="B542">
        <v>541</v>
      </c>
      <c r="C542" t="s">
        <v>487</v>
      </c>
      <c r="D542" t="s">
        <v>322</v>
      </c>
      <c r="E542" t="s">
        <v>261</v>
      </c>
      <c r="F542" t="s">
        <v>2956</v>
      </c>
      <c r="G542" s="25">
        <v>44280</v>
      </c>
      <c r="H542">
        <v>17</v>
      </c>
      <c r="I542">
        <v>84</v>
      </c>
      <c r="J542" t="s">
        <v>2958</v>
      </c>
      <c r="K542" t="s">
        <v>956</v>
      </c>
      <c r="L542" t="s">
        <v>231</v>
      </c>
      <c r="M542" t="s">
        <v>911</v>
      </c>
      <c r="N542" t="s">
        <v>186</v>
      </c>
      <c r="O542" t="s">
        <v>912</v>
      </c>
      <c r="P542" t="s">
        <v>867</v>
      </c>
      <c r="Q542" t="s">
        <v>913</v>
      </c>
      <c r="R542" t="s">
        <v>914</v>
      </c>
      <c r="S542" t="s">
        <v>232</v>
      </c>
      <c r="T542" t="s">
        <v>508</v>
      </c>
      <c r="U542" t="s">
        <v>47</v>
      </c>
      <c r="V542" t="s">
        <v>234</v>
      </c>
      <c r="W542" t="s">
        <v>46</v>
      </c>
      <c r="X542" t="s">
        <v>21</v>
      </c>
      <c r="Y542" t="s">
        <v>288</v>
      </c>
      <c r="Z542">
        <v>3083</v>
      </c>
      <c r="AA542">
        <v>3083</v>
      </c>
      <c r="AB542" t="s">
        <v>237</v>
      </c>
      <c r="AC542">
        <v>4.3899999999999997</v>
      </c>
      <c r="AD542">
        <v>13534.37</v>
      </c>
      <c r="AE542">
        <v>2435.5700000000002</v>
      </c>
      <c r="AF542" t="s">
        <v>870</v>
      </c>
      <c r="AG542">
        <v>11098.8</v>
      </c>
      <c r="AH542">
        <v>0.82</v>
      </c>
    </row>
    <row r="543" spans="1:34" x14ac:dyDescent="0.25">
      <c r="A543" t="s">
        <v>2498</v>
      </c>
      <c r="B543">
        <v>542</v>
      </c>
      <c r="C543" t="s">
        <v>487</v>
      </c>
      <c r="D543" t="s">
        <v>322</v>
      </c>
      <c r="E543" t="s">
        <v>261</v>
      </c>
      <c r="F543" t="s">
        <v>2956</v>
      </c>
      <c r="G543" s="25">
        <v>44280</v>
      </c>
      <c r="H543">
        <v>17</v>
      </c>
      <c r="I543">
        <v>84</v>
      </c>
      <c r="J543" t="s">
        <v>2959</v>
      </c>
      <c r="K543" t="s">
        <v>510</v>
      </c>
      <c r="L543" t="s">
        <v>231</v>
      </c>
      <c r="M543" t="s">
        <v>926</v>
      </c>
      <c r="N543" t="s">
        <v>185</v>
      </c>
      <c r="O543" t="s">
        <v>1053</v>
      </c>
      <c r="P543" t="s">
        <v>867</v>
      </c>
      <c r="Q543" t="s">
        <v>1054</v>
      </c>
      <c r="R543" t="s">
        <v>1055</v>
      </c>
      <c r="S543" t="s">
        <v>232</v>
      </c>
      <c r="T543" t="s">
        <v>508</v>
      </c>
      <c r="U543" t="s">
        <v>47</v>
      </c>
      <c r="V543" t="s">
        <v>234</v>
      </c>
      <c r="W543" t="s">
        <v>46</v>
      </c>
      <c r="X543" t="s">
        <v>21</v>
      </c>
      <c r="Y543" t="s">
        <v>288</v>
      </c>
      <c r="Z543">
        <v>3329</v>
      </c>
      <c r="AA543">
        <v>3329</v>
      </c>
      <c r="AB543" t="s">
        <v>237</v>
      </c>
      <c r="AC543">
        <v>4.3899999999999997</v>
      </c>
      <c r="AD543">
        <v>14614.31</v>
      </c>
      <c r="AE543">
        <v>2629.91</v>
      </c>
      <c r="AF543" t="s">
        <v>870</v>
      </c>
      <c r="AG543">
        <v>11984.4</v>
      </c>
      <c r="AH543">
        <v>0.82</v>
      </c>
    </row>
    <row r="544" spans="1:34" x14ac:dyDescent="0.25">
      <c r="A544" t="s">
        <v>2123</v>
      </c>
      <c r="B544">
        <v>543</v>
      </c>
      <c r="C544" t="s">
        <v>487</v>
      </c>
      <c r="D544" t="s">
        <v>322</v>
      </c>
      <c r="E544" t="s">
        <v>261</v>
      </c>
      <c r="F544" t="s">
        <v>2956</v>
      </c>
      <c r="G544" s="25">
        <v>44280</v>
      </c>
      <c r="H544">
        <v>17</v>
      </c>
      <c r="I544">
        <v>84</v>
      </c>
      <c r="J544" t="s">
        <v>2958</v>
      </c>
      <c r="K544" t="s">
        <v>510</v>
      </c>
      <c r="L544" t="s">
        <v>231</v>
      </c>
      <c r="M544" t="s">
        <v>911</v>
      </c>
      <c r="N544" t="s">
        <v>186</v>
      </c>
      <c r="O544" t="s">
        <v>912</v>
      </c>
      <c r="P544" t="s">
        <v>867</v>
      </c>
      <c r="Q544" t="s">
        <v>913</v>
      </c>
      <c r="R544" t="s">
        <v>914</v>
      </c>
      <c r="S544" t="s">
        <v>232</v>
      </c>
      <c r="T544" t="s">
        <v>491</v>
      </c>
      <c r="U544" t="s">
        <v>233</v>
      </c>
      <c r="V544" t="s">
        <v>234</v>
      </c>
      <c r="W544" t="s">
        <v>54</v>
      </c>
      <c r="X544" t="s">
        <v>235</v>
      </c>
      <c r="Y544" t="s">
        <v>236</v>
      </c>
      <c r="Z544">
        <v>2696</v>
      </c>
      <c r="AA544">
        <v>2696</v>
      </c>
      <c r="AB544" t="s">
        <v>237</v>
      </c>
      <c r="AC544">
        <v>6.09</v>
      </c>
      <c r="AD544">
        <v>16418.64</v>
      </c>
      <c r="AE544">
        <v>6119.92</v>
      </c>
      <c r="AF544" t="s">
        <v>870</v>
      </c>
      <c r="AG544">
        <v>10298.719999999999</v>
      </c>
      <c r="AH544">
        <v>0.63</v>
      </c>
    </row>
    <row r="545" spans="1:34" x14ac:dyDescent="0.25">
      <c r="A545" t="s">
        <v>1749</v>
      </c>
      <c r="B545">
        <v>544</v>
      </c>
      <c r="C545" t="s">
        <v>487</v>
      </c>
      <c r="D545" t="s">
        <v>322</v>
      </c>
      <c r="E545" t="s">
        <v>261</v>
      </c>
      <c r="F545" t="s">
        <v>2956</v>
      </c>
      <c r="G545" s="25">
        <v>44280</v>
      </c>
      <c r="H545">
        <v>17</v>
      </c>
      <c r="I545">
        <v>84</v>
      </c>
      <c r="J545" t="s">
        <v>2958</v>
      </c>
      <c r="K545" t="s">
        <v>876</v>
      </c>
      <c r="L545" t="s">
        <v>231</v>
      </c>
      <c r="M545" t="s">
        <v>911</v>
      </c>
      <c r="N545" t="s">
        <v>186</v>
      </c>
      <c r="O545" t="s">
        <v>912</v>
      </c>
      <c r="P545" t="s">
        <v>867</v>
      </c>
      <c r="Q545" t="s">
        <v>913</v>
      </c>
      <c r="R545" t="s">
        <v>914</v>
      </c>
      <c r="S545" t="s">
        <v>232</v>
      </c>
      <c r="T545" t="s">
        <v>491</v>
      </c>
      <c r="U545" t="s">
        <v>233</v>
      </c>
      <c r="V545" t="s">
        <v>234</v>
      </c>
      <c r="W545" t="s">
        <v>54</v>
      </c>
      <c r="X545" t="s">
        <v>235</v>
      </c>
      <c r="Y545" t="s">
        <v>236</v>
      </c>
      <c r="Z545">
        <v>2102</v>
      </c>
      <c r="AA545">
        <v>2102</v>
      </c>
      <c r="AB545" t="s">
        <v>237</v>
      </c>
      <c r="AC545">
        <v>6.09</v>
      </c>
      <c r="AD545">
        <v>12801.18</v>
      </c>
      <c r="AE545">
        <v>4771.54</v>
      </c>
      <c r="AF545" t="s">
        <v>870</v>
      </c>
      <c r="AG545">
        <v>8029.64</v>
      </c>
      <c r="AH545">
        <v>0.63</v>
      </c>
    </row>
    <row r="546" spans="1:34" x14ac:dyDescent="0.25">
      <c r="A546" t="s">
        <v>2910</v>
      </c>
      <c r="B546">
        <v>545</v>
      </c>
      <c r="C546" t="s">
        <v>487</v>
      </c>
      <c r="D546" t="s">
        <v>322</v>
      </c>
      <c r="E546" t="s">
        <v>261</v>
      </c>
      <c r="F546" t="s">
        <v>2956</v>
      </c>
      <c r="G546" s="25">
        <v>44280</v>
      </c>
      <c r="H546">
        <v>17</v>
      </c>
      <c r="I546">
        <v>84</v>
      </c>
      <c r="J546" t="s">
        <v>2958</v>
      </c>
      <c r="K546" t="s">
        <v>921</v>
      </c>
      <c r="L546" t="s">
        <v>231</v>
      </c>
      <c r="M546" t="s">
        <v>911</v>
      </c>
      <c r="N546" t="s">
        <v>186</v>
      </c>
      <c r="O546" t="s">
        <v>912</v>
      </c>
      <c r="P546" t="s">
        <v>867</v>
      </c>
      <c r="Q546" t="s">
        <v>913</v>
      </c>
      <c r="R546" t="s">
        <v>914</v>
      </c>
      <c r="S546" t="s">
        <v>232</v>
      </c>
      <c r="T546" t="s">
        <v>491</v>
      </c>
      <c r="U546" t="s">
        <v>233</v>
      </c>
      <c r="V546" t="s">
        <v>234</v>
      </c>
      <c r="W546" t="s">
        <v>54</v>
      </c>
      <c r="X546" t="s">
        <v>235</v>
      </c>
      <c r="Y546" t="s">
        <v>236</v>
      </c>
      <c r="Z546">
        <v>2140</v>
      </c>
      <c r="AA546">
        <v>2140</v>
      </c>
      <c r="AB546" t="s">
        <v>237</v>
      </c>
      <c r="AC546">
        <v>6.09</v>
      </c>
      <c r="AD546">
        <v>13032.6</v>
      </c>
      <c r="AE546">
        <v>4857.8</v>
      </c>
      <c r="AF546" t="s">
        <v>870</v>
      </c>
      <c r="AG546">
        <v>8174.8</v>
      </c>
      <c r="AH546">
        <v>0.63</v>
      </c>
    </row>
    <row r="547" spans="1:34" x14ac:dyDescent="0.25">
      <c r="A547" t="s">
        <v>1634</v>
      </c>
      <c r="B547">
        <v>546</v>
      </c>
      <c r="C547" t="s">
        <v>487</v>
      </c>
      <c r="D547" t="s">
        <v>322</v>
      </c>
      <c r="E547" t="s">
        <v>261</v>
      </c>
      <c r="F547" t="s">
        <v>2956</v>
      </c>
      <c r="G547" s="25">
        <v>44280</v>
      </c>
      <c r="H547">
        <v>17</v>
      </c>
      <c r="I547">
        <v>84</v>
      </c>
      <c r="J547" t="s">
        <v>2959</v>
      </c>
      <c r="K547" t="s">
        <v>876</v>
      </c>
      <c r="L547" t="s">
        <v>231</v>
      </c>
      <c r="M547" t="s">
        <v>926</v>
      </c>
      <c r="N547" t="s">
        <v>185</v>
      </c>
      <c r="O547" t="s">
        <v>1053</v>
      </c>
      <c r="P547" t="s">
        <v>867</v>
      </c>
      <c r="Q547" t="s">
        <v>1054</v>
      </c>
      <c r="R547" t="s">
        <v>1055</v>
      </c>
      <c r="S547" t="s">
        <v>232</v>
      </c>
      <c r="T547" t="s">
        <v>491</v>
      </c>
      <c r="U547" t="s">
        <v>233</v>
      </c>
      <c r="V547" t="s">
        <v>234</v>
      </c>
      <c r="W547" t="s">
        <v>54</v>
      </c>
      <c r="X547" t="s">
        <v>235</v>
      </c>
      <c r="Y547" t="s">
        <v>236</v>
      </c>
      <c r="Z547">
        <v>2230</v>
      </c>
      <c r="AA547">
        <v>2230</v>
      </c>
      <c r="AB547" t="s">
        <v>237</v>
      </c>
      <c r="AC547">
        <v>6.09</v>
      </c>
      <c r="AD547">
        <v>13580.7</v>
      </c>
      <c r="AE547">
        <v>5062.1000000000004</v>
      </c>
      <c r="AF547" t="s">
        <v>870</v>
      </c>
      <c r="AG547">
        <v>8518.6</v>
      </c>
      <c r="AH547">
        <v>0.63</v>
      </c>
    </row>
    <row r="548" spans="1:34" x14ac:dyDescent="0.25">
      <c r="A548" t="s">
        <v>2796</v>
      </c>
      <c r="B548">
        <v>547</v>
      </c>
      <c r="C548" t="s">
        <v>487</v>
      </c>
      <c r="D548" t="s">
        <v>322</v>
      </c>
      <c r="E548" t="s">
        <v>261</v>
      </c>
      <c r="F548" t="s">
        <v>2956</v>
      </c>
      <c r="G548" s="25">
        <v>44280</v>
      </c>
      <c r="H548">
        <v>17</v>
      </c>
      <c r="I548">
        <v>84</v>
      </c>
      <c r="J548" t="s">
        <v>2959</v>
      </c>
      <c r="K548" t="s">
        <v>921</v>
      </c>
      <c r="L548" t="s">
        <v>231</v>
      </c>
      <c r="M548" t="s">
        <v>926</v>
      </c>
      <c r="N548" t="s">
        <v>185</v>
      </c>
      <c r="O548" t="s">
        <v>1053</v>
      </c>
      <c r="P548" t="s">
        <v>867</v>
      </c>
      <c r="Q548" t="s">
        <v>1054</v>
      </c>
      <c r="R548" t="s">
        <v>1055</v>
      </c>
      <c r="S548" t="s">
        <v>232</v>
      </c>
      <c r="T548" t="s">
        <v>491</v>
      </c>
      <c r="U548" t="s">
        <v>233</v>
      </c>
      <c r="V548" t="s">
        <v>234</v>
      </c>
      <c r="W548" t="s">
        <v>54</v>
      </c>
      <c r="X548" t="s">
        <v>235</v>
      </c>
      <c r="Y548" t="s">
        <v>236</v>
      </c>
      <c r="Z548">
        <v>2657</v>
      </c>
      <c r="AA548">
        <v>2657</v>
      </c>
      <c r="AB548" t="s">
        <v>237</v>
      </c>
      <c r="AC548">
        <v>6.09</v>
      </c>
      <c r="AD548">
        <v>16181.13</v>
      </c>
      <c r="AE548">
        <v>6031.39</v>
      </c>
      <c r="AF548" t="s">
        <v>870</v>
      </c>
      <c r="AG548">
        <v>10149.74</v>
      </c>
      <c r="AH548">
        <v>0.63</v>
      </c>
    </row>
    <row r="549" spans="1:34" x14ac:dyDescent="0.25">
      <c r="A549" t="s">
        <v>2903</v>
      </c>
      <c r="B549">
        <v>548</v>
      </c>
      <c r="C549" t="s">
        <v>487</v>
      </c>
      <c r="D549" t="s">
        <v>322</v>
      </c>
      <c r="E549" t="s">
        <v>261</v>
      </c>
      <c r="F549" t="s">
        <v>2956</v>
      </c>
      <c r="G549" s="25">
        <v>44280</v>
      </c>
      <c r="H549">
        <v>17</v>
      </c>
      <c r="I549">
        <v>84</v>
      </c>
      <c r="J549" t="s">
        <v>2959</v>
      </c>
      <c r="K549" t="s">
        <v>956</v>
      </c>
      <c r="L549" t="s">
        <v>231</v>
      </c>
      <c r="M549" t="s">
        <v>926</v>
      </c>
      <c r="N549" t="s">
        <v>185</v>
      </c>
      <c r="O549" t="s">
        <v>1053</v>
      </c>
      <c r="P549" t="s">
        <v>867</v>
      </c>
      <c r="Q549" t="s">
        <v>1054</v>
      </c>
      <c r="R549" t="s">
        <v>1055</v>
      </c>
      <c r="S549" t="s">
        <v>232</v>
      </c>
      <c r="T549" t="s">
        <v>491</v>
      </c>
      <c r="U549" t="s">
        <v>233</v>
      </c>
      <c r="V549" t="s">
        <v>234</v>
      </c>
      <c r="W549" t="s">
        <v>54</v>
      </c>
      <c r="X549" t="s">
        <v>235</v>
      </c>
      <c r="Y549" t="s">
        <v>236</v>
      </c>
      <c r="Z549">
        <v>2609</v>
      </c>
      <c r="AA549">
        <v>2609</v>
      </c>
      <c r="AB549" t="s">
        <v>237</v>
      </c>
      <c r="AC549">
        <v>6.09</v>
      </c>
      <c r="AD549">
        <v>15888.81</v>
      </c>
      <c r="AE549">
        <v>5922.43</v>
      </c>
      <c r="AF549" t="s">
        <v>870</v>
      </c>
      <c r="AG549">
        <v>9966.3799999999992</v>
      </c>
      <c r="AH549">
        <v>0.63</v>
      </c>
    </row>
    <row r="550" spans="1:34" x14ac:dyDescent="0.25">
      <c r="A550" t="s">
        <v>2790</v>
      </c>
      <c r="B550">
        <v>549</v>
      </c>
      <c r="C550" t="s">
        <v>487</v>
      </c>
      <c r="D550" t="s">
        <v>322</v>
      </c>
      <c r="E550" t="s">
        <v>322</v>
      </c>
      <c r="F550" t="s">
        <v>2960</v>
      </c>
      <c r="G550" s="25">
        <v>44281</v>
      </c>
      <c r="H550">
        <v>17</v>
      </c>
      <c r="I550">
        <v>85</v>
      </c>
      <c r="J550" t="s">
        <v>2961</v>
      </c>
      <c r="K550" t="s">
        <v>956</v>
      </c>
      <c r="L550" t="s">
        <v>231</v>
      </c>
      <c r="M550" t="s">
        <v>173</v>
      </c>
      <c r="N550" t="s">
        <v>185</v>
      </c>
      <c r="O550" t="s">
        <v>966</v>
      </c>
      <c r="P550" t="s">
        <v>867</v>
      </c>
      <c r="Q550" t="s">
        <v>967</v>
      </c>
      <c r="R550" t="s">
        <v>968</v>
      </c>
      <c r="S550" t="s">
        <v>232</v>
      </c>
      <c r="T550" t="s">
        <v>491</v>
      </c>
      <c r="U550" t="s">
        <v>233</v>
      </c>
      <c r="V550" t="s">
        <v>234</v>
      </c>
      <c r="W550" t="s">
        <v>54</v>
      </c>
      <c r="X550" t="s">
        <v>235</v>
      </c>
      <c r="Y550" t="s">
        <v>236</v>
      </c>
      <c r="Z550">
        <v>2383</v>
      </c>
      <c r="AA550">
        <v>2383</v>
      </c>
      <c r="AB550" t="s">
        <v>237</v>
      </c>
      <c r="AC550">
        <v>6.09</v>
      </c>
      <c r="AD550">
        <v>14512.47</v>
      </c>
      <c r="AE550">
        <v>5409.41</v>
      </c>
      <c r="AF550" t="s">
        <v>870</v>
      </c>
      <c r="AG550">
        <v>9103.06</v>
      </c>
      <c r="AH550">
        <v>0.63</v>
      </c>
    </row>
    <row r="551" spans="1:34" x14ac:dyDescent="0.25">
      <c r="A551" t="s">
        <v>2804</v>
      </c>
      <c r="B551">
        <v>550</v>
      </c>
      <c r="C551" t="s">
        <v>487</v>
      </c>
      <c r="D551" t="s">
        <v>322</v>
      </c>
      <c r="E551" t="s">
        <v>322</v>
      </c>
      <c r="F551" t="s">
        <v>2960</v>
      </c>
      <c r="G551" s="25">
        <v>44281</v>
      </c>
      <c r="H551">
        <v>17</v>
      </c>
      <c r="I551">
        <v>85</v>
      </c>
      <c r="J551" t="s">
        <v>2962</v>
      </c>
      <c r="K551" t="s">
        <v>921</v>
      </c>
      <c r="L551" t="s">
        <v>231</v>
      </c>
      <c r="M551" t="s">
        <v>931</v>
      </c>
      <c r="N551" t="s">
        <v>186</v>
      </c>
      <c r="O551" t="s">
        <v>932</v>
      </c>
      <c r="P551" t="s">
        <v>867</v>
      </c>
      <c r="Q551" t="s">
        <v>933</v>
      </c>
      <c r="R551" t="s">
        <v>934</v>
      </c>
      <c r="S551" t="s">
        <v>232</v>
      </c>
      <c r="T551" t="s">
        <v>503</v>
      </c>
      <c r="U551" t="s">
        <v>303</v>
      </c>
      <c r="V551" t="s">
        <v>234</v>
      </c>
      <c r="W551" t="s">
        <v>56</v>
      </c>
      <c r="X551" t="s">
        <v>235</v>
      </c>
      <c r="Y551" t="s">
        <v>304</v>
      </c>
      <c r="Z551">
        <v>2989</v>
      </c>
      <c r="AA551">
        <v>2989</v>
      </c>
      <c r="AB551" t="s">
        <v>237</v>
      </c>
      <c r="AC551">
        <v>4.9400000000000004</v>
      </c>
      <c r="AD551">
        <v>14765.66</v>
      </c>
      <c r="AE551">
        <v>6814.92</v>
      </c>
      <c r="AF551" t="s">
        <v>870</v>
      </c>
      <c r="AG551">
        <v>7950.74</v>
      </c>
      <c r="AH551">
        <v>0.54</v>
      </c>
    </row>
    <row r="552" spans="1:34" x14ac:dyDescent="0.25">
      <c r="A552" t="s">
        <v>2441</v>
      </c>
      <c r="B552">
        <v>551</v>
      </c>
      <c r="C552" t="s">
        <v>487</v>
      </c>
      <c r="D552" t="s">
        <v>322</v>
      </c>
      <c r="E552" t="s">
        <v>322</v>
      </c>
      <c r="F552" t="s">
        <v>2960</v>
      </c>
      <c r="G552" s="25">
        <v>44281</v>
      </c>
      <c r="H552">
        <v>17</v>
      </c>
      <c r="I552">
        <v>85</v>
      </c>
      <c r="J552" t="s">
        <v>2962</v>
      </c>
      <c r="K552" t="s">
        <v>876</v>
      </c>
      <c r="L552" t="s">
        <v>231</v>
      </c>
      <c r="M552" t="s">
        <v>931</v>
      </c>
      <c r="N552" t="s">
        <v>186</v>
      </c>
      <c r="O552" t="s">
        <v>932</v>
      </c>
      <c r="P552" t="s">
        <v>867</v>
      </c>
      <c r="Q552" t="s">
        <v>933</v>
      </c>
      <c r="R552" t="s">
        <v>934</v>
      </c>
      <c r="S552" t="s">
        <v>232</v>
      </c>
      <c r="T552" t="s">
        <v>503</v>
      </c>
      <c r="U552" t="s">
        <v>303</v>
      </c>
      <c r="V552" t="s">
        <v>234</v>
      </c>
      <c r="W552" t="s">
        <v>56</v>
      </c>
      <c r="X552" t="s">
        <v>235</v>
      </c>
      <c r="Y552" t="s">
        <v>304</v>
      </c>
      <c r="Z552">
        <v>3097</v>
      </c>
      <c r="AA552">
        <v>3097</v>
      </c>
      <c r="AB552" t="s">
        <v>237</v>
      </c>
      <c r="AC552">
        <v>4.9400000000000004</v>
      </c>
      <c r="AD552">
        <v>15299.18</v>
      </c>
      <c r="AE552">
        <v>7061.16</v>
      </c>
      <c r="AF552" t="s">
        <v>870</v>
      </c>
      <c r="AG552">
        <v>8238.02</v>
      </c>
      <c r="AH552">
        <v>0.54</v>
      </c>
    </row>
    <row r="553" spans="1:34" x14ac:dyDescent="0.25">
      <c r="A553" t="s">
        <v>1987</v>
      </c>
      <c r="B553">
        <v>552</v>
      </c>
      <c r="C553" t="s">
        <v>487</v>
      </c>
      <c r="D553" t="s">
        <v>322</v>
      </c>
      <c r="E553" t="s">
        <v>322</v>
      </c>
      <c r="F553" t="s">
        <v>2960</v>
      </c>
      <c r="G553" s="25">
        <v>44281</v>
      </c>
      <c r="H553">
        <v>17</v>
      </c>
      <c r="I553">
        <v>85</v>
      </c>
      <c r="J553" t="s">
        <v>2962</v>
      </c>
      <c r="K553" t="s">
        <v>510</v>
      </c>
      <c r="L553" t="s">
        <v>231</v>
      </c>
      <c r="M553" t="s">
        <v>931</v>
      </c>
      <c r="N553" t="s">
        <v>186</v>
      </c>
      <c r="O553" t="s">
        <v>932</v>
      </c>
      <c r="P553" t="s">
        <v>867</v>
      </c>
      <c r="Q553" t="s">
        <v>933</v>
      </c>
      <c r="R553" t="s">
        <v>934</v>
      </c>
      <c r="S553" t="s">
        <v>232</v>
      </c>
      <c r="T553" t="s">
        <v>503</v>
      </c>
      <c r="U553" t="s">
        <v>303</v>
      </c>
      <c r="V553" t="s">
        <v>234</v>
      </c>
      <c r="W553" t="s">
        <v>56</v>
      </c>
      <c r="X553" t="s">
        <v>235</v>
      </c>
      <c r="Y553" t="s">
        <v>304</v>
      </c>
      <c r="Z553">
        <v>3391</v>
      </c>
      <c r="AA553">
        <v>3391</v>
      </c>
      <c r="AB553" t="s">
        <v>237</v>
      </c>
      <c r="AC553">
        <v>4.9400000000000004</v>
      </c>
      <c r="AD553">
        <v>16751.54</v>
      </c>
      <c r="AE553">
        <v>7731.48</v>
      </c>
      <c r="AF553" t="s">
        <v>870</v>
      </c>
      <c r="AG553">
        <v>9020.06</v>
      </c>
      <c r="AH553">
        <v>0.54</v>
      </c>
    </row>
    <row r="554" spans="1:34" x14ac:dyDescent="0.25">
      <c r="A554" t="s">
        <v>2537</v>
      </c>
      <c r="B554">
        <v>553</v>
      </c>
      <c r="C554" t="s">
        <v>487</v>
      </c>
      <c r="D554" t="s">
        <v>322</v>
      </c>
      <c r="E554" t="s">
        <v>322</v>
      </c>
      <c r="F554" t="s">
        <v>2960</v>
      </c>
      <c r="G554" s="25">
        <v>44281</v>
      </c>
      <c r="H554">
        <v>17</v>
      </c>
      <c r="I554">
        <v>85</v>
      </c>
      <c r="J554" t="s">
        <v>2961</v>
      </c>
      <c r="K554" t="s">
        <v>921</v>
      </c>
      <c r="L554" t="s">
        <v>231</v>
      </c>
      <c r="M554" t="s">
        <v>173</v>
      </c>
      <c r="N554" t="s">
        <v>185</v>
      </c>
      <c r="O554" t="s">
        <v>966</v>
      </c>
      <c r="P554" t="s">
        <v>867</v>
      </c>
      <c r="Q554" t="s">
        <v>967</v>
      </c>
      <c r="R554" t="s">
        <v>968</v>
      </c>
      <c r="S554" t="s">
        <v>232</v>
      </c>
      <c r="T554" t="s">
        <v>503</v>
      </c>
      <c r="U554" t="s">
        <v>303</v>
      </c>
      <c r="V554" t="s">
        <v>234</v>
      </c>
      <c r="W554" t="s">
        <v>56</v>
      </c>
      <c r="X554" t="s">
        <v>235</v>
      </c>
      <c r="Y554" t="s">
        <v>304</v>
      </c>
      <c r="Z554">
        <v>2915</v>
      </c>
      <c r="AA554">
        <v>2915</v>
      </c>
      <c r="AB554" t="s">
        <v>237</v>
      </c>
      <c r="AC554">
        <v>4.9400000000000004</v>
      </c>
      <c r="AD554">
        <v>14400.1</v>
      </c>
      <c r="AE554">
        <v>6646.2</v>
      </c>
      <c r="AF554" t="s">
        <v>870</v>
      </c>
      <c r="AG554">
        <v>7753.9</v>
      </c>
      <c r="AH554">
        <v>0.54</v>
      </c>
    </row>
    <row r="555" spans="1:34" x14ac:dyDescent="0.25">
      <c r="A555" t="s">
        <v>1975</v>
      </c>
      <c r="B555">
        <v>554</v>
      </c>
      <c r="C555" t="s">
        <v>487</v>
      </c>
      <c r="D555" t="s">
        <v>322</v>
      </c>
      <c r="E555" t="s">
        <v>322</v>
      </c>
      <c r="F555" t="s">
        <v>2960</v>
      </c>
      <c r="G555" s="25">
        <v>44281</v>
      </c>
      <c r="H555">
        <v>17</v>
      </c>
      <c r="I555">
        <v>85</v>
      </c>
      <c r="J555" t="s">
        <v>2961</v>
      </c>
      <c r="K555" t="s">
        <v>876</v>
      </c>
      <c r="L555" t="s">
        <v>231</v>
      </c>
      <c r="M555" t="s">
        <v>173</v>
      </c>
      <c r="N555" t="s">
        <v>185</v>
      </c>
      <c r="O555" t="s">
        <v>966</v>
      </c>
      <c r="P555" t="s">
        <v>867</v>
      </c>
      <c r="Q555" t="s">
        <v>967</v>
      </c>
      <c r="R555" t="s">
        <v>968</v>
      </c>
      <c r="S555" t="s">
        <v>232</v>
      </c>
      <c r="T555" t="s">
        <v>503</v>
      </c>
      <c r="U555" t="s">
        <v>303</v>
      </c>
      <c r="V555" t="s">
        <v>234</v>
      </c>
      <c r="W555" t="s">
        <v>56</v>
      </c>
      <c r="X555" t="s">
        <v>235</v>
      </c>
      <c r="Y555" t="s">
        <v>304</v>
      </c>
      <c r="Z555">
        <v>3160</v>
      </c>
      <c r="AA555">
        <v>3160</v>
      </c>
      <c r="AB555" t="s">
        <v>237</v>
      </c>
      <c r="AC555">
        <v>4.9400000000000004</v>
      </c>
      <c r="AD555">
        <v>15610.4</v>
      </c>
      <c r="AE555">
        <v>7204.8</v>
      </c>
      <c r="AF555" t="s">
        <v>870</v>
      </c>
      <c r="AG555">
        <v>8405.6</v>
      </c>
      <c r="AH555">
        <v>0.54</v>
      </c>
    </row>
    <row r="556" spans="1:34" x14ac:dyDescent="0.25">
      <c r="A556" t="s">
        <v>2086</v>
      </c>
      <c r="B556">
        <v>555</v>
      </c>
      <c r="C556" t="s">
        <v>487</v>
      </c>
      <c r="D556" t="s">
        <v>322</v>
      </c>
      <c r="E556" t="s">
        <v>322</v>
      </c>
      <c r="F556" t="s">
        <v>2960</v>
      </c>
      <c r="G556" s="25">
        <v>44281</v>
      </c>
      <c r="H556">
        <v>17</v>
      </c>
      <c r="I556">
        <v>85</v>
      </c>
      <c r="J556" t="s">
        <v>2961</v>
      </c>
      <c r="K556" t="s">
        <v>510</v>
      </c>
      <c r="L556" t="s">
        <v>231</v>
      </c>
      <c r="M556" t="s">
        <v>173</v>
      </c>
      <c r="N556" t="s">
        <v>185</v>
      </c>
      <c r="O556" t="s">
        <v>966</v>
      </c>
      <c r="P556" t="s">
        <v>867</v>
      </c>
      <c r="Q556" t="s">
        <v>967</v>
      </c>
      <c r="R556" t="s">
        <v>968</v>
      </c>
      <c r="S556" t="s">
        <v>232</v>
      </c>
      <c r="T556" t="s">
        <v>503</v>
      </c>
      <c r="U556" t="s">
        <v>303</v>
      </c>
      <c r="V556" t="s">
        <v>234</v>
      </c>
      <c r="W556" t="s">
        <v>56</v>
      </c>
      <c r="X556" t="s">
        <v>235</v>
      </c>
      <c r="Y556" t="s">
        <v>304</v>
      </c>
      <c r="Z556">
        <v>2698</v>
      </c>
      <c r="AA556">
        <v>2698</v>
      </c>
      <c r="AB556" t="s">
        <v>237</v>
      </c>
      <c r="AC556">
        <v>4.9400000000000004</v>
      </c>
      <c r="AD556">
        <v>13328.12</v>
      </c>
      <c r="AE556">
        <v>6151.44</v>
      </c>
      <c r="AF556" t="s">
        <v>870</v>
      </c>
      <c r="AG556">
        <v>7176.68</v>
      </c>
      <c r="AH556">
        <v>0.54</v>
      </c>
    </row>
    <row r="557" spans="1:34" x14ac:dyDescent="0.25">
      <c r="A557" t="s">
        <v>2035</v>
      </c>
      <c r="B557">
        <v>556</v>
      </c>
      <c r="C557" t="s">
        <v>487</v>
      </c>
      <c r="D557" t="s">
        <v>322</v>
      </c>
      <c r="E557" t="s">
        <v>247</v>
      </c>
      <c r="F557" t="s">
        <v>2963</v>
      </c>
      <c r="G557" s="25">
        <v>44282</v>
      </c>
      <c r="H557">
        <v>18</v>
      </c>
      <c r="I557">
        <v>86</v>
      </c>
      <c r="J557" t="s">
        <v>2964</v>
      </c>
      <c r="K557" t="s">
        <v>510</v>
      </c>
      <c r="L557" t="s">
        <v>231</v>
      </c>
      <c r="M557" t="s">
        <v>865</v>
      </c>
      <c r="N557" t="s">
        <v>186</v>
      </c>
      <c r="O557" t="s">
        <v>1012</v>
      </c>
      <c r="P557" t="s">
        <v>867</v>
      </c>
      <c r="Q557" t="s">
        <v>1325</v>
      </c>
      <c r="R557" t="s">
        <v>1326</v>
      </c>
      <c r="S557" t="s">
        <v>239</v>
      </c>
      <c r="T557" t="s">
        <v>503</v>
      </c>
      <c r="U557" t="s">
        <v>303</v>
      </c>
      <c r="V557" t="s">
        <v>234</v>
      </c>
      <c r="W557" t="s">
        <v>56</v>
      </c>
      <c r="X557" t="s">
        <v>235</v>
      </c>
      <c r="Y557" t="s">
        <v>304</v>
      </c>
      <c r="Z557">
        <v>2873</v>
      </c>
      <c r="AA557">
        <v>2873</v>
      </c>
      <c r="AB557" t="s">
        <v>237</v>
      </c>
      <c r="AC557">
        <v>4.84</v>
      </c>
      <c r="AD557">
        <v>13905.32</v>
      </c>
      <c r="AE557">
        <v>6550.44</v>
      </c>
      <c r="AF557" t="s">
        <v>870</v>
      </c>
      <c r="AG557">
        <v>7354.88</v>
      </c>
      <c r="AH557">
        <v>0.53</v>
      </c>
    </row>
    <row r="558" spans="1:34" x14ac:dyDescent="0.25">
      <c r="A558" t="s">
        <v>2667</v>
      </c>
      <c r="B558">
        <v>557</v>
      </c>
      <c r="C558" t="s">
        <v>487</v>
      </c>
      <c r="D558" t="s">
        <v>322</v>
      </c>
      <c r="E558" t="s">
        <v>247</v>
      </c>
      <c r="F558" t="s">
        <v>2963</v>
      </c>
      <c r="G558" s="25">
        <v>44282</v>
      </c>
      <c r="H558">
        <v>18</v>
      </c>
      <c r="I558">
        <v>86</v>
      </c>
      <c r="J558" t="s">
        <v>2964</v>
      </c>
      <c r="K558" t="s">
        <v>876</v>
      </c>
      <c r="L558" t="s">
        <v>231</v>
      </c>
      <c r="M558" t="s">
        <v>865</v>
      </c>
      <c r="N558" t="s">
        <v>186</v>
      </c>
      <c r="O558" t="s">
        <v>1012</v>
      </c>
      <c r="P558" t="s">
        <v>867</v>
      </c>
      <c r="Q558" t="s">
        <v>1325</v>
      </c>
      <c r="R558" t="s">
        <v>1326</v>
      </c>
      <c r="S558" t="s">
        <v>239</v>
      </c>
      <c r="T558" t="s">
        <v>503</v>
      </c>
      <c r="U558" t="s">
        <v>303</v>
      </c>
      <c r="V558" t="s">
        <v>234</v>
      </c>
      <c r="W558" t="s">
        <v>56</v>
      </c>
      <c r="X558" t="s">
        <v>235</v>
      </c>
      <c r="Y558" t="s">
        <v>304</v>
      </c>
      <c r="Z558">
        <v>2835</v>
      </c>
      <c r="AA558">
        <v>2835</v>
      </c>
      <c r="AB558" t="s">
        <v>237</v>
      </c>
      <c r="AC558">
        <v>4.84</v>
      </c>
      <c r="AD558">
        <v>13721.4</v>
      </c>
      <c r="AE558">
        <v>6463.8</v>
      </c>
      <c r="AF558" t="s">
        <v>870</v>
      </c>
      <c r="AG558">
        <v>7257.6</v>
      </c>
      <c r="AH558">
        <v>0.53</v>
      </c>
    </row>
    <row r="559" spans="1:34" x14ac:dyDescent="0.25">
      <c r="A559" t="s">
        <v>2855</v>
      </c>
      <c r="B559">
        <v>558</v>
      </c>
      <c r="C559" t="s">
        <v>487</v>
      </c>
      <c r="D559" t="s">
        <v>322</v>
      </c>
      <c r="E559" t="s">
        <v>247</v>
      </c>
      <c r="F559" t="s">
        <v>2963</v>
      </c>
      <c r="G559" s="25">
        <v>44282</v>
      </c>
      <c r="H559">
        <v>18</v>
      </c>
      <c r="I559">
        <v>86</v>
      </c>
      <c r="J559" t="s">
        <v>2964</v>
      </c>
      <c r="K559" t="s">
        <v>921</v>
      </c>
      <c r="L559" t="s">
        <v>231</v>
      </c>
      <c r="M559" t="s">
        <v>865</v>
      </c>
      <c r="N559" t="s">
        <v>186</v>
      </c>
      <c r="O559" t="s">
        <v>1012</v>
      </c>
      <c r="P559" t="s">
        <v>867</v>
      </c>
      <c r="Q559" t="s">
        <v>1325</v>
      </c>
      <c r="R559" t="s">
        <v>1326</v>
      </c>
      <c r="S559" t="s">
        <v>239</v>
      </c>
      <c r="T559" t="s">
        <v>503</v>
      </c>
      <c r="U559" t="s">
        <v>303</v>
      </c>
      <c r="V559" t="s">
        <v>234</v>
      </c>
      <c r="W559" t="s">
        <v>56</v>
      </c>
      <c r="X559" t="s">
        <v>235</v>
      </c>
      <c r="Y559" t="s">
        <v>304</v>
      </c>
      <c r="Z559">
        <v>3340</v>
      </c>
      <c r="AA559">
        <v>3340</v>
      </c>
      <c r="AB559" t="s">
        <v>237</v>
      </c>
      <c r="AC559">
        <v>4.84</v>
      </c>
      <c r="AD559">
        <v>16165.6</v>
      </c>
      <c r="AE559">
        <v>7615.2</v>
      </c>
      <c r="AF559" t="s">
        <v>870</v>
      </c>
      <c r="AG559">
        <v>8550.4</v>
      </c>
      <c r="AH559">
        <v>0.53</v>
      </c>
    </row>
    <row r="560" spans="1:34" x14ac:dyDescent="0.25">
      <c r="A560" t="s">
        <v>2166</v>
      </c>
      <c r="B560">
        <v>559</v>
      </c>
      <c r="C560" t="s">
        <v>487</v>
      </c>
      <c r="D560" t="s">
        <v>322</v>
      </c>
      <c r="E560" t="s">
        <v>247</v>
      </c>
      <c r="F560" t="s">
        <v>2963</v>
      </c>
      <c r="G560" s="25">
        <v>44282</v>
      </c>
      <c r="H560">
        <v>18</v>
      </c>
      <c r="I560">
        <v>86</v>
      </c>
      <c r="J560" t="s">
        <v>2965</v>
      </c>
      <c r="K560" t="s">
        <v>510</v>
      </c>
      <c r="L560" t="s">
        <v>231</v>
      </c>
      <c r="M560" t="s">
        <v>926</v>
      </c>
      <c r="N560" t="s">
        <v>185</v>
      </c>
      <c r="O560" t="s">
        <v>974</v>
      </c>
      <c r="P560" t="s">
        <v>867</v>
      </c>
      <c r="Q560" t="s">
        <v>975</v>
      </c>
      <c r="R560" t="s">
        <v>976</v>
      </c>
      <c r="S560" t="s">
        <v>232</v>
      </c>
      <c r="T560" t="s">
        <v>491</v>
      </c>
      <c r="U560" t="s">
        <v>233</v>
      </c>
      <c r="V560" t="s">
        <v>234</v>
      </c>
      <c r="W560" t="s">
        <v>54</v>
      </c>
      <c r="X560" t="s">
        <v>235</v>
      </c>
      <c r="Y560" t="s">
        <v>236</v>
      </c>
      <c r="Z560">
        <v>1363</v>
      </c>
      <c r="AA560">
        <v>1363</v>
      </c>
      <c r="AB560" t="s">
        <v>237</v>
      </c>
      <c r="AC560">
        <v>6.09</v>
      </c>
      <c r="AD560">
        <v>8300.67</v>
      </c>
      <c r="AE560">
        <v>3094.01</v>
      </c>
      <c r="AF560" t="s">
        <v>870</v>
      </c>
      <c r="AG560">
        <v>5206.66</v>
      </c>
      <c r="AH560">
        <v>0.63</v>
      </c>
    </row>
    <row r="561" spans="1:34" x14ac:dyDescent="0.25">
      <c r="A561" t="s">
        <v>2397</v>
      </c>
      <c r="B561">
        <v>560</v>
      </c>
      <c r="C561" t="s">
        <v>487</v>
      </c>
      <c r="D561" t="s">
        <v>322</v>
      </c>
      <c r="E561" t="s">
        <v>247</v>
      </c>
      <c r="F561" t="s">
        <v>2963</v>
      </c>
      <c r="G561" s="25">
        <v>44282</v>
      </c>
      <c r="H561">
        <v>18</v>
      </c>
      <c r="I561">
        <v>86</v>
      </c>
      <c r="J561" t="s">
        <v>2965</v>
      </c>
      <c r="K561" t="s">
        <v>876</v>
      </c>
      <c r="L561" t="s">
        <v>231</v>
      </c>
      <c r="M561" t="s">
        <v>926</v>
      </c>
      <c r="N561" t="s">
        <v>185</v>
      </c>
      <c r="O561" t="s">
        <v>974</v>
      </c>
      <c r="P561" t="s">
        <v>867</v>
      </c>
      <c r="Q561" t="s">
        <v>975</v>
      </c>
      <c r="R561" t="s">
        <v>976</v>
      </c>
      <c r="S561" t="s">
        <v>232</v>
      </c>
      <c r="T561" t="s">
        <v>503</v>
      </c>
      <c r="U561" t="s">
        <v>303</v>
      </c>
      <c r="V561" t="s">
        <v>234</v>
      </c>
      <c r="W561" t="s">
        <v>56</v>
      </c>
      <c r="X561" t="s">
        <v>235</v>
      </c>
      <c r="Y561" t="s">
        <v>304</v>
      </c>
      <c r="Z561">
        <v>2635</v>
      </c>
      <c r="AA561">
        <v>2635</v>
      </c>
      <c r="AB561" t="s">
        <v>237</v>
      </c>
      <c r="AC561">
        <v>4.9400000000000004</v>
      </c>
      <c r="AD561">
        <v>13016.9</v>
      </c>
      <c r="AE561">
        <v>6007.8</v>
      </c>
      <c r="AF561" t="s">
        <v>870</v>
      </c>
      <c r="AG561">
        <v>7009.1</v>
      </c>
      <c r="AH561">
        <v>0.54</v>
      </c>
    </row>
    <row r="562" spans="1:34" x14ac:dyDescent="0.25">
      <c r="A562" t="s">
        <v>2514</v>
      </c>
      <c r="B562">
        <v>561</v>
      </c>
      <c r="C562" t="s">
        <v>487</v>
      </c>
      <c r="D562" t="s">
        <v>322</v>
      </c>
      <c r="E562" t="s">
        <v>247</v>
      </c>
      <c r="F562" t="s">
        <v>2963</v>
      </c>
      <c r="G562" s="25">
        <v>44282</v>
      </c>
      <c r="H562">
        <v>18</v>
      </c>
      <c r="I562">
        <v>86</v>
      </c>
      <c r="J562" t="s">
        <v>2966</v>
      </c>
      <c r="K562" t="s">
        <v>921</v>
      </c>
      <c r="L562" t="s">
        <v>231</v>
      </c>
      <c r="M562" t="s">
        <v>926</v>
      </c>
      <c r="N562" t="s">
        <v>185</v>
      </c>
      <c r="O562" t="s">
        <v>953</v>
      </c>
      <c r="P562" t="s">
        <v>867</v>
      </c>
      <c r="Q562" t="s">
        <v>954</v>
      </c>
      <c r="R562" t="s">
        <v>955</v>
      </c>
      <c r="S562" t="s">
        <v>232</v>
      </c>
      <c r="T562" t="s">
        <v>503</v>
      </c>
      <c r="U562" t="s">
        <v>303</v>
      </c>
      <c r="V562" t="s">
        <v>234</v>
      </c>
      <c r="W562" t="s">
        <v>56</v>
      </c>
      <c r="X562" t="s">
        <v>235</v>
      </c>
      <c r="Y562" t="s">
        <v>304</v>
      </c>
      <c r="Z562">
        <v>2670</v>
      </c>
      <c r="AA562">
        <v>2670</v>
      </c>
      <c r="AB562" t="s">
        <v>237</v>
      </c>
      <c r="AC562">
        <v>4.9400000000000004</v>
      </c>
      <c r="AD562">
        <v>13189.8</v>
      </c>
      <c r="AE562">
        <v>6087.6</v>
      </c>
      <c r="AF562" t="s">
        <v>870</v>
      </c>
      <c r="AG562">
        <v>7102.2</v>
      </c>
      <c r="AH562">
        <v>0.54</v>
      </c>
    </row>
    <row r="563" spans="1:34" x14ac:dyDescent="0.25">
      <c r="A563" t="s">
        <v>2520</v>
      </c>
      <c r="B563">
        <v>562</v>
      </c>
      <c r="C563" t="s">
        <v>487</v>
      </c>
      <c r="D563" t="s">
        <v>322</v>
      </c>
      <c r="E563" t="s">
        <v>247</v>
      </c>
      <c r="F563" t="s">
        <v>2963</v>
      </c>
      <c r="G563" s="25">
        <v>44282</v>
      </c>
      <c r="H563">
        <v>18</v>
      </c>
      <c r="I563">
        <v>86</v>
      </c>
      <c r="J563" t="s">
        <v>2966</v>
      </c>
      <c r="K563" t="s">
        <v>876</v>
      </c>
      <c r="L563" t="s">
        <v>231</v>
      </c>
      <c r="M563" t="s">
        <v>926</v>
      </c>
      <c r="N563" t="s">
        <v>185</v>
      </c>
      <c r="O563" t="s">
        <v>953</v>
      </c>
      <c r="P563" t="s">
        <v>867</v>
      </c>
      <c r="Q563" t="s">
        <v>954</v>
      </c>
      <c r="R563" t="s">
        <v>955</v>
      </c>
      <c r="S563" t="s">
        <v>232</v>
      </c>
      <c r="T563" t="s">
        <v>503</v>
      </c>
      <c r="U563" t="s">
        <v>303</v>
      </c>
      <c r="V563" t="s">
        <v>234</v>
      </c>
      <c r="W563" t="s">
        <v>56</v>
      </c>
      <c r="X563" t="s">
        <v>235</v>
      </c>
      <c r="Y563" t="s">
        <v>304</v>
      </c>
      <c r="Z563">
        <v>3218</v>
      </c>
      <c r="AA563">
        <v>3218</v>
      </c>
      <c r="AB563" t="s">
        <v>237</v>
      </c>
      <c r="AC563">
        <v>4.9400000000000004</v>
      </c>
      <c r="AD563">
        <v>15896.92</v>
      </c>
      <c r="AE563">
        <v>7337.04</v>
      </c>
      <c r="AF563" t="s">
        <v>870</v>
      </c>
      <c r="AG563">
        <v>8559.8799999999992</v>
      </c>
      <c r="AH563">
        <v>0.54</v>
      </c>
    </row>
    <row r="564" spans="1:34" x14ac:dyDescent="0.25">
      <c r="A564" t="s">
        <v>1753</v>
      </c>
      <c r="B564">
        <v>563</v>
      </c>
      <c r="C564" t="s">
        <v>487</v>
      </c>
      <c r="D564" t="s">
        <v>322</v>
      </c>
      <c r="E564" t="s">
        <v>247</v>
      </c>
      <c r="F564" t="s">
        <v>2963</v>
      </c>
      <c r="G564" s="25">
        <v>44282</v>
      </c>
      <c r="H564">
        <v>18</v>
      </c>
      <c r="I564">
        <v>86</v>
      </c>
      <c r="J564" t="s">
        <v>2966</v>
      </c>
      <c r="K564" t="s">
        <v>510</v>
      </c>
      <c r="L564" t="s">
        <v>231</v>
      </c>
      <c r="M564" t="s">
        <v>926</v>
      </c>
      <c r="N564" t="s">
        <v>185</v>
      </c>
      <c r="O564" t="s">
        <v>953</v>
      </c>
      <c r="P564" t="s">
        <v>867</v>
      </c>
      <c r="Q564" t="s">
        <v>954</v>
      </c>
      <c r="R564" t="s">
        <v>955</v>
      </c>
      <c r="S564" t="s">
        <v>232</v>
      </c>
      <c r="T564" t="s">
        <v>503</v>
      </c>
      <c r="U564" t="s">
        <v>303</v>
      </c>
      <c r="V564" t="s">
        <v>234</v>
      </c>
      <c r="W564" t="s">
        <v>56</v>
      </c>
      <c r="X564" t="s">
        <v>235</v>
      </c>
      <c r="Y564" t="s">
        <v>304</v>
      </c>
      <c r="Z564">
        <v>3102</v>
      </c>
      <c r="AA564">
        <v>3102</v>
      </c>
      <c r="AB564" t="s">
        <v>237</v>
      </c>
      <c r="AC564">
        <v>4.9400000000000004</v>
      </c>
      <c r="AD564">
        <v>15323.88</v>
      </c>
      <c r="AE564">
        <v>7072.56</v>
      </c>
      <c r="AF564" t="s">
        <v>870</v>
      </c>
      <c r="AG564">
        <v>8251.32</v>
      </c>
      <c r="AH564">
        <v>0.54</v>
      </c>
    </row>
    <row r="565" spans="1:34" x14ac:dyDescent="0.25">
      <c r="A565" t="s">
        <v>2536</v>
      </c>
      <c r="B565">
        <v>564</v>
      </c>
      <c r="C565" t="s">
        <v>487</v>
      </c>
      <c r="D565" t="s">
        <v>322</v>
      </c>
      <c r="E565" t="s">
        <v>247</v>
      </c>
      <c r="F565" t="s">
        <v>2963</v>
      </c>
      <c r="G565" s="25">
        <v>44282</v>
      </c>
      <c r="H565">
        <v>18</v>
      </c>
      <c r="I565">
        <v>86</v>
      </c>
      <c r="J565" t="s">
        <v>2965</v>
      </c>
      <c r="K565" t="s">
        <v>921</v>
      </c>
      <c r="L565" t="s">
        <v>231</v>
      </c>
      <c r="M565" t="s">
        <v>926</v>
      </c>
      <c r="N565" t="s">
        <v>185</v>
      </c>
      <c r="O565" t="s">
        <v>974</v>
      </c>
      <c r="P565" t="s">
        <v>867</v>
      </c>
      <c r="Q565" t="s">
        <v>975</v>
      </c>
      <c r="R565" t="s">
        <v>976</v>
      </c>
      <c r="S565" t="s">
        <v>232</v>
      </c>
      <c r="T565" t="s">
        <v>503</v>
      </c>
      <c r="U565" t="s">
        <v>303</v>
      </c>
      <c r="V565" t="s">
        <v>234</v>
      </c>
      <c r="W565" t="s">
        <v>56</v>
      </c>
      <c r="X565" t="s">
        <v>235</v>
      </c>
      <c r="Y565" t="s">
        <v>304</v>
      </c>
      <c r="Z565">
        <v>3327</v>
      </c>
      <c r="AA565">
        <v>3327</v>
      </c>
      <c r="AB565" t="s">
        <v>237</v>
      </c>
      <c r="AC565">
        <v>4.9400000000000004</v>
      </c>
      <c r="AD565">
        <v>16435.38</v>
      </c>
      <c r="AE565">
        <v>7585.56</v>
      </c>
      <c r="AF565" t="s">
        <v>870</v>
      </c>
      <c r="AG565">
        <v>8849.82</v>
      </c>
      <c r="AH565">
        <v>0.54</v>
      </c>
    </row>
    <row r="566" spans="1:34" x14ac:dyDescent="0.25">
      <c r="A566" t="s">
        <v>2897</v>
      </c>
      <c r="B566">
        <v>565</v>
      </c>
      <c r="C566" t="s">
        <v>487</v>
      </c>
      <c r="D566" t="s">
        <v>322</v>
      </c>
      <c r="E566" t="s">
        <v>326</v>
      </c>
      <c r="F566" t="s">
        <v>2967</v>
      </c>
      <c r="G566" s="25">
        <v>44283</v>
      </c>
      <c r="H566">
        <v>18</v>
      </c>
      <c r="I566">
        <v>87</v>
      </c>
      <c r="J566" t="s">
        <v>2968</v>
      </c>
      <c r="K566" t="s">
        <v>921</v>
      </c>
      <c r="L566" t="s">
        <v>231</v>
      </c>
      <c r="M566" t="s">
        <v>865</v>
      </c>
      <c r="N566" t="s">
        <v>186</v>
      </c>
      <c r="O566" t="s">
        <v>1012</v>
      </c>
      <c r="P566" t="s">
        <v>867</v>
      </c>
      <c r="Q566" t="s">
        <v>1325</v>
      </c>
      <c r="R566" t="s">
        <v>1326</v>
      </c>
      <c r="S566" t="s">
        <v>239</v>
      </c>
      <c r="T566" t="s">
        <v>491</v>
      </c>
      <c r="U566" t="s">
        <v>233</v>
      </c>
      <c r="V566" t="s">
        <v>234</v>
      </c>
      <c r="W566" t="s">
        <v>54</v>
      </c>
      <c r="X566" t="s">
        <v>235</v>
      </c>
      <c r="Y566" t="s">
        <v>236</v>
      </c>
      <c r="Z566">
        <v>2778</v>
      </c>
      <c r="AA566">
        <v>2778</v>
      </c>
      <c r="AB566" t="s">
        <v>237</v>
      </c>
      <c r="AC566">
        <v>5.97</v>
      </c>
      <c r="AD566">
        <v>16584.66</v>
      </c>
      <c r="AE566">
        <v>6306.06</v>
      </c>
      <c r="AF566" t="s">
        <v>870</v>
      </c>
      <c r="AG566">
        <v>10278.6</v>
      </c>
      <c r="AH566">
        <v>0.62</v>
      </c>
    </row>
    <row r="567" spans="1:34" x14ac:dyDescent="0.25">
      <c r="A567" t="s">
        <v>1836</v>
      </c>
      <c r="B567">
        <v>566</v>
      </c>
      <c r="C567" t="s">
        <v>487</v>
      </c>
      <c r="D567" t="s">
        <v>322</v>
      </c>
      <c r="E567" t="s">
        <v>326</v>
      </c>
      <c r="F567" t="s">
        <v>2967</v>
      </c>
      <c r="G567" s="25">
        <v>44283</v>
      </c>
      <c r="H567">
        <v>18</v>
      </c>
      <c r="I567">
        <v>87</v>
      </c>
      <c r="J567" t="s">
        <v>2968</v>
      </c>
      <c r="K567" t="s">
        <v>876</v>
      </c>
      <c r="L567" t="s">
        <v>231</v>
      </c>
      <c r="M567" t="s">
        <v>865</v>
      </c>
      <c r="N567" t="s">
        <v>186</v>
      </c>
      <c r="O567" t="s">
        <v>1012</v>
      </c>
      <c r="P567" t="s">
        <v>867</v>
      </c>
      <c r="Q567" t="s">
        <v>1325</v>
      </c>
      <c r="R567" t="s">
        <v>1326</v>
      </c>
      <c r="S567" t="s">
        <v>239</v>
      </c>
      <c r="T567" t="s">
        <v>503</v>
      </c>
      <c r="U567" t="s">
        <v>303</v>
      </c>
      <c r="V567" t="s">
        <v>234</v>
      </c>
      <c r="W567" t="s">
        <v>56</v>
      </c>
      <c r="X567" t="s">
        <v>235</v>
      </c>
      <c r="Y567" t="s">
        <v>304</v>
      </c>
      <c r="Z567">
        <v>2693</v>
      </c>
      <c r="AA567">
        <v>2693</v>
      </c>
      <c r="AB567" t="s">
        <v>237</v>
      </c>
      <c r="AC567">
        <v>4.84</v>
      </c>
      <c r="AD567">
        <v>13034.12</v>
      </c>
      <c r="AE567">
        <v>6140.04</v>
      </c>
      <c r="AF567" t="s">
        <v>870</v>
      </c>
      <c r="AG567">
        <v>6894.08</v>
      </c>
      <c r="AH567">
        <v>0.53</v>
      </c>
    </row>
    <row r="568" spans="1:34" x14ac:dyDescent="0.25">
      <c r="A568" t="s">
        <v>2199</v>
      </c>
      <c r="B568">
        <v>567</v>
      </c>
      <c r="C568" t="s">
        <v>487</v>
      </c>
      <c r="D568" t="s">
        <v>322</v>
      </c>
      <c r="E568" t="s">
        <v>326</v>
      </c>
      <c r="F568" t="s">
        <v>2967</v>
      </c>
      <c r="G568" s="25">
        <v>44283</v>
      </c>
      <c r="H568">
        <v>18</v>
      </c>
      <c r="I568">
        <v>87</v>
      </c>
      <c r="J568" t="s">
        <v>2968</v>
      </c>
      <c r="K568" t="s">
        <v>510</v>
      </c>
      <c r="L568" t="s">
        <v>231</v>
      </c>
      <c r="M568" t="s">
        <v>865</v>
      </c>
      <c r="N568" t="s">
        <v>186</v>
      </c>
      <c r="O568" t="s">
        <v>1012</v>
      </c>
      <c r="P568" t="s">
        <v>867</v>
      </c>
      <c r="Q568" t="s">
        <v>1325</v>
      </c>
      <c r="R568" t="s">
        <v>1326</v>
      </c>
      <c r="S568" t="s">
        <v>239</v>
      </c>
      <c r="T568" t="s">
        <v>503</v>
      </c>
      <c r="U568" t="s">
        <v>303</v>
      </c>
      <c r="V568" t="s">
        <v>234</v>
      </c>
      <c r="W568" t="s">
        <v>56</v>
      </c>
      <c r="X568" t="s">
        <v>235</v>
      </c>
      <c r="Y568" t="s">
        <v>304</v>
      </c>
      <c r="Z568">
        <v>3057</v>
      </c>
      <c r="AA568">
        <v>3057</v>
      </c>
      <c r="AB568" t="s">
        <v>237</v>
      </c>
      <c r="AC568">
        <v>4.84</v>
      </c>
      <c r="AD568">
        <v>14795.88</v>
      </c>
      <c r="AE568">
        <v>6969.96</v>
      </c>
      <c r="AF568" t="s">
        <v>870</v>
      </c>
      <c r="AG568">
        <v>7825.92</v>
      </c>
      <c r="AH568">
        <v>0.53</v>
      </c>
    </row>
    <row r="569" spans="1:34" x14ac:dyDescent="0.25">
      <c r="A569" t="s">
        <v>1755</v>
      </c>
      <c r="B569">
        <v>568</v>
      </c>
      <c r="C569" t="s">
        <v>487</v>
      </c>
      <c r="D569" t="s">
        <v>322</v>
      </c>
      <c r="E569" t="s">
        <v>326</v>
      </c>
      <c r="F569" t="s">
        <v>2967</v>
      </c>
      <c r="G569" s="25">
        <v>44283</v>
      </c>
      <c r="H569">
        <v>18</v>
      </c>
      <c r="I569">
        <v>87</v>
      </c>
      <c r="J569" t="s">
        <v>2969</v>
      </c>
      <c r="K569" t="s">
        <v>510</v>
      </c>
      <c r="L569" t="s">
        <v>231</v>
      </c>
      <c r="M569" t="s">
        <v>173</v>
      </c>
      <c r="N569" t="s">
        <v>185</v>
      </c>
      <c r="O569" t="s">
        <v>1533</v>
      </c>
      <c r="P569" t="s">
        <v>867</v>
      </c>
      <c r="Q569" t="s">
        <v>1534</v>
      </c>
      <c r="R569" t="s">
        <v>1535</v>
      </c>
      <c r="S569" t="s">
        <v>232</v>
      </c>
      <c r="T569" t="s">
        <v>491</v>
      </c>
      <c r="U569" t="s">
        <v>233</v>
      </c>
      <c r="V569" t="s">
        <v>234</v>
      </c>
      <c r="W569" t="s">
        <v>54</v>
      </c>
      <c r="X569" t="s">
        <v>235</v>
      </c>
      <c r="Y569" t="s">
        <v>236</v>
      </c>
      <c r="Z569">
        <v>2371</v>
      </c>
      <c r="AA569">
        <v>2371</v>
      </c>
      <c r="AB569" t="s">
        <v>237</v>
      </c>
      <c r="AC569">
        <v>6.09</v>
      </c>
      <c r="AD569">
        <v>14439.39</v>
      </c>
      <c r="AE569">
        <v>5382.17</v>
      </c>
      <c r="AF569" t="s">
        <v>870</v>
      </c>
      <c r="AG569">
        <v>9057.2199999999993</v>
      </c>
      <c r="AH569">
        <v>0.63</v>
      </c>
    </row>
    <row r="570" spans="1:34" x14ac:dyDescent="0.25">
      <c r="A570" t="s">
        <v>2308</v>
      </c>
      <c r="B570">
        <v>569</v>
      </c>
      <c r="C570" t="s">
        <v>487</v>
      </c>
      <c r="D570" t="s">
        <v>322</v>
      </c>
      <c r="E570" t="s">
        <v>326</v>
      </c>
      <c r="F570" t="s">
        <v>2967</v>
      </c>
      <c r="G570" s="25">
        <v>44283</v>
      </c>
      <c r="H570">
        <v>18</v>
      </c>
      <c r="I570">
        <v>87</v>
      </c>
      <c r="J570" t="s">
        <v>2969</v>
      </c>
      <c r="K570" t="s">
        <v>876</v>
      </c>
      <c r="L570" t="s">
        <v>231</v>
      </c>
      <c r="M570" t="s">
        <v>173</v>
      </c>
      <c r="N570" t="s">
        <v>185</v>
      </c>
      <c r="O570" t="s">
        <v>1533</v>
      </c>
      <c r="P570" t="s">
        <v>867</v>
      </c>
      <c r="Q570" t="s">
        <v>1534</v>
      </c>
      <c r="R570" t="s">
        <v>1535</v>
      </c>
      <c r="S570" t="s">
        <v>232</v>
      </c>
      <c r="T570" t="s">
        <v>491</v>
      </c>
      <c r="U570" t="s">
        <v>233</v>
      </c>
      <c r="V570" t="s">
        <v>234</v>
      </c>
      <c r="W570" t="s">
        <v>54</v>
      </c>
      <c r="X570" t="s">
        <v>235</v>
      </c>
      <c r="Y570" t="s">
        <v>236</v>
      </c>
      <c r="Z570">
        <v>2058</v>
      </c>
      <c r="AA570">
        <v>2058</v>
      </c>
      <c r="AB570" t="s">
        <v>237</v>
      </c>
      <c r="AC570">
        <v>6.09</v>
      </c>
      <c r="AD570">
        <v>12533.22</v>
      </c>
      <c r="AE570">
        <v>4671.66</v>
      </c>
      <c r="AF570" t="s">
        <v>870</v>
      </c>
      <c r="AG570">
        <v>7861.56</v>
      </c>
      <c r="AH570">
        <v>0.63</v>
      </c>
    </row>
    <row r="571" spans="1:34" x14ac:dyDescent="0.25">
      <c r="A571" t="s">
        <v>2413</v>
      </c>
      <c r="B571">
        <v>570</v>
      </c>
      <c r="C571" t="s">
        <v>487</v>
      </c>
      <c r="D571" t="s">
        <v>322</v>
      </c>
      <c r="E571" t="s">
        <v>326</v>
      </c>
      <c r="F571" t="s">
        <v>2967</v>
      </c>
      <c r="G571" s="25">
        <v>44283</v>
      </c>
      <c r="H571">
        <v>18</v>
      </c>
      <c r="I571">
        <v>87</v>
      </c>
      <c r="J571" t="s">
        <v>2970</v>
      </c>
      <c r="K571" t="s">
        <v>921</v>
      </c>
      <c r="L571" t="s">
        <v>231</v>
      </c>
      <c r="M571" t="s">
        <v>911</v>
      </c>
      <c r="N571" t="s">
        <v>186</v>
      </c>
      <c r="O571" t="s">
        <v>970</v>
      </c>
      <c r="P571" t="s">
        <v>867</v>
      </c>
      <c r="Q571" t="s">
        <v>971</v>
      </c>
      <c r="R571" t="s">
        <v>972</v>
      </c>
      <c r="S571" t="s">
        <v>232</v>
      </c>
      <c r="T571" t="s">
        <v>491</v>
      </c>
      <c r="U571" t="s">
        <v>233</v>
      </c>
      <c r="V571" t="s">
        <v>234</v>
      </c>
      <c r="W571" t="s">
        <v>54</v>
      </c>
      <c r="X571" t="s">
        <v>235</v>
      </c>
      <c r="Y571" t="s">
        <v>236</v>
      </c>
      <c r="Z571">
        <v>2193</v>
      </c>
      <c r="AA571">
        <v>2193</v>
      </c>
      <c r="AB571" t="s">
        <v>237</v>
      </c>
      <c r="AC571">
        <v>6.09</v>
      </c>
      <c r="AD571">
        <v>13355.37</v>
      </c>
      <c r="AE571">
        <v>4978.1099999999997</v>
      </c>
      <c r="AF571" t="s">
        <v>870</v>
      </c>
      <c r="AG571">
        <v>8377.26</v>
      </c>
      <c r="AH571">
        <v>0.63</v>
      </c>
    </row>
    <row r="572" spans="1:34" x14ac:dyDescent="0.25">
      <c r="A572" t="s">
        <v>1671</v>
      </c>
      <c r="B572">
        <v>571</v>
      </c>
      <c r="C572" t="s">
        <v>487</v>
      </c>
      <c r="D572" t="s">
        <v>322</v>
      </c>
      <c r="E572" t="s">
        <v>326</v>
      </c>
      <c r="F572" t="s">
        <v>2967</v>
      </c>
      <c r="G572" s="25">
        <v>44283</v>
      </c>
      <c r="H572">
        <v>18</v>
      </c>
      <c r="I572">
        <v>87</v>
      </c>
      <c r="J572" t="s">
        <v>2970</v>
      </c>
      <c r="K572" t="s">
        <v>876</v>
      </c>
      <c r="L572" t="s">
        <v>231</v>
      </c>
      <c r="M572" t="s">
        <v>911</v>
      </c>
      <c r="N572" t="s">
        <v>186</v>
      </c>
      <c r="O572" t="s">
        <v>970</v>
      </c>
      <c r="P572" t="s">
        <v>867</v>
      </c>
      <c r="Q572" t="s">
        <v>971</v>
      </c>
      <c r="R572" t="s">
        <v>972</v>
      </c>
      <c r="S572" t="s">
        <v>232</v>
      </c>
      <c r="T572" t="s">
        <v>491</v>
      </c>
      <c r="U572" t="s">
        <v>233</v>
      </c>
      <c r="V572" t="s">
        <v>234</v>
      </c>
      <c r="W572" t="s">
        <v>54</v>
      </c>
      <c r="X572" t="s">
        <v>235</v>
      </c>
      <c r="Y572" t="s">
        <v>236</v>
      </c>
      <c r="Z572">
        <v>2273</v>
      </c>
      <c r="AA572">
        <v>2273</v>
      </c>
      <c r="AB572" t="s">
        <v>237</v>
      </c>
      <c r="AC572">
        <v>6.09</v>
      </c>
      <c r="AD572">
        <v>13842.57</v>
      </c>
      <c r="AE572">
        <v>5159.71</v>
      </c>
      <c r="AF572" t="s">
        <v>870</v>
      </c>
      <c r="AG572">
        <v>8682.86</v>
      </c>
      <c r="AH572">
        <v>0.63</v>
      </c>
    </row>
    <row r="573" spans="1:34" x14ac:dyDescent="0.25">
      <c r="A573" t="s">
        <v>1700</v>
      </c>
      <c r="B573">
        <v>572</v>
      </c>
      <c r="C573" t="s">
        <v>487</v>
      </c>
      <c r="D573" t="s">
        <v>322</v>
      </c>
      <c r="E573" t="s">
        <v>326</v>
      </c>
      <c r="F573" t="s">
        <v>2967</v>
      </c>
      <c r="G573" s="25">
        <v>44283</v>
      </c>
      <c r="H573">
        <v>18</v>
      </c>
      <c r="I573">
        <v>87</v>
      </c>
      <c r="J573" t="s">
        <v>2970</v>
      </c>
      <c r="K573" t="s">
        <v>510</v>
      </c>
      <c r="L573" t="s">
        <v>231</v>
      </c>
      <c r="M573" t="s">
        <v>911</v>
      </c>
      <c r="N573" t="s">
        <v>186</v>
      </c>
      <c r="O573" t="s">
        <v>970</v>
      </c>
      <c r="P573" t="s">
        <v>867</v>
      </c>
      <c r="Q573" t="s">
        <v>971</v>
      </c>
      <c r="R573" t="s">
        <v>972</v>
      </c>
      <c r="S573" t="s">
        <v>232</v>
      </c>
      <c r="T573" t="s">
        <v>491</v>
      </c>
      <c r="U573" t="s">
        <v>233</v>
      </c>
      <c r="V573" t="s">
        <v>234</v>
      </c>
      <c r="W573" t="s">
        <v>54</v>
      </c>
      <c r="X573" t="s">
        <v>235</v>
      </c>
      <c r="Y573" t="s">
        <v>236</v>
      </c>
      <c r="Z573">
        <v>2702</v>
      </c>
      <c r="AA573">
        <v>2702</v>
      </c>
      <c r="AB573" t="s">
        <v>237</v>
      </c>
      <c r="AC573">
        <v>6.09</v>
      </c>
      <c r="AD573">
        <v>16455.18</v>
      </c>
      <c r="AE573">
        <v>6133.54</v>
      </c>
      <c r="AF573" t="s">
        <v>870</v>
      </c>
      <c r="AG573">
        <v>10321.64</v>
      </c>
      <c r="AH573">
        <v>0.63</v>
      </c>
    </row>
    <row r="574" spans="1:34" x14ac:dyDescent="0.25">
      <c r="A574" t="s">
        <v>2440</v>
      </c>
      <c r="B574">
        <v>573</v>
      </c>
      <c r="C574" t="s">
        <v>487</v>
      </c>
      <c r="D574" t="s">
        <v>322</v>
      </c>
      <c r="E574" t="s">
        <v>381</v>
      </c>
      <c r="F574" t="s">
        <v>2971</v>
      </c>
      <c r="G574" s="25">
        <v>44284</v>
      </c>
      <c r="H574">
        <v>18</v>
      </c>
      <c r="I574">
        <v>88</v>
      </c>
      <c r="J574" t="s">
        <v>2972</v>
      </c>
      <c r="K574" t="s">
        <v>921</v>
      </c>
      <c r="L574" t="s">
        <v>231</v>
      </c>
      <c r="M574" t="s">
        <v>911</v>
      </c>
      <c r="N574" t="s">
        <v>186</v>
      </c>
      <c r="O574" t="s">
        <v>970</v>
      </c>
      <c r="P574" t="s">
        <v>867</v>
      </c>
      <c r="Q574" t="s">
        <v>971</v>
      </c>
      <c r="R574" t="s">
        <v>972</v>
      </c>
      <c r="S574" t="s">
        <v>232</v>
      </c>
      <c r="T574" t="s">
        <v>491</v>
      </c>
      <c r="U574" t="s">
        <v>233</v>
      </c>
      <c r="V574" t="s">
        <v>234</v>
      </c>
      <c r="W574" t="s">
        <v>54</v>
      </c>
      <c r="X574" t="s">
        <v>235</v>
      </c>
      <c r="Y574" t="s">
        <v>236</v>
      </c>
      <c r="Z574">
        <v>2632</v>
      </c>
      <c r="AA574">
        <v>2632</v>
      </c>
      <c r="AB574" t="s">
        <v>237</v>
      </c>
      <c r="AC574">
        <v>6.09</v>
      </c>
      <c r="AD574">
        <v>16028.88</v>
      </c>
      <c r="AE574">
        <v>5974.64</v>
      </c>
      <c r="AF574" t="s">
        <v>870</v>
      </c>
      <c r="AG574">
        <v>10054.24</v>
      </c>
      <c r="AH574">
        <v>0.63</v>
      </c>
    </row>
    <row r="575" spans="1:34" x14ac:dyDescent="0.25">
      <c r="A575" t="s">
        <v>1863</v>
      </c>
      <c r="B575">
        <v>574</v>
      </c>
      <c r="C575" t="s">
        <v>487</v>
      </c>
      <c r="D575" t="s">
        <v>322</v>
      </c>
      <c r="E575" t="s">
        <v>381</v>
      </c>
      <c r="F575" t="s">
        <v>2971</v>
      </c>
      <c r="G575" s="25">
        <v>44284</v>
      </c>
      <c r="H575">
        <v>18</v>
      </c>
      <c r="I575">
        <v>88</v>
      </c>
      <c r="J575" t="s">
        <v>2972</v>
      </c>
      <c r="K575" t="s">
        <v>876</v>
      </c>
      <c r="L575" t="s">
        <v>231</v>
      </c>
      <c r="M575" t="s">
        <v>911</v>
      </c>
      <c r="N575" t="s">
        <v>186</v>
      </c>
      <c r="O575" t="s">
        <v>970</v>
      </c>
      <c r="P575" t="s">
        <v>867</v>
      </c>
      <c r="Q575" t="s">
        <v>971</v>
      </c>
      <c r="R575" t="s">
        <v>972</v>
      </c>
      <c r="S575" t="s">
        <v>232</v>
      </c>
      <c r="T575" t="s">
        <v>491</v>
      </c>
      <c r="U575" t="s">
        <v>233</v>
      </c>
      <c r="V575" t="s">
        <v>234</v>
      </c>
      <c r="W575" t="s">
        <v>54</v>
      </c>
      <c r="X575" t="s">
        <v>235</v>
      </c>
      <c r="Y575" t="s">
        <v>236</v>
      </c>
      <c r="Z575">
        <v>2076</v>
      </c>
      <c r="AA575">
        <v>2076</v>
      </c>
      <c r="AB575" t="s">
        <v>237</v>
      </c>
      <c r="AC575">
        <v>6.09</v>
      </c>
      <c r="AD575">
        <v>12642.84</v>
      </c>
      <c r="AE575">
        <v>4712.5200000000004</v>
      </c>
      <c r="AF575" t="s">
        <v>870</v>
      </c>
      <c r="AG575">
        <v>7930.32</v>
      </c>
      <c r="AH575">
        <v>0.63</v>
      </c>
    </row>
    <row r="576" spans="1:34" x14ac:dyDescent="0.25">
      <c r="A576" t="s">
        <v>1759</v>
      </c>
      <c r="B576">
        <v>575</v>
      </c>
      <c r="C576" t="s">
        <v>487</v>
      </c>
      <c r="D576" t="s">
        <v>322</v>
      </c>
      <c r="E576" t="s">
        <v>381</v>
      </c>
      <c r="F576" t="s">
        <v>2971</v>
      </c>
      <c r="G576" s="25">
        <v>44284</v>
      </c>
      <c r="H576">
        <v>18</v>
      </c>
      <c r="I576">
        <v>88</v>
      </c>
      <c r="J576" t="s">
        <v>2972</v>
      </c>
      <c r="K576" t="s">
        <v>510</v>
      </c>
      <c r="L576" t="s">
        <v>231</v>
      </c>
      <c r="M576" t="s">
        <v>911</v>
      </c>
      <c r="N576" t="s">
        <v>186</v>
      </c>
      <c r="O576" t="s">
        <v>970</v>
      </c>
      <c r="P576" t="s">
        <v>867</v>
      </c>
      <c r="Q576" t="s">
        <v>971</v>
      </c>
      <c r="R576" t="s">
        <v>972</v>
      </c>
      <c r="S576" t="s">
        <v>232</v>
      </c>
      <c r="T576" t="s">
        <v>491</v>
      </c>
      <c r="U576" t="s">
        <v>233</v>
      </c>
      <c r="V576" t="s">
        <v>234</v>
      </c>
      <c r="W576" t="s">
        <v>54</v>
      </c>
      <c r="X576" t="s">
        <v>235</v>
      </c>
      <c r="Y576" t="s">
        <v>236</v>
      </c>
      <c r="Z576">
        <v>2667</v>
      </c>
      <c r="AA576">
        <v>2667</v>
      </c>
      <c r="AB576" t="s">
        <v>237</v>
      </c>
      <c r="AC576">
        <v>6.09</v>
      </c>
      <c r="AD576">
        <v>16242.03</v>
      </c>
      <c r="AE576">
        <v>6054.09</v>
      </c>
      <c r="AF576" t="s">
        <v>870</v>
      </c>
      <c r="AG576">
        <v>10187.94</v>
      </c>
      <c r="AH576">
        <v>0.63</v>
      </c>
    </row>
    <row r="577" spans="1:34" x14ac:dyDescent="0.25">
      <c r="A577" t="s">
        <v>2504</v>
      </c>
      <c r="B577">
        <v>576</v>
      </c>
      <c r="C577" t="s">
        <v>487</v>
      </c>
      <c r="D577" t="s">
        <v>322</v>
      </c>
      <c r="E577" t="s">
        <v>381</v>
      </c>
      <c r="F577" t="s">
        <v>2971</v>
      </c>
      <c r="G577" s="25">
        <v>44284</v>
      </c>
      <c r="H577">
        <v>18</v>
      </c>
      <c r="I577">
        <v>88</v>
      </c>
      <c r="J577" t="s">
        <v>2973</v>
      </c>
      <c r="K577" t="s">
        <v>510</v>
      </c>
      <c r="L577" t="s">
        <v>231</v>
      </c>
      <c r="M577" t="s">
        <v>173</v>
      </c>
      <c r="N577" t="s">
        <v>185</v>
      </c>
      <c r="O577" t="s">
        <v>966</v>
      </c>
      <c r="P577" t="s">
        <v>867</v>
      </c>
      <c r="Q577" t="s">
        <v>967</v>
      </c>
      <c r="R577" t="s">
        <v>968</v>
      </c>
      <c r="S577" t="s">
        <v>232</v>
      </c>
      <c r="T577" t="s">
        <v>491</v>
      </c>
      <c r="U577" t="s">
        <v>233</v>
      </c>
      <c r="V577" t="s">
        <v>234</v>
      </c>
      <c r="W577" t="s">
        <v>54</v>
      </c>
      <c r="X577" t="s">
        <v>235</v>
      </c>
      <c r="Y577" t="s">
        <v>236</v>
      </c>
      <c r="Z577">
        <v>2548</v>
      </c>
      <c r="AA577">
        <v>2548</v>
      </c>
      <c r="AB577" t="s">
        <v>237</v>
      </c>
      <c r="AC577">
        <v>6.09</v>
      </c>
      <c r="AD577">
        <v>15517.32</v>
      </c>
      <c r="AE577">
        <v>5783.96</v>
      </c>
      <c r="AF577" t="s">
        <v>870</v>
      </c>
      <c r="AG577">
        <v>9733.36</v>
      </c>
      <c r="AH577">
        <v>0.63</v>
      </c>
    </row>
    <row r="578" spans="1:34" x14ac:dyDescent="0.25">
      <c r="A578" t="s">
        <v>1979</v>
      </c>
      <c r="B578">
        <v>577</v>
      </c>
      <c r="C578" t="s">
        <v>487</v>
      </c>
      <c r="D578" t="s">
        <v>322</v>
      </c>
      <c r="E578" t="s">
        <v>381</v>
      </c>
      <c r="F578" t="s">
        <v>2971</v>
      </c>
      <c r="G578" s="25">
        <v>44284</v>
      </c>
      <c r="H578">
        <v>18</v>
      </c>
      <c r="I578">
        <v>88</v>
      </c>
      <c r="J578" t="s">
        <v>2973</v>
      </c>
      <c r="K578" t="s">
        <v>876</v>
      </c>
      <c r="L578" t="s">
        <v>231</v>
      </c>
      <c r="M578" t="s">
        <v>173</v>
      </c>
      <c r="N578" t="s">
        <v>185</v>
      </c>
      <c r="O578" t="s">
        <v>966</v>
      </c>
      <c r="P578" t="s">
        <v>867</v>
      </c>
      <c r="Q578" t="s">
        <v>967</v>
      </c>
      <c r="R578" t="s">
        <v>968</v>
      </c>
      <c r="S578" t="s">
        <v>232</v>
      </c>
      <c r="T578" t="s">
        <v>491</v>
      </c>
      <c r="U578" t="s">
        <v>233</v>
      </c>
      <c r="V578" t="s">
        <v>234</v>
      </c>
      <c r="W578" t="s">
        <v>54</v>
      </c>
      <c r="X578" t="s">
        <v>235</v>
      </c>
      <c r="Y578" t="s">
        <v>236</v>
      </c>
      <c r="Z578">
        <v>2221</v>
      </c>
      <c r="AA578">
        <v>2221</v>
      </c>
      <c r="AB578" t="s">
        <v>237</v>
      </c>
      <c r="AC578">
        <v>6.09</v>
      </c>
      <c r="AD578">
        <v>13525.89</v>
      </c>
      <c r="AE578">
        <v>5041.67</v>
      </c>
      <c r="AF578" t="s">
        <v>870</v>
      </c>
      <c r="AG578">
        <v>8484.2199999999993</v>
      </c>
      <c r="AH578">
        <v>0.63</v>
      </c>
    </row>
    <row r="579" spans="1:34" x14ac:dyDescent="0.25">
      <c r="A579" t="s">
        <v>2545</v>
      </c>
      <c r="B579">
        <v>578</v>
      </c>
      <c r="C579" t="s">
        <v>487</v>
      </c>
      <c r="D579" t="s">
        <v>322</v>
      </c>
      <c r="E579" t="s">
        <v>381</v>
      </c>
      <c r="F579" t="s">
        <v>2971</v>
      </c>
      <c r="G579" s="25">
        <v>44284</v>
      </c>
      <c r="H579">
        <v>18</v>
      </c>
      <c r="I579">
        <v>88</v>
      </c>
      <c r="J579" t="s">
        <v>2974</v>
      </c>
      <c r="K579" t="s">
        <v>956</v>
      </c>
      <c r="L579" t="s">
        <v>231</v>
      </c>
      <c r="M579" t="s">
        <v>1076</v>
      </c>
      <c r="N579" t="s">
        <v>185</v>
      </c>
      <c r="O579" t="s">
        <v>1077</v>
      </c>
      <c r="P579" t="s">
        <v>867</v>
      </c>
      <c r="Q579" t="s">
        <v>1078</v>
      </c>
      <c r="R579" t="s">
        <v>1079</v>
      </c>
      <c r="S579" t="s">
        <v>232</v>
      </c>
      <c r="T579" t="s">
        <v>491</v>
      </c>
      <c r="U579" t="s">
        <v>233</v>
      </c>
      <c r="V579" t="s">
        <v>234</v>
      </c>
      <c r="W579" t="s">
        <v>54</v>
      </c>
      <c r="X579" t="s">
        <v>235</v>
      </c>
      <c r="Y579" t="s">
        <v>236</v>
      </c>
      <c r="Z579">
        <v>2743</v>
      </c>
      <c r="AA579">
        <v>2743</v>
      </c>
      <c r="AB579" t="s">
        <v>237</v>
      </c>
      <c r="AC579">
        <v>6.09</v>
      </c>
      <c r="AD579">
        <v>16704.87</v>
      </c>
      <c r="AE579">
        <v>6226.61</v>
      </c>
      <c r="AF579" t="s">
        <v>870</v>
      </c>
      <c r="AG579">
        <v>10478.26</v>
      </c>
      <c r="AH579">
        <v>0.63</v>
      </c>
    </row>
    <row r="580" spans="1:34" x14ac:dyDescent="0.25">
      <c r="A580" t="s">
        <v>2354</v>
      </c>
      <c r="B580">
        <v>579</v>
      </c>
      <c r="C580" t="s">
        <v>487</v>
      </c>
      <c r="D580" t="s">
        <v>322</v>
      </c>
      <c r="E580" t="s">
        <v>381</v>
      </c>
      <c r="F580" t="s">
        <v>2971</v>
      </c>
      <c r="G580" s="25">
        <v>44284</v>
      </c>
      <c r="H580">
        <v>18</v>
      </c>
      <c r="I580">
        <v>88</v>
      </c>
      <c r="J580" t="s">
        <v>2974</v>
      </c>
      <c r="K580" t="s">
        <v>921</v>
      </c>
      <c r="L580" t="s">
        <v>231</v>
      </c>
      <c r="M580" t="s">
        <v>1076</v>
      </c>
      <c r="N580" t="s">
        <v>185</v>
      </c>
      <c r="O580" t="s">
        <v>1077</v>
      </c>
      <c r="P580" t="s">
        <v>867</v>
      </c>
      <c r="Q580" t="s">
        <v>1078</v>
      </c>
      <c r="R580" t="s">
        <v>1079</v>
      </c>
      <c r="S580" t="s">
        <v>232</v>
      </c>
      <c r="T580" t="s">
        <v>491</v>
      </c>
      <c r="U580" t="s">
        <v>233</v>
      </c>
      <c r="V580" t="s">
        <v>234</v>
      </c>
      <c r="W580" t="s">
        <v>54</v>
      </c>
      <c r="X580" t="s">
        <v>235</v>
      </c>
      <c r="Y580" t="s">
        <v>236</v>
      </c>
      <c r="Z580">
        <v>2374</v>
      </c>
      <c r="AA580">
        <v>2374</v>
      </c>
      <c r="AB580" t="s">
        <v>237</v>
      </c>
      <c r="AC580">
        <v>6.09</v>
      </c>
      <c r="AD580">
        <v>14457.66</v>
      </c>
      <c r="AE580">
        <v>5388.98</v>
      </c>
      <c r="AF580" t="s">
        <v>870</v>
      </c>
      <c r="AG580">
        <v>9068.68</v>
      </c>
      <c r="AH580">
        <v>0.63</v>
      </c>
    </row>
    <row r="581" spans="1:34" x14ac:dyDescent="0.25">
      <c r="A581" t="s">
        <v>2068</v>
      </c>
      <c r="B581">
        <v>580</v>
      </c>
      <c r="C581" t="s">
        <v>487</v>
      </c>
      <c r="D581" t="s">
        <v>322</v>
      </c>
      <c r="E581" t="s">
        <v>381</v>
      </c>
      <c r="F581" t="s">
        <v>2971</v>
      </c>
      <c r="G581" s="25">
        <v>44284</v>
      </c>
      <c r="H581">
        <v>18</v>
      </c>
      <c r="I581">
        <v>88</v>
      </c>
      <c r="J581" t="s">
        <v>2974</v>
      </c>
      <c r="K581" t="s">
        <v>876</v>
      </c>
      <c r="L581" t="s">
        <v>231</v>
      </c>
      <c r="M581" t="s">
        <v>1076</v>
      </c>
      <c r="N581" t="s">
        <v>185</v>
      </c>
      <c r="O581" t="s">
        <v>1077</v>
      </c>
      <c r="P581" t="s">
        <v>867</v>
      </c>
      <c r="Q581" t="s">
        <v>1078</v>
      </c>
      <c r="R581" t="s">
        <v>1079</v>
      </c>
      <c r="S581" t="s">
        <v>232</v>
      </c>
      <c r="T581" t="s">
        <v>491</v>
      </c>
      <c r="U581" t="s">
        <v>233</v>
      </c>
      <c r="V581" t="s">
        <v>234</v>
      </c>
      <c r="W581" t="s">
        <v>54</v>
      </c>
      <c r="X581" t="s">
        <v>235</v>
      </c>
      <c r="Y581" t="s">
        <v>236</v>
      </c>
      <c r="Z581">
        <v>2129</v>
      </c>
      <c r="AA581">
        <v>2129</v>
      </c>
      <c r="AB581" t="s">
        <v>237</v>
      </c>
      <c r="AC581">
        <v>6.09</v>
      </c>
      <c r="AD581">
        <v>12965.61</v>
      </c>
      <c r="AE581">
        <v>4832.83</v>
      </c>
      <c r="AF581" t="s">
        <v>870</v>
      </c>
      <c r="AG581">
        <v>8132.78</v>
      </c>
      <c r="AH581">
        <v>0.63</v>
      </c>
    </row>
    <row r="582" spans="1:34" x14ac:dyDescent="0.25">
      <c r="A582" t="s">
        <v>2165</v>
      </c>
      <c r="B582">
        <v>581</v>
      </c>
      <c r="C582" t="s">
        <v>487</v>
      </c>
      <c r="D582" t="s">
        <v>322</v>
      </c>
      <c r="E582" t="s">
        <v>381</v>
      </c>
      <c r="F582" t="s">
        <v>2971</v>
      </c>
      <c r="G582" s="25">
        <v>44284</v>
      </c>
      <c r="H582">
        <v>18</v>
      </c>
      <c r="I582">
        <v>88</v>
      </c>
      <c r="J582" t="s">
        <v>2974</v>
      </c>
      <c r="K582" t="s">
        <v>510</v>
      </c>
      <c r="L582" t="s">
        <v>231</v>
      </c>
      <c r="M582" t="s">
        <v>1076</v>
      </c>
      <c r="N582" t="s">
        <v>185</v>
      </c>
      <c r="O582" t="s">
        <v>1077</v>
      </c>
      <c r="P582" t="s">
        <v>867</v>
      </c>
      <c r="Q582" t="s">
        <v>1078</v>
      </c>
      <c r="R582" t="s">
        <v>1079</v>
      </c>
      <c r="S582" t="s">
        <v>232</v>
      </c>
      <c r="T582" t="s">
        <v>491</v>
      </c>
      <c r="U582" t="s">
        <v>233</v>
      </c>
      <c r="V582" t="s">
        <v>234</v>
      </c>
      <c r="W582" t="s">
        <v>54</v>
      </c>
      <c r="X582" t="s">
        <v>235</v>
      </c>
      <c r="Y582" t="s">
        <v>236</v>
      </c>
      <c r="Z582">
        <v>2733</v>
      </c>
      <c r="AA582">
        <v>2733</v>
      </c>
      <c r="AB582" t="s">
        <v>237</v>
      </c>
      <c r="AC582">
        <v>6.09</v>
      </c>
      <c r="AD582">
        <v>16643.97</v>
      </c>
      <c r="AE582">
        <v>6203.91</v>
      </c>
      <c r="AF582" t="s">
        <v>870</v>
      </c>
      <c r="AG582">
        <v>10440.06</v>
      </c>
      <c r="AH582">
        <v>0.63</v>
      </c>
    </row>
    <row r="583" spans="1:34" x14ac:dyDescent="0.25">
      <c r="A583" t="s">
        <v>2885</v>
      </c>
      <c r="B583">
        <v>582</v>
      </c>
      <c r="C583" t="s">
        <v>487</v>
      </c>
      <c r="D583" t="s">
        <v>322</v>
      </c>
      <c r="E583" t="s">
        <v>381</v>
      </c>
      <c r="F583" t="s">
        <v>2971</v>
      </c>
      <c r="G583" s="25">
        <v>44284</v>
      </c>
      <c r="H583">
        <v>18</v>
      </c>
      <c r="I583">
        <v>88</v>
      </c>
      <c r="J583" t="s">
        <v>2975</v>
      </c>
      <c r="K583" t="s">
        <v>510</v>
      </c>
      <c r="L583" t="s">
        <v>231</v>
      </c>
      <c r="M583" t="s">
        <v>898</v>
      </c>
      <c r="N583" t="s">
        <v>185</v>
      </c>
      <c r="O583" t="s">
        <v>899</v>
      </c>
      <c r="P583" t="s">
        <v>867</v>
      </c>
      <c r="Q583" t="s">
        <v>900</v>
      </c>
      <c r="R583" t="s">
        <v>901</v>
      </c>
      <c r="S583" t="s">
        <v>232</v>
      </c>
      <c r="T583" t="s">
        <v>491</v>
      </c>
      <c r="U583" t="s">
        <v>233</v>
      </c>
      <c r="V583" t="s">
        <v>234</v>
      </c>
      <c r="W583" t="s">
        <v>54</v>
      </c>
      <c r="X583" t="s">
        <v>235</v>
      </c>
      <c r="Y583" t="s">
        <v>236</v>
      </c>
      <c r="Z583">
        <v>1877</v>
      </c>
      <c r="AA583">
        <v>1877</v>
      </c>
      <c r="AB583" t="s">
        <v>237</v>
      </c>
      <c r="AC583">
        <v>6.09</v>
      </c>
      <c r="AD583">
        <v>11430.93</v>
      </c>
      <c r="AE583">
        <v>4260.79</v>
      </c>
      <c r="AF583" t="s">
        <v>870</v>
      </c>
      <c r="AG583">
        <v>7170.14</v>
      </c>
      <c r="AH583">
        <v>0.63</v>
      </c>
    </row>
    <row r="584" spans="1:34" x14ac:dyDescent="0.25">
      <c r="A584" t="s">
        <v>2400</v>
      </c>
      <c r="B584">
        <v>583</v>
      </c>
      <c r="C584" t="s">
        <v>487</v>
      </c>
      <c r="D584" t="s">
        <v>322</v>
      </c>
      <c r="E584" t="s">
        <v>371</v>
      </c>
      <c r="F584" t="s">
        <v>2976</v>
      </c>
      <c r="G584" s="25">
        <v>44285</v>
      </c>
      <c r="H584">
        <v>18</v>
      </c>
      <c r="I584">
        <v>89</v>
      </c>
      <c r="J584" t="s">
        <v>2977</v>
      </c>
      <c r="K584" t="s">
        <v>956</v>
      </c>
      <c r="L584" t="s">
        <v>231</v>
      </c>
      <c r="M584" t="s">
        <v>926</v>
      </c>
      <c r="N584" t="s">
        <v>185</v>
      </c>
      <c r="O584" t="s">
        <v>974</v>
      </c>
      <c r="P584" t="s">
        <v>867</v>
      </c>
      <c r="Q584" t="s">
        <v>975</v>
      </c>
      <c r="R584" t="s">
        <v>976</v>
      </c>
      <c r="S584" t="s">
        <v>232</v>
      </c>
      <c r="T584" t="s">
        <v>491</v>
      </c>
      <c r="U584" t="s">
        <v>233</v>
      </c>
      <c r="V584" t="s">
        <v>234</v>
      </c>
      <c r="W584" t="s">
        <v>54</v>
      </c>
      <c r="X584" t="s">
        <v>235</v>
      </c>
      <c r="Y584" t="s">
        <v>236</v>
      </c>
      <c r="Z584">
        <v>2546</v>
      </c>
      <c r="AA584">
        <v>2546</v>
      </c>
      <c r="AB584" t="s">
        <v>237</v>
      </c>
      <c r="AC584">
        <v>6.09</v>
      </c>
      <c r="AD584">
        <v>15505.14</v>
      </c>
      <c r="AE584">
        <v>5779.42</v>
      </c>
      <c r="AF584" t="s">
        <v>870</v>
      </c>
      <c r="AG584">
        <v>9725.7199999999993</v>
      </c>
      <c r="AH584">
        <v>0.63</v>
      </c>
    </row>
    <row r="585" spans="1:34" x14ac:dyDescent="0.25">
      <c r="A585" t="s">
        <v>1739</v>
      </c>
      <c r="B585">
        <v>584</v>
      </c>
      <c r="C585" t="s">
        <v>487</v>
      </c>
      <c r="D585" t="s">
        <v>322</v>
      </c>
      <c r="E585" t="s">
        <v>371</v>
      </c>
      <c r="F585" t="s">
        <v>2976</v>
      </c>
      <c r="G585" s="25">
        <v>44285</v>
      </c>
      <c r="H585">
        <v>18</v>
      </c>
      <c r="I585">
        <v>89</v>
      </c>
      <c r="J585" t="s">
        <v>2978</v>
      </c>
      <c r="K585" t="s">
        <v>921</v>
      </c>
      <c r="L585" t="s">
        <v>231</v>
      </c>
      <c r="M585" t="s">
        <v>872</v>
      </c>
      <c r="N585" t="s">
        <v>184</v>
      </c>
      <c r="O585" t="s">
        <v>922</v>
      </c>
      <c r="P585" t="s">
        <v>867</v>
      </c>
      <c r="Q585" t="s">
        <v>923</v>
      </c>
      <c r="R585" t="s">
        <v>924</v>
      </c>
      <c r="S585" t="s">
        <v>232</v>
      </c>
      <c r="T585" t="s">
        <v>491</v>
      </c>
      <c r="U585" t="s">
        <v>233</v>
      </c>
      <c r="V585" t="s">
        <v>234</v>
      </c>
      <c r="W585" t="s">
        <v>54</v>
      </c>
      <c r="X585" t="s">
        <v>235</v>
      </c>
      <c r="Y585" t="s">
        <v>236</v>
      </c>
      <c r="Z585">
        <v>2241</v>
      </c>
      <c r="AA585">
        <v>2241</v>
      </c>
      <c r="AB585" t="s">
        <v>237</v>
      </c>
      <c r="AC585">
        <v>6.09</v>
      </c>
      <c r="AD585">
        <v>13647.69</v>
      </c>
      <c r="AE585">
        <v>5087.07</v>
      </c>
      <c r="AF585" t="s">
        <v>870</v>
      </c>
      <c r="AG585">
        <v>8560.6200000000008</v>
      </c>
      <c r="AH585">
        <v>0.63</v>
      </c>
    </row>
    <row r="586" spans="1:34" x14ac:dyDescent="0.25">
      <c r="A586" t="s">
        <v>2266</v>
      </c>
      <c r="B586">
        <v>585</v>
      </c>
      <c r="C586" t="s">
        <v>487</v>
      </c>
      <c r="D586" t="s">
        <v>322</v>
      </c>
      <c r="E586" t="s">
        <v>371</v>
      </c>
      <c r="F586" t="s">
        <v>2976</v>
      </c>
      <c r="G586" s="25">
        <v>44285</v>
      </c>
      <c r="H586">
        <v>18</v>
      </c>
      <c r="I586">
        <v>89</v>
      </c>
      <c r="J586" t="s">
        <v>2978</v>
      </c>
      <c r="K586" t="s">
        <v>510</v>
      </c>
      <c r="L586" t="s">
        <v>231</v>
      </c>
      <c r="M586" t="s">
        <v>872</v>
      </c>
      <c r="N586" t="s">
        <v>184</v>
      </c>
      <c r="O586" t="s">
        <v>922</v>
      </c>
      <c r="P586" t="s">
        <v>867</v>
      </c>
      <c r="Q586" t="s">
        <v>923</v>
      </c>
      <c r="R586" t="s">
        <v>924</v>
      </c>
      <c r="S586" t="s">
        <v>232</v>
      </c>
      <c r="T586" t="s">
        <v>491</v>
      </c>
      <c r="U586" t="s">
        <v>233</v>
      </c>
      <c r="V586" t="s">
        <v>234</v>
      </c>
      <c r="W586" t="s">
        <v>54</v>
      </c>
      <c r="X586" t="s">
        <v>235</v>
      </c>
      <c r="Y586" t="s">
        <v>236</v>
      </c>
      <c r="Z586">
        <v>2489</v>
      </c>
      <c r="AA586">
        <v>2489</v>
      </c>
      <c r="AB586" t="s">
        <v>237</v>
      </c>
      <c r="AC586">
        <v>6.09</v>
      </c>
      <c r="AD586">
        <v>15158.01</v>
      </c>
      <c r="AE586">
        <v>5650.03</v>
      </c>
      <c r="AF586" t="s">
        <v>870</v>
      </c>
      <c r="AG586">
        <v>9507.98</v>
      </c>
      <c r="AH586">
        <v>0.63</v>
      </c>
    </row>
    <row r="587" spans="1:34" x14ac:dyDescent="0.25">
      <c r="A587" t="s">
        <v>1757</v>
      </c>
      <c r="B587">
        <v>586</v>
      </c>
      <c r="C587" t="s">
        <v>487</v>
      </c>
      <c r="D587" t="s">
        <v>322</v>
      </c>
      <c r="E587" t="s">
        <v>371</v>
      </c>
      <c r="F587" t="s">
        <v>2976</v>
      </c>
      <c r="G587" s="25">
        <v>44285</v>
      </c>
      <c r="H587">
        <v>18</v>
      </c>
      <c r="I587">
        <v>89</v>
      </c>
      <c r="J587" t="s">
        <v>2978</v>
      </c>
      <c r="K587" t="s">
        <v>876</v>
      </c>
      <c r="L587" t="s">
        <v>231</v>
      </c>
      <c r="M587" t="s">
        <v>872</v>
      </c>
      <c r="N587" t="s">
        <v>184</v>
      </c>
      <c r="O587" t="s">
        <v>922</v>
      </c>
      <c r="P587" t="s">
        <v>867</v>
      </c>
      <c r="Q587" t="s">
        <v>923</v>
      </c>
      <c r="R587" t="s">
        <v>924</v>
      </c>
      <c r="S587" t="s">
        <v>232</v>
      </c>
      <c r="T587" t="s">
        <v>502</v>
      </c>
      <c r="U587" t="s">
        <v>287</v>
      </c>
      <c r="V587" t="s">
        <v>234</v>
      </c>
      <c r="W587" t="s">
        <v>58</v>
      </c>
      <c r="X587" t="s">
        <v>235</v>
      </c>
      <c r="Y587" t="s">
        <v>288</v>
      </c>
      <c r="Z587">
        <v>1337</v>
      </c>
      <c r="AA587">
        <v>1337</v>
      </c>
      <c r="AB587" t="s">
        <v>237</v>
      </c>
      <c r="AC587">
        <v>5.07</v>
      </c>
      <c r="AD587">
        <v>6778.59</v>
      </c>
      <c r="AE587">
        <v>1858.43</v>
      </c>
      <c r="AF587" t="s">
        <v>870</v>
      </c>
      <c r="AG587">
        <v>4920.16</v>
      </c>
      <c r="AH587">
        <v>0.73</v>
      </c>
    </row>
    <row r="588" spans="1:34" x14ac:dyDescent="0.25">
      <c r="A588" t="s">
        <v>2624</v>
      </c>
      <c r="B588">
        <v>587</v>
      </c>
      <c r="C588" t="s">
        <v>487</v>
      </c>
      <c r="D588" t="s">
        <v>322</v>
      </c>
      <c r="E588" t="s">
        <v>371</v>
      </c>
      <c r="F588" t="s">
        <v>2976</v>
      </c>
      <c r="G588" s="25">
        <v>44285</v>
      </c>
      <c r="H588">
        <v>18</v>
      </c>
      <c r="I588">
        <v>89</v>
      </c>
      <c r="J588" t="s">
        <v>2977</v>
      </c>
      <c r="K588" t="s">
        <v>921</v>
      </c>
      <c r="L588" t="s">
        <v>231</v>
      </c>
      <c r="M588" t="s">
        <v>926</v>
      </c>
      <c r="N588" t="s">
        <v>185</v>
      </c>
      <c r="O588" t="s">
        <v>974</v>
      </c>
      <c r="P588" t="s">
        <v>867</v>
      </c>
      <c r="Q588" t="s">
        <v>975</v>
      </c>
      <c r="R588" t="s">
        <v>976</v>
      </c>
      <c r="S588" t="s">
        <v>232</v>
      </c>
      <c r="T588" t="s">
        <v>502</v>
      </c>
      <c r="U588" t="s">
        <v>287</v>
      </c>
      <c r="V588" t="s">
        <v>234</v>
      </c>
      <c r="W588" t="s">
        <v>58</v>
      </c>
      <c r="X588" t="s">
        <v>235</v>
      </c>
      <c r="Y588" t="s">
        <v>288</v>
      </c>
      <c r="Z588">
        <v>3018</v>
      </c>
      <c r="AA588">
        <v>3018</v>
      </c>
      <c r="AB588" t="s">
        <v>237</v>
      </c>
      <c r="AC588">
        <v>5.07</v>
      </c>
      <c r="AD588">
        <v>15301.26</v>
      </c>
      <c r="AE588">
        <v>4195.0200000000004</v>
      </c>
      <c r="AF588" t="s">
        <v>870</v>
      </c>
      <c r="AG588">
        <v>11106.24</v>
      </c>
      <c r="AH588">
        <v>0.73</v>
      </c>
    </row>
    <row r="589" spans="1:34" x14ac:dyDescent="0.25">
      <c r="A589" t="s">
        <v>2848</v>
      </c>
      <c r="B589">
        <v>588</v>
      </c>
      <c r="C589" t="s">
        <v>487</v>
      </c>
      <c r="D589" t="s">
        <v>322</v>
      </c>
      <c r="E589" t="s">
        <v>371</v>
      </c>
      <c r="F589" t="s">
        <v>2976</v>
      </c>
      <c r="G589" s="25">
        <v>44285</v>
      </c>
      <c r="H589">
        <v>18</v>
      </c>
      <c r="I589">
        <v>89</v>
      </c>
      <c r="J589" t="s">
        <v>2977</v>
      </c>
      <c r="K589" t="s">
        <v>876</v>
      </c>
      <c r="L589" t="s">
        <v>231</v>
      </c>
      <c r="M589" t="s">
        <v>926</v>
      </c>
      <c r="N589" t="s">
        <v>185</v>
      </c>
      <c r="O589" t="s">
        <v>974</v>
      </c>
      <c r="P589" t="s">
        <v>867</v>
      </c>
      <c r="Q589" t="s">
        <v>975</v>
      </c>
      <c r="R589" t="s">
        <v>976</v>
      </c>
      <c r="S589" t="s">
        <v>232</v>
      </c>
      <c r="T589" t="s">
        <v>502</v>
      </c>
      <c r="U589" t="s">
        <v>287</v>
      </c>
      <c r="V589" t="s">
        <v>234</v>
      </c>
      <c r="W589" t="s">
        <v>58</v>
      </c>
      <c r="X589" t="s">
        <v>235</v>
      </c>
      <c r="Y589" t="s">
        <v>288</v>
      </c>
      <c r="Z589">
        <v>3090</v>
      </c>
      <c r="AA589">
        <v>3090</v>
      </c>
      <c r="AB589" t="s">
        <v>237</v>
      </c>
      <c r="AC589">
        <v>5.07</v>
      </c>
      <c r="AD589">
        <v>15666.3</v>
      </c>
      <c r="AE589">
        <v>4295.1000000000004</v>
      </c>
      <c r="AF589" t="s">
        <v>870</v>
      </c>
      <c r="AG589">
        <v>11371.2</v>
      </c>
      <c r="AH589">
        <v>0.73</v>
      </c>
    </row>
    <row r="590" spans="1:34" x14ac:dyDescent="0.25">
      <c r="A590" t="s">
        <v>2137</v>
      </c>
      <c r="B590">
        <v>589</v>
      </c>
      <c r="C590" t="s">
        <v>487</v>
      </c>
      <c r="D590" t="s">
        <v>322</v>
      </c>
      <c r="E590" t="s">
        <v>371</v>
      </c>
      <c r="F590" t="s">
        <v>2976</v>
      </c>
      <c r="G590" s="25">
        <v>44285</v>
      </c>
      <c r="H590">
        <v>18</v>
      </c>
      <c r="I590">
        <v>89</v>
      </c>
      <c r="J590" t="s">
        <v>2977</v>
      </c>
      <c r="K590" t="s">
        <v>510</v>
      </c>
      <c r="L590" t="s">
        <v>231</v>
      </c>
      <c r="M590" t="s">
        <v>926</v>
      </c>
      <c r="N590" t="s">
        <v>185</v>
      </c>
      <c r="O590" t="s">
        <v>974</v>
      </c>
      <c r="P590" t="s">
        <v>867</v>
      </c>
      <c r="Q590" t="s">
        <v>975</v>
      </c>
      <c r="R590" t="s">
        <v>976</v>
      </c>
      <c r="S590" t="s">
        <v>232</v>
      </c>
      <c r="T590" t="s">
        <v>502</v>
      </c>
      <c r="U590" t="s">
        <v>287</v>
      </c>
      <c r="V590" t="s">
        <v>234</v>
      </c>
      <c r="W590" t="s">
        <v>58</v>
      </c>
      <c r="X590" t="s">
        <v>235</v>
      </c>
      <c r="Y590" t="s">
        <v>288</v>
      </c>
      <c r="Z590">
        <v>3055</v>
      </c>
      <c r="AA590">
        <v>3055</v>
      </c>
      <c r="AB590" t="s">
        <v>237</v>
      </c>
      <c r="AC590">
        <v>5.07</v>
      </c>
      <c r="AD590">
        <v>15488.85</v>
      </c>
      <c r="AE590">
        <v>4246.45</v>
      </c>
      <c r="AF590" t="s">
        <v>870</v>
      </c>
      <c r="AG590">
        <v>11242.4</v>
      </c>
      <c r="AH590">
        <v>0.73</v>
      </c>
    </row>
    <row r="591" spans="1:34" x14ac:dyDescent="0.25">
      <c r="A591" t="s">
        <v>2272</v>
      </c>
      <c r="B591">
        <v>590</v>
      </c>
      <c r="C591" t="s">
        <v>487</v>
      </c>
      <c r="D591" t="s">
        <v>322</v>
      </c>
      <c r="E591" t="s">
        <v>239</v>
      </c>
      <c r="F591" t="s">
        <v>2979</v>
      </c>
      <c r="G591" s="25">
        <v>44286</v>
      </c>
      <c r="H591">
        <v>18</v>
      </c>
      <c r="I591">
        <v>90</v>
      </c>
      <c r="J591" t="s">
        <v>2980</v>
      </c>
      <c r="K591" t="s">
        <v>510</v>
      </c>
      <c r="L591" t="s">
        <v>231</v>
      </c>
      <c r="M591" t="s">
        <v>872</v>
      </c>
      <c r="N591" t="s">
        <v>184</v>
      </c>
      <c r="O591" t="s">
        <v>962</v>
      </c>
      <c r="P591" t="s">
        <v>867</v>
      </c>
      <c r="Q591" t="s">
        <v>963</v>
      </c>
      <c r="R591" t="s">
        <v>964</v>
      </c>
      <c r="S591" t="s">
        <v>239</v>
      </c>
      <c r="T591" t="s">
        <v>502</v>
      </c>
      <c r="U591" t="s">
        <v>287</v>
      </c>
      <c r="V591" t="s">
        <v>234</v>
      </c>
      <c r="W591" t="s">
        <v>58</v>
      </c>
      <c r="X591" t="s">
        <v>235</v>
      </c>
      <c r="Y591" t="s">
        <v>288</v>
      </c>
      <c r="Z591">
        <v>2564</v>
      </c>
      <c r="AA591">
        <v>2564</v>
      </c>
      <c r="AB591" t="s">
        <v>237</v>
      </c>
      <c r="AC591">
        <v>4.97</v>
      </c>
      <c r="AD591">
        <v>12743.08</v>
      </c>
      <c r="AE591">
        <v>3563.96</v>
      </c>
      <c r="AF591" t="s">
        <v>870</v>
      </c>
      <c r="AG591">
        <v>9179.1200000000008</v>
      </c>
      <c r="AH591">
        <v>0.72</v>
      </c>
    </row>
    <row r="592" spans="1:34" x14ac:dyDescent="0.25">
      <c r="A592" t="s">
        <v>2186</v>
      </c>
      <c r="B592">
        <v>591</v>
      </c>
      <c r="C592" t="s">
        <v>487</v>
      </c>
      <c r="D592" t="s">
        <v>322</v>
      </c>
      <c r="E592" t="s">
        <v>239</v>
      </c>
      <c r="F592" t="s">
        <v>2979</v>
      </c>
      <c r="G592" s="25">
        <v>44286</v>
      </c>
      <c r="H592">
        <v>18</v>
      </c>
      <c r="I592">
        <v>90</v>
      </c>
      <c r="J592" t="s">
        <v>2980</v>
      </c>
      <c r="K592" t="s">
        <v>876</v>
      </c>
      <c r="L592" t="s">
        <v>231</v>
      </c>
      <c r="M592" t="s">
        <v>872</v>
      </c>
      <c r="N592" t="s">
        <v>184</v>
      </c>
      <c r="O592" t="s">
        <v>962</v>
      </c>
      <c r="P592" t="s">
        <v>867</v>
      </c>
      <c r="Q592" t="s">
        <v>963</v>
      </c>
      <c r="R592" t="s">
        <v>964</v>
      </c>
      <c r="S592" t="s">
        <v>239</v>
      </c>
      <c r="T592" t="s">
        <v>502</v>
      </c>
      <c r="U592" t="s">
        <v>287</v>
      </c>
      <c r="V592" t="s">
        <v>234</v>
      </c>
      <c r="W592" t="s">
        <v>58</v>
      </c>
      <c r="X592" t="s">
        <v>235</v>
      </c>
      <c r="Y592" t="s">
        <v>288</v>
      </c>
      <c r="Z592">
        <v>2669</v>
      </c>
      <c r="AA592">
        <v>2669</v>
      </c>
      <c r="AB592" t="s">
        <v>237</v>
      </c>
      <c r="AC592">
        <v>4.97</v>
      </c>
      <c r="AD592">
        <v>13264.93</v>
      </c>
      <c r="AE592">
        <v>3709.91</v>
      </c>
      <c r="AF592" t="s">
        <v>870</v>
      </c>
      <c r="AG592">
        <v>9555.02</v>
      </c>
      <c r="AH592">
        <v>0.72</v>
      </c>
    </row>
    <row r="593" spans="1:34" x14ac:dyDescent="0.25">
      <c r="A593" t="s">
        <v>2902</v>
      </c>
      <c r="B593">
        <v>592</v>
      </c>
      <c r="C593" t="s">
        <v>487</v>
      </c>
      <c r="D593" t="s">
        <v>322</v>
      </c>
      <c r="E593" t="s">
        <v>239</v>
      </c>
      <c r="F593" t="s">
        <v>2979</v>
      </c>
      <c r="G593" s="25">
        <v>44286</v>
      </c>
      <c r="H593">
        <v>18</v>
      </c>
      <c r="I593">
        <v>90</v>
      </c>
      <c r="J593" t="s">
        <v>2980</v>
      </c>
      <c r="K593" t="s">
        <v>921</v>
      </c>
      <c r="L593" t="s">
        <v>231</v>
      </c>
      <c r="M593" t="s">
        <v>872</v>
      </c>
      <c r="N593" t="s">
        <v>184</v>
      </c>
      <c r="O593" t="s">
        <v>962</v>
      </c>
      <c r="P593" t="s">
        <v>867</v>
      </c>
      <c r="Q593" t="s">
        <v>963</v>
      </c>
      <c r="R593" t="s">
        <v>964</v>
      </c>
      <c r="S593" t="s">
        <v>239</v>
      </c>
      <c r="T593" t="s">
        <v>502</v>
      </c>
      <c r="U593" t="s">
        <v>287</v>
      </c>
      <c r="V593" t="s">
        <v>234</v>
      </c>
      <c r="W593" t="s">
        <v>58</v>
      </c>
      <c r="X593" t="s">
        <v>235</v>
      </c>
      <c r="Y593" t="s">
        <v>288</v>
      </c>
      <c r="Z593">
        <v>2945</v>
      </c>
      <c r="AA593">
        <v>2945</v>
      </c>
      <c r="AB593" t="s">
        <v>237</v>
      </c>
      <c r="AC593">
        <v>4.97</v>
      </c>
      <c r="AD593">
        <v>14636.65</v>
      </c>
      <c r="AE593">
        <v>4093.55</v>
      </c>
      <c r="AF593" t="s">
        <v>870</v>
      </c>
      <c r="AG593">
        <v>10543.1</v>
      </c>
      <c r="AH593">
        <v>0.72</v>
      </c>
    </row>
    <row r="594" spans="1:34" x14ac:dyDescent="0.25">
      <c r="A594" t="s">
        <v>2891</v>
      </c>
      <c r="B594">
        <v>593</v>
      </c>
      <c r="C594" t="s">
        <v>487</v>
      </c>
      <c r="D594" t="s">
        <v>322</v>
      </c>
      <c r="E594" t="s">
        <v>239</v>
      </c>
      <c r="F594" t="s">
        <v>2979</v>
      </c>
      <c r="G594" s="25">
        <v>44286</v>
      </c>
      <c r="H594">
        <v>18</v>
      </c>
      <c r="I594">
        <v>90</v>
      </c>
      <c r="J594" t="s">
        <v>2981</v>
      </c>
      <c r="K594" t="s">
        <v>921</v>
      </c>
      <c r="L594" t="s">
        <v>231</v>
      </c>
      <c r="M594" t="s">
        <v>926</v>
      </c>
      <c r="N594" t="s">
        <v>185</v>
      </c>
      <c r="O594" t="s">
        <v>1043</v>
      </c>
      <c r="P594" t="s">
        <v>867</v>
      </c>
      <c r="Q594" t="s">
        <v>1044</v>
      </c>
      <c r="R594" t="s">
        <v>1045</v>
      </c>
      <c r="S594" t="s">
        <v>239</v>
      </c>
      <c r="T594" t="s">
        <v>502</v>
      </c>
      <c r="U594" t="s">
        <v>287</v>
      </c>
      <c r="V594" t="s">
        <v>234</v>
      </c>
      <c r="W594" t="s">
        <v>58</v>
      </c>
      <c r="X594" t="s">
        <v>235</v>
      </c>
      <c r="Y594" t="s">
        <v>288</v>
      </c>
      <c r="Z594">
        <v>2566</v>
      </c>
      <c r="AA594">
        <v>2566</v>
      </c>
      <c r="AB594" t="s">
        <v>237</v>
      </c>
      <c r="AC594">
        <v>4.97</v>
      </c>
      <c r="AD594">
        <v>12753.02</v>
      </c>
      <c r="AE594">
        <v>3566.74</v>
      </c>
      <c r="AF594" t="s">
        <v>870</v>
      </c>
      <c r="AG594">
        <v>9186.2800000000007</v>
      </c>
      <c r="AH594">
        <v>0.72</v>
      </c>
    </row>
    <row r="595" spans="1:34" x14ac:dyDescent="0.25">
      <c r="A595" t="s">
        <v>2315</v>
      </c>
      <c r="B595">
        <v>594</v>
      </c>
      <c r="C595" t="s">
        <v>487</v>
      </c>
      <c r="D595" t="s">
        <v>322</v>
      </c>
      <c r="E595" t="s">
        <v>239</v>
      </c>
      <c r="F595" t="s">
        <v>2979</v>
      </c>
      <c r="G595" s="25">
        <v>44286</v>
      </c>
      <c r="H595">
        <v>18</v>
      </c>
      <c r="I595">
        <v>90</v>
      </c>
      <c r="J595" t="s">
        <v>2981</v>
      </c>
      <c r="K595" t="s">
        <v>876</v>
      </c>
      <c r="L595" t="s">
        <v>231</v>
      </c>
      <c r="M595" t="s">
        <v>926</v>
      </c>
      <c r="N595" t="s">
        <v>185</v>
      </c>
      <c r="O595" t="s">
        <v>1043</v>
      </c>
      <c r="P595" t="s">
        <v>867</v>
      </c>
      <c r="Q595" t="s">
        <v>1044</v>
      </c>
      <c r="R595" t="s">
        <v>1045</v>
      </c>
      <c r="S595" t="s">
        <v>239</v>
      </c>
      <c r="T595" t="s">
        <v>502</v>
      </c>
      <c r="U595" t="s">
        <v>287</v>
      </c>
      <c r="V595" t="s">
        <v>234</v>
      </c>
      <c r="W595" t="s">
        <v>58</v>
      </c>
      <c r="X595" t="s">
        <v>235</v>
      </c>
      <c r="Y595" t="s">
        <v>288</v>
      </c>
      <c r="Z595">
        <v>2930</v>
      </c>
      <c r="AA595">
        <v>2930</v>
      </c>
      <c r="AB595" t="s">
        <v>237</v>
      </c>
      <c r="AC595">
        <v>4.97</v>
      </c>
      <c r="AD595">
        <v>14562.1</v>
      </c>
      <c r="AE595">
        <v>4072.7</v>
      </c>
      <c r="AF595" t="s">
        <v>870</v>
      </c>
      <c r="AG595">
        <v>10489.4</v>
      </c>
      <c r="AH595">
        <v>0.72</v>
      </c>
    </row>
    <row r="596" spans="1:34" x14ac:dyDescent="0.25">
      <c r="A596" t="s">
        <v>2439</v>
      </c>
      <c r="B596">
        <v>595</v>
      </c>
      <c r="C596" t="s">
        <v>487</v>
      </c>
      <c r="D596" t="s">
        <v>322</v>
      </c>
      <c r="E596" t="s">
        <v>239</v>
      </c>
      <c r="F596" t="s">
        <v>2979</v>
      </c>
      <c r="G596" s="25">
        <v>44286</v>
      </c>
      <c r="H596">
        <v>18</v>
      </c>
      <c r="I596">
        <v>90</v>
      </c>
      <c r="J596" t="s">
        <v>2981</v>
      </c>
      <c r="K596" t="s">
        <v>510</v>
      </c>
      <c r="L596" t="s">
        <v>231</v>
      </c>
      <c r="M596" t="s">
        <v>926</v>
      </c>
      <c r="N596" t="s">
        <v>185</v>
      </c>
      <c r="O596" t="s">
        <v>1043</v>
      </c>
      <c r="P596" t="s">
        <v>867</v>
      </c>
      <c r="Q596" t="s">
        <v>1044</v>
      </c>
      <c r="R596" t="s">
        <v>1045</v>
      </c>
      <c r="S596" t="s">
        <v>239</v>
      </c>
      <c r="T596" t="s">
        <v>502</v>
      </c>
      <c r="U596" t="s">
        <v>287</v>
      </c>
      <c r="V596" t="s">
        <v>234</v>
      </c>
      <c r="W596" t="s">
        <v>58</v>
      </c>
      <c r="X596" t="s">
        <v>235</v>
      </c>
      <c r="Y596" t="s">
        <v>288</v>
      </c>
      <c r="Z596">
        <v>3184</v>
      </c>
      <c r="AA596">
        <v>3184</v>
      </c>
      <c r="AB596" t="s">
        <v>237</v>
      </c>
      <c r="AC596">
        <v>4.97</v>
      </c>
      <c r="AD596">
        <v>15824.48</v>
      </c>
      <c r="AE596">
        <v>4425.76</v>
      </c>
      <c r="AF596" t="s">
        <v>870</v>
      </c>
      <c r="AG596">
        <v>11398.72</v>
      </c>
      <c r="AH596">
        <v>0.72</v>
      </c>
    </row>
    <row r="597" spans="1:34" x14ac:dyDescent="0.25">
      <c r="A597" t="s">
        <v>2391</v>
      </c>
      <c r="B597">
        <v>596</v>
      </c>
      <c r="C597" t="s">
        <v>487</v>
      </c>
      <c r="D597" t="s">
        <v>322</v>
      </c>
      <c r="E597" t="s">
        <v>239</v>
      </c>
      <c r="F597" t="s">
        <v>2979</v>
      </c>
      <c r="G597" s="25">
        <v>44286</v>
      </c>
      <c r="H597">
        <v>18</v>
      </c>
      <c r="I597">
        <v>90</v>
      </c>
      <c r="J597" t="s">
        <v>2982</v>
      </c>
      <c r="K597" t="s">
        <v>921</v>
      </c>
      <c r="L597" t="s">
        <v>231</v>
      </c>
      <c r="M597" t="s">
        <v>872</v>
      </c>
      <c r="N597" t="s">
        <v>184</v>
      </c>
      <c r="O597" t="s">
        <v>958</v>
      </c>
      <c r="P597" t="s">
        <v>867</v>
      </c>
      <c r="Q597" t="s">
        <v>959</v>
      </c>
      <c r="R597" t="s">
        <v>960</v>
      </c>
      <c r="S597" t="s">
        <v>232</v>
      </c>
      <c r="T597" t="s">
        <v>491</v>
      </c>
      <c r="U597" t="s">
        <v>233</v>
      </c>
      <c r="V597" t="s">
        <v>234</v>
      </c>
      <c r="W597" t="s">
        <v>54</v>
      </c>
      <c r="X597" t="s">
        <v>235</v>
      </c>
      <c r="Y597" t="s">
        <v>236</v>
      </c>
      <c r="Z597">
        <v>2275</v>
      </c>
      <c r="AA597">
        <v>2275</v>
      </c>
      <c r="AB597" t="s">
        <v>237</v>
      </c>
      <c r="AC597">
        <v>6.09</v>
      </c>
      <c r="AD597">
        <v>13854.75</v>
      </c>
      <c r="AE597">
        <v>5164.25</v>
      </c>
      <c r="AF597" t="s">
        <v>870</v>
      </c>
      <c r="AG597">
        <v>8690.5</v>
      </c>
      <c r="AH597">
        <v>0.63</v>
      </c>
    </row>
    <row r="598" spans="1:34" x14ac:dyDescent="0.25">
      <c r="A598" t="s">
        <v>1640</v>
      </c>
      <c r="B598">
        <v>597</v>
      </c>
      <c r="C598" t="s">
        <v>487</v>
      </c>
      <c r="D598" t="s">
        <v>322</v>
      </c>
      <c r="E598" t="s">
        <v>239</v>
      </c>
      <c r="F598" t="s">
        <v>2979</v>
      </c>
      <c r="G598" s="25">
        <v>44286</v>
      </c>
      <c r="H598">
        <v>18</v>
      </c>
      <c r="I598">
        <v>90</v>
      </c>
      <c r="J598" t="s">
        <v>2982</v>
      </c>
      <c r="K598" t="s">
        <v>876</v>
      </c>
      <c r="L598" t="s">
        <v>231</v>
      </c>
      <c r="M598" t="s">
        <v>872</v>
      </c>
      <c r="N598" t="s">
        <v>184</v>
      </c>
      <c r="O598" t="s">
        <v>958</v>
      </c>
      <c r="P598" t="s">
        <v>867</v>
      </c>
      <c r="Q598" t="s">
        <v>959</v>
      </c>
      <c r="R598" t="s">
        <v>960</v>
      </c>
      <c r="S598" t="s">
        <v>232</v>
      </c>
      <c r="T598" t="s">
        <v>502</v>
      </c>
      <c r="U598" t="s">
        <v>287</v>
      </c>
      <c r="V598" t="s">
        <v>234</v>
      </c>
      <c r="W598" t="s">
        <v>58</v>
      </c>
      <c r="X598" t="s">
        <v>235</v>
      </c>
      <c r="Y598" t="s">
        <v>288</v>
      </c>
      <c r="Z598">
        <v>3030</v>
      </c>
      <c r="AA598">
        <v>3030</v>
      </c>
      <c r="AB598" t="s">
        <v>237</v>
      </c>
      <c r="AC598">
        <v>5.07</v>
      </c>
      <c r="AD598">
        <v>15362.1</v>
      </c>
      <c r="AE598">
        <v>4211.7</v>
      </c>
      <c r="AF598" t="s">
        <v>870</v>
      </c>
      <c r="AG598">
        <v>11150.4</v>
      </c>
      <c r="AH598">
        <v>0.73</v>
      </c>
    </row>
    <row r="599" spans="1:34" x14ac:dyDescent="0.25">
      <c r="A599" t="s">
        <v>1723</v>
      </c>
      <c r="B599">
        <v>598</v>
      </c>
      <c r="C599" t="s">
        <v>487</v>
      </c>
      <c r="D599" t="s">
        <v>322</v>
      </c>
      <c r="E599" t="s">
        <v>239</v>
      </c>
      <c r="F599" t="s">
        <v>2979</v>
      </c>
      <c r="G599" s="25">
        <v>44286</v>
      </c>
      <c r="H599">
        <v>18</v>
      </c>
      <c r="I599">
        <v>90</v>
      </c>
      <c r="J599" t="s">
        <v>2982</v>
      </c>
      <c r="K599" t="s">
        <v>510</v>
      </c>
      <c r="L599" t="s">
        <v>231</v>
      </c>
      <c r="M599" t="s">
        <v>872</v>
      </c>
      <c r="N599" t="s">
        <v>184</v>
      </c>
      <c r="O599" t="s">
        <v>958</v>
      </c>
      <c r="P599" t="s">
        <v>867</v>
      </c>
      <c r="Q599" t="s">
        <v>959</v>
      </c>
      <c r="R599" t="s">
        <v>960</v>
      </c>
      <c r="S599" t="s">
        <v>232</v>
      </c>
      <c r="T599" t="s">
        <v>502</v>
      </c>
      <c r="U599" t="s">
        <v>287</v>
      </c>
      <c r="V599" t="s">
        <v>234</v>
      </c>
      <c r="W599" t="s">
        <v>58</v>
      </c>
      <c r="X599" t="s">
        <v>235</v>
      </c>
      <c r="Y599" t="s">
        <v>288</v>
      </c>
      <c r="Z599">
        <v>3304</v>
      </c>
      <c r="AA599">
        <v>3304</v>
      </c>
      <c r="AB599" t="s">
        <v>237</v>
      </c>
      <c r="AC599">
        <v>5.07</v>
      </c>
      <c r="AD599">
        <v>16751.28</v>
      </c>
      <c r="AE599">
        <v>4592.5600000000004</v>
      </c>
      <c r="AF599" t="s">
        <v>870</v>
      </c>
      <c r="AG599">
        <v>12158.72</v>
      </c>
      <c r="AH599">
        <v>0.73</v>
      </c>
    </row>
    <row r="600" spans="1:34" x14ac:dyDescent="0.25">
      <c r="A600" t="s">
        <v>2507</v>
      </c>
      <c r="B600">
        <v>599</v>
      </c>
      <c r="C600" t="s">
        <v>487</v>
      </c>
      <c r="D600" t="s">
        <v>322</v>
      </c>
      <c r="E600" t="s">
        <v>515</v>
      </c>
      <c r="F600" t="s">
        <v>2983</v>
      </c>
      <c r="G600" s="25">
        <v>44287</v>
      </c>
      <c r="H600">
        <v>19</v>
      </c>
      <c r="I600">
        <v>91</v>
      </c>
      <c r="J600" t="s">
        <v>2984</v>
      </c>
      <c r="K600" t="s">
        <v>921</v>
      </c>
      <c r="L600" t="s">
        <v>231</v>
      </c>
      <c r="M600" t="s">
        <v>872</v>
      </c>
      <c r="N600" t="s">
        <v>184</v>
      </c>
      <c r="O600" t="s">
        <v>1164</v>
      </c>
      <c r="P600" t="s">
        <v>867</v>
      </c>
      <c r="Q600" t="s">
        <v>1165</v>
      </c>
      <c r="R600" t="s">
        <v>1166</v>
      </c>
      <c r="S600" t="s">
        <v>239</v>
      </c>
      <c r="T600" t="s">
        <v>502</v>
      </c>
      <c r="U600" t="s">
        <v>287</v>
      </c>
      <c r="V600" t="s">
        <v>234</v>
      </c>
      <c r="W600" t="s">
        <v>58</v>
      </c>
      <c r="X600" t="s">
        <v>235</v>
      </c>
      <c r="Y600" t="s">
        <v>288</v>
      </c>
      <c r="Z600">
        <v>730</v>
      </c>
      <c r="AA600">
        <v>730</v>
      </c>
      <c r="AB600" t="s">
        <v>237</v>
      </c>
      <c r="AC600">
        <v>4.97</v>
      </c>
      <c r="AD600">
        <v>3628.1</v>
      </c>
      <c r="AE600">
        <v>1014.7</v>
      </c>
      <c r="AF600" t="s">
        <v>870</v>
      </c>
      <c r="AG600">
        <v>2613.4</v>
      </c>
      <c r="AH600">
        <v>0.72</v>
      </c>
    </row>
    <row r="601" spans="1:34" x14ac:dyDescent="0.25">
      <c r="A601" t="s">
        <v>1769</v>
      </c>
      <c r="B601">
        <v>600</v>
      </c>
      <c r="C601" t="s">
        <v>487</v>
      </c>
      <c r="D601" t="s">
        <v>322</v>
      </c>
      <c r="E601" t="s">
        <v>515</v>
      </c>
      <c r="F601" t="s">
        <v>2983</v>
      </c>
      <c r="G601" s="25">
        <v>44287</v>
      </c>
      <c r="H601">
        <v>19</v>
      </c>
      <c r="I601">
        <v>91</v>
      </c>
      <c r="J601" t="s">
        <v>2984</v>
      </c>
      <c r="K601" t="s">
        <v>876</v>
      </c>
      <c r="L601" t="s">
        <v>231</v>
      </c>
      <c r="M601" t="s">
        <v>872</v>
      </c>
      <c r="N601" t="s">
        <v>184</v>
      </c>
      <c r="O601" t="s">
        <v>1164</v>
      </c>
      <c r="P601" t="s">
        <v>867</v>
      </c>
      <c r="Q601" t="s">
        <v>1165</v>
      </c>
      <c r="R601" t="s">
        <v>1166</v>
      </c>
      <c r="S601" t="s">
        <v>239</v>
      </c>
      <c r="T601" t="s">
        <v>502</v>
      </c>
      <c r="U601" t="s">
        <v>287</v>
      </c>
      <c r="V601" t="s">
        <v>234</v>
      </c>
      <c r="W601" t="s">
        <v>58</v>
      </c>
      <c r="X601" t="s">
        <v>235</v>
      </c>
      <c r="Y601" t="s">
        <v>288</v>
      </c>
      <c r="Z601">
        <v>3293</v>
      </c>
      <c r="AA601">
        <v>3293</v>
      </c>
      <c r="AB601" t="s">
        <v>237</v>
      </c>
      <c r="AC601">
        <v>4.97</v>
      </c>
      <c r="AD601">
        <v>16366.21</v>
      </c>
      <c r="AE601">
        <v>4577.2700000000004</v>
      </c>
      <c r="AF601" t="s">
        <v>870</v>
      </c>
      <c r="AG601">
        <v>11788.94</v>
      </c>
      <c r="AH601">
        <v>0.72</v>
      </c>
    </row>
    <row r="602" spans="1:34" x14ac:dyDescent="0.25">
      <c r="A602" t="s">
        <v>2241</v>
      </c>
      <c r="B602">
        <v>601</v>
      </c>
      <c r="C602" t="s">
        <v>487</v>
      </c>
      <c r="D602" t="s">
        <v>322</v>
      </c>
      <c r="E602" t="s">
        <v>515</v>
      </c>
      <c r="F602" t="s">
        <v>2983</v>
      </c>
      <c r="G602" s="25">
        <v>44287</v>
      </c>
      <c r="H602">
        <v>19</v>
      </c>
      <c r="I602">
        <v>91</v>
      </c>
      <c r="J602" t="s">
        <v>2984</v>
      </c>
      <c r="K602" t="s">
        <v>510</v>
      </c>
      <c r="L602" t="s">
        <v>231</v>
      </c>
      <c r="M602" t="s">
        <v>872</v>
      </c>
      <c r="N602" t="s">
        <v>184</v>
      </c>
      <c r="O602" t="s">
        <v>1164</v>
      </c>
      <c r="P602" t="s">
        <v>867</v>
      </c>
      <c r="Q602" t="s">
        <v>1165</v>
      </c>
      <c r="R602" t="s">
        <v>1166</v>
      </c>
      <c r="S602" t="s">
        <v>239</v>
      </c>
      <c r="T602" t="s">
        <v>502</v>
      </c>
      <c r="U602" t="s">
        <v>287</v>
      </c>
      <c r="V602" t="s">
        <v>234</v>
      </c>
      <c r="W602" t="s">
        <v>58</v>
      </c>
      <c r="X602" t="s">
        <v>235</v>
      </c>
      <c r="Y602" t="s">
        <v>288</v>
      </c>
      <c r="Z602">
        <v>3210</v>
      </c>
      <c r="AA602">
        <v>3210</v>
      </c>
      <c r="AB602" t="s">
        <v>237</v>
      </c>
      <c r="AC602">
        <v>4.97</v>
      </c>
      <c r="AD602">
        <v>15953.7</v>
      </c>
      <c r="AE602">
        <v>4461.8999999999996</v>
      </c>
      <c r="AF602" t="s">
        <v>870</v>
      </c>
      <c r="AG602">
        <v>11491.8</v>
      </c>
      <c r="AH602">
        <v>0.72</v>
      </c>
    </row>
    <row r="603" spans="1:34" x14ac:dyDescent="0.25">
      <c r="A603" t="s">
        <v>2580</v>
      </c>
      <c r="B603">
        <v>602</v>
      </c>
      <c r="C603" t="s">
        <v>487</v>
      </c>
      <c r="D603" t="s">
        <v>322</v>
      </c>
      <c r="E603" t="s">
        <v>515</v>
      </c>
      <c r="F603" t="s">
        <v>2983</v>
      </c>
      <c r="G603" s="25">
        <v>44287</v>
      </c>
      <c r="H603">
        <v>19</v>
      </c>
      <c r="I603">
        <v>91</v>
      </c>
      <c r="J603" t="s">
        <v>2985</v>
      </c>
      <c r="K603" t="s">
        <v>921</v>
      </c>
      <c r="L603" t="s">
        <v>231</v>
      </c>
      <c r="M603" t="s">
        <v>872</v>
      </c>
      <c r="N603" t="s">
        <v>184</v>
      </c>
      <c r="O603" t="s">
        <v>1176</v>
      </c>
      <c r="P603" t="s">
        <v>867</v>
      </c>
      <c r="Q603" t="s">
        <v>1177</v>
      </c>
      <c r="R603" t="s">
        <v>1178</v>
      </c>
      <c r="S603" t="s">
        <v>232</v>
      </c>
      <c r="T603" t="s">
        <v>502</v>
      </c>
      <c r="U603" t="s">
        <v>287</v>
      </c>
      <c r="V603" t="s">
        <v>234</v>
      </c>
      <c r="W603" t="s">
        <v>58</v>
      </c>
      <c r="X603" t="s">
        <v>235</v>
      </c>
      <c r="Y603" t="s">
        <v>288</v>
      </c>
      <c r="Z603">
        <v>3188</v>
      </c>
      <c r="AA603">
        <v>3188</v>
      </c>
      <c r="AB603" t="s">
        <v>237</v>
      </c>
      <c r="AC603">
        <v>5.07</v>
      </c>
      <c r="AD603">
        <v>16163.16</v>
      </c>
      <c r="AE603">
        <v>4431.32</v>
      </c>
      <c r="AF603" t="s">
        <v>870</v>
      </c>
      <c r="AG603">
        <v>11731.84</v>
      </c>
      <c r="AH603">
        <v>0.73</v>
      </c>
    </row>
    <row r="604" spans="1:34" x14ac:dyDescent="0.25">
      <c r="A604" t="s">
        <v>2043</v>
      </c>
      <c r="B604">
        <v>603</v>
      </c>
      <c r="C604" t="s">
        <v>487</v>
      </c>
      <c r="D604" t="s">
        <v>322</v>
      </c>
      <c r="E604" t="s">
        <v>515</v>
      </c>
      <c r="F604" t="s">
        <v>2983</v>
      </c>
      <c r="G604" s="25">
        <v>44287</v>
      </c>
      <c r="H604">
        <v>19</v>
      </c>
      <c r="I604">
        <v>91</v>
      </c>
      <c r="J604" t="s">
        <v>2985</v>
      </c>
      <c r="K604" t="s">
        <v>876</v>
      </c>
      <c r="L604" t="s">
        <v>231</v>
      </c>
      <c r="M604" t="s">
        <v>872</v>
      </c>
      <c r="N604" t="s">
        <v>184</v>
      </c>
      <c r="O604" t="s">
        <v>1176</v>
      </c>
      <c r="P604" t="s">
        <v>867</v>
      </c>
      <c r="Q604" t="s">
        <v>1177</v>
      </c>
      <c r="R604" t="s">
        <v>1178</v>
      </c>
      <c r="S604" t="s">
        <v>232</v>
      </c>
      <c r="T604" t="s">
        <v>502</v>
      </c>
      <c r="U604" t="s">
        <v>287</v>
      </c>
      <c r="V604" t="s">
        <v>234</v>
      </c>
      <c r="W604" t="s">
        <v>58</v>
      </c>
      <c r="X604" t="s">
        <v>235</v>
      </c>
      <c r="Y604" t="s">
        <v>288</v>
      </c>
      <c r="Z604">
        <v>2656</v>
      </c>
      <c r="AA604">
        <v>2656</v>
      </c>
      <c r="AB604" t="s">
        <v>237</v>
      </c>
      <c r="AC604">
        <v>5.07</v>
      </c>
      <c r="AD604">
        <v>13465.92</v>
      </c>
      <c r="AE604">
        <v>3691.84</v>
      </c>
      <c r="AF604" t="s">
        <v>870</v>
      </c>
      <c r="AG604">
        <v>9774.08</v>
      </c>
      <c r="AH604">
        <v>0.73</v>
      </c>
    </row>
    <row r="605" spans="1:34" x14ac:dyDescent="0.25">
      <c r="A605" t="s">
        <v>2107</v>
      </c>
      <c r="B605">
        <v>604</v>
      </c>
      <c r="C605" t="s">
        <v>487</v>
      </c>
      <c r="D605" t="s">
        <v>322</v>
      </c>
      <c r="E605" t="s">
        <v>515</v>
      </c>
      <c r="F605" t="s">
        <v>2983</v>
      </c>
      <c r="G605" s="25">
        <v>44287</v>
      </c>
      <c r="H605">
        <v>19</v>
      </c>
      <c r="I605">
        <v>91</v>
      </c>
      <c r="J605" t="s">
        <v>2985</v>
      </c>
      <c r="K605" t="s">
        <v>510</v>
      </c>
      <c r="L605" t="s">
        <v>231</v>
      </c>
      <c r="M605" t="s">
        <v>872</v>
      </c>
      <c r="N605" t="s">
        <v>184</v>
      </c>
      <c r="O605" t="s">
        <v>1176</v>
      </c>
      <c r="P605" t="s">
        <v>867</v>
      </c>
      <c r="Q605" t="s">
        <v>1177</v>
      </c>
      <c r="R605" t="s">
        <v>1178</v>
      </c>
      <c r="S605" t="s">
        <v>232</v>
      </c>
      <c r="T605" t="s">
        <v>502</v>
      </c>
      <c r="U605" t="s">
        <v>287</v>
      </c>
      <c r="V605" t="s">
        <v>234</v>
      </c>
      <c r="W605" t="s">
        <v>58</v>
      </c>
      <c r="X605" t="s">
        <v>235</v>
      </c>
      <c r="Y605" t="s">
        <v>288</v>
      </c>
      <c r="Z605">
        <v>3017</v>
      </c>
      <c r="AA605">
        <v>3017</v>
      </c>
      <c r="AB605" t="s">
        <v>237</v>
      </c>
      <c r="AC605">
        <v>5.07</v>
      </c>
      <c r="AD605">
        <v>15296.19</v>
      </c>
      <c r="AE605">
        <v>4193.63</v>
      </c>
      <c r="AF605" t="s">
        <v>870</v>
      </c>
      <c r="AG605">
        <v>11102.56</v>
      </c>
      <c r="AH605">
        <v>0.73</v>
      </c>
    </row>
    <row r="606" spans="1:34" x14ac:dyDescent="0.25">
      <c r="A606" t="s">
        <v>2887</v>
      </c>
      <c r="B606">
        <v>605</v>
      </c>
      <c r="C606" t="s">
        <v>487</v>
      </c>
      <c r="D606" t="s">
        <v>322</v>
      </c>
      <c r="E606" t="s">
        <v>515</v>
      </c>
      <c r="F606" t="s">
        <v>2983</v>
      </c>
      <c r="G606" s="25">
        <v>44287</v>
      </c>
      <c r="H606">
        <v>19</v>
      </c>
      <c r="I606">
        <v>91</v>
      </c>
      <c r="J606" t="s">
        <v>2986</v>
      </c>
      <c r="K606" t="s">
        <v>510</v>
      </c>
      <c r="L606" t="s">
        <v>231</v>
      </c>
      <c r="M606" t="s">
        <v>1114</v>
      </c>
      <c r="N606" t="s">
        <v>185</v>
      </c>
      <c r="O606" t="s">
        <v>1255</v>
      </c>
      <c r="P606" t="s">
        <v>867</v>
      </c>
      <c r="Q606" t="s">
        <v>1256</v>
      </c>
      <c r="R606" t="s">
        <v>1257</v>
      </c>
      <c r="S606" t="s">
        <v>232</v>
      </c>
      <c r="T606" t="s">
        <v>502</v>
      </c>
      <c r="U606" t="s">
        <v>287</v>
      </c>
      <c r="V606" t="s">
        <v>234</v>
      </c>
      <c r="W606" t="s">
        <v>58</v>
      </c>
      <c r="X606" t="s">
        <v>235</v>
      </c>
      <c r="Y606" t="s">
        <v>288</v>
      </c>
      <c r="Z606">
        <v>3307</v>
      </c>
      <c r="AA606">
        <v>3307</v>
      </c>
      <c r="AB606" t="s">
        <v>237</v>
      </c>
      <c r="AC606">
        <v>5.07</v>
      </c>
      <c r="AD606">
        <v>16766.490000000002</v>
      </c>
      <c r="AE606">
        <v>4596.7299999999996</v>
      </c>
      <c r="AF606" t="s">
        <v>870</v>
      </c>
      <c r="AG606">
        <v>12169.76</v>
      </c>
      <c r="AH606">
        <v>0.73</v>
      </c>
    </row>
    <row r="607" spans="1:34" x14ac:dyDescent="0.25">
      <c r="A607" t="s">
        <v>2890</v>
      </c>
      <c r="B607">
        <v>606</v>
      </c>
      <c r="C607" t="s">
        <v>487</v>
      </c>
      <c r="D607" t="s">
        <v>322</v>
      </c>
      <c r="E607" t="s">
        <v>515</v>
      </c>
      <c r="F607" t="s">
        <v>2983</v>
      </c>
      <c r="G607" s="25">
        <v>44287</v>
      </c>
      <c r="H607">
        <v>19</v>
      </c>
      <c r="I607">
        <v>91</v>
      </c>
      <c r="J607" t="s">
        <v>2986</v>
      </c>
      <c r="K607" t="s">
        <v>876</v>
      </c>
      <c r="L607" t="s">
        <v>231</v>
      </c>
      <c r="M607" t="s">
        <v>1114</v>
      </c>
      <c r="N607" t="s">
        <v>185</v>
      </c>
      <c r="O607" t="s">
        <v>1255</v>
      </c>
      <c r="P607" t="s">
        <v>867</v>
      </c>
      <c r="Q607" t="s">
        <v>1256</v>
      </c>
      <c r="R607" t="s">
        <v>1257</v>
      </c>
      <c r="S607" t="s">
        <v>232</v>
      </c>
      <c r="T607" t="s">
        <v>502</v>
      </c>
      <c r="U607" t="s">
        <v>287</v>
      </c>
      <c r="V607" t="s">
        <v>234</v>
      </c>
      <c r="W607" t="s">
        <v>58</v>
      </c>
      <c r="X607" t="s">
        <v>235</v>
      </c>
      <c r="Y607" t="s">
        <v>288</v>
      </c>
      <c r="Z607">
        <v>2780</v>
      </c>
      <c r="AA607">
        <v>2780</v>
      </c>
      <c r="AB607" t="s">
        <v>237</v>
      </c>
      <c r="AC607">
        <v>5.07</v>
      </c>
      <c r="AD607">
        <v>14094.6</v>
      </c>
      <c r="AE607">
        <v>3864.2</v>
      </c>
      <c r="AF607" t="s">
        <v>870</v>
      </c>
      <c r="AG607">
        <v>10230.4</v>
      </c>
      <c r="AH607">
        <v>0.73</v>
      </c>
    </row>
    <row r="608" spans="1:34" x14ac:dyDescent="0.25">
      <c r="A608" t="s">
        <v>1897</v>
      </c>
      <c r="B608">
        <v>607</v>
      </c>
      <c r="C608" t="s">
        <v>487</v>
      </c>
      <c r="D608" t="s">
        <v>322</v>
      </c>
      <c r="E608" t="s">
        <v>515</v>
      </c>
      <c r="F608" t="s">
        <v>2983</v>
      </c>
      <c r="G608" s="25">
        <v>44287</v>
      </c>
      <c r="H608">
        <v>19</v>
      </c>
      <c r="I608">
        <v>91</v>
      </c>
      <c r="J608" t="s">
        <v>2986</v>
      </c>
      <c r="K608" t="s">
        <v>921</v>
      </c>
      <c r="L608" t="s">
        <v>231</v>
      </c>
      <c r="M608" t="s">
        <v>1114</v>
      </c>
      <c r="N608" t="s">
        <v>185</v>
      </c>
      <c r="O608" t="s">
        <v>1255</v>
      </c>
      <c r="P608" t="s">
        <v>867</v>
      </c>
      <c r="Q608" t="s">
        <v>1256</v>
      </c>
      <c r="R608" t="s">
        <v>1257</v>
      </c>
      <c r="S608" t="s">
        <v>232</v>
      </c>
      <c r="T608" t="s">
        <v>502</v>
      </c>
      <c r="U608" t="s">
        <v>287</v>
      </c>
      <c r="V608" t="s">
        <v>234</v>
      </c>
      <c r="W608" t="s">
        <v>58</v>
      </c>
      <c r="X608" t="s">
        <v>235</v>
      </c>
      <c r="Y608" t="s">
        <v>288</v>
      </c>
      <c r="Z608">
        <v>2627</v>
      </c>
      <c r="AA608">
        <v>2627</v>
      </c>
      <c r="AB608" t="s">
        <v>237</v>
      </c>
      <c r="AC608">
        <v>5.07</v>
      </c>
      <c r="AD608">
        <v>13318.89</v>
      </c>
      <c r="AE608">
        <v>3651.53</v>
      </c>
      <c r="AF608" t="s">
        <v>870</v>
      </c>
      <c r="AG608">
        <v>9667.36</v>
      </c>
      <c r="AH608">
        <v>0.73</v>
      </c>
    </row>
    <row r="609" spans="1:34" x14ac:dyDescent="0.25">
      <c r="A609" t="s">
        <v>2706</v>
      </c>
      <c r="B609">
        <v>608</v>
      </c>
      <c r="C609" t="s">
        <v>487</v>
      </c>
      <c r="D609" t="s">
        <v>322</v>
      </c>
      <c r="E609" t="s">
        <v>232</v>
      </c>
      <c r="F609" t="s">
        <v>2987</v>
      </c>
      <c r="G609" s="25">
        <v>44288</v>
      </c>
      <c r="H609">
        <v>19</v>
      </c>
      <c r="I609">
        <v>92</v>
      </c>
      <c r="J609" t="s">
        <v>2988</v>
      </c>
      <c r="K609" t="s">
        <v>921</v>
      </c>
      <c r="L609" t="s">
        <v>231</v>
      </c>
      <c r="M609" t="s">
        <v>872</v>
      </c>
      <c r="N609" t="s">
        <v>184</v>
      </c>
      <c r="O609" t="s">
        <v>1199</v>
      </c>
      <c r="P609" t="s">
        <v>867</v>
      </c>
      <c r="Q609" t="s">
        <v>1331</v>
      </c>
      <c r="R609" t="s">
        <v>1332</v>
      </c>
      <c r="S609" t="s">
        <v>239</v>
      </c>
      <c r="T609" t="s">
        <v>502</v>
      </c>
      <c r="U609" t="s">
        <v>287</v>
      </c>
      <c r="V609" t="s">
        <v>234</v>
      </c>
      <c r="W609" t="s">
        <v>58</v>
      </c>
      <c r="X609" t="s">
        <v>235</v>
      </c>
      <c r="Y609" t="s">
        <v>288</v>
      </c>
      <c r="Z609">
        <v>300</v>
      </c>
      <c r="AA609">
        <v>300</v>
      </c>
      <c r="AB609" t="s">
        <v>237</v>
      </c>
      <c r="AC609">
        <v>4.97</v>
      </c>
      <c r="AD609">
        <v>1491</v>
      </c>
      <c r="AE609">
        <v>417</v>
      </c>
      <c r="AF609" t="s">
        <v>870</v>
      </c>
      <c r="AG609">
        <v>1074</v>
      </c>
      <c r="AH609">
        <v>0.72</v>
      </c>
    </row>
    <row r="610" spans="1:34" x14ac:dyDescent="0.25">
      <c r="A610" t="s">
        <v>2004</v>
      </c>
      <c r="B610">
        <v>609</v>
      </c>
      <c r="C610" t="s">
        <v>487</v>
      </c>
      <c r="D610" t="s">
        <v>322</v>
      </c>
      <c r="E610" t="s">
        <v>232</v>
      </c>
      <c r="F610" t="s">
        <v>2987</v>
      </c>
      <c r="G610" s="25">
        <v>44288</v>
      </c>
      <c r="H610">
        <v>19</v>
      </c>
      <c r="I610">
        <v>92</v>
      </c>
      <c r="J610" t="s">
        <v>2988</v>
      </c>
      <c r="K610" t="s">
        <v>876</v>
      </c>
      <c r="L610" t="s">
        <v>231</v>
      </c>
      <c r="M610" t="s">
        <v>872</v>
      </c>
      <c r="N610" t="s">
        <v>184</v>
      </c>
      <c r="O610" t="s">
        <v>1199</v>
      </c>
      <c r="P610" t="s">
        <v>867</v>
      </c>
      <c r="Q610" t="s">
        <v>1331</v>
      </c>
      <c r="R610" t="s">
        <v>1332</v>
      </c>
      <c r="S610" t="s">
        <v>239</v>
      </c>
      <c r="T610" t="s">
        <v>502</v>
      </c>
      <c r="U610" t="s">
        <v>287</v>
      </c>
      <c r="V610" t="s">
        <v>234</v>
      </c>
      <c r="W610" t="s">
        <v>58</v>
      </c>
      <c r="X610" t="s">
        <v>235</v>
      </c>
      <c r="Y610" t="s">
        <v>288</v>
      </c>
      <c r="Z610">
        <v>2887</v>
      </c>
      <c r="AA610">
        <v>2887</v>
      </c>
      <c r="AB610" t="s">
        <v>237</v>
      </c>
      <c r="AC610">
        <v>4.97</v>
      </c>
      <c r="AD610">
        <v>14348.39</v>
      </c>
      <c r="AE610">
        <v>4012.93</v>
      </c>
      <c r="AF610" t="s">
        <v>870</v>
      </c>
      <c r="AG610">
        <v>10335.459999999999</v>
      </c>
      <c r="AH610">
        <v>0.72</v>
      </c>
    </row>
    <row r="611" spans="1:34" x14ac:dyDescent="0.25">
      <c r="A611" t="s">
        <v>2257</v>
      </c>
      <c r="B611">
        <v>610</v>
      </c>
      <c r="C611" t="s">
        <v>487</v>
      </c>
      <c r="D611" t="s">
        <v>322</v>
      </c>
      <c r="E611" t="s">
        <v>232</v>
      </c>
      <c r="F611" t="s">
        <v>2987</v>
      </c>
      <c r="G611" s="25">
        <v>44288</v>
      </c>
      <c r="H611">
        <v>19</v>
      </c>
      <c r="I611">
        <v>92</v>
      </c>
      <c r="J611" t="s">
        <v>2988</v>
      </c>
      <c r="K611" t="s">
        <v>510</v>
      </c>
      <c r="L611" t="s">
        <v>231</v>
      </c>
      <c r="M611" t="s">
        <v>872</v>
      </c>
      <c r="N611" t="s">
        <v>184</v>
      </c>
      <c r="O611" t="s">
        <v>1199</v>
      </c>
      <c r="P611" t="s">
        <v>867</v>
      </c>
      <c r="Q611" t="s">
        <v>1331</v>
      </c>
      <c r="R611" t="s">
        <v>1332</v>
      </c>
      <c r="S611" t="s">
        <v>239</v>
      </c>
      <c r="T611" t="s">
        <v>502</v>
      </c>
      <c r="U611" t="s">
        <v>287</v>
      </c>
      <c r="V611" t="s">
        <v>234</v>
      </c>
      <c r="W611" t="s">
        <v>58</v>
      </c>
      <c r="X611" t="s">
        <v>235</v>
      </c>
      <c r="Y611" t="s">
        <v>288</v>
      </c>
      <c r="Z611">
        <v>3347</v>
      </c>
      <c r="AA611">
        <v>3347</v>
      </c>
      <c r="AB611" t="s">
        <v>237</v>
      </c>
      <c r="AC611">
        <v>4.97</v>
      </c>
      <c r="AD611">
        <v>16634.59</v>
      </c>
      <c r="AE611">
        <v>4652.33</v>
      </c>
      <c r="AF611" t="s">
        <v>870</v>
      </c>
      <c r="AG611">
        <v>11982.26</v>
      </c>
      <c r="AH611">
        <v>0.72</v>
      </c>
    </row>
    <row r="612" spans="1:34" x14ac:dyDescent="0.25">
      <c r="A612" t="s">
        <v>2014</v>
      </c>
      <c r="B612">
        <v>611</v>
      </c>
      <c r="C612" t="s">
        <v>487</v>
      </c>
      <c r="D612" t="s">
        <v>322</v>
      </c>
      <c r="E612" t="s">
        <v>232</v>
      </c>
      <c r="F612" t="s">
        <v>2987</v>
      </c>
      <c r="G612" s="25">
        <v>44288</v>
      </c>
      <c r="H612">
        <v>19</v>
      </c>
      <c r="I612">
        <v>92</v>
      </c>
      <c r="J612" t="s">
        <v>2989</v>
      </c>
      <c r="K612" t="s">
        <v>921</v>
      </c>
      <c r="L612" t="s">
        <v>231</v>
      </c>
      <c r="M612" t="s">
        <v>888</v>
      </c>
      <c r="N612" t="s">
        <v>184</v>
      </c>
      <c r="O612" t="s">
        <v>978</v>
      </c>
      <c r="P612" t="s">
        <v>867</v>
      </c>
      <c r="Q612" t="s">
        <v>979</v>
      </c>
      <c r="R612" t="s">
        <v>980</v>
      </c>
      <c r="S612" t="s">
        <v>232</v>
      </c>
      <c r="T612" t="s">
        <v>502</v>
      </c>
      <c r="U612" t="s">
        <v>287</v>
      </c>
      <c r="V612" t="s">
        <v>234</v>
      </c>
      <c r="W612" t="s">
        <v>58</v>
      </c>
      <c r="X612" t="s">
        <v>235</v>
      </c>
      <c r="Y612" t="s">
        <v>288</v>
      </c>
      <c r="Z612">
        <v>2555</v>
      </c>
      <c r="AA612">
        <v>2555</v>
      </c>
      <c r="AB612" t="s">
        <v>237</v>
      </c>
      <c r="AC612">
        <v>5.07</v>
      </c>
      <c r="AD612">
        <v>12953.85</v>
      </c>
      <c r="AE612">
        <v>3551.45</v>
      </c>
      <c r="AF612" t="s">
        <v>870</v>
      </c>
      <c r="AG612">
        <v>9402.4</v>
      </c>
      <c r="AH612">
        <v>0.73</v>
      </c>
    </row>
    <row r="613" spans="1:34" x14ac:dyDescent="0.25">
      <c r="A613" t="s">
        <v>2757</v>
      </c>
      <c r="B613">
        <v>612</v>
      </c>
      <c r="C613" t="s">
        <v>487</v>
      </c>
      <c r="D613" t="s">
        <v>322</v>
      </c>
      <c r="E613" t="s">
        <v>232</v>
      </c>
      <c r="F613" t="s">
        <v>2987</v>
      </c>
      <c r="G613" s="25">
        <v>44288</v>
      </c>
      <c r="H613">
        <v>19</v>
      </c>
      <c r="I613">
        <v>92</v>
      </c>
      <c r="J613" t="s">
        <v>2989</v>
      </c>
      <c r="K613" t="s">
        <v>876</v>
      </c>
      <c r="L613" t="s">
        <v>231</v>
      </c>
      <c r="M613" t="s">
        <v>888</v>
      </c>
      <c r="N613" t="s">
        <v>184</v>
      </c>
      <c r="O613" t="s">
        <v>978</v>
      </c>
      <c r="P613" t="s">
        <v>867</v>
      </c>
      <c r="Q613" t="s">
        <v>979</v>
      </c>
      <c r="R613" t="s">
        <v>980</v>
      </c>
      <c r="S613" t="s">
        <v>232</v>
      </c>
      <c r="T613" t="s">
        <v>502</v>
      </c>
      <c r="U613" t="s">
        <v>287</v>
      </c>
      <c r="V613" t="s">
        <v>234</v>
      </c>
      <c r="W613" t="s">
        <v>58</v>
      </c>
      <c r="X613" t="s">
        <v>235</v>
      </c>
      <c r="Y613" t="s">
        <v>288</v>
      </c>
      <c r="Z613">
        <v>3084</v>
      </c>
      <c r="AA613">
        <v>3084</v>
      </c>
      <c r="AB613" t="s">
        <v>237</v>
      </c>
      <c r="AC613">
        <v>5.07</v>
      </c>
      <c r="AD613">
        <v>15635.88</v>
      </c>
      <c r="AE613">
        <v>4286.76</v>
      </c>
      <c r="AF613" t="s">
        <v>870</v>
      </c>
      <c r="AG613">
        <v>11349.12</v>
      </c>
      <c r="AH613">
        <v>0.73</v>
      </c>
    </row>
    <row r="614" spans="1:34" x14ac:dyDescent="0.25">
      <c r="A614" t="s">
        <v>2675</v>
      </c>
      <c r="B614">
        <v>613</v>
      </c>
      <c r="C614" t="s">
        <v>487</v>
      </c>
      <c r="D614" t="s">
        <v>322</v>
      </c>
      <c r="E614" t="s">
        <v>232</v>
      </c>
      <c r="F614" t="s">
        <v>2987</v>
      </c>
      <c r="G614" s="25">
        <v>44288</v>
      </c>
      <c r="H614">
        <v>19</v>
      </c>
      <c r="I614">
        <v>92</v>
      </c>
      <c r="J614" t="s">
        <v>2989</v>
      </c>
      <c r="K614" t="s">
        <v>510</v>
      </c>
      <c r="L614" t="s">
        <v>231</v>
      </c>
      <c r="M614" t="s">
        <v>888</v>
      </c>
      <c r="N614" t="s">
        <v>184</v>
      </c>
      <c r="O614" t="s">
        <v>978</v>
      </c>
      <c r="P614" t="s">
        <v>867</v>
      </c>
      <c r="Q614" t="s">
        <v>979</v>
      </c>
      <c r="R614" t="s">
        <v>980</v>
      </c>
      <c r="S614" t="s">
        <v>232</v>
      </c>
      <c r="T614" t="s">
        <v>502</v>
      </c>
      <c r="U614" t="s">
        <v>287</v>
      </c>
      <c r="V614" t="s">
        <v>234</v>
      </c>
      <c r="W614" t="s">
        <v>58</v>
      </c>
      <c r="X614" t="s">
        <v>235</v>
      </c>
      <c r="Y614" t="s">
        <v>288</v>
      </c>
      <c r="Z614">
        <v>2797</v>
      </c>
      <c r="AA614">
        <v>2797</v>
      </c>
      <c r="AB614" t="s">
        <v>237</v>
      </c>
      <c r="AC614">
        <v>5.07</v>
      </c>
      <c r="AD614">
        <v>14180.79</v>
      </c>
      <c r="AE614">
        <v>3887.83</v>
      </c>
      <c r="AF614" t="s">
        <v>870</v>
      </c>
      <c r="AG614">
        <v>10292.959999999999</v>
      </c>
      <c r="AH614">
        <v>0.73</v>
      </c>
    </row>
    <row r="615" spans="1:34" x14ac:dyDescent="0.25">
      <c r="A615" t="s">
        <v>2128</v>
      </c>
      <c r="B615">
        <v>614</v>
      </c>
      <c r="C615" t="s">
        <v>487</v>
      </c>
      <c r="D615" t="s">
        <v>322</v>
      </c>
      <c r="E615" t="s">
        <v>232</v>
      </c>
      <c r="F615" t="s">
        <v>2987</v>
      </c>
      <c r="G615" s="25">
        <v>44288</v>
      </c>
      <c r="H615">
        <v>19</v>
      </c>
      <c r="I615">
        <v>92</v>
      </c>
      <c r="J615" t="s">
        <v>2990</v>
      </c>
      <c r="K615" t="s">
        <v>510</v>
      </c>
      <c r="L615" t="s">
        <v>231</v>
      </c>
      <c r="M615" t="s">
        <v>997</v>
      </c>
      <c r="N615" t="s">
        <v>185</v>
      </c>
      <c r="O615" t="s">
        <v>1171</v>
      </c>
      <c r="P615" t="s">
        <v>867</v>
      </c>
      <c r="Q615" t="s">
        <v>1172</v>
      </c>
      <c r="R615" t="s">
        <v>1173</v>
      </c>
      <c r="S615" t="s">
        <v>232</v>
      </c>
      <c r="T615" t="s">
        <v>502</v>
      </c>
      <c r="U615" t="s">
        <v>287</v>
      </c>
      <c r="V615" t="s">
        <v>234</v>
      </c>
      <c r="W615" t="s">
        <v>58</v>
      </c>
      <c r="X615" t="s">
        <v>235</v>
      </c>
      <c r="Y615" t="s">
        <v>288</v>
      </c>
      <c r="Z615">
        <v>2647</v>
      </c>
      <c r="AA615">
        <v>2647</v>
      </c>
      <c r="AB615" t="s">
        <v>237</v>
      </c>
      <c r="AC615">
        <v>5.07</v>
      </c>
      <c r="AD615">
        <v>13420.29</v>
      </c>
      <c r="AE615">
        <v>3679.33</v>
      </c>
      <c r="AF615" t="s">
        <v>870</v>
      </c>
      <c r="AG615">
        <v>9740.9599999999991</v>
      </c>
      <c r="AH615">
        <v>0.73</v>
      </c>
    </row>
    <row r="616" spans="1:34" x14ac:dyDescent="0.25">
      <c r="A616" t="s">
        <v>2051</v>
      </c>
      <c r="B616">
        <v>615</v>
      </c>
      <c r="C616" t="s">
        <v>487</v>
      </c>
      <c r="D616" t="s">
        <v>322</v>
      </c>
      <c r="E616" t="s">
        <v>232</v>
      </c>
      <c r="F616" t="s">
        <v>2987</v>
      </c>
      <c r="G616" s="25">
        <v>44288</v>
      </c>
      <c r="H616">
        <v>19</v>
      </c>
      <c r="I616">
        <v>92</v>
      </c>
      <c r="J616" t="s">
        <v>2990</v>
      </c>
      <c r="K616" t="s">
        <v>876</v>
      </c>
      <c r="L616" t="s">
        <v>231</v>
      </c>
      <c r="M616" t="s">
        <v>997</v>
      </c>
      <c r="N616" t="s">
        <v>185</v>
      </c>
      <c r="O616" t="s">
        <v>1171</v>
      </c>
      <c r="P616" t="s">
        <v>867</v>
      </c>
      <c r="Q616" t="s">
        <v>1172</v>
      </c>
      <c r="R616" t="s">
        <v>1173</v>
      </c>
      <c r="S616" t="s">
        <v>232</v>
      </c>
      <c r="T616" t="s">
        <v>502</v>
      </c>
      <c r="U616" t="s">
        <v>287</v>
      </c>
      <c r="V616" t="s">
        <v>234</v>
      </c>
      <c r="W616" t="s">
        <v>58</v>
      </c>
      <c r="X616" t="s">
        <v>235</v>
      </c>
      <c r="Y616" t="s">
        <v>288</v>
      </c>
      <c r="Z616">
        <v>3108</v>
      </c>
      <c r="AA616">
        <v>3108</v>
      </c>
      <c r="AB616" t="s">
        <v>237</v>
      </c>
      <c r="AC616">
        <v>5.07</v>
      </c>
      <c r="AD616">
        <v>15757.56</v>
      </c>
      <c r="AE616">
        <v>4320.12</v>
      </c>
      <c r="AF616" t="s">
        <v>870</v>
      </c>
      <c r="AG616">
        <v>11437.44</v>
      </c>
      <c r="AH616">
        <v>0.73</v>
      </c>
    </row>
    <row r="617" spans="1:34" x14ac:dyDescent="0.25">
      <c r="A617" t="s">
        <v>2065</v>
      </c>
      <c r="B617">
        <v>616</v>
      </c>
      <c r="C617" t="s">
        <v>487</v>
      </c>
      <c r="D617" t="s">
        <v>322</v>
      </c>
      <c r="E617" t="s">
        <v>232</v>
      </c>
      <c r="F617" t="s">
        <v>2987</v>
      </c>
      <c r="G617" s="25">
        <v>44288</v>
      </c>
      <c r="H617">
        <v>19</v>
      </c>
      <c r="I617">
        <v>92</v>
      </c>
      <c r="J617" t="s">
        <v>2990</v>
      </c>
      <c r="K617" t="s">
        <v>921</v>
      </c>
      <c r="L617" t="s">
        <v>231</v>
      </c>
      <c r="M617" t="s">
        <v>997</v>
      </c>
      <c r="N617" t="s">
        <v>185</v>
      </c>
      <c r="O617" t="s">
        <v>1171</v>
      </c>
      <c r="P617" t="s">
        <v>867</v>
      </c>
      <c r="Q617" t="s">
        <v>1172</v>
      </c>
      <c r="R617" t="s">
        <v>1173</v>
      </c>
      <c r="S617" t="s">
        <v>232</v>
      </c>
      <c r="T617" t="s">
        <v>502</v>
      </c>
      <c r="U617" t="s">
        <v>287</v>
      </c>
      <c r="V617" t="s">
        <v>234</v>
      </c>
      <c r="W617" t="s">
        <v>58</v>
      </c>
      <c r="X617" t="s">
        <v>235</v>
      </c>
      <c r="Y617" t="s">
        <v>288</v>
      </c>
      <c r="Z617">
        <v>3275</v>
      </c>
      <c r="AA617">
        <v>3275</v>
      </c>
      <c r="AB617" t="s">
        <v>237</v>
      </c>
      <c r="AC617">
        <v>5.07</v>
      </c>
      <c r="AD617">
        <v>16604.25</v>
      </c>
      <c r="AE617">
        <v>4552.25</v>
      </c>
      <c r="AF617" t="s">
        <v>870</v>
      </c>
      <c r="AG617">
        <v>12052</v>
      </c>
      <c r="AH617">
        <v>0.73</v>
      </c>
    </row>
    <row r="618" spans="1:34" x14ac:dyDescent="0.25">
      <c r="A618" t="s">
        <v>2338</v>
      </c>
      <c r="B618">
        <v>617</v>
      </c>
      <c r="C618" t="s">
        <v>487</v>
      </c>
      <c r="D618" t="s">
        <v>322</v>
      </c>
      <c r="E618" t="s">
        <v>512</v>
      </c>
      <c r="F618" t="s">
        <v>2991</v>
      </c>
      <c r="G618" s="25">
        <v>44289</v>
      </c>
      <c r="H618">
        <v>19</v>
      </c>
      <c r="I618">
        <v>93</v>
      </c>
      <c r="J618" t="s">
        <v>2992</v>
      </c>
      <c r="K618" t="s">
        <v>921</v>
      </c>
      <c r="L618" t="s">
        <v>231</v>
      </c>
      <c r="M618" t="s">
        <v>911</v>
      </c>
      <c r="N618" t="s">
        <v>186</v>
      </c>
      <c r="O618" t="s">
        <v>2993</v>
      </c>
      <c r="P618" t="s">
        <v>867</v>
      </c>
      <c r="Q618" t="s">
        <v>2994</v>
      </c>
      <c r="R618" t="s">
        <v>2995</v>
      </c>
      <c r="S618" t="s">
        <v>232</v>
      </c>
      <c r="T618" t="s">
        <v>505</v>
      </c>
      <c r="U618" t="s">
        <v>41</v>
      </c>
      <c r="V618" t="s">
        <v>234</v>
      </c>
      <c r="W618" t="s">
        <v>40</v>
      </c>
      <c r="X618" t="s">
        <v>21</v>
      </c>
      <c r="Y618" t="s">
        <v>266</v>
      </c>
      <c r="Z618">
        <v>2856</v>
      </c>
      <c r="AA618">
        <v>2856</v>
      </c>
      <c r="AB618" t="s">
        <v>237</v>
      </c>
      <c r="AC618">
        <v>4.51</v>
      </c>
      <c r="AD618">
        <v>12880.56</v>
      </c>
      <c r="AE618">
        <v>2570.4</v>
      </c>
      <c r="AF618" t="s">
        <v>870</v>
      </c>
      <c r="AG618">
        <v>10310.16</v>
      </c>
      <c r="AH618">
        <v>0.8</v>
      </c>
    </row>
    <row r="619" spans="1:34" x14ac:dyDescent="0.25">
      <c r="A619" t="s">
        <v>2875</v>
      </c>
      <c r="B619">
        <v>618</v>
      </c>
      <c r="C619" t="s">
        <v>487</v>
      </c>
      <c r="D619" t="s">
        <v>322</v>
      </c>
      <c r="E619" t="s">
        <v>512</v>
      </c>
      <c r="F619" t="s">
        <v>2991</v>
      </c>
      <c r="G619" s="25">
        <v>44289</v>
      </c>
      <c r="H619">
        <v>19</v>
      </c>
      <c r="I619">
        <v>93</v>
      </c>
      <c r="J619" t="s">
        <v>2992</v>
      </c>
      <c r="K619" t="s">
        <v>956</v>
      </c>
      <c r="L619" t="s">
        <v>231</v>
      </c>
      <c r="M619" t="s">
        <v>911</v>
      </c>
      <c r="N619" t="s">
        <v>186</v>
      </c>
      <c r="O619" t="s">
        <v>2993</v>
      </c>
      <c r="P619" t="s">
        <v>867</v>
      </c>
      <c r="Q619" t="s">
        <v>2994</v>
      </c>
      <c r="R619" t="s">
        <v>2995</v>
      </c>
      <c r="S619" t="s">
        <v>232</v>
      </c>
      <c r="T619" t="s">
        <v>491</v>
      </c>
      <c r="U619" t="s">
        <v>233</v>
      </c>
      <c r="V619" t="s">
        <v>234</v>
      </c>
      <c r="W619" t="s">
        <v>54</v>
      </c>
      <c r="X619" t="s">
        <v>235</v>
      </c>
      <c r="Y619" t="s">
        <v>236</v>
      </c>
      <c r="Z619">
        <v>74</v>
      </c>
      <c r="AA619">
        <v>74</v>
      </c>
      <c r="AB619" t="s">
        <v>237</v>
      </c>
      <c r="AC619">
        <v>6.09</v>
      </c>
      <c r="AD619">
        <v>450.66</v>
      </c>
      <c r="AE619">
        <v>167.98</v>
      </c>
      <c r="AF619" t="s">
        <v>870</v>
      </c>
      <c r="AG619">
        <v>282.68</v>
      </c>
      <c r="AH619">
        <v>0.63</v>
      </c>
    </row>
    <row r="620" spans="1:34" x14ac:dyDescent="0.25">
      <c r="A620" t="s">
        <v>2152</v>
      </c>
      <c r="B620">
        <v>619</v>
      </c>
      <c r="C620" t="s">
        <v>487</v>
      </c>
      <c r="D620" t="s">
        <v>322</v>
      </c>
      <c r="E620" t="s">
        <v>512</v>
      </c>
      <c r="F620" t="s">
        <v>2991</v>
      </c>
      <c r="G620" s="25">
        <v>44289</v>
      </c>
      <c r="H620">
        <v>19</v>
      </c>
      <c r="I620">
        <v>93</v>
      </c>
      <c r="J620" t="s">
        <v>2992</v>
      </c>
      <c r="K620" t="s">
        <v>510</v>
      </c>
      <c r="L620" t="s">
        <v>231</v>
      </c>
      <c r="M620" t="s">
        <v>911</v>
      </c>
      <c r="N620" t="s">
        <v>186</v>
      </c>
      <c r="O620" t="s">
        <v>2993</v>
      </c>
      <c r="P620" t="s">
        <v>867</v>
      </c>
      <c r="Q620" t="s">
        <v>2994</v>
      </c>
      <c r="R620" t="s">
        <v>2995</v>
      </c>
      <c r="S620" t="s">
        <v>232</v>
      </c>
      <c r="T620" t="s">
        <v>502</v>
      </c>
      <c r="U620" t="s">
        <v>287</v>
      </c>
      <c r="V620" t="s">
        <v>234</v>
      </c>
      <c r="W620" t="s">
        <v>58</v>
      </c>
      <c r="X620" t="s">
        <v>235</v>
      </c>
      <c r="Y620" t="s">
        <v>288</v>
      </c>
      <c r="Z620">
        <v>2894</v>
      </c>
      <c r="AA620">
        <v>2894</v>
      </c>
      <c r="AB620" t="s">
        <v>237</v>
      </c>
      <c r="AC620">
        <v>5.07</v>
      </c>
      <c r="AD620">
        <v>14672.58</v>
      </c>
      <c r="AE620">
        <v>4022.66</v>
      </c>
      <c r="AF620" t="s">
        <v>870</v>
      </c>
      <c r="AG620">
        <v>10649.92</v>
      </c>
      <c r="AH620">
        <v>0.73</v>
      </c>
    </row>
    <row r="621" spans="1:34" x14ac:dyDescent="0.25">
      <c r="A621" t="s">
        <v>2220</v>
      </c>
      <c r="B621">
        <v>620</v>
      </c>
      <c r="C621" t="s">
        <v>487</v>
      </c>
      <c r="D621" t="s">
        <v>322</v>
      </c>
      <c r="E621" t="s">
        <v>512</v>
      </c>
      <c r="F621" t="s">
        <v>2991</v>
      </c>
      <c r="G621" s="25">
        <v>44289</v>
      </c>
      <c r="H621">
        <v>19</v>
      </c>
      <c r="I621">
        <v>93</v>
      </c>
      <c r="J621" t="s">
        <v>2992</v>
      </c>
      <c r="K621" t="s">
        <v>876</v>
      </c>
      <c r="L621" t="s">
        <v>231</v>
      </c>
      <c r="M621" t="s">
        <v>911</v>
      </c>
      <c r="N621" t="s">
        <v>186</v>
      </c>
      <c r="O621" t="s">
        <v>2993</v>
      </c>
      <c r="P621" t="s">
        <v>867</v>
      </c>
      <c r="Q621" t="s">
        <v>2994</v>
      </c>
      <c r="R621" t="s">
        <v>2995</v>
      </c>
      <c r="S621" t="s">
        <v>232</v>
      </c>
      <c r="T621" t="s">
        <v>502</v>
      </c>
      <c r="U621" t="s">
        <v>287</v>
      </c>
      <c r="V621" t="s">
        <v>234</v>
      </c>
      <c r="W621" t="s">
        <v>58</v>
      </c>
      <c r="X621" t="s">
        <v>235</v>
      </c>
      <c r="Y621" t="s">
        <v>288</v>
      </c>
      <c r="Z621">
        <v>606</v>
      </c>
      <c r="AA621">
        <v>606</v>
      </c>
      <c r="AB621" t="s">
        <v>237</v>
      </c>
      <c r="AC621">
        <v>5.07</v>
      </c>
      <c r="AD621">
        <v>3072.42</v>
      </c>
      <c r="AE621">
        <v>842.34</v>
      </c>
      <c r="AF621" t="s">
        <v>870</v>
      </c>
      <c r="AG621">
        <v>2230.08</v>
      </c>
      <c r="AH621">
        <v>0.73</v>
      </c>
    </row>
    <row r="622" spans="1:34" x14ac:dyDescent="0.25">
      <c r="A622" t="s">
        <v>1725</v>
      </c>
      <c r="B622">
        <v>621</v>
      </c>
      <c r="C622" t="s">
        <v>487</v>
      </c>
      <c r="D622" t="s">
        <v>322</v>
      </c>
      <c r="E622" t="s">
        <v>512</v>
      </c>
      <c r="F622" t="s">
        <v>2991</v>
      </c>
      <c r="G622" s="25">
        <v>44289</v>
      </c>
      <c r="H622">
        <v>19</v>
      </c>
      <c r="I622">
        <v>93</v>
      </c>
      <c r="J622" t="s">
        <v>2996</v>
      </c>
      <c r="K622" t="s">
        <v>510</v>
      </c>
      <c r="L622" t="s">
        <v>231</v>
      </c>
      <c r="M622" t="s">
        <v>931</v>
      </c>
      <c r="N622" t="s">
        <v>186</v>
      </c>
      <c r="O622" t="s">
        <v>1130</v>
      </c>
      <c r="P622" t="s">
        <v>867</v>
      </c>
      <c r="Q622" t="s">
        <v>2997</v>
      </c>
      <c r="R622" t="s">
        <v>2998</v>
      </c>
      <c r="S622" t="s">
        <v>537</v>
      </c>
      <c r="T622" t="s">
        <v>505</v>
      </c>
      <c r="U622" t="s">
        <v>41</v>
      </c>
      <c r="V622" t="s">
        <v>234</v>
      </c>
      <c r="W622" t="s">
        <v>40</v>
      </c>
      <c r="X622" t="s">
        <v>21</v>
      </c>
      <c r="Y622" t="s">
        <v>266</v>
      </c>
      <c r="Z622">
        <v>2959</v>
      </c>
      <c r="AA622">
        <v>2959</v>
      </c>
      <c r="AB622" t="s">
        <v>237</v>
      </c>
      <c r="AC622">
        <v>4.42</v>
      </c>
      <c r="AD622">
        <v>13078.78</v>
      </c>
      <c r="AE622">
        <v>2663.1</v>
      </c>
      <c r="AF622" t="s">
        <v>870</v>
      </c>
      <c r="AG622">
        <v>10415.68</v>
      </c>
      <c r="AH622">
        <v>0.8</v>
      </c>
    </row>
    <row r="623" spans="1:34" x14ac:dyDescent="0.25">
      <c r="A623" t="s">
        <v>2287</v>
      </c>
      <c r="B623">
        <v>622</v>
      </c>
      <c r="C623" t="s">
        <v>487</v>
      </c>
      <c r="D623" t="s">
        <v>322</v>
      </c>
      <c r="E623" t="s">
        <v>537</v>
      </c>
      <c r="F623" t="s">
        <v>2999</v>
      </c>
      <c r="G623" s="25">
        <v>44290</v>
      </c>
      <c r="H623">
        <v>19</v>
      </c>
      <c r="I623">
        <v>94</v>
      </c>
      <c r="J623" t="s">
        <v>3000</v>
      </c>
      <c r="K623" t="s">
        <v>510</v>
      </c>
      <c r="L623" t="s">
        <v>231</v>
      </c>
      <c r="M623" t="s">
        <v>997</v>
      </c>
      <c r="N623" t="s">
        <v>185</v>
      </c>
      <c r="O623" t="s">
        <v>1385</v>
      </c>
      <c r="P623" t="s">
        <v>867</v>
      </c>
      <c r="Q623" t="s">
        <v>1386</v>
      </c>
      <c r="R623" t="s">
        <v>1387</v>
      </c>
      <c r="S623" t="s">
        <v>537</v>
      </c>
      <c r="T623" t="s">
        <v>505</v>
      </c>
      <c r="U623" t="s">
        <v>41</v>
      </c>
      <c r="V623" t="s">
        <v>234</v>
      </c>
      <c r="W623" t="s">
        <v>40</v>
      </c>
      <c r="X623" t="s">
        <v>21</v>
      </c>
      <c r="Y623" t="s">
        <v>266</v>
      </c>
      <c r="Z623">
        <v>3557</v>
      </c>
      <c r="AA623">
        <v>3557</v>
      </c>
      <c r="AB623" t="s">
        <v>237</v>
      </c>
      <c r="AC623">
        <v>4.42</v>
      </c>
      <c r="AD623">
        <v>15721.94</v>
      </c>
      <c r="AE623">
        <v>3201.3</v>
      </c>
      <c r="AF623" t="s">
        <v>870</v>
      </c>
      <c r="AG623">
        <v>12520.64</v>
      </c>
      <c r="AH623">
        <v>0.8</v>
      </c>
    </row>
    <row r="624" spans="1:34" x14ac:dyDescent="0.25">
      <c r="A624" t="s">
        <v>2728</v>
      </c>
      <c r="B624">
        <v>623</v>
      </c>
      <c r="C624" t="s">
        <v>487</v>
      </c>
      <c r="D624" t="s">
        <v>322</v>
      </c>
      <c r="E624" t="s">
        <v>537</v>
      </c>
      <c r="F624" t="s">
        <v>2999</v>
      </c>
      <c r="G624" s="25">
        <v>44290</v>
      </c>
      <c r="H624">
        <v>19</v>
      </c>
      <c r="I624">
        <v>94</v>
      </c>
      <c r="J624" t="s">
        <v>3001</v>
      </c>
      <c r="K624" t="s">
        <v>510</v>
      </c>
      <c r="L624" t="s">
        <v>231</v>
      </c>
      <c r="M624" t="s">
        <v>997</v>
      </c>
      <c r="N624" t="s">
        <v>185</v>
      </c>
      <c r="O624" t="s">
        <v>998</v>
      </c>
      <c r="P624" t="s">
        <v>867</v>
      </c>
      <c r="Q624" t="s">
        <v>999</v>
      </c>
      <c r="R624" t="s">
        <v>1000</v>
      </c>
      <c r="S624" t="s">
        <v>537</v>
      </c>
      <c r="T624" t="s">
        <v>505</v>
      </c>
      <c r="U624" t="s">
        <v>41</v>
      </c>
      <c r="V624" t="s">
        <v>234</v>
      </c>
      <c r="W624" t="s">
        <v>40</v>
      </c>
      <c r="X624" t="s">
        <v>21</v>
      </c>
      <c r="Y624" t="s">
        <v>266</v>
      </c>
      <c r="Z624">
        <v>2996</v>
      </c>
      <c r="AA624">
        <v>2996</v>
      </c>
      <c r="AB624" t="s">
        <v>237</v>
      </c>
      <c r="AC624">
        <v>4.42</v>
      </c>
      <c r="AD624">
        <v>13242.32</v>
      </c>
      <c r="AE624">
        <v>2696.4</v>
      </c>
      <c r="AF624" t="s">
        <v>870</v>
      </c>
      <c r="AG624">
        <v>10545.92</v>
      </c>
      <c r="AH624">
        <v>0.8</v>
      </c>
    </row>
    <row r="625" spans="1:34" x14ac:dyDescent="0.25">
      <c r="A625" t="s">
        <v>1796</v>
      </c>
      <c r="B625">
        <v>624</v>
      </c>
      <c r="C625" t="s">
        <v>487</v>
      </c>
      <c r="D625" t="s">
        <v>322</v>
      </c>
      <c r="E625" t="s">
        <v>537</v>
      </c>
      <c r="F625" t="s">
        <v>2999</v>
      </c>
      <c r="G625" s="25">
        <v>44290</v>
      </c>
      <c r="H625">
        <v>19</v>
      </c>
      <c r="I625">
        <v>94</v>
      </c>
      <c r="J625" t="s">
        <v>3002</v>
      </c>
      <c r="K625" t="s">
        <v>510</v>
      </c>
      <c r="L625" t="s">
        <v>231</v>
      </c>
      <c r="M625" t="s">
        <v>926</v>
      </c>
      <c r="N625" t="s">
        <v>185</v>
      </c>
      <c r="O625" t="s">
        <v>3003</v>
      </c>
      <c r="P625" t="s">
        <v>867</v>
      </c>
      <c r="Q625" t="s">
        <v>3004</v>
      </c>
      <c r="R625" t="s">
        <v>3005</v>
      </c>
      <c r="S625" t="s">
        <v>537</v>
      </c>
      <c r="T625" t="s">
        <v>505</v>
      </c>
      <c r="U625" t="s">
        <v>41</v>
      </c>
      <c r="V625" t="s">
        <v>234</v>
      </c>
      <c r="W625" t="s">
        <v>40</v>
      </c>
      <c r="X625" t="s">
        <v>21</v>
      </c>
      <c r="Y625" t="s">
        <v>266</v>
      </c>
      <c r="Z625">
        <v>3073</v>
      </c>
      <c r="AA625">
        <v>3073</v>
      </c>
      <c r="AB625" t="s">
        <v>237</v>
      </c>
      <c r="AC625">
        <v>4.42</v>
      </c>
      <c r="AD625">
        <v>13582.66</v>
      </c>
      <c r="AE625">
        <v>2765.7</v>
      </c>
      <c r="AF625" t="s">
        <v>870</v>
      </c>
      <c r="AG625">
        <v>10816.96</v>
      </c>
      <c r="AH625">
        <v>0.8</v>
      </c>
    </row>
    <row r="626" spans="1:34" x14ac:dyDescent="0.25">
      <c r="A626" t="s">
        <v>2552</v>
      </c>
      <c r="B626">
        <v>625</v>
      </c>
      <c r="C626" t="s">
        <v>487</v>
      </c>
      <c r="D626" t="s">
        <v>322</v>
      </c>
      <c r="E626" t="s">
        <v>537</v>
      </c>
      <c r="F626" t="s">
        <v>2999</v>
      </c>
      <c r="G626" s="25">
        <v>44290</v>
      </c>
      <c r="H626">
        <v>19</v>
      </c>
      <c r="I626">
        <v>94</v>
      </c>
      <c r="J626" t="s">
        <v>3006</v>
      </c>
      <c r="K626" t="s">
        <v>510</v>
      </c>
      <c r="L626" t="s">
        <v>231</v>
      </c>
      <c r="M626" t="s">
        <v>911</v>
      </c>
      <c r="N626" t="s">
        <v>186</v>
      </c>
      <c r="O626" t="s">
        <v>1121</v>
      </c>
      <c r="P626" t="s">
        <v>867</v>
      </c>
      <c r="Q626" t="s">
        <v>1122</v>
      </c>
      <c r="R626" t="s">
        <v>1123</v>
      </c>
      <c r="S626" t="s">
        <v>537</v>
      </c>
      <c r="T626" t="s">
        <v>505</v>
      </c>
      <c r="U626" t="s">
        <v>41</v>
      </c>
      <c r="V626" t="s">
        <v>234</v>
      </c>
      <c r="W626" t="s">
        <v>40</v>
      </c>
      <c r="X626" t="s">
        <v>21</v>
      </c>
      <c r="Y626" t="s">
        <v>266</v>
      </c>
      <c r="Z626">
        <v>3443</v>
      </c>
      <c r="AA626">
        <v>3443</v>
      </c>
      <c r="AB626" t="s">
        <v>237</v>
      </c>
      <c r="AC626">
        <v>4.42</v>
      </c>
      <c r="AD626">
        <v>15218.06</v>
      </c>
      <c r="AE626">
        <v>3098.7</v>
      </c>
      <c r="AF626" t="s">
        <v>870</v>
      </c>
      <c r="AG626">
        <v>12119.36</v>
      </c>
      <c r="AH626">
        <v>0.8</v>
      </c>
    </row>
    <row r="627" spans="1:34" x14ac:dyDescent="0.25">
      <c r="A627" t="s">
        <v>2613</v>
      </c>
      <c r="B627">
        <v>626</v>
      </c>
      <c r="C627" t="s">
        <v>487</v>
      </c>
      <c r="D627" t="s">
        <v>322</v>
      </c>
      <c r="E627" t="s">
        <v>537</v>
      </c>
      <c r="F627" t="s">
        <v>2999</v>
      </c>
      <c r="G627" s="25">
        <v>44290</v>
      </c>
      <c r="H627">
        <v>19</v>
      </c>
      <c r="I627">
        <v>94</v>
      </c>
      <c r="J627" t="s">
        <v>3007</v>
      </c>
      <c r="K627" t="s">
        <v>510</v>
      </c>
      <c r="L627" t="s">
        <v>231</v>
      </c>
      <c r="M627" t="s">
        <v>865</v>
      </c>
      <c r="N627" t="s">
        <v>186</v>
      </c>
      <c r="O627" t="s">
        <v>1012</v>
      </c>
      <c r="P627" t="s">
        <v>867</v>
      </c>
      <c r="Q627" t="s">
        <v>1325</v>
      </c>
      <c r="R627" t="s">
        <v>1423</v>
      </c>
      <c r="S627" t="s">
        <v>537</v>
      </c>
      <c r="T627" t="s">
        <v>505</v>
      </c>
      <c r="U627" t="s">
        <v>41</v>
      </c>
      <c r="V627" t="s">
        <v>234</v>
      </c>
      <c r="W627" t="s">
        <v>40</v>
      </c>
      <c r="X627" t="s">
        <v>21</v>
      </c>
      <c r="Y627" t="s">
        <v>266</v>
      </c>
      <c r="Z627">
        <v>3462</v>
      </c>
      <c r="AA627">
        <v>3462</v>
      </c>
      <c r="AB627" t="s">
        <v>237</v>
      </c>
      <c r="AC627">
        <v>4.42</v>
      </c>
      <c r="AD627">
        <v>15302.04</v>
      </c>
      <c r="AE627">
        <v>3115.8</v>
      </c>
      <c r="AF627" t="s">
        <v>870</v>
      </c>
      <c r="AG627">
        <v>12186.24</v>
      </c>
      <c r="AH627">
        <v>0.8</v>
      </c>
    </row>
    <row r="628" spans="1:34" x14ac:dyDescent="0.25">
      <c r="A628" t="s">
        <v>2109</v>
      </c>
      <c r="B628">
        <v>627</v>
      </c>
      <c r="C628" t="s">
        <v>487</v>
      </c>
      <c r="D628" t="s">
        <v>322</v>
      </c>
      <c r="E628" t="s">
        <v>537</v>
      </c>
      <c r="F628" t="s">
        <v>2999</v>
      </c>
      <c r="G628" s="25">
        <v>44290</v>
      </c>
      <c r="H628">
        <v>19</v>
      </c>
      <c r="I628">
        <v>94</v>
      </c>
      <c r="J628" t="s">
        <v>3008</v>
      </c>
      <c r="K628" t="s">
        <v>510</v>
      </c>
      <c r="L628" t="s">
        <v>231</v>
      </c>
      <c r="M628" t="s">
        <v>872</v>
      </c>
      <c r="N628" t="s">
        <v>184</v>
      </c>
      <c r="O628" t="s">
        <v>1497</v>
      </c>
      <c r="P628" t="s">
        <v>867</v>
      </c>
      <c r="Q628" t="s">
        <v>3009</v>
      </c>
      <c r="R628" t="s">
        <v>3010</v>
      </c>
      <c r="S628" t="s">
        <v>537</v>
      </c>
      <c r="T628" t="s">
        <v>505</v>
      </c>
      <c r="U628" t="s">
        <v>41</v>
      </c>
      <c r="V628" t="s">
        <v>234</v>
      </c>
      <c r="W628" t="s">
        <v>40</v>
      </c>
      <c r="X628" t="s">
        <v>21</v>
      </c>
      <c r="Y628" t="s">
        <v>266</v>
      </c>
      <c r="Z628">
        <v>3366</v>
      </c>
      <c r="AA628">
        <v>3366</v>
      </c>
      <c r="AB628" t="s">
        <v>237</v>
      </c>
      <c r="AC628">
        <v>4.42</v>
      </c>
      <c r="AD628">
        <v>14877.72</v>
      </c>
      <c r="AE628">
        <v>3029.4</v>
      </c>
      <c r="AF628" t="s">
        <v>870</v>
      </c>
      <c r="AG628">
        <v>11848.32</v>
      </c>
      <c r="AH628">
        <v>0.8</v>
      </c>
    </row>
    <row r="629" spans="1:34" x14ac:dyDescent="0.25">
      <c r="A629" t="s">
        <v>2112</v>
      </c>
      <c r="B629">
        <v>628</v>
      </c>
      <c r="C629" t="s">
        <v>487</v>
      </c>
      <c r="D629" t="s">
        <v>322</v>
      </c>
      <c r="E629" t="s">
        <v>537</v>
      </c>
      <c r="F629" t="s">
        <v>2999</v>
      </c>
      <c r="G629" s="25">
        <v>44290</v>
      </c>
      <c r="H629">
        <v>19</v>
      </c>
      <c r="I629">
        <v>94</v>
      </c>
      <c r="J629" t="s">
        <v>3011</v>
      </c>
      <c r="K629" t="s">
        <v>510</v>
      </c>
      <c r="L629" t="s">
        <v>231</v>
      </c>
      <c r="M629" t="s">
        <v>926</v>
      </c>
      <c r="N629" t="s">
        <v>185</v>
      </c>
      <c r="O629" t="s">
        <v>953</v>
      </c>
      <c r="P629" t="s">
        <v>867</v>
      </c>
      <c r="Q629" t="s">
        <v>3012</v>
      </c>
      <c r="R629" t="s">
        <v>3013</v>
      </c>
      <c r="S629" t="s">
        <v>537</v>
      </c>
      <c r="T629" t="s">
        <v>504</v>
      </c>
      <c r="U629" t="s">
        <v>43</v>
      </c>
      <c r="V629" t="s">
        <v>234</v>
      </c>
      <c r="W629" t="s">
        <v>42</v>
      </c>
      <c r="X629" t="s">
        <v>21</v>
      </c>
      <c r="Y629" t="s">
        <v>236</v>
      </c>
      <c r="Z629">
        <v>3158</v>
      </c>
      <c r="AA629">
        <v>3158</v>
      </c>
      <c r="AB629" t="s">
        <v>237</v>
      </c>
      <c r="AC629">
        <v>4.8</v>
      </c>
      <c r="AD629">
        <v>15158.4</v>
      </c>
      <c r="AE629">
        <v>3884.34</v>
      </c>
      <c r="AF629" t="s">
        <v>870</v>
      </c>
      <c r="AG629">
        <v>11274.06</v>
      </c>
      <c r="AH629">
        <v>0.74</v>
      </c>
    </row>
    <row r="630" spans="1:34" x14ac:dyDescent="0.25">
      <c r="A630" t="s">
        <v>2421</v>
      </c>
      <c r="B630">
        <v>629</v>
      </c>
      <c r="C630" t="s">
        <v>487</v>
      </c>
      <c r="D630" t="s">
        <v>322</v>
      </c>
      <c r="E630" t="s">
        <v>575</v>
      </c>
      <c r="F630" t="s">
        <v>3014</v>
      </c>
      <c r="G630" s="25">
        <v>44291</v>
      </c>
      <c r="H630">
        <v>19</v>
      </c>
      <c r="I630">
        <v>95</v>
      </c>
      <c r="J630" t="s">
        <v>3015</v>
      </c>
      <c r="K630" t="s">
        <v>510</v>
      </c>
      <c r="L630" t="s">
        <v>231</v>
      </c>
      <c r="M630" t="s">
        <v>883</v>
      </c>
      <c r="N630" t="s">
        <v>185</v>
      </c>
      <c r="O630" t="s">
        <v>884</v>
      </c>
      <c r="P630" t="s">
        <v>867</v>
      </c>
      <c r="Q630" t="s">
        <v>885</v>
      </c>
      <c r="R630" t="s">
        <v>886</v>
      </c>
      <c r="S630" t="s">
        <v>537</v>
      </c>
      <c r="T630" t="s">
        <v>505</v>
      </c>
      <c r="U630" t="s">
        <v>41</v>
      </c>
      <c r="V630" t="s">
        <v>234</v>
      </c>
      <c r="W630" t="s">
        <v>40</v>
      </c>
      <c r="X630" t="s">
        <v>21</v>
      </c>
      <c r="Y630" t="s">
        <v>266</v>
      </c>
      <c r="Z630">
        <v>3475</v>
      </c>
      <c r="AA630">
        <v>3475</v>
      </c>
      <c r="AB630" t="s">
        <v>237</v>
      </c>
      <c r="AC630">
        <v>4.42</v>
      </c>
      <c r="AD630">
        <v>15359.5</v>
      </c>
      <c r="AE630">
        <v>3127.5</v>
      </c>
      <c r="AF630" t="s">
        <v>870</v>
      </c>
      <c r="AG630">
        <v>12232</v>
      </c>
      <c r="AH630">
        <v>0.8</v>
      </c>
    </row>
    <row r="631" spans="1:34" x14ac:dyDescent="0.25">
      <c r="A631" t="s">
        <v>1909</v>
      </c>
      <c r="B631">
        <v>630</v>
      </c>
      <c r="C631" t="s">
        <v>487</v>
      </c>
      <c r="D631" t="s">
        <v>322</v>
      </c>
      <c r="E631" t="s">
        <v>575</v>
      </c>
      <c r="F631" t="s">
        <v>3014</v>
      </c>
      <c r="G631" s="25">
        <v>44291</v>
      </c>
      <c r="H631">
        <v>19</v>
      </c>
      <c r="I631">
        <v>95</v>
      </c>
      <c r="J631" t="s">
        <v>3016</v>
      </c>
      <c r="K631" t="s">
        <v>510</v>
      </c>
      <c r="L631" t="s">
        <v>231</v>
      </c>
      <c r="M631" t="s">
        <v>997</v>
      </c>
      <c r="N631" t="s">
        <v>185</v>
      </c>
      <c r="O631" t="s">
        <v>1004</v>
      </c>
      <c r="P631" t="s">
        <v>867</v>
      </c>
      <c r="Q631" t="s">
        <v>1005</v>
      </c>
      <c r="R631" t="s">
        <v>1006</v>
      </c>
      <c r="S631" t="s">
        <v>537</v>
      </c>
      <c r="T631" t="s">
        <v>504</v>
      </c>
      <c r="U631" t="s">
        <v>43</v>
      </c>
      <c r="V631" t="s">
        <v>234</v>
      </c>
      <c r="W631" t="s">
        <v>42</v>
      </c>
      <c r="X631" t="s">
        <v>21</v>
      </c>
      <c r="Y631" t="s">
        <v>236</v>
      </c>
      <c r="Z631">
        <v>2864</v>
      </c>
      <c r="AA631">
        <v>2864</v>
      </c>
      <c r="AB631" t="s">
        <v>237</v>
      </c>
      <c r="AC631">
        <v>4.8</v>
      </c>
      <c r="AD631">
        <v>13747.2</v>
      </c>
      <c r="AE631">
        <v>3522.72</v>
      </c>
      <c r="AF631" t="s">
        <v>870</v>
      </c>
      <c r="AG631">
        <v>10224.48</v>
      </c>
      <c r="AH631">
        <v>0.74</v>
      </c>
    </row>
    <row r="632" spans="1:34" x14ac:dyDescent="0.25">
      <c r="A632" t="s">
        <v>2254</v>
      </c>
      <c r="B632">
        <v>631</v>
      </c>
      <c r="C632" t="s">
        <v>487</v>
      </c>
      <c r="D632" t="s">
        <v>322</v>
      </c>
      <c r="E632" t="s">
        <v>575</v>
      </c>
      <c r="F632" t="s">
        <v>3014</v>
      </c>
      <c r="G632" s="25">
        <v>44291</v>
      </c>
      <c r="H632">
        <v>19</v>
      </c>
      <c r="I632">
        <v>95</v>
      </c>
      <c r="J632" t="s">
        <v>3017</v>
      </c>
      <c r="K632" t="s">
        <v>510</v>
      </c>
      <c r="L632" t="s">
        <v>231</v>
      </c>
      <c r="M632" t="s">
        <v>173</v>
      </c>
      <c r="N632" t="s">
        <v>185</v>
      </c>
      <c r="O632" t="s">
        <v>966</v>
      </c>
      <c r="P632" t="s">
        <v>867</v>
      </c>
      <c r="Q632" t="s">
        <v>3018</v>
      </c>
      <c r="R632" t="s">
        <v>3019</v>
      </c>
      <c r="S632" t="s">
        <v>537</v>
      </c>
      <c r="T632" t="s">
        <v>504</v>
      </c>
      <c r="U632" t="s">
        <v>43</v>
      </c>
      <c r="V632" t="s">
        <v>234</v>
      </c>
      <c r="W632" t="s">
        <v>42</v>
      </c>
      <c r="X632" t="s">
        <v>21</v>
      </c>
      <c r="Y632" t="s">
        <v>236</v>
      </c>
      <c r="Z632">
        <v>2629</v>
      </c>
      <c r="AA632">
        <v>2629</v>
      </c>
      <c r="AB632" t="s">
        <v>237</v>
      </c>
      <c r="AC632">
        <v>4.8</v>
      </c>
      <c r="AD632">
        <v>12619.2</v>
      </c>
      <c r="AE632">
        <v>3233.67</v>
      </c>
      <c r="AF632" t="s">
        <v>870</v>
      </c>
      <c r="AG632">
        <v>9385.5300000000007</v>
      </c>
      <c r="AH632">
        <v>0.74</v>
      </c>
    </row>
    <row r="633" spans="1:34" x14ac:dyDescent="0.25">
      <c r="A633" t="s">
        <v>2472</v>
      </c>
      <c r="B633">
        <v>632</v>
      </c>
      <c r="C633" t="s">
        <v>487</v>
      </c>
      <c r="D633" t="s">
        <v>322</v>
      </c>
      <c r="E633" t="s">
        <v>575</v>
      </c>
      <c r="F633" t="s">
        <v>3014</v>
      </c>
      <c r="G633" s="25">
        <v>44291</v>
      </c>
      <c r="H633">
        <v>19</v>
      </c>
      <c r="I633">
        <v>95</v>
      </c>
      <c r="J633" t="s">
        <v>3020</v>
      </c>
      <c r="K633" t="s">
        <v>510</v>
      </c>
      <c r="L633" t="s">
        <v>231</v>
      </c>
      <c r="M633" t="s">
        <v>931</v>
      </c>
      <c r="N633" t="s">
        <v>186</v>
      </c>
      <c r="O633" t="s">
        <v>1130</v>
      </c>
      <c r="P633" t="s">
        <v>867</v>
      </c>
      <c r="Q633" t="s">
        <v>1131</v>
      </c>
      <c r="R633" t="s">
        <v>1132</v>
      </c>
      <c r="S633" t="s">
        <v>537</v>
      </c>
      <c r="T633" t="s">
        <v>504</v>
      </c>
      <c r="U633" t="s">
        <v>43</v>
      </c>
      <c r="V633" t="s">
        <v>234</v>
      </c>
      <c r="W633" t="s">
        <v>42</v>
      </c>
      <c r="X633" t="s">
        <v>21</v>
      </c>
      <c r="Y633" t="s">
        <v>236</v>
      </c>
      <c r="Z633">
        <v>3410</v>
      </c>
      <c r="AA633">
        <v>3410</v>
      </c>
      <c r="AB633" t="s">
        <v>237</v>
      </c>
      <c r="AC633">
        <v>4.8</v>
      </c>
      <c r="AD633">
        <v>16368</v>
      </c>
      <c r="AE633">
        <v>4194.3</v>
      </c>
      <c r="AF633" t="s">
        <v>870</v>
      </c>
      <c r="AG633">
        <v>12173.7</v>
      </c>
      <c r="AH633">
        <v>0.74</v>
      </c>
    </row>
    <row r="634" spans="1:34" x14ac:dyDescent="0.25">
      <c r="A634" t="s">
        <v>1891</v>
      </c>
      <c r="B634">
        <v>633</v>
      </c>
      <c r="C634" t="s">
        <v>487</v>
      </c>
      <c r="D634" t="s">
        <v>322</v>
      </c>
      <c r="E634" t="s">
        <v>575</v>
      </c>
      <c r="F634" t="s">
        <v>3014</v>
      </c>
      <c r="G634" s="25">
        <v>44291</v>
      </c>
      <c r="H634">
        <v>19</v>
      </c>
      <c r="I634">
        <v>95</v>
      </c>
      <c r="J634" t="s">
        <v>3021</v>
      </c>
      <c r="K634" t="s">
        <v>510</v>
      </c>
      <c r="L634" t="s">
        <v>231</v>
      </c>
      <c r="M634" t="s">
        <v>931</v>
      </c>
      <c r="N634" t="s">
        <v>186</v>
      </c>
      <c r="O634" t="s">
        <v>1455</v>
      </c>
      <c r="P634" t="s">
        <v>867</v>
      </c>
      <c r="Q634" t="s">
        <v>1456</v>
      </c>
      <c r="R634" t="s">
        <v>1457</v>
      </c>
      <c r="S634" t="s">
        <v>537</v>
      </c>
      <c r="T634" t="s">
        <v>504</v>
      </c>
      <c r="U634" t="s">
        <v>43</v>
      </c>
      <c r="V634" t="s">
        <v>234</v>
      </c>
      <c r="W634" t="s">
        <v>42</v>
      </c>
      <c r="X634" t="s">
        <v>21</v>
      </c>
      <c r="Y634" t="s">
        <v>236</v>
      </c>
      <c r="Z634">
        <v>2894</v>
      </c>
      <c r="AA634">
        <v>2894</v>
      </c>
      <c r="AB634" t="s">
        <v>237</v>
      </c>
      <c r="AC634">
        <v>4.8</v>
      </c>
      <c r="AD634">
        <v>13891.2</v>
      </c>
      <c r="AE634">
        <v>3559.62</v>
      </c>
      <c r="AF634" t="s">
        <v>870</v>
      </c>
      <c r="AG634">
        <v>10331.58</v>
      </c>
      <c r="AH634">
        <v>0.74</v>
      </c>
    </row>
    <row r="635" spans="1:34" x14ac:dyDescent="0.25">
      <c r="A635" t="s">
        <v>2641</v>
      </c>
      <c r="B635">
        <v>634</v>
      </c>
      <c r="C635" t="s">
        <v>487</v>
      </c>
      <c r="D635" t="s">
        <v>322</v>
      </c>
      <c r="E635" t="s">
        <v>575</v>
      </c>
      <c r="F635" t="s">
        <v>3014</v>
      </c>
      <c r="G635" s="25">
        <v>44291</v>
      </c>
      <c r="H635">
        <v>19</v>
      </c>
      <c r="I635">
        <v>95</v>
      </c>
      <c r="J635" t="s">
        <v>3022</v>
      </c>
      <c r="K635" t="s">
        <v>510</v>
      </c>
      <c r="L635" t="s">
        <v>231</v>
      </c>
      <c r="M635" t="s">
        <v>865</v>
      </c>
      <c r="N635" t="s">
        <v>186</v>
      </c>
      <c r="O635" t="s">
        <v>1012</v>
      </c>
      <c r="P635" t="s">
        <v>867</v>
      </c>
      <c r="Q635" t="s">
        <v>1013</v>
      </c>
      <c r="R635" t="s">
        <v>1229</v>
      </c>
      <c r="S635" t="s">
        <v>537</v>
      </c>
      <c r="T635" t="s">
        <v>504</v>
      </c>
      <c r="U635" t="s">
        <v>43</v>
      </c>
      <c r="V635" t="s">
        <v>234</v>
      </c>
      <c r="W635" t="s">
        <v>42</v>
      </c>
      <c r="X635" t="s">
        <v>21</v>
      </c>
      <c r="Y635" t="s">
        <v>236</v>
      </c>
      <c r="Z635">
        <v>2936</v>
      </c>
      <c r="AA635">
        <v>2936</v>
      </c>
      <c r="AB635" t="s">
        <v>237</v>
      </c>
      <c r="AC635">
        <v>4.8</v>
      </c>
      <c r="AD635">
        <v>14092.8</v>
      </c>
      <c r="AE635">
        <v>3611.28</v>
      </c>
      <c r="AF635" t="s">
        <v>870</v>
      </c>
      <c r="AG635">
        <v>10481.52</v>
      </c>
      <c r="AH635">
        <v>0.74</v>
      </c>
    </row>
    <row r="636" spans="1:34" x14ac:dyDescent="0.25">
      <c r="A636" t="s">
        <v>1880</v>
      </c>
      <c r="B636">
        <v>635</v>
      </c>
      <c r="C636" t="s">
        <v>487</v>
      </c>
      <c r="D636" t="s">
        <v>322</v>
      </c>
      <c r="E636" t="s">
        <v>575</v>
      </c>
      <c r="F636" t="s">
        <v>3014</v>
      </c>
      <c r="G636" s="25">
        <v>44291</v>
      </c>
      <c r="H636">
        <v>19</v>
      </c>
      <c r="I636">
        <v>95</v>
      </c>
      <c r="J636" t="s">
        <v>3023</v>
      </c>
      <c r="K636" t="s">
        <v>510</v>
      </c>
      <c r="L636" t="s">
        <v>231</v>
      </c>
      <c r="M636" t="s">
        <v>911</v>
      </c>
      <c r="N636" t="s">
        <v>186</v>
      </c>
      <c r="O636" t="s">
        <v>1260</v>
      </c>
      <c r="P636" t="s">
        <v>867</v>
      </c>
      <c r="Q636" t="s">
        <v>1362</v>
      </c>
      <c r="R636" t="s">
        <v>1363</v>
      </c>
      <c r="S636" t="s">
        <v>537</v>
      </c>
      <c r="T636" t="s">
        <v>504</v>
      </c>
      <c r="U636" t="s">
        <v>43</v>
      </c>
      <c r="V636" t="s">
        <v>234</v>
      </c>
      <c r="W636" t="s">
        <v>42</v>
      </c>
      <c r="X636" t="s">
        <v>21</v>
      </c>
      <c r="Y636" t="s">
        <v>236</v>
      </c>
      <c r="Z636">
        <v>2972</v>
      </c>
      <c r="AA636">
        <v>2972</v>
      </c>
      <c r="AB636" t="s">
        <v>237</v>
      </c>
      <c r="AC636">
        <v>4.8</v>
      </c>
      <c r="AD636">
        <v>14265.6</v>
      </c>
      <c r="AE636">
        <v>3655.56</v>
      </c>
      <c r="AF636" t="s">
        <v>870</v>
      </c>
      <c r="AG636">
        <v>10610.04</v>
      </c>
      <c r="AH636">
        <v>0.74</v>
      </c>
    </row>
    <row r="637" spans="1:34" x14ac:dyDescent="0.25">
      <c r="A637" t="s">
        <v>2628</v>
      </c>
      <c r="B637">
        <v>636</v>
      </c>
      <c r="C637" t="s">
        <v>487</v>
      </c>
      <c r="D637" t="s">
        <v>322</v>
      </c>
      <c r="E637" t="s">
        <v>575</v>
      </c>
      <c r="F637" t="s">
        <v>3014</v>
      </c>
      <c r="G637" s="25">
        <v>44291</v>
      </c>
      <c r="H637">
        <v>19</v>
      </c>
      <c r="I637">
        <v>95</v>
      </c>
      <c r="J637" t="s">
        <v>3024</v>
      </c>
      <c r="K637" t="s">
        <v>510</v>
      </c>
      <c r="L637" t="s">
        <v>231</v>
      </c>
      <c r="M637" t="s">
        <v>888</v>
      </c>
      <c r="N637" t="s">
        <v>184</v>
      </c>
      <c r="O637" t="s">
        <v>889</v>
      </c>
      <c r="P637" t="s">
        <v>867</v>
      </c>
      <c r="Q637" t="s">
        <v>890</v>
      </c>
      <c r="R637" t="s">
        <v>891</v>
      </c>
      <c r="S637" t="s">
        <v>537</v>
      </c>
      <c r="T637" t="s">
        <v>504</v>
      </c>
      <c r="U637" t="s">
        <v>43</v>
      </c>
      <c r="V637" t="s">
        <v>234</v>
      </c>
      <c r="W637" t="s">
        <v>42</v>
      </c>
      <c r="X637" t="s">
        <v>21</v>
      </c>
      <c r="Y637" t="s">
        <v>236</v>
      </c>
      <c r="Z637">
        <v>2731</v>
      </c>
      <c r="AA637">
        <v>2731</v>
      </c>
      <c r="AB637" t="s">
        <v>237</v>
      </c>
      <c r="AC637">
        <v>4.8</v>
      </c>
      <c r="AD637">
        <v>13108.8</v>
      </c>
      <c r="AE637">
        <v>3359.13</v>
      </c>
      <c r="AF637" t="s">
        <v>870</v>
      </c>
      <c r="AG637">
        <v>9749.67</v>
      </c>
      <c r="AH637">
        <v>0.74</v>
      </c>
    </row>
    <row r="638" spans="1:34" x14ac:dyDescent="0.25">
      <c r="A638" t="s">
        <v>1829</v>
      </c>
      <c r="B638">
        <v>637</v>
      </c>
      <c r="C638" t="s">
        <v>487</v>
      </c>
      <c r="D638" t="s">
        <v>322</v>
      </c>
      <c r="E638" t="s">
        <v>620</v>
      </c>
      <c r="F638" t="s">
        <v>3025</v>
      </c>
      <c r="G638" s="25">
        <v>44292</v>
      </c>
      <c r="H638">
        <v>20</v>
      </c>
      <c r="I638">
        <v>96</v>
      </c>
      <c r="J638" t="s">
        <v>3026</v>
      </c>
      <c r="K638" t="s">
        <v>956</v>
      </c>
      <c r="L638" t="s">
        <v>231</v>
      </c>
      <c r="M638" t="s">
        <v>931</v>
      </c>
      <c r="N638" t="s">
        <v>186</v>
      </c>
      <c r="O638" t="s">
        <v>1194</v>
      </c>
      <c r="P638" t="s">
        <v>867</v>
      </c>
      <c r="Q638" t="s">
        <v>1195</v>
      </c>
      <c r="R638" t="s">
        <v>1196</v>
      </c>
      <c r="S638" t="s">
        <v>232</v>
      </c>
      <c r="T638" t="s">
        <v>505</v>
      </c>
      <c r="U638" t="s">
        <v>41</v>
      </c>
      <c r="V638" t="s">
        <v>234</v>
      </c>
      <c r="W638" t="s">
        <v>40</v>
      </c>
      <c r="X638" t="s">
        <v>21</v>
      </c>
      <c r="Y638" t="s">
        <v>266</v>
      </c>
      <c r="Z638">
        <v>813</v>
      </c>
      <c r="AA638">
        <v>813</v>
      </c>
      <c r="AB638" t="s">
        <v>237</v>
      </c>
      <c r="AC638">
        <v>4.51</v>
      </c>
      <c r="AD638">
        <v>3666.63</v>
      </c>
      <c r="AE638">
        <v>731.7</v>
      </c>
      <c r="AF638" t="s">
        <v>870</v>
      </c>
      <c r="AG638">
        <v>2934.93</v>
      </c>
      <c r="AH638">
        <v>0.8</v>
      </c>
    </row>
    <row r="639" spans="1:34" x14ac:dyDescent="0.25">
      <c r="A639" t="s">
        <v>1837</v>
      </c>
      <c r="B639">
        <v>638</v>
      </c>
      <c r="C639" t="s">
        <v>487</v>
      </c>
      <c r="D639" t="s">
        <v>322</v>
      </c>
      <c r="E639" t="s">
        <v>620</v>
      </c>
      <c r="F639" t="s">
        <v>3025</v>
      </c>
      <c r="G639" s="25">
        <v>44292</v>
      </c>
      <c r="H639">
        <v>20</v>
      </c>
      <c r="I639">
        <v>96</v>
      </c>
      <c r="J639" t="s">
        <v>3026</v>
      </c>
      <c r="K639" t="s">
        <v>921</v>
      </c>
      <c r="L639" t="s">
        <v>231</v>
      </c>
      <c r="M639" t="s">
        <v>931</v>
      </c>
      <c r="N639" t="s">
        <v>186</v>
      </c>
      <c r="O639" t="s">
        <v>1194</v>
      </c>
      <c r="P639" t="s">
        <v>867</v>
      </c>
      <c r="Q639" t="s">
        <v>1195</v>
      </c>
      <c r="R639" t="s">
        <v>1196</v>
      </c>
      <c r="S639" t="s">
        <v>232</v>
      </c>
      <c r="T639" t="s">
        <v>504</v>
      </c>
      <c r="U639" t="s">
        <v>43</v>
      </c>
      <c r="V639" t="s">
        <v>234</v>
      </c>
      <c r="W639" t="s">
        <v>42</v>
      </c>
      <c r="X639" t="s">
        <v>21</v>
      </c>
      <c r="Y639" t="s">
        <v>236</v>
      </c>
      <c r="Z639">
        <v>2594</v>
      </c>
      <c r="AA639">
        <v>2594</v>
      </c>
      <c r="AB639" t="s">
        <v>237</v>
      </c>
      <c r="AC639">
        <v>4.9000000000000004</v>
      </c>
      <c r="AD639">
        <v>12710.6</v>
      </c>
      <c r="AE639">
        <v>3190.62</v>
      </c>
      <c r="AF639" t="s">
        <v>870</v>
      </c>
      <c r="AG639">
        <v>9519.98</v>
      </c>
      <c r="AH639">
        <v>0.75</v>
      </c>
    </row>
    <row r="640" spans="1:34" x14ac:dyDescent="0.25">
      <c r="A640" t="s">
        <v>2546</v>
      </c>
      <c r="B640">
        <v>639</v>
      </c>
      <c r="C640" t="s">
        <v>487</v>
      </c>
      <c r="D640" t="s">
        <v>322</v>
      </c>
      <c r="E640" t="s">
        <v>620</v>
      </c>
      <c r="F640" t="s">
        <v>3025</v>
      </c>
      <c r="G640" s="25">
        <v>44292</v>
      </c>
      <c r="H640">
        <v>20</v>
      </c>
      <c r="I640">
        <v>96</v>
      </c>
      <c r="J640" t="s">
        <v>3026</v>
      </c>
      <c r="K640" t="s">
        <v>510</v>
      </c>
      <c r="L640" t="s">
        <v>231</v>
      </c>
      <c r="M640" t="s">
        <v>931</v>
      </c>
      <c r="N640" t="s">
        <v>186</v>
      </c>
      <c r="O640" t="s">
        <v>1194</v>
      </c>
      <c r="P640" t="s">
        <v>867</v>
      </c>
      <c r="Q640" t="s">
        <v>1195</v>
      </c>
      <c r="R640" t="s">
        <v>1196</v>
      </c>
      <c r="S640" t="s">
        <v>232</v>
      </c>
      <c r="T640" t="s">
        <v>504</v>
      </c>
      <c r="U640" t="s">
        <v>43</v>
      </c>
      <c r="V640" t="s">
        <v>234</v>
      </c>
      <c r="W640" t="s">
        <v>42</v>
      </c>
      <c r="X640" t="s">
        <v>21</v>
      </c>
      <c r="Y640" t="s">
        <v>236</v>
      </c>
      <c r="Z640">
        <v>3285</v>
      </c>
      <c r="AA640">
        <v>3285</v>
      </c>
      <c r="AB640" t="s">
        <v>237</v>
      </c>
      <c r="AC640">
        <v>4.9000000000000004</v>
      </c>
      <c r="AD640">
        <v>16096.5</v>
      </c>
      <c r="AE640">
        <v>4040.55</v>
      </c>
      <c r="AF640" t="s">
        <v>870</v>
      </c>
      <c r="AG640">
        <v>12055.95</v>
      </c>
      <c r="AH640">
        <v>0.75</v>
      </c>
    </row>
    <row r="641" spans="1:34" x14ac:dyDescent="0.25">
      <c r="A641" t="s">
        <v>1647</v>
      </c>
      <c r="B641">
        <v>640</v>
      </c>
      <c r="C641" t="s">
        <v>487</v>
      </c>
      <c r="D641" t="s">
        <v>322</v>
      </c>
      <c r="E641" t="s">
        <v>620</v>
      </c>
      <c r="F641" t="s">
        <v>3025</v>
      </c>
      <c r="G641" s="25">
        <v>44292</v>
      </c>
      <c r="H641">
        <v>20</v>
      </c>
      <c r="I641">
        <v>96</v>
      </c>
      <c r="J641" t="s">
        <v>3026</v>
      </c>
      <c r="K641" t="s">
        <v>876</v>
      </c>
      <c r="L641" t="s">
        <v>231</v>
      </c>
      <c r="M641" t="s">
        <v>931</v>
      </c>
      <c r="N641" t="s">
        <v>186</v>
      </c>
      <c r="O641" t="s">
        <v>1194</v>
      </c>
      <c r="P641" t="s">
        <v>867</v>
      </c>
      <c r="Q641" t="s">
        <v>1195</v>
      </c>
      <c r="R641" t="s">
        <v>1196</v>
      </c>
      <c r="S641" t="s">
        <v>232</v>
      </c>
      <c r="T641" t="s">
        <v>508</v>
      </c>
      <c r="U641" t="s">
        <v>47</v>
      </c>
      <c r="V641" t="s">
        <v>234</v>
      </c>
      <c r="W641" t="s">
        <v>46</v>
      </c>
      <c r="X641" t="s">
        <v>21</v>
      </c>
      <c r="Y641" t="s">
        <v>288</v>
      </c>
      <c r="Z641">
        <v>2908</v>
      </c>
      <c r="AA641">
        <v>2908</v>
      </c>
      <c r="AB641" t="s">
        <v>237</v>
      </c>
      <c r="AC641">
        <v>4.3899999999999997</v>
      </c>
      <c r="AD641">
        <v>12766.12</v>
      </c>
      <c r="AE641">
        <v>2297.3200000000002</v>
      </c>
      <c r="AF641" t="s">
        <v>870</v>
      </c>
      <c r="AG641">
        <v>10468.799999999999</v>
      </c>
      <c r="AH641">
        <v>0.82</v>
      </c>
    </row>
    <row r="642" spans="1:34" x14ac:dyDescent="0.25">
      <c r="A642" t="s">
        <v>1639</v>
      </c>
      <c r="B642">
        <v>641</v>
      </c>
      <c r="C642" t="s">
        <v>487</v>
      </c>
      <c r="D642" t="s">
        <v>322</v>
      </c>
      <c r="E642" t="s">
        <v>620</v>
      </c>
      <c r="F642" t="s">
        <v>3025</v>
      </c>
      <c r="G642" s="25">
        <v>44292</v>
      </c>
      <c r="H642">
        <v>20</v>
      </c>
      <c r="I642">
        <v>96</v>
      </c>
      <c r="J642" t="s">
        <v>3027</v>
      </c>
      <c r="K642" t="s">
        <v>510</v>
      </c>
      <c r="L642" t="s">
        <v>231</v>
      </c>
      <c r="M642" t="s">
        <v>1114</v>
      </c>
      <c r="N642" t="s">
        <v>185</v>
      </c>
      <c r="O642" t="s">
        <v>1115</v>
      </c>
      <c r="P642" t="s">
        <v>867</v>
      </c>
      <c r="Q642" t="s">
        <v>1116</v>
      </c>
      <c r="R642" t="s">
        <v>1117</v>
      </c>
      <c r="S642" t="s">
        <v>537</v>
      </c>
      <c r="T642" t="s">
        <v>508</v>
      </c>
      <c r="U642" t="s">
        <v>47</v>
      </c>
      <c r="V642" t="s">
        <v>234</v>
      </c>
      <c r="W642" t="s">
        <v>46</v>
      </c>
      <c r="X642" t="s">
        <v>21</v>
      </c>
      <c r="Y642" t="s">
        <v>288</v>
      </c>
      <c r="Z642">
        <v>3343</v>
      </c>
      <c r="AA642">
        <v>3343</v>
      </c>
      <c r="AB642" t="s">
        <v>237</v>
      </c>
      <c r="AC642">
        <v>4.3</v>
      </c>
      <c r="AD642">
        <v>14374.9</v>
      </c>
      <c r="AE642">
        <v>2640.97</v>
      </c>
      <c r="AF642" t="s">
        <v>870</v>
      </c>
      <c r="AG642">
        <v>11733.93</v>
      </c>
      <c r="AH642">
        <v>0.82</v>
      </c>
    </row>
    <row r="643" spans="1:34" x14ac:dyDescent="0.25">
      <c r="A643" t="s">
        <v>2282</v>
      </c>
      <c r="B643">
        <v>642</v>
      </c>
      <c r="C643" t="s">
        <v>487</v>
      </c>
      <c r="D643" t="s">
        <v>322</v>
      </c>
      <c r="E643" t="s">
        <v>620</v>
      </c>
      <c r="F643" t="s">
        <v>3025</v>
      </c>
      <c r="G643" s="25">
        <v>44292</v>
      </c>
      <c r="H643">
        <v>20</v>
      </c>
      <c r="I643">
        <v>96</v>
      </c>
      <c r="J643" t="s">
        <v>3028</v>
      </c>
      <c r="K643" t="s">
        <v>510</v>
      </c>
      <c r="L643" t="s">
        <v>231</v>
      </c>
      <c r="M643" t="s">
        <v>872</v>
      </c>
      <c r="N643" t="s">
        <v>184</v>
      </c>
      <c r="O643" t="s">
        <v>903</v>
      </c>
      <c r="P643" t="s">
        <v>867</v>
      </c>
      <c r="Q643" t="s">
        <v>904</v>
      </c>
      <c r="R643" t="s">
        <v>905</v>
      </c>
      <c r="S643" t="s">
        <v>537</v>
      </c>
      <c r="T643" t="s">
        <v>508</v>
      </c>
      <c r="U643" t="s">
        <v>47</v>
      </c>
      <c r="V643" t="s">
        <v>234</v>
      </c>
      <c r="W643" t="s">
        <v>46</v>
      </c>
      <c r="X643" t="s">
        <v>21</v>
      </c>
      <c r="Y643" t="s">
        <v>288</v>
      </c>
      <c r="Z643">
        <v>3865</v>
      </c>
      <c r="AA643">
        <v>3865</v>
      </c>
      <c r="AB643" t="s">
        <v>237</v>
      </c>
      <c r="AC643">
        <v>4.3</v>
      </c>
      <c r="AD643">
        <v>16619.5</v>
      </c>
      <c r="AE643">
        <v>3053.35</v>
      </c>
      <c r="AF643" t="s">
        <v>870</v>
      </c>
      <c r="AG643">
        <v>13566.15</v>
      </c>
      <c r="AH643">
        <v>0.82</v>
      </c>
    </row>
    <row r="644" spans="1:34" x14ac:dyDescent="0.25">
      <c r="A644" t="s">
        <v>1766</v>
      </c>
      <c r="B644">
        <v>643</v>
      </c>
      <c r="C644" t="s">
        <v>487</v>
      </c>
      <c r="D644" t="s">
        <v>322</v>
      </c>
      <c r="E644" t="s">
        <v>620</v>
      </c>
      <c r="F644" t="s">
        <v>3025</v>
      </c>
      <c r="G644" s="25">
        <v>44292</v>
      </c>
      <c r="H644">
        <v>20</v>
      </c>
      <c r="I644">
        <v>96</v>
      </c>
      <c r="J644" t="s">
        <v>3029</v>
      </c>
      <c r="K644" t="s">
        <v>510</v>
      </c>
      <c r="L644" t="s">
        <v>231</v>
      </c>
      <c r="M644" t="s">
        <v>931</v>
      </c>
      <c r="N644" t="s">
        <v>186</v>
      </c>
      <c r="O644" t="s">
        <v>1061</v>
      </c>
      <c r="P644" t="s">
        <v>867</v>
      </c>
      <c r="Q644" t="s">
        <v>1062</v>
      </c>
      <c r="R644" t="s">
        <v>1063</v>
      </c>
      <c r="S644" t="s">
        <v>537</v>
      </c>
      <c r="T644" t="s">
        <v>508</v>
      </c>
      <c r="U644" t="s">
        <v>47</v>
      </c>
      <c r="V644" t="s">
        <v>234</v>
      </c>
      <c r="W644" t="s">
        <v>46</v>
      </c>
      <c r="X644" t="s">
        <v>21</v>
      </c>
      <c r="Y644" t="s">
        <v>288</v>
      </c>
      <c r="Z644">
        <v>3471</v>
      </c>
      <c r="AA644">
        <v>3471</v>
      </c>
      <c r="AB644" t="s">
        <v>237</v>
      </c>
      <c r="AC644">
        <v>4.3</v>
      </c>
      <c r="AD644">
        <v>14925.3</v>
      </c>
      <c r="AE644">
        <v>2742.09</v>
      </c>
      <c r="AF644" t="s">
        <v>870</v>
      </c>
      <c r="AG644">
        <v>12183.21</v>
      </c>
      <c r="AH644">
        <v>0.82</v>
      </c>
    </row>
    <row r="645" spans="1:34" x14ac:dyDescent="0.25">
      <c r="A645" t="s">
        <v>1726</v>
      </c>
      <c r="B645">
        <v>644</v>
      </c>
      <c r="C645" t="s">
        <v>487</v>
      </c>
      <c r="D645" t="s">
        <v>322</v>
      </c>
      <c r="E645" t="s">
        <v>620</v>
      </c>
      <c r="F645" t="s">
        <v>3025</v>
      </c>
      <c r="G645" s="25">
        <v>44292</v>
      </c>
      <c r="H645">
        <v>20</v>
      </c>
      <c r="I645">
        <v>96</v>
      </c>
      <c r="J645" t="s">
        <v>3030</v>
      </c>
      <c r="K645" t="s">
        <v>510</v>
      </c>
      <c r="L645" t="s">
        <v>231</v>
      </c>
      <c r="M645" t="s">
        <v>931</v>
      </c>
      <c r="N645" t="s">
        <v>186</v>
      </c>
      <c r="O645" t="s">
        <v>1130</v>
      </c>
      <c r="P645" t="s">
        <v>867</v>
      </c>
      <c r="Q645" t="s">
        <v>1134</v>
      </c>
      <c r="R645" t="s">
        <v>1135</v>
      </c>
      <c r="S645" t="s">
        <v>537</v>
      </c>
      <c r="T645" t="s">
        <v>508</v>
      </c>
      <c r="U645" t="s">
        <v>47</v>
      </c>
      <c r="V645" t="s">
        <v>234</v>
      </c>
      <c r="W645" t="s">
        <v>46</v>
      </c>
      <c r="X645" t="s">
        <v>21</v>
      </c>
      <c r="Y645" t="s">
        <v>288</v>
      </c>
      <c r="Z645">
        <v>3655</v>
      </c>
      <c r="AA645">
        <v>3655</v>
      </c>
      <c r="AB645" t="s">
        <v>237</v>
      </c>
      <c r="AC645">
        <v>4.3</v>
      </c>
      <c r="AD645">
        <v>15716.5</v>
      </c>
      <c r="AE645">
        <v>2887.45</v>
      </c>
      <c r="AF645" t="s">
        <v>870</v>
      </c>
      <c r="AG645">
        <v>12829.05</v>
      </c>
      <c r="AH645">
        <v>0.82</v>
      </c>
    </row>
    <row r="646" spans="1:34" x14ac:dyDescent="0.25">
      <c r="A646" t="s">
        <v>2789</v>
      </c>
      <c r="B646">
        <v>645</v>
      </c>
      <c r="C646" t="s">
        <v>487</v>
      </c>
      <c r="D646" t="s">
        <v>322</v>
      </c>
      <c r="E646" t="s">
        <v>534</v>
      </c>
      <c r="F646" t="s">
        <v>3031</v>
      </c>
      <c r="G646" s="25">
        <v>44293</v>
      </c>
      <c r="H646">
        <v>20</v>
      </c>
      <c r="I646">
        <v>97</v>
      </c>
      <c r="J646" t="s">
        <v>3032</v>
      </c>
      <c r="K646" t="s">
        <v>510</v>
      </c>
      <c r="L646" t="s">
        <v>231</v>
      </c>
      <c r="M646" t="s">
        <v>926</v>
      </c>
      <c r="N646" t="s">
        <v>185</v>
      </c>
      <c r="O646" t="s">
        <v>3033</v>
      </c>
      <c r="P646" t="s">
        <v>867</v>
      </c>
      <c r="Q646" t="s">
        <v>3034</v>
      </c>
      <c r="R646" t="s">
        <v>3035</v>
      </c>
      <c r="S646" t="s">
        <v>537</v>
      </c>
      <c r="T646" t="s">
        <v>509</v>
      </c>
      <c r="U646" t="s">
        <v>45</v>
      </c>
      <c r="V646" t="s">
        <v>234</v>
      </c>
      <c r="W646" t="s">
        <v>44</v>
      </c>
      <c r="X646" t="s">
        <v>21</v>
      </c>
      <c r="Y646" t="s">
        <v>304</v>
      </c>
      <c r="Z646">
        <v>2095</v>
      </c>
      <c r="AA646">
        <v>2095</v>
      </c>
      <c r="AB646" t="s">
        <v>237</v>
      </c>
      <c r="AC646">
        <v>4.8</v>
      </c>
      <c r="AD646">
        <v>10056</v>
      </c>
      <c r="AE646">
        <v>2576.85</v>
      </c>
      <c r="AF646" t="s">
        <v>870</v>
      </c>
      <c r="AG646">
        <v>7479.15</v>
      </c>
      <c r="AH646">
        <v>0.74</v>
      </c>
    </row>
    <row r="647" spans="1:34" x14ac:dyDescent="0.25">
      <c r="A647" t="s">
        <v>1844</v>
      </c>
      <c r="B647">
        <v>646</v>
      </c>
      <c r="C647" t="s">
        <v>487</v>
      </c>
      <c r="D647" t="s">
        <v>322</v>
      </c>
      <c r="E647" t="s">
        <v>534</v>
      </c>
      <c r="F647" t="s">
        <v>3031</v>
      </c>
      <c r="G647" s="25">
        <v>44293</v>
      </c>
      <c r="H647">
        <v>20</v>
      </c>
      <c r="I647">
        <v>97</v>
      </c>
      <c r="J647" t="s">
        <v>3036</v>
      </c>
      <c r="K647" t="s">
        <v>510</v>
      </c>
      <c r="L647" t="s">
        <v>231</v>
      </c>
      <c r="M647" t="s">
        <v>997</v>
      </c>
      <c r="N647" t="s">
        <v>185</v>
      </c>
      <c r="O647" t="s">
        <v>1243</v>
      </c>
      <c r="P647" t="s">
        <v>867</v>
      </c>
      <c r="Q647" t="s">
        <v>1244</v>
      </c>
      <c r="R647" t="s">
        <v>1245</v>
      </c>
      <c r="S647" t="s">
        <v>537</v>
      </c>
      <c r="T647" t="s">
        <v>509</v>
      </c>
      <c r="U647" t="s">
        <v>45</v>
      </c>
      <c r="V647" t="s">
        <v>234</v>
      </c>
      <c r="W647" t="s">
        <v>44</v>
      </c>
      <c r="X647" t="s">
        <v>21</v>
      </c>
      <c r="Y647" t="s">
        <v>304</v>
      </c>
      <c r="Z647">
        <v>2906</v>
      </c>
      <c r="AA647">
        <v>2906</v>
      </c>
      <c r="AB647" t="s">
        <v>237</v>
      </c>
      <c r="AC647">
        <v>4.8</v>
      </c>
      <c r="AD647">
        <v>13948.8</v>
      </c>
      <c r="AE647">
        <v>3574.38</v>
      </c>
      <c r="AF647" t="s">
        <v>870</v>
      </c>
      <c r="AG647">
        <v>10374.42</v>
      </c>
      <c r="AH647">
        <v>0.74</v>
      </c>
    </row>
    <row r="648" spans="1:34" x14ac:dyDescent="0.25">
      <c r="A648" t="s">
        <v>2610</v>
      </c>
      <c r="B648">
        <v>647</v>
      </c>
      <c r="C648" t="s">
        <v>487</v>
      </c>
      <c r="D648" t="s">
        <v>322</v>
      </c>
      <c r="E648" t="s">
        <v>534</v>
      </c>
      <c r="F648" t="s">
        <v>3031</v>
      </c>
      <c r="G648" s="25">
        <v>44293</v>
      </c>
      <c r="H648">
        <v>20</v>
      </c>
      <c r="I648">
        <v>97</v>
      </c>
      <c r="J648" t="s">
        <v>3037</v>
      </c>
      <c r="K648" t="s">
        <v>510</v>
      </c>
      <c r="L648" t="s">
        <v>231</v>
      </c>
      <c r="M648" t="s">
        <v>916</v>
      </c>
      <c r="N648" t="s">
        <v>185</v>
      </c>
      <c r="O648" t="s">
        <v>1039</v>
      </c>
      <c r="P648" t="s">
        <v>867</v>
      </c>
      <c r="Q648" t="s">
        <v>1040</v>
      </c>
      <c r="R648" t="s">
        <v>1041</v>
      </c>
      <c r="S648" t="s">
        <v>537</v>
      </c>
      <c r="T648" t="s">
        <v>509</v>
      </c>
      <c r="U648" t="s">
        <v>45</v>
      </c>
      <c r="V648" t="s">
        <v>234</v>
      </c>
      <c r="W648" t="s">
        <v>44</v>
      </c>
      <c r="X648" t="s">
        <v>21</v>
      </c>
      <c r="Y648" t="s">
        <v>304</v>
      </c>
      <c r="Z648">
        <v>2636</v>
      </c>
      <c r="AA648">
        <v>2636</v>
      </c>
      <c r="AB648" t="s">
        <v>237</v>
      </c>
      <c r="AC648">
        <v>4.8</v>
      </c>
      <c r="AD648">
        <v>12652.8</v>
      </c>
      <c r="AE648">
        <v>3242.28</v>
      </c>
      <c r="AF648" t="s">
        <v>870</v>
      </c>
      <c r="AG648">
        <v>9410.52</v>
      </c>
      <c r="AH648">
        <v>0.74</v>
      </c>
    </row>
    <row r="649" spans="1:34" x14ac:dyDescent="0.25">
      <c r="A649" t="s">
        <v>2046</v>
      </c>
      <c r="B649">
        <v>648</v>
      </c>
      <c r="C649" t="s">
        <v>487</v>
      </c>
      <c r="D649" t="s">
        <v>322</v>
      </c>
      <c r="E649" t="s">
        <v>534</v>
      </c>
      <c r="F649" t="s">
        <v>3031</v>
      </c>
      <c r="G649" s="25">
        <v>44293</v>
      </c>
      <c r="H649">
        <v>20</v>
      </c>
      <c r="I649">
        <v>97</v>
      </c>
      <c r="J649" t="s">
        <v>3038</v>
      </c>
      <c r="K649" t="s">
        <v>510</v>
      </c>
      <c r="L649" t="s">
        <v>231</v>
      </c>
      <c r="M649" t="s">
        <v>173</v>
      </c>
      <c r="N649" t="s">
        <v>185</v>
      </c>
      <c r="O649" t="s">
        <v>966</v>
      </c>
      <c r="P649" t="s">
        <v>867</v>
      </c>
      <c r="Q649" t="s">
        <v>3039</v>
      </c>
      <c r="R649" t="s">
        <v>3040</v>
      </c>
      <c r="S649" t="s">
        <v>537</v>
      </c>
      <c r="T649" t="s">
        <v>509</v>
      </c>
      <c r="U649" t="s">
        <v>45</v>
      </c>
      <c r="V649" t="s">
        <v>234</v>
      </c>
      <c r="W649" t="s">
        <v>44</v>
      </c>
      <c r="X649" t="s">
        <v>21</v>
      </c>
      <c r="Y649" t="s">
        <v>304</v>
      </c>
      <c r="Z649">
        <v>3363</v>
      </c>
      <c r="AA649">
        <v>3363</v>
      </c>
      <c r="AB649" t="s">
        <v>237</v>
      </c>
      <c r="AC649">
        <v>4.8</v>
      </c>
      <c r="AD649">
        <v>16142.4</v>
      </c>
      <c r="AE649">
        <v>4136.49</v>
      </c>
      <c r="AF649" t="s">
        <v>870</v>
      </c>
      <c r="AG649">
        <v>12005.91</v>
      </c>
      <c r="AH649">
        <v>0.74</v>
      </c>
    </row>
    <row r="650" spans="1:34" x14ac:dyDescent="0.25">
      <c r="A650" t="s">
        <v>2174</v>
      </c>
      <c r="B650">
        <v>649</v>
      </c>
      <c r="C650" t="s">
        <v>487</v>
      </c>
      <c r="D650" t="s">
        <v>322</v>
      </c>
      <c r="E650" t="s">
        <v>534</v>
      </c>
      <c r="F650" t="s">
        <v>3031</v>
      </c>
      <c r="G650" s="25">
        <v>44293</v>
      </c>
      <c r="H650">
        <v>20</v>
      </c>
      <c r="I650">
        <v>97</v>
      </c>
      <c r="J650" t="s">
        <v>3041</v>
      </c>
      <c r="K650" t="s">
        <v>510</v>
      </c>
      <c r="L650" t="s">
        <v>231</v>
      </c>
      <c r="M650" t="s">
        <v>931</v>
      </c>
      <c r="N650" t="s">
        <v>186</v>
      </c>
      <c r="O650" t="s">
        <v>1061</v>
      </c>
      <c r="P650" t="s">
        <v>867</v>
      </c>
      <c r="Q650" t="s">
        <v>1062</v>
      </c>
      <c r="R650" t="s">
        <v>3042</v>
      </c>
      <c r="S650" t="s">
        <v>537</v>
      </c>
      <c r="T650" t="s">
        <v>508</v>
      </c>
      <c r="U650" t="s">
        <v>47</v>
      </c>
      <c r="V650" t="s">
        <v>234</v>
      </c>
      <c r="W650" t="s">
        <v>46</v>
      </c>
      <c r="X650" t="s">
        <v>21</v>
      </c>
      <c r="Y650" t="s">
        <v>288</v>
      </c>
      <c r="Z650">
        <v>3648</v>
      </c>
      <c r="AA650">
        <v>3648</v>
      </c>
      <c r="AB650" t="s">
        <v>237</v>
      </c>
      <c r="AC650">
        <v>4.3</v>
      </c>
      <c r="AD650">
        <v>15686.4</v>
      </c>
      <c r="AE650">
        <v>2881.92</v>
      </c>
      <c r="AF650" t="s">
        <v>870</v>
      </c>
      <c r="AG650">
        <v>12804.48</v>
      </c>
      <c r="AH650">
        <v>0.82</v>
      </c>
    </row>
    <row r="651" spans="1:34" x14ac:dyDescent="0.25">
      <c r="A651" t="s">
        <v>2179</v>
      </c>
      <c r="B651">
        <v>650</v>
      </c>
      <c r="C651" t="s">
        <v>487</v>
      </c>
      <c r="D651" t="s">
        <v>322</v>
      </c>
      <c r="E651" t="s">
        <v>534</v>
      </c>
      <c r="F651" t="s">
        <v>3031</v>
      </c>
      <c r="G651" s="25">
        <v>44293</v>
      </c>
      <c r="H651">
        <v>20</v>
      </c>
      <c r="I651">
        <v>97</v>
      </c>
      <c r="J651" t="s">
        <v>3043</v>
      </c>
      <c r="K651" t="s">
        <v>510</v>
      </c>
      <c r="L651" t="s">
        <v>231</v>
      </c>
      <c r="M651" t="s">
        <v>911</v>
      </c>
      <c r="N651" t="s">
        <v>186</v>
      </c>
      <c r="O651" t="s">
        <v>1143</v>
      </c>
      <c r="P651" t="s">
        <v>867</v>
      </c>
      <c r="Q651" t="s">
        <v>1144</v>
      </c>
      <c r="R651" t="s">
        <v>1145</v>
      </c>
      <c r="S651" t="s">
        <v>537</v>
      </c>
      <c r="T651" t="s">
        <v>508</v>
      </c>
      <c r="U651" t="s">
        <v>47</v>
      </c>
      <c r="V651" t="s">
        <v>234</v>
      </c>
      <c r="W651" t="s">
        <v>46</v>
      </c>
      <c r="X651" t="s">
        <v>21</v>
      </c>
      <c r="Y651" t="s">
        <v>288</v>
      </c>
      <c r="Z651">
        <v>3446</v>
      </c>
      <c r="AA651">
        <v>3446</v>
      </c>
      <c r="AB651" t="s">
        <v>237</v>
      </c>
      <c r="AC651">
        <v>4.3</v>
      </c>
      <c r="AD651">
        <v>14817.8</v>
      </c>
      <c r="AE651">
        <v>2722.34</v>
      </c>
      <c r="AF651" t="s">
        <v>870</v>
      </c>
      <c r="AG651">
        <v>12095.46</v>
      </c>
      <c r="AH651">
        <v>0.82</v>
      </c>
    </row>
    <row r="652" spans="1:34" x14ac:dyDescent="0.25">
      <c r="A652" t="s">
        <v>1846</v>
      </c>
      <c r="B652">
        <v>651</v>
      </c>
      <c r="C652" t="s">
        <v>487</v>
      </c>
      <c r="D652" t="s">
        <v>322</v>
      </c>
      <c r="E652" t="s">
        <v>534</v>
      </c>
      <c r="F652" t="s">
        <v>3031</v>
      </c>
      <c r="G652" s="25">
        <v>44293</v>
      </c>
      <c r="H652">
        <v>20</v>
      </c>
      <c r="I652">
        <v>97</v>
      </c>
      <c r="J652" t="s">
        <v>3044</v>
      </c>
      <c r="K652" t="s">
        <v>510</v>
      </c>
      <c r="L652" t="s">
        <v>231</v>
      </c>
      <c r="M652" t="s">
        <v>911</v>
      </c>
      <c r="N652" t="s">
        <v>186</v>
      </c>
      <c r="O652" t="s">
        <v>1016</v>
      </c>
      <c r="P652" t="s">
        <v>867</v>
      </c>
      <c r="Q652" t="s">
        <v>1489</v>
      </c>
      <c r="R652" t="s">
        <v>1490</v>
      </c>
      <c r="S652" t="s">
        <v>537</v>
      </c>
      <c r="T652" t="s">
        <v>508</v>
      </c>
      <c r="U652" t="s">
        <v>47</v>
      </c>
      <c r="V652" t="s">
        <v>234</v>
      </c>
      <c r="W652" t="s">
        <v>46</v>
      </c>
      <c r="X652" t="s">
        <v>21</v>
      </c>
      <c r="Y652" t="s">
        <v>288</v>
      </c>
      <c r="Z652">
        <v>3542</v>
      </c>
      <c r="AA652">
        <v>3542</v>
      </c>
      <c r="AB652" t="s">
        <v>237</v>
      </c>
      <c r="AC652">
        <v>4.3</v>
      </c>
      <c r="AD652">
        <v>15230.6</v>
      </c>
      <c r="AE652">
        <v>2798.18</v>
      </c>
      <c r="AF652" t="s">
        <v>870</v>
      </c>
      <c r="AG652">
        <v>12432.42</v>
      </c>
      <c r="AH652">
        <v>0.82</v>
      </c>
    </row>
    <row r="653" spans="1:34" x14ac:dyDescent="0.25">
      <c r="A653" t="s">
        <v>1971</v>
      </c>
      <c r="B653">
        <v>652</v>
      </c>
      <c r="C653" t="s">
        <v>487</v>
      </c>
      <c r="D653" t="s">
        <v>322</v>
      </c>
      <c r="E653" t="s">
        <v>552</v>
      </c>
      <c r="F653" t="s">
        <v>3045</v>
      </c>
      <c r="G653" s="25">
        <v>44294</v>
      </c>
      <c r="H653">
        <v>20</v>
      </c>
      <c r="I653">
        <v>98</v>
      </c>
      <c r="J653" t="s">
        <v>3046</v>
      </c>
      <c r="K653" t="s">
        <v>510</v>
      </c>
      <c r="L653" t="s">
        <v>231</v>
      </c>
      <c r="M653" t="s">
        <v>898</v>
      </c>
      <c r="N653" t="s">
        <v>185</v>
      </c>
      <c r="O653" t="s">
        <v>940</v>
      </c>
      <c r="P653" t="s">
        <v>867</v>
      </c>
      <c r="Q653" t="s">
        <v>941</v>
      </c>
      <c r="R653" t="s">
        <v>942</v>
      </c>
      <c r="S653" t="s">
        <v>232</v>
      </c>
      <c r="T653" t="s">
        <v>509</v>
      </c>
      <c r="U653" t="s">
        <v>45</v>
      </c>
      <c r="V653" t="s">
        <v>234</v>
      </c>
      <c r="W653" t="s">
        <v>44</v>
      </c>
      <c r="X653" t="s">
        <v>21</v>
      </c>
      <c r="Y653" t="s">
        <v>304</v>
      </c>
      <c r="Z653">
        <v>2848</v>
      </c>
      <c r="AA653">
        <v>2848</v>
      </c>
      <c r="AB653" t="s">
        <v>237</v>
      </c>
      <c r="AC653">
        <v>4.9000000000000004</v>
      </c>
      <c r="AD653">
        <v>13955.2</v>
      </c>
      <c r="AE653">
        <v>3503.04</v>
      </c>
      <c r="AF653" t="s">
        <v>870</v>
      </c>
      <c r="AG653">
        <v>10452.16</v>
      </c>
      <c r="AH653">
        <v>0.75</v>
      </c>
    </row>
    <row r="654" spans="1:34" x14ac:dyDescent="0.25">
      <c r="A654" t="s">
        <v>2531</v>
      </c>
      <c r="B654">
        <v>653</v>
      </c>
      <c r="C654" t="s">
        <v>487</v>
      </c>
      <c r="D654" t="s">
        <v>322</v>
      </c>
      <c r="E654" t="s">
        <v>552</v>
      </c>
      <c r="F654" t="s">
        <v>3045</v>
      </c>
      <c r="G654" s="25">
        <v>44294</v>
      </c>
      <c r="H654">
        <v>20</v>
      </c>
      <c r="I654">
        <v>98</v>
      </c>
      <c r="J654" t="s">
        <v>3047</v>
      </c>
      <c r="K654" t="s">
        <v>510</v>
      </c>
      <c r="L654" t="s">
        <v>231</v>
      </c>
      <c r="M654" t="s">
        <v>872</v>
      </c>
      <c r="N654" t="s">
        <v>184</v>
      </c>
      <c r="O654" t="s">
        <v>922</v>
      </c>
      <c r="P654" t="s">
        <v>867</v>
      </c>
      <c r="Q654" t="s">
        <v>923</v>
      </c>
      <c r="R654" t="s">
        <v>924</v>
      </c>
      <c r="S654" t="s">
        <v>232</v>
      </c>
      <c r="T654" t="s">
        <v>509</v>
      </c>
      <c r="U654" t="s">
        <v>45</v>
      </c>
      <c r="V654" t="s">
        <v>234</v>
      </c>
      <c r="W654" t="s">
        <v>44</v>
      </c>
      <c r="X654" t="s">
        <v>21</v>
      </c>
      <c r="Y654" t="s">
        <v>304</v>
      </c>
      <c r="Z654">
        <v>2614</v>
      </c>
      <c r="AA654">
        <v>2614</v>
      </c>
      <c r="AB654" t="s">
        <v>237</v>
      </c>
      <c r="AC654">
        <v>4.9000000000000004</v>
      </c>
      <c r="AD654">
        <v>12808.6</v>
      </c>
      <c r="AE654">
        <v>3215.22</v>
      </c>
      <c r="AF654" t="s">
        <v>870</v>
      </c>
      <c r="AG654">
        <v>9593.3799999999992</v>
      </c>
      <c r="AH654">
        <v>0.75</v>
      </c>
    </row>
    <row r="655" spans="1:34" x14ac:dyDescent="0.25">
      <c r="A655" t="s">
        <v>2746</v>
      </c>
      <c r="B655">
        <v>654</v>
      </c>
      <c r="C655" t="s">
        <v>487</v>
      </c>
      <c r="D655" t="s">
        <v>322</v>
      </c>
      <c r="E655" t="s">
        <v>552</v>
      </c>
      <c r="F655" t="s">
        <v>3045</v>
      </c>
      <c r="G655" s="25">
        <v>44294</v>
      </c>
      <c r="H655">
        <v>20</v>
      </c>
      <c r="I655">
        <v>98</v>
      </c>
      <c r="J655" t="s">
        <v>3046</v>
      </c>
      <c r="K655" t="s">
        <v>921</v>
      </c>
      <c r="L655" t="s">
        <v>231</v>
      </c>
      <c r="M655" t="s">
        <v>898</v>
      </c>
      <c r="N655" t="s">
        <v>185</v>
      </c>
      <c r="O655" t="s">
        <v>940</v>
      </c>
      <c r="P655" t="s">
        <v>867</v>
      </c>
      <c r="Q655" t="s">
        <v>941</v>
      </c>
      <c r="R655" t="s">
        <v>942</v>
      </c>
      <c r="S655" t="s">
        <v>232</v>
      </c>
      <c r="T655" t="s">
        <v>509</v>
      </c>
      <c r="U655" t="s">
        <v>45</v>
      </c>
      <c r="V655" t="s">
        <v>234</v>
      </c>
      <c r="W655" t="s">
        <v>44</v>
      </c>
      <c r="X655" t="s">
        <v>21</v>
      </c>
      <c r="Y655" t="s">
        <v>304</v>
      </c>
      <c r="Z655">
        <v>3182</v>
      </c>
      <c r="AA655">
        <v>3182</v>
      </c>
      <c r="AB655" t="s">
        <v>237</v>
      </c>
      <c r="AC655">
        <v>4.9000000000000004</v>
      </c>
      <c r="AD655">
        <v>15591.8</v>
      </c>
      <c r="AE655">
        <v>3913.86</v>
      </c>
      <c r="AF655" t="s">
        <v>870</v>
      </c>
      <c r="AG655">
        <v>11677.94</v>
      </c>
      <c r="AH655">
        <v>0.75</v>
      </c>
    </row>
    <row r="656" spans="1:34" x14ac:dyDescent="0.25">
      <c r="A656" t="s">
        <v>2807</v>
      </c>
      <c r="B656">
        <v>655</v>
      </c>
      <c r="C656" t="s">
        <v>487</v>
      </c>
      <c r="D656" t="s">
        <v>322</v>
      </c>
      <c r="E656" t="s">
        <v>552</v>
      </c>
      <c r="F656" t="s">
        <v>3045</v>
      </c>
      <c r="G656" s="25">
        <v>44294</v>
      </c>
      <c r="H656">
        <v>20</v>
      </c>
      <c r="I656">
        <v>98</v>
      </c>
      <c r="J656" t="s">
        <v>3047</v>
      </c>
      <c r="K656" t="s">
        <v>921</v>
      </c>
      <c r="L656" t="s">
        <v>231</v>
      </c>
      <c r="M656" t="s">
        <v>872</v>
      </c>
      <c r="N656" t="s">
        <v>184</v>
      </c>
      <c r="O656" t="s">
        <v>922</v>
      </c>
      <c r="P656" t="s">
        <v>867</v>
      </c>
      <c r="Q656" t="s">
        <v>923</v>
      </c>
      <c r="R656" t="s">
        <v>924</v>
      </c>
      <c r="S656" t="s">
        <v>232</v>
      </c>
      <c r="T656" t="s">
        <v>509</v>
      </c>
      <c r="U656" t="s">
        <v>45</v>
      </c>
      <c r="V656" t="s">
        <v>234</v>
      </c>
      <c r="W656" t="s">
        <v>44</v>
      </c>
      <c r="X656" t="s">
        <v>21</v>
      </c>
      <c r="Y656" t="s">
        <v>304</v>
      </c>
      <c r="Z656">
        <v>3049</v>
      </c>
      <c r="AA656">
        <v>3049</v>
      </c>
      <c r="AB656" t="s">
        <v>237</v>
      </c>
      <c r="AC656">
        <v>4.9000000000000004</v>
      </c>
      <c r="AD656">
        <v>14940.1</v>
      </c>
      <c r="AE656">
        <v>3750.27</v>
      </c>
      <c r="AF656" t="s">
        <v>870</v>
      </c>
      <c r="AG656">
        <v>11189.83</v>
      </c>
      <c r="AH656">
        <v>0.75</v>
      </c>
    </row>
    <row r="657" spans="1:34" x14ac:dyDescent="0.25">
      <c r="A657" t="s">
        <v>2701</v>
      </c>
      <c r="B657">
        <v>656</v>
      </c>
      <c r="C657" t="s">
        <v>487</v>
      </c>
      <c r="D657" t="s">
        <v>322</v>
      </c>
      <c r="E657" t="s">
        <v>552</v>
      </c>
      <c r="F657" t="s">
        <v>3045</v>
      </c>
      <c r="G657" s="25">
        <v>44294</v>
      </c>
      <c r="H657">
        <v>20</v>
      </c>
      <c r="I657">
        <v>98</v>
      </c>
      <c r="J657" t="s">
        <v>3047</v>
      </c>
      <c r="K657" t="s">
        <v>876</v>
      </c>
      <c r="L657" t="s">
        <v>231</v>
      </c>
      <c r="M657" t="s">
        <v>872</v>
      </c>
      <c r="N657" t="s">
        <v>184</v>
      </c>
      <c r="O657" t="s">
        <v>922</v>
      </c>
      <c r="P657" t="s">
        <v>867</v>
      </c>
      <c r="Q657" t="s">
        <v>923</v>
      </c>
      <c r="R657" t="s">
        <v>924</v>
      </c>
      <c r="S657" t="s">
        <v>232</v>
      </c>
      <c r="T657" t="s">
        <v>509</v>
      </c>
      <c r="U657" t="s">
        <v>45</v>
      </c>
      <c r="V657" t="s">
        <v>234</v>
      </c>
      <c r="W657" t="s">
        <v>44</v>
      </c>
      <c r="X657" t="s">
        <v>21</v>
      </c>
      <c r="Y657" t="s">
        <v>304</v>
      </c>
      <c r="Z657">
        <v>2816</v>
      </c>
      <c r="AA657">
        <v>2816</v>
      </c>
      <c r="AB657" t="s">
        <v>237</v>
      </c>
      <c r="AC657">
        <v>4.9000000000000004</v>
      </c>
      <c r="AD657">
        <v>13798.4</v>
      </c>
      <c r="AE657">
        <v>3463.68</v>
      </c>
      <c r="AF657" t="s">
        <v>870</v>
      </c>
      <c r="AG657">
        <v>10334.719999999999</v>
      </c>
      <c r="AH657">
        <v>0.75</v>
      </c>
    </row>
    <row r="658" spans="1:34" x14ac:dyDescent="0.25">
      <c r="A658" t="s">
        <v>2119</v>
      </c>
      <c r="B658">
        <v>657</v>
      </c>
      <c r="C658" t="s">
        <v>487</v>
      </c>
      <c r="D658" t="s">
        <v>322</v>
      </c>
      <c r="E658" t="s">
        <v>552</v>
      </c>
      <c r="F658" t="s">
        <v>3045</v>
      </c>
      <c r="G658" s="25">
        <v>44294</v>
      </c>
      <c r="H658">
        <v>20</v>
      </c>
      <c r="I658">
        <v>98</v>
      </c>
      <c r="J658" t="s">
        <v>3046</v>
      </c>
      <c r="K658" t="s">
        <v>876</v>
      </c>
      <c r="L658" t="s">
        <v>231</v>
      </c>
      <c r="M658" t="s">
        <v>898</v>
      </c>
      <c r="N658" t="s">
        <v>185</v>
      </c>
      <c r="O658" t="s">
        <v>940</v>
      </c>
      <c r="P658" t="s">
        <v>867</v>
      </c>
      <c r="Q658" t="s">
        <v>941</v>
      </c>
      <c r="R658" t="s">
        <v>942</v>
      </c>
      <c r="S658" t="s">
        <v>232</v>
      </c>
      <c r="T658" t="s">
        <v>500</v>
      </c>
      <c r="U658" t="s">
        <v>265</v>
      </c>
      <c r="V658" t="s">
        <v>234</v>
      </c>
      <c r="W658" t="s">
        <v>52</v>
      </c>
      <c r="X658" t="s">
        <v>235</v>
      </c>
      <c r="Y658" t="s">
        <v>266</v>
      </c>
      <c r="Z658">
        <v>1125</v>
      </c>
      <c r="AA658">
        <v>1125</v>
      </c>
      <c r="AB658" t="s">
        <v>237</v>
      </c>
      <c r="AC658">
        <v>5.34</v>
      </c>
      <c r="AD658">
        <v>6007.5</v>
      </c>
      <c r="AE658">
        <v>1822.5</v>
      </c>
      <c r="AF658" t="s">
        <v>870</v>
      </c>
      <c r="AG658">
        <v>4185</v>
      </c>
      <c r="AH658">
        <v>0.7</v>
      </c>
    </row>
    <row r="659" spans="1:34" x14ac:dyDescent="0.25">
      <c r="A659" t="s">
        <v>2688</v>
      </c>
      <c r="B659">
        <v>658</v>
      </c>
      <c r="C659" t="s">
        <v>487</v>
      </c>
      <c r="D659" t="s">
        <v>322</v>
      </c>
      <c r="E659" t="s">
        <v>552</v>
      </c>
      <c r="F659" t="s">
        <v>3045</v>
      </c>
      <c r="G659" s="25">
        <v>44294</v>
      </c>
      <c r="H659">
        <v>20</v>
      </c>
      <c r="I659">
        <v>98</v>
      </c>
      <c r="J659" t="s">
        <v>3048</v>
      </c>
      <c r="K659" t="s">
        <v>510</v>
      </c>
      <c r="L659" t="s">
        <v>231</v>
      </c>
      <c r="M659" t="s">
        <v>916</v>
      </c>
      <c r="N659" t="s">
        <v>185</v>
      </c>
      <c r="O659" t="s">
        <v>3049</v>
      </c>
      <c r="P659" t="s">
        <v>867</v>
      </c>
      <c r="Q659" t="s">
        <v>3050</v>
      </c>
      <c r="R659" t="s">
        <v>3051</v>
      </c>
      <c r="S659" t="s">
        <v>537</v>
      </c>
      <c r="T659" t="s">
        <v>509</v>
      </c>
      <c r="U659" t="s">
        <v>45</v>
      </c>
      <c r="V659" t="s">
        <v>234</v>
      </c>
      <c r="W659" t="s">
        <v>44</v>
      </c>
      <c r="X659" t="s">
        <v>21</v>
      </c>
      <c r="Y659" t="s">
        <v>304</v>
      </c>
      <c r="Z659">
        <v>3107</v>
      </c>
      <c r="AA659">
        <v>3107</v>
      </c>
      <c r="AB659" t="s">
        <v>237</v>
      </c>
      <c r="AC659">
        <v>4.8</v>
      </c>
      <c r="AD659">
        <v>14913.6</v>
      </c>
      <c r="AE659">
        <v>3821.61</v>
      </c>
      <c r="AF659" t="s">
        <v>870</v>
      </c>
      <c r="AG659">
        <v>11091.99</v>
      </c>
      <c r="AH659">
        <v>0.74</v>
      </c>
    </row>
    <row r="660" spans="1:34" x14ac:dyDescent="0.25">
      <c r="A660" t="s">
        <v>1940</v>
      </c>
      <c r="B660">
        <v>659</v>
      </c>
      <c r="C660" t="s">
        <v>487</v>
      </c>
      <c r="D660" t="s">
        <v>322</v>
      </c>
      <c r="E660" t="s">
        <v>552</v>
      </c>
      <c r="F660" t="s">
        <v>3045</v>
      </c>
      <c r="G660" s="25">
        <v>44294</v>
      </c>
      <c r="H660">
        <v>20</v>
      </c>
      <c r="I660">
        <v>98</v>
      </c>
      <c r="J660" t="s">
        <v>3052</v>
      </c>
      <c r="K660" t="s">
        <v>510</v>
      </c>
      <c r="L660" t="s">
        <v>231</v>
      </c>
      <c r="M660" t="s">
        <v>872</v>
      </c>
      <c r="N660" t="s">
        <v>184</v>
      </c>
      <c r="O660" t="s">
        <v>1057</v>
      </c>
      <c r="P660" t="s">
        <v>867</v>
      </c>
      <c r="Q660" t="s">
        <v>1476</v>
      </c>
      <c r="R660" t="s">
        <v>1477</v>
      </c>
      <c r="S660" t="s">
        <v>537</v>
      </c>
      <c r="T660" t="s">
        <v>509</v>
      </c>
      <c r="U660" t="s">
        <v>45</v>
      </c>
      <c r="V660" t="s">
        <v>234</v>
      </c>
      <c r="W660" t="s">
        <v>44</v>
      </c>
      <c r="X660" t="s">
        <v>21</v>
      </c>
      <c r="Y660" t="s">
        <v>304</v>
      </c>
      <c r="Z660">
        <v>1384</v>
      </c>
      <c r="AA660">
        <v>1384</v>
      </c>
      <c r="AB660" t="s">
        <v>237</v>
      </c>
      <c r="AC660">
        <v>4.8</v>
      </c>
      <c r="AD660">
        <v>6643.2</v>
      </c>
      <c r="AE660">
        <v>1702.32</v>
      </c>
      <c r="AF660" t="s">
        <v>870</v>
      </c>
      <c r="AG660">
        <v>4940.88</v>
      </c>
      <c r="AH660">
        <v>0.74</v>
      </c>
    </row>
    <row r="661" spans="1:34" x14ac:dyDescent="0.25">
      <c r="A661" t="s">
        <v>1956</v>
      </c>
      <c r="B661">
        <v>660</v>
      </c>
      <c r="C661" t="s">
        <v>487</v>
      </c>
      <c r="D661" t="s">
        <v>322</v>
      </c>
      <c r="E661" t="s">
        <v>552</v>
      </c>
      <c r="F661" t="s">
        <v>3045</v>
      </c>
      <c r="G661" s="25">
        <v>44294</v>
      </c>
      <c r="H661">
        <v>20</v>
      </c>
      <c r="I661">
        <v>98</v>
      </c>
      <c r="J661" t="s">
        <v>3053</v>
      </c>
      <c r="K661" t="s">
        <v>510</v>
      </c>
      <c r="L661" t="s">
        <v>231</v>
      </c>
      <c r="M661" t="s">
        <v>931</v>
      </c>
      <c r="N661" t="s">
        <v>186</v>
      </c>
      <c r="O661" t="s">
        <v>1455</v>
      </c>
      <c r="P661" t="s">
        <v>867</v>
      </c>
      <c r="Q661" t="s">
        <v>3054</v>
      </c>
      <c r="R661" t="s">
        <v>3055</v>
      </c>
      <c r="S661" t="s">
        <v>537</v>
      </c>
      <c r="T661" t="s">
        <v>508</v>
      </c>
      <c r="U661" t="s">
        <v>47</v>
      </c>
      <c r="V661" t="s">
        <v>234</v>
      </c>
      <c r="W661" t="s">
        <v>46</v>
      </c>
      <c r="X661" t="s">
        <v>21</v>
      </c>
      <c r="Y661" t="s">
        <v>288</v>
      </c>
      <c r="Z661">
        <v>2122</v>
      </c>
      <c r="AA661">
        <v>2122</v>
      </c>
      <c r="AB661" t="s">
        <v>237</v>
      </c>
      <c r="AC661">
        <v>4.3</v>
      </c>
      <c r="AD661">
        <v>9124.6</v>
      </c>
      <c r="AE661">
        <v>1676.38</v>
      </c>
      <c r="AF661" t="s">
        <v>870</v>
      </c>
      <c r="AG661">
        <v>7448.22</v>
      </c>
      <c r="AH661">
        <v>0.82</v>
      </c>
    </row>
    <row r="662" spans="1:34" x14ac:dyDescent="0.25">
      <c r="A662" t="s">
        <v>2091</v>
      </c>
      <c r="B662">
        <v>661</v>
      </c>
      <c r="C662" t="s">
        <v>487</v>
      </c>
      <c r="D662" t="s">
        <v>322</v>
      </c>
      <c r="E662" t="s">
        <v>531</v>
      </c>
      <c r="F662" t="s">
        <v>3056</v>
      </c>
      <c r="G662" s="25">
        <v>44295</v>
      </c>
      <c r="H662">
        <v>20</v>
      </c>
      <c r="I662">
        <v>99</v>
      </c>
      <c r="J662" t="s">
        <v>3057</v>
      </c>
      <c r="K662" t="s">
        <v>956</v>
      </c>
      <c r="L662" t="s">
        <v>231</v>
      </c>
      <c r="M662" t="s">
        <v>911</v>
      </c>
      <c r="N662" t="s">
        <v>186</v>
      </c>
      <c r="O662" t="s">
        <v>912</v>
      </c>
      <c r="P662" t="s">
        <v>867</v>
      </c>
      <c r="Q662" t="s">
        <v>913</v>
      </c>
      <c r="R662" t="s">
        <v>914</v>
      </c>
      <c r="S662" t="s">
        <v>232</v>
      </c>
      <c r="T662" t="s">
        <v>504</v>
      </c>
      <c r="U662" t="s">
        <v>43</v>
      </c>
      <c r="V662" t="s">
        <v>234</v>
      </c>
      <c r="W662" t="s">
        <v>42</v>
      </c>
      <c r="X662" t="s">
        <v>21</v>
      </c>
      <c r="Y662" t="s">
        <v>236</v>
      </c>
      <c r="Z662">
        <v>527</v>
      </c>
      <c r="AA662">
        <v>527</v>
      </c>
      <c r="AB662" t="s">
        <v>237</v>
      </c>
      <c r="AC662">
        <v>4.9000000000000004</v>
      </c>
      <c r="AD662">
        <v>2582.3000000000002</v>
      </c>
      <c r="AE662">
        <v>648.21</v>
      </c>
      <c r="AF662" t="s">
        <v>870</v>
      </c>
      <c r="AG662">
        <v>1934.09</v>
      </c>
      <c r="AH662">
        <v>0.75</v>
      </c>
    </row>
    <row r="663" spans="1:34" x14ac:dyDescent="0.25">
      <c r="A663" t="s">
        <v>1774</v>
      </c>
      <c r="B663">
        <v>662</v>
      </c>
      <c r="C663" t="s">
        <v>487</v>
      </c>
      <c r="D663" t="s">
        <v>322</v>
      </c>
      <c r="E663" t="s">
        <v>531</v>
      </c>
      <c r="F663" t="s">
        <v>3056</v>
      </c>
      <c r="G663" s="25">
        <v>44295</v>
      </c>
      <c r="H663">
        <v>20</v>
      </c>
      <c r="I663">
        <v>99</v>
      </c>
      <c r="J663" t="s">
        <v>3057</v>
      </c>
      <c r="K663" t="s">
        <v>510</v>
      </c>
      <c r="L663" t="s">
        <v>231</v>
      </c>
      <c r="M663" t="s">
        <v>911</v>
      </c>
      <c r="N663" t="s">
        <v>186</v>
      </c>
      <c r="O663" t="s">
        <v>912</v>
      </c>
      <c r="P663" t="s">
        <v>867</v>
      </c>
      <c r="Q663" t="s">
        <v>913</v>
      </c>
      <c r="R663" t="s">
        <v>914</v>
      </c>
      <c r="S663" t="s">
        <v>232</v>
      </c>
      <c r="T663" t="s">
        <v>500</v>
      </c>
      <c r="U663" t="s">
        <v>265</v>
      </c>
      <c r="V663" t="s">
        <v>234</v>
      </c>
      <c r="W663" t="s">
        <v>52</v>
      </c>
      <c r="X663" t="s">
        <v>235</v>
      </c>
      <c r="Y663" t="s">
        <v>266</v>
      </c>
      <c r="Z663">
        <v>3093</v>
      </c>
      <c r="AA663">
        <v>3093</v>
      </c>
      <c r="AB663" t="s">
        <v>237</v>
      </c>
      <c r="AC663">
        <v>5.34</v>
      </c>
      <c r="AD663">
        <v>16516.62</v>
      </c>
      <c r="AE663">
        <v>5010.66</v>
      </c>
      <c r="AF663" t="s">
        <v>870</v>
      </c>
      <c r="AG663">
        <v>11505.96</v>
      </c>
      <c r="AH663">
        <v>0.7</v>
      </c>
    </row>
    <row r="664" spans="1:34" x14ac:dyDescent="0.25">
      <c r="A664" t="s">
        <v>2434</v>
      </c>
      <c r="B664">
        <v>663</v>
      </c>
      <c r="C664" t="s">
        <v>487</v>
      </c>
      <c r="D664" t="s">
        <v>322</v>
      </c>
      <c r="E664" t="s">
        <v>531</v>
      </c>
      <c r="F664" t="s">
        <v>3056</v>
      </c>
      <c r="G664" s="25">
        <v>44295</v>
      </c>
      <c r="H664">
        <v>20</v>
      </c>
      <c r="I664">
        <v>99</v>
      </c>
      <c r="J664" t="s">
        <v>3057</v>
      </c>
      <c r="K664" t="s">
        <v>876</v>
      </c>
      <c r="L664" t="s">
        <v>231</v>
      </c>
      <c r="M664" t="s">
        <v>911</v>
      </c>
      <c r="N664" t="s">
        <v>186</v>
      </c>
      <c r="O664" t="s">
        <v>912</v>
      </c>
      <c r="P664" t="s">
        <v>867</v>
      </c>
      <c r="Q664" t="s">
        <v>913</v>
      </c>
      <c r="R664" t="s">
        <v>914</v>
      </c>
      <c r="S664" t="s">
        <v>232</v>
      </c>
      <c r="T664" t="s">
        <v>500</v>
      </c>
      <c r="U664" t="s">
        <v>265</v>
      </c>
      <c r="V664" t="s">
        <v>234</v>
      </c>
      <c r="W664" t="s">
        <v>52</v>
      </c>
      <c r="X664" t="s">
        <v>235</v>
      </c>
      <c r="Y664" t="s">
        <v>266</v>
      </c>
      <c r="Z664">
        <v>3121</v>
      </c>
      <c r="AA664">
        <v>3121</v>
      </c>
      <c r="AB664" t="s">
        <v>237</v>
      </c>
      <c r="AC664">
        <v>5.34</v>
      </c>
      <c r="AD664">
        <v>16666.14</v>
      </c>
      <c r="AE664">
        <v>5056.0200000000004</v>
      </c>
      <c r="AF664" t="s">
        <v>870</v>
      </c>
      <c r="AG664">
        <v>11610.12</v>
      </c>
      <c r="AH664">
        <v>0.7</v>
      </c>
    </row>
    <row r="665" spans="1:34" x14ac:dyDescent="0.25">
      <c r="A665" t="s">
        <v>1763</v>
      </c>
      <c r="B665">
        <v>664</v>
      </c>
      <c r="C665" t="s">
        <v>487</v>
      </c>
      <c r="D665" t="s">
        <v>322</v>
      </c>
      <c r="E665" t="s">
        <v>531</v>
      </c>
      <c r="F665" t="s">
        <v>3056</v>
      </c>
      <c r="G665" s="25">
        <v>44295</v>
      </c>
      <c r="H665">
        <v>20</v>
      </c>
      <c r="I665">
        <v>99</v>
      </c>
      <c r="J665" t="s">
        <v>3057</v>
      </c>
      <c r="K665" t="s">
        <v>921</v>
      </c>
      <c r="L665" t="s">
        <v>231</v>
      </c>
      <c r="M665" t="s">
        <v>911</v>
      </c>
      <c r="N665" t="s">
        <v>186</v>
      </c>
      <c r="O665" t="s">
        <v>912</v>
      </c>
      <c r="P665" t="s">
        <v>867</v>
      </c>
      <c r="Q665" t="s">
        <v>913</v>
      </c>
      <c r="R665" t="s">
        <v>914</v>
      </c>
      <c r="S665" t="s">
        <v>232</v>
      </c>
      <c r="T665" t="s">
        <v>500</v>
      </c>
      <c r="U665" t="s">
        <v>265</v>
      </c>
      <c r="V665" t="s">
        <v>234</v>
      </c>
      <c r="W665" t="s">
        <v>52</v>
      </c>
      <c r="X665" t="s">
        <v>235</v>
      </c>
      <c r="Y665" t="s">
        <v>266</v>
      </c>
      <c r="Z665">
        <v>2721</v>
      </c>
      <c r="AA665">
        <v>2721</v>
      </c>
      <c r="AB665" t="s">
        <v>237</v>
      </c>
      <c r="AC665">
        <v>5.34</v>
      </c>
      <c r="AD665">
        <v>14530.14</v>
      </c>
      <c r="AE665">
        <v>4408.0200000000004</v>
      </c>
      <c r="AF665" t="s">
        <v>870</v>
      </c>
      <c r="AG665">
        <v>10122.120000000001</v>
      </c>
      <c r="AH665">
        <v>0.7</v>
      </c>
    </row>
    <row r="666" spans="1:34" x14ac:dyDescent="0.25">
      <c r="A666" t="s">
        <v>1855</v>
      </c>
      <c r="B666">
        <v>665</v>
      </c>
      <c r="C666" t="s">
        <v>487</v>
      </c>
      <c r="D666" t="s">
        <v>322</v>
      </c>
      <c r="E666" t="s">
        <v>531</v>
      </c>
      <c r="F666" t="s">
        <v>3056</v>
      </c>
      <c r="G666" s="25">
        <v>44295</v>
      </c>
      <c r="H666">
        <v>20</v>
      </c>
      <c r="I666">
        <v>99</v>
      </c>
      <c r="J666" t="s">
        <v>3058</v>
      </c>
      <c r="K666" t="s">
        <v>956</v>
      </c>
      <c r="L666" t="s">
        <v>231</v>
      </c>
      <c r="M666" t="s">
        <v>926</v>
      </c>
      <c r="N666" t="s">
        <v>185</v>
      </c>
      <c r="O666" t="s">
        <v>953</v>
      </c>
      <c r="P666" t="s">
        <v>867</v>
      </c>
      <c r="Q666" t="s">
        <v>986</v>
      </c>
      <c r="R666" t="s">
        <v>987</v>
      </c>
      <c r="S666" t="s">
        <v>232</v>
      </c>
      <c r="T666" t="s">
        <v>500</v>
      </c>
      <c r="U666" t="s">
        <v>265</v>
      </c>
      <c r="V666" t="s">
        <v>234</v>
      </c>
      <c r="W666" t="s">
        <v>52</v>
      </c>
      <c r="X666" t="s">
        <v>235</v>
      </c>
      <c r="Y666" t="s">
        <v>266</v>
      </c>
      <c r="Z666">
        <v>2841</v>
      </c>
      <c r="AA666">
        <v>2841</v>
      </c>
      <c r="AB666" t="s">
        <v>237</v>
      </c>
      <c r="AC666">
        <v>5.34</v>
      </c>
      <c r="AD666">
        <v>15170.94</v>
      </c>
      <c r="AE666">
        <v>4602.42</v>
      </c>
      <c r="AF666" t="s">
        <v>870</v>
      </c>
      <c r="AG666">
        <v>10568.52</v>
      </c>
      <c r="AH666">
        <v>0.7</v>
      </c>
    </row>
    <row r="667" spans="1:34" x14ac:dyDescent="0.25">
      <c r="A667" t="s">
        <v>1809</v>
      </c>
      <c r="B667">
        <v>666</v>
      </c>
      <c r="C667" t="s">
        <v>487</v>
      </c>
      <c r="D667" t="s">
        <v>322</v>
      </c>
      <c r="E667" t="s">
        <v>531</v>
      </c>
      <c r="F667" t="s">
        <v>3056</v>
      </c>
      <c r="G667" s="25">
        <v>44295</v>
      </c>
      <c r="H667">
        <v>20</v>
      </c>
      <c r="I667">
        <v>99</v>
      </c>
      <c r="J667" t="s">
        <v>3058</v>
      </c>
      <c r="K667" t="s">
        <v>921</v>
      </c>
      <c r="L667" t="s">
        <v>231</v>
      </c>
      <c r="M667" t="s">
        <v>926</v>
      </c>
      <c r="N667" t="s">
        <v>185</v>
      </c>
      <c r="O667" t="s">
        <v>953</v>
      </c>
      <c r="P667" t="s">
        <v>867</v>
      </c>
      <c r="Q667" t="s">
        <v>986</v>
      </c>
      <c r="R667" t="s">
        <v>987</v>
      </c>
      <c r="S667" t="s">
        <v>232</v>
      </c>
      <c r="T667" t="s">
        <v>500</v>
      </c>
      <c r="U667" t="s">
        <v>265</v>
      </c>
      <c r="V667" t="s">
        <v>234</v>
      </c>
      <c r="W667" t="s">
        <v>52</v>
      </c>
      <c r="X667" t="s">
        <v>235</v>
      </c>
      <c r="Y667" t="s">
        <v>266</v>
      </c>
      <c r="Z667">
        <v>2776</v>
      </c>
      <c r="AA667">
        <v>2776</v>
      </c>
      <c r="AB667" t="s">
        <v>237</v>
      </c>
      <c r="AC667">
        <v>5.34</v>
      </c>
      <c r="AD667">
        <v>14823.84</v>
      </c>
      <c r="AE667">
        <v>4497.12</v>
      </c>
      <c r="AF667" t="s">
        <v>870</v>
      </c>
      <c r="AG667">
        <v>10326.719999999999</v>
      </c>
      <c r="AH667">
        <v>0.7</v>
      </c>
    </row>
    <row r="668" spans="1:34" x14ac:dyDescent="0.25">
      <c r="A668" t="s">
        <v>2888</v>
      </c>
      <c r="B668">
        <v>667</v>
      </c>
      <c r="C668" t="s">
        <v>487</v>
      </c>
      <c r="D668" t="s">
        <v>322</v>
      </c>
      <c r="E668" t="s">
        <v>531</v>
      </c>
      <c r="F668" t="s">
        <v>3056</v>
      </c>
      <c r="G668" s="25">
        <v>44295</v>
      </c>
      <c r="H668">
        <v>20</v>
      </c>
      <c r="I668">
        <v>99</v>
      </c>
      <c r="J668" t="s">
        <v>3058</v>
      </c>
      <c r="K668" t="s">
        <v>876</v>
      </c>
      <c r="L668" t="s">
        <v>231</v>
      </c>
      <c r="M668" t="s">
        <v>926</v>
      </c>
      <c r="N668" t="s">
        <v>185</v>
      </c>
      <c r="O668" t="s">
        <v>953</v>
      </c>
      <c r="P668" t="s">
        <v>867</v>
      </c>
      <c r="Q668" t="s">
        <v>986</v>
      </c>
      <c r="R668" t="s">
        <v>987</v>
      </c>
      <c r="S668" t="s">
        <v>232</v>
      </c>
      <c r="T668" t="s">
        <v>500</v>
      </c>
      <c r="U668" t="s">
        <v>265</v>
      </c>
      <c r="V668" t="s">
        <v>234</v>
      </c>
      <c r="W668" t="s">
        <v>52</v>
      </c>
      <c r="X668" t="s">
        <v>235</v>
      </c>
      <c r="Y668" t="s">
        <v>266</v>
      </c>
      <c r="Z668">
        <v>2770</v>
      </c>
      <c r="AA668">
        <v>2770</v>
      </c>
      <c r="AB668" t="s">
        <v>237</v>
      </c>
      <c r="AC668">
        <v>5.34</v>
      </c>
      <c r="AD668">
        <v>14791.8</v>
      </c>
      <c r="AE668">
        <v>4487.3999999999996</v>
      </c>
      <c r="AF668" t="s">
        <v>870</v>
      </c>
      <c r="AG668">
        <v>10304.4</v>
      </c>
      <c r="AH668">
        <v>0.7</v>
      </c>
    </row>
    <row r="669" spans="1:34" x14ac:dyDescent="0.25">
      <c r="A669" t="s">
        <v>2634</v>
      </c>
      <c r="B669">
        <v>668</v>
      </c>
      <c r="C669" t="s">
        <v>487</v>
      </c>
      <c r="D669" t="s">
        <v>322</v>
      </c>
      <c r="E669" t="s">
        <v>531</v>
      </c>
      <c r="F669" t="s">
        <v>3056</v>
      </c>
      <c r="G669" s="25">
        <v>44295</v>
      </c>
      <c r="H669">
        <v>20</v>
      </c>
      <c r="I669">
        <v>99</v>
      </c>
      <c r="J669" t="s">
        <v>3058</v>
      </c>
      <c r="K669" t="s">
        <v>510</v>
      </c>
      <c r="L669" t="s">
        <v>231</v>
      </c>
      <c r="M669" t="s">
        <v>926</v>
      </c>
      <c r="N669" t="s">
        <v>185</v>
      </c>
      <c r="O669" t="s">
        <v>953</v>
      </c>
      <c r="P669" t="s">
        <v>867</v>
      </c>
      <c r="Q669" t="s">
        <v>986</v>
      </c>
      <c r="R669" t="s">
        <v>987</v>
      </c>
      <c r="S669" t="s">
        <v>232</v>
      </c>
      <c r="T669" t="s">
        <v>500</v>
      </c>
      <c r="U669" t="s">
        <v>265</v>
      </c>
      <c r="V669" t="s">
        <v>234</v>
      </c>
      <c r="W669" t="s">
        <v>52</v>
      </c>
      <c r="X669" t="s">
        <v>235</v>
      </c>
      <c r="Y669" t="s">
        <v>266</v>
      </c>
      <c r="Z669">
        <v>2450</v>
      </c>
      <c r="AA669">
        <v>2450</v>
      </c>
      <c r="AB669" t="s">
        <v>237</v>
      </c>
      <c r="AC669">
        <v>5.34</v>
      </c>
      <c r="AD669">
        <v>13083</v>
      </c>
      <c r="AE669">
        <v>3969</v>
      </c>
      <c r="AF669" t="s">
        <v>870</v>
      </c>
      <c r="AG669">
        <v>9114</v>
      </c>
      <c r="AH669">
        <v>0.7</v>
      </c>
    </row>
    <row r="670" spans="1:34" x14ac:dyDescent="0.25">
      <c r="A670" t="s">
        <v>2717</v>
      </c>
      <c r="B670">
        <v>669</v>
      </c>
      <c r="C670" t="s">
        <v>487</v>
      </c>
      <c r="D670" t="s">
        <v>322</v>
      </c>
      <c r="E670" t="s">
        <v>408</v>
      </c>
      <c r="F670" t="s">
        <v>3059</v>
      </c>
      <c r="G670" s="25">
        <v>44296</v>
      </c>
      <c r="H670">
        <v>20</v>
      </c>
      <c r="I670">
        <v>100</v>
      </c>
      <c r="J670" t="s">
        <v>3060</v>
      </c>
      <c r="K670" t="s">
        <v>510</v>
      </c>
      <c r="L670" t="s">
        <v>231</v>
      </c>
      <c r="M670" t="s">
        <v>931</v>
      </c>
      <c r="N670" t="s">
        <v>186</v>
      </c>
      <c r="O670" t="s">
        <v>932</v>
      </c>
      <c r="P670" t="s">
        <v>867</v>
      </c>
      <c r="Q670" t="s">
        <v>933</v>
      </c>
      <c r="R670" t="s">
        <v>934</v>
      </c>
      <c r="S670" t="s">
        <v>232</v>
      </c>
      <c r="T670" t="s">
        <v>500</v>
      </c>
      <c r="U670" t="s">
        <v>265</v>
      </c>
      <c r="V670" t="s">
        <v>234</v>
      </c>
      <c r="W670" t="s">
        <v>52</v>
      </c>
      <c r="X670" t="s">
        <v>235</v>
      </c>
      <c r="Y670" t="s">
        <v>266</v>
      </c>
      <c r="Z670">
        <v>2985</v>
      </c>
      <c r="AA670">
        <v>2985</v>
      </c>
      <c r="AB670" t="s">
        <v>237</v>
      </c>
      <c r="AC670">
        <v>5.34</v>
      </c>
      <c r="AD670">
        <v>15939.9</v>
      </c>
      <c r="AE670">
        <v>4835.7</v>
      </c>
      <c r="AF670" t="s">
        <v>870</v>
      </c>
      <c r="AG670">
        <v>11104.2</v>
      </c>
      <c r="AH670">
        <v>0.7</v>
      </c>
    </row>
    <row r="671" spans="1:34" x14ac:dyDescent="0.25">
      <c r="A671" t="s">
        <v>1827</v>
      </c>
      <c r="B671">
        <v>670</v>
      </c>
      <c r="C671" t="s">
        <v>487</v>
      </c>
      <c r="D671" t="s">
        <v>322</v>
      </c>
      <c r="E671" t="s">
        <v>408</v>
      </c>
      <c r="F671" t="s">
        <v>3059</v>
      </c>
      <c r="G671" s="25">
        <v>44296</v>
      </c>
      <c r="H671">
        <v>20</v>
      </c>
      <c r="I671">
        <v>100</v>
      </c>
      <c r="J671" t="s">
        <v>3061</v>
      </c>
      <c r="K671" t="s">
        <v>510</v>
      </c>
      <c r="L671" t="s">
        <v>231</v>
      </c>
      <c r="M671" t="s">
        <v>173</v>
      </c>
      <c r="N671" t="s">
        <v>185</v>
      </c>
      <c r="O671" t="s">
        <v>966</v>
      </c>
      <c r="P671" t="s">
        <v>867</v>
      </c>
      <c r="Q671" t="s">
        <v>967</v>
      </c>
      <c r="R671" t="s">
        <v>968</v>
      </c>
      <c r="S671" t="s">
        <v>232</v>
      </c>
      <c r="T671" t="s">
        <v>500</v>
      </c>
      <c r="U671" t="s">
        <v>265</v>
      </c>
      <c r="V671" t="s">
        <v>234</v>
      </c>
      <c r="W671" t="s">
        <v>52</v>
      </c>
      <c r="X671" t="s">
        <v>235</v>
      </c>
      <c r="Y671" t="s">
        <v>266</v>
      </c>
      <c r="Z671">
        <v>2889</v>
      </c>
      <c r="AA671">
        <v>2889</v>
      </c>
      <c r="AB671" t="s">
        <v>237</v>
      </c>
      <c r="AC671">
        <v>5.34</v>
      </c>
      <c r="AD671">
        <v>15427.26</v>
      </c>
      <c r="AE671">
        <v>4680.18</v>
      </c>
      <c r="AF671" t="s">
        <v>870</v>
      </c>
      <c r="AG671">
        <v>10747.08</v>
      </c>
      <c r="AH671">
        <v>0.7</v>
      </c>
    </row>
    <row r="672" spans="1:34" x14ac:dyDescent="0.25">
      <c r="A672" t="s">
        <v>2294</v>
      </c>
      <c r="B672">
        <v>671</v>
      </c>
      <c r="C672" t="s">
        <v>487</v>
      </c>
      <c r="D672" t="s">
        <v>322</v>
      </c>
      <c r="E672" t="s">
        <v>408</v>
      </c>
      <c r="F672" t="s">
        <v>3059</v>
      </c>
      <c r="G672" s="25">
        <v>44296</v>
      </c>
      <c r="H672">
        <v>20</v>
      </c>
      <c r="I672">
        <v>100</v>
      </c>
      <c r="J672" t="s">
        <v>3062</v>
      </c>
      <c r="K672" t="s">
        <v>921</v>
      </c>
      <c r="L672" t="s">
        <v>231</v>
      </c>
      <c r="M672" t="s">
        <v>872</v>
      </c>
      <c r="N672" t="s">
        <v>184</v>
      </c>
      <c r="O672" t="s">
        <v>922</v>
      </c>
      <c r="P672" t="s">
        <v>867</v>
      </c>
      <c r="Q672" t="s">
        <v>923</v>
      </c>
      <c r="R672" t="s">
        <v>924</v>
      </c>
      <c r="S672" t="s">
        <v>232</v>
      </c>
      <c r="T672" t="s">
        <v>503</v>
      </c>
      <c r="U672" t="s">
        <v>303</v>
      </c>
      <c r="V672" t="s">
        <v>234</v>
      </c>
      <c r="W672" t="s">
        <v>56</v>
      </c>
      <c r="X672" t="s">
        <v>235</v>
      </c>
      <c r="Y672" t="s">
        <v>304</v>
      </c>
      <c r="Z672">
        <v>1015</v>
      </c>
      <c r="AA672">
        <v>1015</v>
      </c>
      <c r="AB672" t="s">
        <v>237</v>
      </c>
      <c r="AC672">
        <v>4.9400000000000004</v>
      </c>
      <c r="AD672">
        <v>5014.1000000000004</v>
      </c>
      <c r="AE672">
        <v>2314.1999999999998</v>
      </c>
      <c r="AF672" t="s">
        <v>870</v>
      </c>
      <c r="AG672">
        <v>2699.9</v>
      </c>
      <c r="AH672">
        <v>0.54</v>
      </c>
    </row>
    <row r="673" spans="1:34" x14ac:dyDescent="0.25">
      <c r="A673" t="s">
        <v>2300</v>
      </c>
      <c r="B673">
        <v>672</v>
      </c>
      <c r="C673" t="s">
        <v>487</v>
      </c>
      <c r="D673" t="s">
        <v>322</v>
      </c>
      <c r="E673" t="s">
        <v>408</v>
      </c>
      <c r="F673" t="s">
        <v>3059</v>
      </c>
      <c r="G673" s="25">
        <v>44296</v>
      </c>
      <c r="H673">
        <v>20</v>
      </c>
      <c r="I673">
        <v>100</v>
      </c>
      <c r="J673" t="s">
        <v>3060</v>
      </c>
      <c r="K673" t="s">
        <v>876</v>
      </c>
      <c r="L673" t="s">
        <v>231</v>
      </c>
      <c r="M673" t="s">
        <v>931</v>
      </c>
      <c r="N673" t="s">
        <v>186</v>
      </c>
      <c r="O673" t="s">
        <v>932</v>
      </c>
      <c r="P673" t="s">
        <v>867</v>
      </c>
      <c r="Q673" t="s">
        <v>933</v>
      </c>
      <c r="R673" t="s">
        <v>934</v>
      </c>
      <c r="S673" t="s">
        <v>232</v>
      </c>
      <c r="T673" t="s">
        <v>503</v>
      </c>
      <c r="U673" t="s">
        <v>303</v>
      </c>
      <c r="V673" t="s">
        <v>234</v>
      </c>
      <c r="W673" t="s">
        <v>56</v>
      </c>
      <c r="X673" t="s">
        <v>235</v>
      </c>
      <c r="Y673" t="s">
        <v>304</v>
      </c>
      <c r="Z673">
        <v>2576</v>
      </c>
      <c r="AA673">
        <v>2576</v>
      </c>
      <c r="AB673" t="s">
        <v>237</v>
      </c>
      <c r="AC673">
        <v>4.9400000000000004</v>
      </c>
      <c r="AD673">
        <v>12725.44</v>
      </c>
      <c r="AE673">
        <v>5873.28</v>
      </c>
      <c r="AF673" t="s">
        <v>870</v>
      </c>
      <c r="AG673">
        <v>6852.16</v>
      </c>
      <c r="AH673">
        <v>0.54</v>
      </c>
    </row>
    <row r="674" spans="1:34" x14ac:dyDescent="0.25">
      <c r="A674" t="s">
        <v>2321</v>
      </c>
      <c r="B674">
        <v>673</v>
      </c>
      <c r="C674" t="s">
        <v>487</v>
      </c>
      <c r="D674" t="s">
        <v>322</v>
      </c>
      <c r="E674" t="s">
        <v>408</v>
      </c>
      <c r="F674" t="s">
        <v>3059</v>
      </c>
      <c r="G674" s="25">
        <v>44296</v>
      </c>
      <c r="H674">
        <v>20</v>
      </c>
      <c r="I674">
        <v>100</v>
      </c>
      <c r="J674" t="s">
        <v>3060</v>
      </c>
      <c r="K674" t="s">
        <v>921</v>
      </c>
      <c r="L674" t="s">
        <v>231</v>
      </c>
      <c r="M674" t="s">
        <v>931</v>
      </c>
      <c r="N674" t="s">
        <v>186</v>
      </c>
      <c r="O674" t="s">
        <v>932</v>
      </c>
      <c r="P674" t="s">
        <v>867</v>
      </c>
      <c r="Q674" t="s">
        <v>933</v>
      </c>
      <c r="R674" t="s">
        <v>934</v>
      </c>
      <c r="S674" t="s">
        <v>232</v>
      </c>
      <c r="T674" t="s">
        <v>503</v>
      </c>
      <c r="U674" t="s">
        <v>303</v>
      </c>
      <c r="V674" t="s">
        <v>234</v>
      </c>
      <c r="W674" t="s">
        <v>56</v>
      </c>
      <c r="X674" t="s">
        <v>235</v>
      </c>
      <c r="Y674" t="s">
        <v>304</v>
      </c>
      <c r="Z674">
        <v>2623</v>
      </c>
      <c r="AA674">
        <v>2623</v>
      </c>
      <c r="AB674" t="s">
        <v>237</v>
      </c>
      <c r="AC674">
        <v>4.9400000000000004</v>
      </c>
      <c r="AD674">
        <v>12957.62</v>
      </c>
      <c r="AE674">
        <v>5980.44</v>
      </c>
      <c r="AF674" t="s">
        <v>870</v>
      </c>
      <c r="AG674">
        <v>6977.18</v>
      </c>
      <c r="AH674">
        <v>0.54</v>
      </c>
    </row>
    <row r="675" spans="1:34" x14ac:dyDescent="0.25">
      <c r="A675" t="s">
        <v>2432</v>
      </c>
      <c r="B675">
        <v>674</v>
      </c>
      <c r="C675" t="s">
        <v>487</v>
      </c>
      <c r="D675" t="s">
        <v>322</v>
      </c>
      <c r="E675" t="s">
        <v>408</v>
      </c>
      <c r="F675" t="s">
        <v>3059</v>
      </c>
      <c r="G675" s="25">
        <v>44296</v>
      </c>
      <c r="H675">
        <v>20</v>
      </c>
      <c r="I675">
        <v>100</v>
      </c>
      <c r="J675" t="s">
        <v>3061</v>
      </c>
      <c r="K675" t="s">
        <v>876</v>
      </c>
      <c r="L675" t="s">
        <v>231</v>
      </c>
      <c r="M675" t="s">
        <v>173</v>
      </c>
      <c r="N675" t="s">
        <v>185</v>
      </c>
      <c r="O675" t="s">
        <v>966</v>
      </c>
      <c r="P675" t="s">
        <v>867</v>
      </c>
      <c r="Q675" t="s">
        <v>967</v>
      </c>
      <c r="R675" t="s">
        <v>968</v>
      </c>
      <c r="S675" t="s">
        <v>232</v>
      </c>
      <c r="T675" t="s">
        <v>503</v>
      </c>
      <c r="U675" t="s">
        <v>303</v>
      </c>
      <c r="V675" t="s">
        <v>234</v>
      </c>
      <c r="W675" t="s">
        <v>56</v>
      </c>
      <c r="X675" t="s">
        <v>235</v>
      </c>
      <c r="Y675" t="s">
        <v>304</v>
      </c>
      <c r="Z675">
        <v>2570</v>
      </c>
      <c r="AA675">
        <v>2570</v>
      </c>
      <c r="AB675" t="s">
        <v>237</v>
      </c>
      <c r="AC675">
        <v>4.9400000000000004</v>
      </c>
      <c r="AD675">
        <v>12695.8</v>
      </c>
      <c r="AE675">
        <v>5859.6</v>
      </c>
      <c r="AF675" t="s">
        <v>870</v>
      </c>
      <c r="AG675">
        <v>6836.2</v>
      </c>
      <c r="AH675">
        <v>0.54</v>
      </c>
    </row>
    <row r="676" spans="1:34" x14ac:dyDescent="0.25">
      <c r="A676" t="s">
        <v>2530</v>
      </c>
      <c r="B676">
        <v>675</v>
      </c>
      <c r="C676" t="s">
        <v>487</v>
      </c>
      <c r="D676" t="s">
        <v>322</v>
      </c>
      <c r="E676" t="s">
        <v>408</v>
      </c>
      <c r="F676" t="s">
        <v>3059</v>
      </c>
      <c r="G676" s="25">
        <v>44296</v>
      </c>
      <c r="H676">
        <v>20</v>
      </c>
      <c r="I676">
        <v>100</v>
      </c>
      <c r="J676" t="s">
        <v>3062</v>
      </c>
      <c r="K676" t="s">
        <v>876</v>
      </c>
      <c r="L676" t="s">
        <v>231</v>
      </c>
      <c r="M676" t="s">
        <v>872</v>
      </c>
      <c r="N676" t="s">
        <v>184</v>
      </c>
      <c r="O676" t="s">
        <v>922</v>
      </c>
      <c r="P676" t="s">
        <v>867</v>
      </c>
      <c r="Q676" t="s">
        <v>923</v>
      </c>
      <c r="R676" t="s">
        <v>924</v>
      </c>
      <c r="S676" t="s">
        <v>232</v>
      </c>
      <c r="T676" t="s">
        <v>503</v>
      </c>
      <c r="U676" t="s">
        <v>303</v>
      </c>
      <c r="V676" t="s">
        <v>234</v>
      </c>
      <c r="W676" t="s">
        <v>56</v>
      </c>
      <c r="X676" t="s">
        <v>235</v>
      </c>
      <c r="Y676" t="s">
        <v>304</v>
      </c>
      <c r="Z676">
        <v>3263</v>
      </c>
      <c r="AA676">
        <v>3263</v>
      </c>
      <c r="AB676" t="s">
        <v>237</v>
      </c>
      <c r="AC676">
        <v>4.9400000000000004</v>
      </c>
      <c r="AD676">
        <v>16119.22</v>
      </c>
      <c r="AE676">
        <v>7439.64</v>
      </c>
      <c r="AF676" t="s">
        <v>870</v>
      </c>
      <c r="AG676">
        <v>8679.58</v>
      </c>
      <c r="AH676">
        <v>0.54</v>
      </c>
    </row>
    <row r="677" spans="1:34" x14ac:dyDescent="0.25">
      <c r="A677" t="s">
        <v>2127</v>
      </c>
      <c r="B677">
        <v>676</v>
      </c>
      <c r="C677" t="s">
        <v>487</v>
      </c>
      <c r="D677" t="s">
        <v>322</v>
      </c>
      <c r="E677" t="s">
        <v>408</v>
      </c>
      <c r="F677" t="s">
        <v>3059</v>
      </c>
      <c r="G677" s="25">
        <v>44296</v>
      </c>
      <c r="H677">
        <v>20</v>
      </c>
      <c r="I677">
        <v>100</v>
      </c>
      <c r="J677" t="s">
        <v>3062</v>
      </c>
      <c r="K677" t="s">
        <v>510</v>
      </c>
      <c r="L677" t="s">
        <v>231</v>
      </c>
      <c r="M677" t="s">
        <v>872</v>
      </c>
      <c r="N677" t="s">
        <v>184</v>
      </c>
      <c r="O677" t="s">
        <v>922</v>
      </c>
      <c r="P677" t="s">
        <v>867</v>
      </c>
      <c r="Q677" t="s">
        <v>923</v>
      </c>
      <c r="R677" t="s">
        <v>924</v>
      </c>
      <c r="S677" t="s">
        <v>232</v>
      </c>
      <c r="T677" t="s">
        <v>503</v>
      </c>
      <c r="U677" t="s">
        <v>303</v>
      </c>
      <c r="V677" t="s">
        <v>234</v>
      </c>
      <c r="W677" t="s">
        <v>56</v>
      </c>
      <c r="X677" t="s">
        <v>235</v>
      </c>
      <c r="Y677" t="s">
        <v>304</v>
      </c>
      <c r="Z677">
        <v>3203</v>
      </c>
      <c r="AA677">
        <v>3203</v>
      </c>
      <c r="AB677" t="s">
        <v>237</v>
      </c>
      <c r="AC677">
        <v>4.9400000000000004</v>
      </c>
      <c r="AD677">
        <v>15822.82</v>
      </c>
      <c r="AE677">
        <v>7302.84</v>
      </c>
      <c r="AF677" t="s">
        <v>870</v>
      </c>
      <c r="AG677">
        <v>8519.98</v>
      </c>
      <c r="AH677">
        <v>0.54</v>
      </c>
    </row>
    <row r="678" spans="1:34" x14ac:dyDescent="0.25">
      <c r="A678" t="s">
        <v>2909</v>
      </c>
      <c r="B678">
        <v>677</v>
      </c>
      <c r="C678" t="s">
        <v>487</v>
      </c>
      <c r="D678" t="s">
        <v>247</v>
      </c>
      <c r="E678" t="s">
        <v>229</v>
      </c>
      <c r="F678" t="s">
        <v>3063</v>
      </c>
      <c r="G678" s="25">
        <v>44297</v>
      </c>
      <c r="H678">
        <v>21</v>
      </c>
      <c r="I678">
        <v>101</v>
      </c>
      <c r="J678" t="s">
        <v>3064</v>
      </c>
      <c r="K678" t="s">
        <v>921</v>
      </c>
      <c r="L678" t="s">
        <v>231</v>
      </c>
      <c r="M678" t="s">
        <v>173</v>
      </c>
      <c r="N678" t="s">
        <v>185</v>
      </c>
      <c r="O678" t="s">
        <v>966</v>
      </c>
      <c r="P678" t="s">
        <v>867</v>
      </c>
      <c r="Q678" t="s">
        <v>1597</v>
      </c>
      <c r="R678" t="s">
        <v>1598</v>
      </c>
      <c r="S678" t="s">
        <v>239</v>
      </c>
      <c r="T678" t="s">
        <v>500</v>
      </c>
      <c r="U678" t="s">
        <v>265</v>
      </c>
      <c r="V678" t="s">
        <v>234</v>
      </c>
      <c r="W678" t="s">
        <v>52</v>
      </c>
      <c r="X678" t="s">
        <v>235</v>
      </c>
      <c r="Y678" t="s">
        <v>266</v>
      </c>
      <c r="Z678">
        <v>256</v>
      </c>
      <c r="AA678">
        <v>256</v>
      </c>
      <c r="AB678" t="s">
        <v>237</v>
      </c>
      <c r="AC678">
        <v>5.23</v>
      </c>
      <c r="AD678">
        <v>1338.88</v>
      </c>
      <c r="AE678">
        <v>414.72</v>
      </c>
      <c r="AF678" t="s">
        <v>870</v>
      </c>
      <c r="AG678">
        <v>924.16</v>
      </c>
      <c r="AH678">
        <v>0.69</v>
      </c>
    </row>
    <row r="679" spans="1:34" x14ac:dyDescent="0.25">
      <c r="A679" t="s">
        <v>2818</v>
      </c>
      <c r="B679">
        <v>678</v>
      </c>
      <c r="C679" t="s">
        <v>487</v>
      </c>
      <c r="D679" t="s">
        <v>247</v>
      </c>
      <c r="E679" t="s">
        <v>229</v>
      </c>
      <c r="F679" t="s">
        <v>3063</v>
      </c>
      <c r="G679" s="25">
        <v>44297</v>
      </c>
      <c r="H679">
        <v>21</v>
      </c>
      <c r="I679">
        <v>101</v>
      </c>
      <c r="J679" t="s">
        <v>3064</v>
      </c>
      <c r="K679" t="s">
        <v>876</v>
      </c>
      <c r="L679" t="s">
        <v>231</v>
      </c>
      <c r="M679" t="s">
        <v>173</v>
      </c>
      <c r="N679" t="s">
        <v>185</v>
      </c>
      <c r="O679" t="s">
        <v>966</v>
      </c>
      <c r="P679" t="s">
        <v>867</v>
      </c>
      <c r="Q679" t="s">
        <v>1597</v>
      </c>
      <c r="R679" t="s">
        <v>1598</v>
      </c>
      <c r="S679" t="s">
        <v>239</v>
      </c>
      <c r="T679" t="s">
        <v>491</v>
      </c>
      <c r="U679" t="s">
        <v>233</v>
      </c>
      <c r="V679" t="s">
        <v>234</v>
      </c>
      <c r="W679" t="s">
        <v>54</v>
      </c>
      <c r="X679" t="s">
        <v>235</v>
      </c>
      <c r="Y679" t="s">
        <v>236</v>
      </c>
      <c r="Z679">
        <v>886</v>
      </c>
      <c r="AA679">
        <v>886</v>
      </c>
      <c r="AB679" t="s">
        <v>237</v>
      </c>
      <c r="AC679">
        <v>5.97</v>
      </c>
      <c r="AD679">
        <v>5289.42</v>
      </c>
      <c r="AE679">
        <v>2011.22</v>
      </c>
      <c r="AF679" t="s">
        <v>870</v>
      </c>
      <c r="AG679">
        <v>3278.2</v>
      </c>
      <c r="AH679">
        <v>0.62</v>
      </c>
    </row>
    <row r="680" spans="1:34" x14ac:dyDescent="0.25">
      <c r="A680" t="s">
        <v>1683</v>
      </c>
      <c r="B680">
        <v>679</v>
      </c>
      <c r="C680" t="s">
        <v>487</v>
      </c>
      <c r="D680" t="s">
        <v>247</v>
      </c>
      <c r="E680" t="s">
        <v>229</v>
      </c>
      <c r="F680" t="s">
        <v>3063</v>
      </c>
      <c r="G680" s="25">
        <v>44297</v>
      </c>
      <c r="H680">
        <v>21</v>
      </c>
      <c r="I680">
        <v>101</v>
      </c>
      <c r="J680" t="s">
        <v>3064</v>
      </c>
      <c r="K680" t="s">
        <v>510</v>
      </c>
      <c r="L680" t="s">
        <v>231</v>
      </c>
      <c r="M680" t="s">
        <v>173</v>
      </c>
      <c r="N680" t="s">
        <v>185</v>
      </c>
      <c r="O680" t="s">
        <v>966</v>
      </c>
      <c r="P680" t="s">
        <v>867</v>
      </c>
      <c r="Q680" t="s">
        <v>1597</v>
      </c>
      <c r="R680" t="s">
        <v>1598</v>
      </c>
      <c r="S680" t="s">
        <v>239</v>
      </c>
      <c r="T680" t="s">
        <v>503</v>
      </c>
      <c r="U680" t="s">
        <v>303</v>
      </c>
      <c r="V680" t="s">
        <v>234</v>
      </c>
      <c r="W680" t="s">
        <v>56</v>
      </c>
      <c r="X680" t="s">
        <v>235</v>
      </c>
      <c r="Y680" t="s">
        <v>304</v>
      </c>
      <c r="Z680">
        <v>3174</v>
      </c>
      <c r="AA680">
        <v>3174</v>
      </c>
      <c r="AB680" t="s">
        <v>237</v>
      </c>
      <c r="AC680">
        <v>4.84</v>
      </c>
      <c r="AD680">
        <v>15362.16</v>
      </c>
      <c r="AE680">
        <v>7236.72</v>
      </c>
      <c r="AF680" t="s">
        <v>870</v>
      </c>
      <c r="AG680">
        <v>8125.44</v>
      </c>
      <c r="AH680">
        <v>0.53</v>
      </c>
    </row>
    <row r="681" spans="1:34" x14ac:dyDescent="0.25">
      <c r="A681" t="s">
        <v>2008</v>
      </c>
      <c r="B681">
        <v>680</v>
      </c>
      <c r="C681" t="s">
        <v>487</v>
      </c>
      <c r="D681" t="s">
        <v>247</v>
      </c>
      <c r="E681" t="s">
        <v>229</v>
      </c>
      <c r="F681" t="s">
        <v>3063</v>
      </c>
      <c r="G681" s="25">
        <v>44297</v>
      </c>
      <c r="H681">
        <v>21</v>
      </c>
      <c r="I681">
        <v>101</v>
      </c>
      <c r="J681" t="s">
        <v>3065</v>
      </c>
      <c r="K681" t="s">
        <v>956</v>
      </c>
      <c r="L681" t="s">
        <v>231</v>
      </c>
      <c r="M681" t="s">
        <v>1076</v>
      </c>
      <c r="N681" t="s">
        <v>185</v>
      </c>
      <c r="O681" t="s">
        <v>1077</v>
      </c>
      <c r="P681" t="s">
        <v>867</v>
      </c>
      <c r="Q681" t="s">
        <v>1078</v>
      </c>
      <c r="R681" t="s">
        <v>1079</v>
      </c>
      <c r="S681" t="s">
        <v>232</v>
      </c>
      <c r="T681" t="s">
        <v>500</v>
      </c>
      <c r="U681" t="s">
        <v>265</v>
      </c>
      <c r="V681" t="s">
        <v>234</v>
      </c>
      <c r="W681" t="s">
        <v>52</v>
      </c>
      <c r="X681" t="s">
        <v>235</v>
      </c>
      <c r="Y681" t="s">
        <v>266</v>
      </c>
      <c r="Z681">
        <v>2973</v>
      </c>
      <c r="AA681">
        <v>2973</v>
      </c>
      <c r="AB681" t="s">
        <v>237</v>
      </c>
      <c r="AC681">
        <v>5.34</v>
      </c>
      <c r="AD681">
        <v>15875.82</v>
      </c>
      <c r="AE681">
        <v>4816.26</v>
      </c>
      <c r="AF681" t="s">
        <v>870</v>
      </c>
      <c r="AG681">
        <v>11059.56</v>
      </c>
      <c r="AH681">
        <v>0.7</v>
      </c>
    </row>
    <row r="682" spans="1:34" x14ac:dyDescent="0.25">
      <c r="A682" t="s">
        <v>2733</v>
      </c>
      <c r="B682">
        <v>681</v>
      </c>
      <c r="C682" t="s">
        <v>487</v>
      </c>
      <c r="D682" t="s">
        <v>247</v>
      </c>
      <c r="E682" t="s">
        <v>229</v>
      </c>
      <c r="F682" t="s">
        <v>3063</v>
      </c>
      <c r="G682" s="25">
        <v>44297</v>
      </c>
      <c r="H682">
        <v>21</v>
      </c>
      <c r="I682">
        <v>101</v>
      </c>
      <c r="J682" t="s">
        <v>3066</v>
      </c>
      <c r="K682" t="s">
        <v>510</v>
      </c>
      <c r="L682" t="s">
        <v>231</v>
      </c>
      <c r="M682" t="s">
        <v>931</v>
      </c>
      <c r="N682" t="s">
        <v>186</v>
      </c>
      <c r="O682" t="s">
        <v>3067</v>
      </c>
      <c r="P682" t="s">
        <v>867</v>
      </c>
      <c r="Q682" t="s">
        <v>3068</v>
      </c>
      <c r="R682" t="s">
        <v>3069</v>
      </c>
      <c r="S682" t="s">
        <v>232</v>
      </c>
      <c r="T682" t="s">
        <v>491</v>
      </c>
      <c r="U682" t="s">
        <v>233</v>
      </c>
      <c r="V682" t="s">
        <v>234</v>
      </c>
      <c r="W682" t="s">
        <v>54</v>
      </c>
      <c r="X682" t="s">
        <v>235</v>
      </c>
      <c r="Y682" t="s">
        <v>236</v>
      </c>
      <c r="Z682">
        <v>2280</v>
      </c>
      <c r="AA682">
        <v>2280</v>
      </c>
      <c r="AB682" t="s">
        <v>237</v>
      </c>
      <c r="AC682">
        <v>6.09</v>
      </c>
      <c r="AD682">
        <v>13885.2</v>
      </c>
      <c r="AE682">
        <v>5175.6000000000004</v>
      </c>
      <c r="AF682" t="s">
        <v>870</v>
      </c>
      <c r="AG682">
        <v>8709.6</v>
      </c>
      <c r="AH682">
        <v>0.63</v>
      </c>
    </row>
    <row r="683" spans="1:34" x14ac:dyDescent="0.25">
      <c r="A683" t="s">
        <v>2750</v>
      </c>
      <c r="B683">
        <v>682</v>
      </c>
      <c r="C683" t="s">
        <v>487</v>
      </c>
      <c r="D683" t="s">
        <v>247</v>
      </c>
      <c r="E683" t="s">
        <v>229</v>
      </c>
      <c r="F683" t="s">
        <v>3063</v>
      </c>
      <c r="G683" s="25">
        <v>44297</v>
      </c>
      <c r="H683">
        <v>21</v>
      </c>
      <c r="I683">
        <v>101</v>
      </c>
      <c r="J683" t="s">
        <v>3066</v>
      </c>
      <c r="K683" t="s">
        <v>876</v>
      </c>
      <c r="L683" t="s">
        <v>231</v>
      </c>
      <c r="M683" t="s">
        <v>931</v>
      </c>
      <c r="N683" t="s">
        <v>186</v>
      </c>
      <c r="O683" t="s">
        <v>3067</v>
      </c>
      <c r="P683" t="s">
        <v>867</v>
      </c>
      <c r="Q683" t="s">
        <v>3068</v>
      </c>
      <c r="R683" t="s">
        <v>3069</v>
      </c>
      <c r="S683" t="s">
        <v>232</v>
      </c>
      <c r="T683" t="s">
        <v>491</v>
      </c>
      <c r="U683" t="s">
        <v>233</v>
      </c>
      <c r="V683" t="s">
        <v>234</v>
      </c>
      <c r="W683" t="s">
        <v>54</v>
      </c>
      <c r="X683" t="s">
        <v>235</v>
      </c>
      <c r="Y683" t="s">
        <v>236</v>
      </c>
      <c r="Z683">
        <v>2209</v>
      </c>
      <c r="AA683">
        <v>2209</v>
      </c>
      <c r="AB683" t="s">
        <v>237</v>
      </c>
      <c r="AC683">
        <v>6.09</v>
      </c>
      <c r="AD683">
        <v>13452.81</v>
      </c>
      <c r="AE683">
        <v>5014.43</v>
      </c>
      <c r="AF683" t="s">
        <v>870</v>
      </c>
      <c r="AG683">
        <v>8438.3799999999992</v>
      </c>
      <c r="AH683">
        <v>0.63</v>
      </c>
    </row>
    <row r="684" spans="1:34" x14ac:dyDescent="0.25">
      <c r="A684" t="s">
        <v>2226</v>
      </c>
      <c r="B684">
        <v>683</v>
      </c>
      <c r="C684" t="s">
        <v>487</v>
      </c>
      <c r="D684" t="s">
        <v>247</v>
      </c>
      <c r="E684" t="s">
        <v>229</v>
      </c>
      <c r="F684" t="s">
        <v>3063</v>
      </c>
      <c r="G684" s="25">
        <v>44297</v>
      </c>
      <c r="H684">
        <v>21</v>
      </c>
      <c r="I684">
        <v>101</v>
      </c>
      <c r="J684" t="s">
        <v>3066</v>
      </c>
      <c r="K684" t="s">
        <v>921</v>
      </c>
      <c r="L684" t="s">
        <v>231</v>
      </c>
      <c r="M684" t="s">
        <v>931</v>
      </c>
      <c r="N684" t="s">
        <v>186</v>
      </c>
      <c r="O684" t="s">
        <v>3067</v>
      </c>
      <c r="P684" t="s">
        <v>867</v>
      </c>
      <c r="Q684" t="s">
        <v>3068</v>
      </c>
      <c r="R684" t="s">
        <v>3069</v>
      </c>
      <c r="S684" t="s">
        <v>232</v>
      </c>
      <c r="T684" t="s">
        <v>503</v>
      </c>
      <c r="U684" t="s">
        <v>303</v>
      </c>
      <c r="V684" t="s">
        <v>234</v>
      </c>
      <c r="W684" t="s">
        <v>56</v>
      </c>
      <c r="X684" t="s">
        <v>235</v>
      </c>
      <c r="Y684" t="s">
        <v>304</v>
      </c>
      <c r="Z684">
        <v>2678</v>
      </c>
      <c r="AA684">
        <v>2678</v>
      </c>
      <c r="AB684" t="s">
        <v>237</v>
      </c>
      <c r="AC684">
        <v>4.9400000000000004</v>
      </c>
      <c r="AD684">
        <v>13229.32</v>
      </c>
      <c r="AE684">
        <v>6105.84</v>
      </c>
      <c r="AF684" t="s">
        <v>870</v>
      </c>
      <c r="AG684">
        <v>7123.48</v>
      </c>
      <c r="AH684">
        <v>0.54</v>
      </c>
    </row>
    <row r="685" spans="1:34" x14ac:dyDescent="0.25">
      <c r="A685" t="s">
        <v>2874</v>
      </c>
      <c r="B685">
        <v>684</v>
      </c>
      <c r="C685" t="s">
        <v>487</v>
      </c>
      <c r="D685" t="s">
        <v>247</v>
      </c>
      <c r="E685" t="s">
        <v>229</v>
      </c>
      <c r="F685" t="s">
        <v>3063</v>
      </c>
      <c r="G685" s="25">
        <v>44297</v>
      </c>
      <c r="H685">
        <v>21</v>
      </c>
      <c r="I685">
        <v>101</v>
      </c>
      <c r="J685" t="s">
        <v>3065</v>
      </c>
      <c r="K685" t="s">
        <v>510</v>
      </c>
      <c r="L685" t="s">
        <v>231</v>
      </c>
      <c r="M685" t="s">
        <v>1076</v>
      </c>
      <c r="N685" t="s">
        <v>185</v>
      </c>
      <c r="O685" t="s">
        <v>1077</v>
      </c>
      <c r="P685" t="s">
        <v>867</v>
      </c>
      <c r="Q685" t="s">
        <v>1078</v>
      </c>
      <c r="R685" t="s">
        <v>1079</v>
      </c>
      <c r="S685" t="s">
        <v>232</v>
      </c>
      <c r="T685" t="s">
        <v>503</v>
      </c>
      <c r="U685" t="s">
        <v>303</v>
      </c>
      <c r="V685" t="s">
        <v>234</v>
      </c>
      <c r="W685" t="s">
        <v>56</v>
      </c>
      <c r="X685" t="s">
        <v>235</v>
      </c>
      <c r="Y685" t="s">
        <v>304</v>
      </c>
      <c r="Z685">
        <v>3253</v>
      </c>
      <c r="AA685">
        <v>3253</v>
      </c>
      <c r="AB685" t="s">
        <v>237</v>
      </c>
      <c r="AC685">
        <v>4.9400000000000004</v>
      </c>
      <c r="AD685">
        <v>16069.82</v>
      </c>
      <c r="AE685">
        <v>7416.84</v>
      </c>
      <c r="AF685" t="s">
        <v>870</v>
      </c>
      <c r="AG685">
        <v>8652.98</v>
      </c>
      <c r="AH685">
        <v>0.54</v>
      </c>
    </row>
    <row r="686" spans="1:34" x14ac:dyDescent="0.25">
      <c r="A686" t="s">
        <v>1721</v>
      </c>
      <c r="B686">
        <v>685</v>
      </c>
      <c r="C686" t="s">
        <v>487</v>
      </c>
      <c r="D686" t="s">
        <v>247</v>
      </c>
      <c r="E686" t="s">
        <v>229</v>
      </c>
      <c r="F686" t="s">
        <v>3063</v>
      </c>
      <c r="G686" s="25">
        <v>44297</v>
      </c>
      <c r="H686">
        <v>21</v>
      </c>
      <c r="I686">
        <v>101</v>
      </c>
      <c r="J686" t="s">
        <v>3065</v>
      </c>
      <c r="K686" t="s">
        <v>876</v>
      </c>
      <c r="L686" t="s">
        <v>231</v>
      </c>
      <c r="M686" t="s">
        <v>1076</v>
      </c>
      <c r="N686" t="s">
        <v>185</v>
      </c>
      <c r="O686" t="s">
        <v>1077</v>
      </c>
      <c r="P686" t="s">
        <v>867</v>
      </c>
      <c r="Q686" t="s">
        <v>1078</v>
      </c>
      <c r="R686" t="s">
        <v>1079</v>
      </c>
      <c r="S686" t="s">
        <v>232</v>
      </c>
      <c r="T686" t="s">
        <v>503</v>
      </c>
      <c r="U686" t="s">
        <v>303</v>
      </c>
      <c r="V686" t="s">
        <v>234</v>
      </c>
      <c r="W686" t="s">
        <v>56</v>
      </c>
      <c r="X686" t="s">
        <v>235</v>
      </c>
      <c r="Y686" t="s">
        <v>304</v>
      </c>
      <c r="Z686">
        <v>2662</v>
      </c>
      <c r="AA686">
        <v>2662</v>
      </c>
      <c r="AB686" t="s">
        <v>237</v>
      </c>
      <c r="AC686">
        <v>4.9400000000000004</v>
      </c>
      <c r="AD686">
        <v>13150.28</v>
      </c>
      <c r="AE686">
        <v>6069.36</v>
      </c>
      <c r="AF686" t="s">
        <v>870</v>
      </c>
      <c r="AG686">
        <v>7080.92</v>
      </c>
      <c r="AH686">
        <v>0.54</v>
      </c>
    </row>
    <row r="687" spans="1:34" x14ac:dyDescent="0.25">
      <c r="A687" t="s">
        <v>1762</v>
      </c>
      <c r="B687">
        <v>686</v>
      </c>
      <c r="C687" t="s">
        <v>487</v>
      </c>
      <c r="D687" t="s">
        <v>247</v>
      </c>
      <c r="E687" t="s">
        <v>229</v>
      </c>
      <c r="F687" t="s">
        <v>3063</v>
      </c>
      <c r="G687" s="25">
        <v>44297</v>
      </c>
      <c r="H687">
        <v>21</v>
      </c>
      <c r="I687">
        <v>101</v>
      </c>
      <c r="J687" t="s">
        <v>3065</v>
      </c>
      <c r="K687" t="s">
        <v>921</v>
      </c>
      <c r="L687" t="s">
        <v>231</v>
      </c>
      <c r="M687" t="s">
        <v>1076</v>
      </c>
      <c r="N687" t="s">
        <v>185</v>
      </c>
      <c r="O687" t="s">
        <v>1077</v>
      </c>
      <c r="P687" t="s">
        <v>867</v>
      </c>
      <c r="Q687" t="s">
        <v>1078</v>
      </c>
      <c r="R687" t="s">
        <v>1079</v>
      </c>
      <c r="S687" t="s">
        <v>232</v>
      </c>
      <c r="T687" t="s">
        <v>503</v>
      </c>
      <c r="U687" t="s">
        <v>303</v>
      </c>
      <c r="V687" t="s">
        <v>234</v>
      </c>
      <c r="W687" t="s">
        <v>56</v>
      </c>
      <c r="X687" t="s">
        <v>235</v>
      </c>
      <c r="Y687" t="s">
        <v>304</v>
      </c>
      <c r="Z687">
        <v>2749</v>
      </c>
      <c r="AA687">
        <v>2749</v>
      </c>
      <c r="AB687" t="s">
        <v>237</v>
      </c>
      <c r="AC687">
        <v>4.9400000000000004</v>
      </c>
      <c r="AD687">
        <v>13580.06</v>
      </c>
      <c r="AE687">
        <v>6267.72</v>
      </c>
      <c r="AF687" t="s">
        <v>870</v>
      </c>
      <c r="AG687">
        <v>7312.34</v>
      </c>
      <c r="AH687">
        <v>0.54</v>
      </c>
    </row>
    <row r="688" spans="1:34" x14ac:dyDescent="0.25">
      <c r="A688" t="s">
        <v>2540</v>
      </c>
      <c r="B688">
        <v>687</v>
      </c>
      <c r="C688" t="s">
        <v>487</v>
      </c>
      <c r="D688" t="s">
        <v>247</v>
      </c>
      <c r="E688" t="s">
        <v>231</v>
      </c>
      <c r="F688" t="s">
        <v>3070</v>
      </c>
      <c r="G688" s="25">
        <v>44298</v>
      </c>
      <c r="H688">
        <v>21</v>
      </c>
      <c r="I688">
        <v>102</v>
      </c>
      <c r="J688" t="s">
        <v>3071</v>
      </c>
      <c r="K688" t="s">
        <v>510</v>
      </c>
      <c r="L688" t="s">
        <v>231</v>
      </c>
      <c r="M688" t="s">
        <v>872</v>
      </c>
      <c r="N688" t="s">
        <v>184</v>
      </c>
      <c r="O688" t="s">
        <v>962</v>
      </c>
      <c r="P688" t="s">
        <v>867</v>
      </c>
      <c r="Q688" t="s">
        <v>963</v>
      </c>
      <c r="R688" t="s">
        <v>964</v>
      </c>
      <c r="S688" t="s">
        <v>239</v>
      </c>
      <c r="T688" t="s">
        <v>491</v>
      </c>
      <c r="U688" t="s">
        <v>233</v>
      </c>
      <c r="V688" t="s">
        <v>234</v>
      </c>
      <c r="W688" t="s">
        <v>54</v>
      </c>
      <c r="X688" t="s">
        <v>235</v>
      </c>
      <c r="Y688" t="s">
        <v>236</v>
      </c>
      <c r="Z688">
        <v>2497</v>
      </c>
      <c r="AA688">
        <v>2497</v>
      </c>
      <c r="AB688" t="s">
        <v>237</v>
      </c>
      <c r="AC688">
        <v>5.97</v>
      </c>
      <c r="AD688">
        <v>14907.09</v>
      </c>
      <c r="AE688">
        <v>5668.19</v>
      </c>
      <c r="AF688" t="s">
        <v>870</v>
      </c>
      <c r="AG688">
        <v>9238.9</v>
      </c>
      <c r="AH688">
        <v>0.62</v>
      </c>
    </row>
    <row r="689" spans="1:34" x14ac:dyDescent="0.25">
      <c r="A689" t="s">
        <v>1808</v>
      </c>
      <c r="B689">
        <v>688</v>
      </c>
      <c r="C689" t="s">
        <v>487</v>
      </c>
      <c r="D689" t="s">
        <v>247</v>
      </c>
      <c r="E689" t="s">
        <v>231</v>
      </c>
      <c r="F689" t="s">
        <v>3070</v>
      </c>
      <c r="G689" s="25">
        <v>44298</v>
      </c>
      <c r="H689">
        <v>21</v>
      </c>
      <c r="I689">
        <v>102</v>
      </c>
      <c r="J689" t="s">
        <v>3071</v>
      </c>
      <c r="K689" t="s">
        <v>876</v>
      </c>
      <c r="L689" t="s">
        <v>231</v>
      </c>
      <c r="M689" t="s">
        <v>872</v>
      </c>
      <c r="N689" t="s">
        <v>184</v>
      </c>
      <c r="O689" t="s">
        <v>962</v>
      </c>
      <c r="P689" t="s">
        <v>867</v>
      </c>
      <c r="Q689" t="s">
        <v>963</v>
      </c>
      <c r="R689" t="s">
        <v>964</v>
      </c>
      <c r="S689" t="s">
        <v>239</v>
      </c>
      <c r="T689" t="s">
        <v>491</v>
      </c>
      <c r="U689" t="s">
        <v>233</v>
      </c>
      <c r="V689" t="s">
        <v>234</v>
      </c>
      <c r="W689" t="s">
        <v>54</v>
      </c>
      <c r="X689" t="s">
        <v>235</v>
      </c>
      <c r="Y689" t="s">
        <v>236</v>
      </c>
      <c r="Z689">
        <v>2560</v>
      </c>
      <c r="AA689">
        <v>2560</v>
      </c>
      <c r="AB689" t="s">
        <v>237</v>
      </c>
      <c r="AC689">
        <v>5.97</v>
      </c>
      <c r="AD689">
        <v>15283.2</v>
      </c>
      <c r="AE689">
        <v>5811.2</v>
      </c>
      <c r="AF689" t="s">
        <v>870</v>
      </c>
      <c r="AG689">
        <v>9472</v>
      </c>
      <c r="AH689">
        <v>0.62</v>
      </c>
    </row>
    <row r="690" spans="1:34" x14ac:dyDescent="0.25">
      <c r="A690" t="s">
        <v>2297</v>
      </c>
      <c r="B690">
        <v>689</v>
      </c>
      <c r="C690" t="s">
        <v>487</v>
      </c>
      <c r="D690" t="s">
        <v>247</v>
      </c>
      <c r="E690" t="s">
        <v>231</v>
      </c>
      <c r="F690" t="s">
        <v>3070</v>
      </c>
      <c r="G690" s="25">
        <v>44298</v>
      </c>
      <c r="H690">
        <v>21</v>
      </c>
      <c r="I690">
        <v>102</v>
      </c>
      <c r="J690" t="s">
        <v>3071</v>
      </c>
      <c r="K690" t="s">
        <v>921</v>
      </c>
      <c r="L690" t="s">
        <v>231</v>
      </c>
      <c r="M690" t="s">
        <v>872</v>
      </c>
      <c r="N690" t="s">
        <v>184</v>
      </c>
      <c r="O690" t="s">
        <v>962</v>
      </c>
      <c r="P690" t="s">
        <v>867</v>
      </c>
      <c r="Q690" t="s">
        <v>963</v>
      </c>
      <c r="R690" t="s">
        <v>964</v>
      </c>
      <c r="S690" t="s">
        <v>239</v>
      </c>
      <c r="T690" t="s">
        <v>491</v>
      </c>
      <c r="U690" t="s">
        <v>233</v>
      </c>
      <c r="V690" t="s">
        <v>234</v>
      </c>
      <c r="W690" t="s">
        <v>54</v>
      </c>
      <c r="X690" t="s">
        <v>235</v>
      </c>
      <c r="Y690" t="s">
        <v>236</v>
      </c>
      <c r="Z690">
        <v>2230</v>
      </c>
      <c r="AA690">
        <v>2230</v>
      </c>
      <c r="AB690" t="s">
        <v>237</v>
      </c>
      <c r="AC690">
        <v>5.97</v>
      </c>
      <c r="AD690">
        <v>13313.1</v>
      </c>
      <c r="AE690">
        <v>5062.1000000000004</v>
      </c>
      <c r="AF690" t="s">
        <v>870</v>
      </c>
      <c r="AG690">
        <v>8251</v>
      </c>
      <c r="AH690">
        <v>0.62</v>
      </c>
    </row>
    <row r="691" spans="1:34" x14ac:dyDescent="0.25">
      <c r="A691" t="s">
        <v>2633</v>
      </c>
      <c r="B691">
        <v>690</v>
      </c>
      <c r="C691" t="s">
        <v>487</v>
      </c>
      <c r="D691" t="s">
        <v>247</v>
      </c>
      <c r="E691" t="s">
        <v>231</v>
      </c>
      <c r="F691" t="s">
        <v>3070</v>
      </c>
      <c r="G691" s="25">
        <v>44298</v>
      </c>
      <c r="H691">
        <v>21</v>
      </c>
      <c r="I691">
        <v>102</v>
      </c>
      <c r="J691" t="s">
        <v>3072</v>
      </c>
      <c r="K691" t="s">
        <v>876</v>
      </c>
      <c r="L691" t="s">
        <v>231</v>
      </c>
      <c r="M691" t="s">
        <v>872</v>
      </c>
      <c r="N691" t="s">
        <v>184</v>
      </c>
      <c r="O691" t="s">
        <v>907</v>
      </c>
      <c r="P691" t="s">
        <v>867</v>
      </c>
      <c r="Q691" t="s">
        <v>908</v>
      </c>
      <c r="R691" t="s">
        <v>909</v>
      </c>
      <c r="S691" t="s">
        <v>232</v>
      </c>
      <c r="T691" t="s">
        <v>491</v>
      </c>
      <c r="U691" t="s">
        <v>233</v>
      </c>
      <c r="V691" t="s">
        <v>234</v>
      </c>
      <c r="W691" t="s">
        <v>54</v>
      </c>
      <c r="X691" t="s">
        <v>235</v>
      </c>
      <c r="Y691" t="s">
        <v>236</v>
      </c>
      <c r="Z691">
        <v>2201</v>
      </c>
      <c r="AA691">
        <v>2201</v>
      </c>
      <c r="AB691" t="s">
        <v>237</v>
      </c>
      <c r="AC691">
        <v>6.09</v>
      </c>
      <c r="AD691">
        <v>13404.09</v>
      </c>
      <c r="AE691">
        <v>4996.2700000000004</v>
      </c>
      <c r="AF691" t="s">
        <v>870</v>
      </c>
      <c r="AG691">
        <v>8407.82</v>
      </c>
      <c r="AH691">
        <v>0.63</v>
      </c>
    </row>
    <row r="692" spans="1:34" x14ac:dyDescent="0.25">
      <c r="A692" t="s">
        <v>2104</v>
      </c>
      <c r="B692">
        <v>691</v>
      </c>
      <c r="C692" t="s">
        <v>487</v>
      </c>
      <c r="D692" t="s">
        <v>247</v>
      </c>
      <c r="E692" t="s">
        <v>231</v>
      </c>
      <c r="F692" t="s">
        <v>3070</v>
      </c>
      <c r="G692" s="25">
        <v>44298</v>
      </c>
      <c r="H692">
        <v>21</v>
      </c>
      <c r="I692">
        <v>102</v>
      </c>
      <c r="J692" t="s">
        <v>3072</v>
      </c>
      <c r="K692" t="s">
        <v>510</v>
      </c>
      <c r="L692" t="s">
        <v>231</v>
      </c>
      <c r="M692" t="s">
        <v>872</v>
      </c>
      <c r="N692" t="s">
        <v>184</v>
      </c>
      <c r="O692" t="s">
        <v>907</v>
      </c>
      <c r="P692" t="s">
        <v>867</v>
      </c>
      <c r="Q692" t="s">
        <v>908</v>
      </c>
      <c r="R692" t="s">
        <v>909</v>
      </c>
      <c r="S692" t="s">
        <v>232</v>
      </c>
      <c r="T692" t="s">
        <v>491</v>
      </c>
      <c r="U692" t="s">
        <v>233</v>
      </c>
      <c r="V692" t="s">
        <v>234</v>
      </c>
      <c r="W692" t="s">
        <v>54</v>
      </c>
      <c r="X692" t="s">
        <v>235</v>
      </c>
      <c r="Y692" t="s">
        <v>236</v>
      </c>
      <c r="Z692">
        <v>2631</v>
      </c>
      <c r="AA692">
        <v>2631</v>
      </c>
      <c r="AB692" t="s">
        <v>237</v>
      </c>
      <c r="AC692">
        <v>6.09</v>
      </c>
      <c r="AD692">
        <v>16022.79</v>
      </c>
      <c r="AE692">
        <v>5972.37</v>
      </c>
      <c r="AF692" t="s">
        <v>870</v>
      </c>
      <c r="AG692">
        <v>10050.42</v>
      </c>
      <c r="AH692">
        <v>0.63</v>
      </c>
    </row>
    <row r="693" spans="1:34" x14ac:dyDescent="0.25">
      <c r="A693" t="s">
        <v>2784</v>
      </c>
      <c r="B693">
        <v>692</v>
      </c>
      <c r="C693" t="s">
        <v>487</v>
      </c>
      <c r="D693" t="s">
        <v>247</v>
      </c>
      <c r="E693" t="s">
        <v>256</v>
      </c>
      <c r="F693" t="s">
        <v>3073</v>
      </c>
      <c r="G693" s="25">
        <v>44299</v>
      </c>
      <c r="H693">
        <v>21</v>
      </c>
      <c r="I693">
        <v>103</v>
      </c>
      <c r="J693" t="s">
        <v>3074</v>
      </c>
      <c r="K693" t="s">
        <v>510</v>
      </c>
      <c r="L693" t="s">
        <v>231</v>
      </c>
      <c r="M693" t="s">
        <v>872</v>
      </c>
      <c r="N693" t="s">
        <v>184</v>
      </c>
      <c r="O693" t="s">
        <v>1164</v>
      </c>
      <c r="P693" t="s">
        <v>867</v>
      </c>
      <c r="Q693" t="s">
        <v>1165</v>
      </c>
      <c r="R693" t="s">
        <v>1166</v>
      </c>
      <c r="S693" t="s">
        <v>239</v>
      </c>
      <c r="T693" t="s">
        <v>502</v>
      </c>
      <c r="U693" t="s">
        <v>287</v>
      </c>
      <c r="V693" t="s">
        <v>234</v>
      </c>
      <c r="W693" t="s">
        <v>58</v>
      </c>
      <c r="X693" t="s">
        <v>235</v>
      </c>
      <c r="Y693" t="s">
        <v>288</v>
      </c>
      <c r="Z693">
        <v>3351</v>
      </c>
      <c r="AA693">
        <v>3351</v>
      </c>
      <c r="AB693" t="s">
        <v>237</v>
      </c>
      <c r="AC693">
        <v>4.97</v>
      </c>
      <c r="AD693">
        <v>16654.47</v>
      </c>
      <c r="AE693">
        <v>4657.8900000000003</v>
      </c>
      <c r="AF693" t="s">
        <v>870</v>
      </c>
      <c r="AG693">
        <v>11996.58</v>
      </c>
      <c r="AH693">
        <v>0.72</v>
      </c>
    </row>
    <row r="694" spans="1:34" x14ac:dyDescent="0.25">
      <c r="A694" t="s">
        <v>1659</v>
      </c>
      <c r="B694">
        <v>693</v>
      </c>
      <c r="C694" t="s">
        <v>487</v>
      </c>
      <c r="D694" t="s">
        <v>247</v>
      </c>
      <c r="E694" t="s">
        <v>256</v>
      </c>
      <c r="F694" t="s">
        <v>3073</v>
      </c>
      <c r="G694" s="25">
        <v>44299</v>
      </c>
      <c r="H694">
        <v>21</v>
      </c>
      <c r="I694">
        <v>103</v>
      </c>
      <c r="J694" t="s">
        <v>3074</v>
      </c>
      <c r="K694" t="s">
        <v>876</v>
      </c>
      <c r="L694" t="s">
        <v>231</v>
      </c>
      <c r="M694" t="s">
        <v>872</v>
      </c>
      <c r="N694" t="s">
        <v>184</v>
      </c>
      <c r="O694" t="s">
        <v>1164</v>
      </c>
      <c r="P694" t="s">
        <v>867</v>
      </c>
      <c r="Q694" t="s">
        <v>1165</v>
      </c>
      <c r="R694" t="s">
        <v>1166</v>
      </c>
      <c r="S694" t="s">
        <v>239</v>
      </c>
      <c r="T694" t="s">
        <v>502</v>
      </c>
      <c r="U694" t="s">
        <v>287</v>
      </c>
      <c r="V694" t="s">
        <v>234</v>
      </c>
      <c r="W694" t="s">
        <v>58</v>
      </c>
      <c r="X694" t="s">
        <v>235</v>
      </c>
      <c r="Y694" t="s">
        <v>288</v>
      </c>
      <c r="Z694">
        <v>3350</v>
      </c>
      <c r="AA694">
        <v>3350</v>
      </c>
      <c r="AB694" t="s">
        <v>237</v>
      </c>
      <c r="AC694">
        <v>4.97</v>
      </c>
      <c r="AD694">
        <v>16649.5</v>
      </c>
      <c r="AE694">
        <v>4656.5</v>
      </c>
      <c r="AF694" t="s">
        <v>870</v>
      </c>
      <c r="AG694">
        <v>11993</v>
      </c>
      <c r="AH694">
        <v>0.72</v>
      </c>
    </row>
    <row r="695" spans="1:34" x14ac:dyDescent="0.25">
      <c r="A695" t="s">
        <v>1664</v>
      </c>
      <c r="B695">
        <v>694</v>
      </c>
      <c r="C695" t="s">
        <v>487</v>
      </c>
      <c r="D695" t="s">
        <v>247</v>
      </c>
      <c r="E695" t="s">
        <v>256</v>
      </c>
      <c r="F695" t="s">
        <v>3073</v>
      </c>
      <c r="G695" s="25">
        <v>44299</v>
      </c>
      <c r="H695">
        <v>21</v>
      </c>
      <c r="I695">
        <v>103</v>
      </c>
      <c r="J695" t="s">
        <v>3074</v>
      </c>
      <c r="K695" t="s">
        <v>921</v>
      </c>
      <c r="L695" t="s">
        <v>231</v>
      </c>
      <c r="M695" t="s">
        <v>872</v>
      </c>
      <c r="N695" t="s">
        <v>184</v>
      </c>
      <c r="O695" t="s">
        <v>1164</v>
      </c>
      <c r="P695" t="s">
        <v>867</v>
      </c>
      <c r="Q695" t="s">
        <v>1165</v>
      </c>
      <c r="R695" t="s">
        <v>1166</v>
      </c>
      <c r="S695" t="s">
        <v>239</v>
      </c>
      <c r="T695" t="s">
        <v>502</v>
      </c>
      <c r="U695" t="s">
        <v>287</v>
      </c>
      <c r="V695" t="s">
        <v>234</v>
      </c>
      <c r="W695" t="s">
        <v>58</v>
      </c>
      <c r="X695" t="s">
        <v>235</v>
      </c>
      <c r="Y695" t="s">
        <v>288</v>
      </c>
      <c r="Z695">
        <v>3168</v>
      </c>
      <c r="AA695">
        <v>3168</v>
      </c>
      <c r="AB695" t="s">
        <v>237</v>
      </c>
      <c r="AC695">
        <v>4.97</v>
      </c>
      <c r="AD695">
        <v>15744.96</v>
      </c>
      <c r="AE695">
        <v>4403.5200000000004</v>
      </c>
      <c r="AF695" t="s">
        <v>870</v>
      </c>
      <c r="AG695">
        <v>11341.44</v>
      </c>
      <c r="AH695">
        <v>0.72</v>
      </c>
    </row>
    <row r="696" spans="1:34" x14ac:dyDescent="0.25">
      <c r="A696" t="s">
        <v>1705</v>
      </c>
      <c r="B696">
        <v>695</v>
      </c>
      <c r="C696" t="s">
        <v>487</v>
      </c>
      <c r="D696" t="s">
        <v>247</v>
      </c>
      <c r="E696" t="s">
        <v>256</v>
      </c>
      <c r="F696" t="s">
        <v>3073</v>
      </c>
      <c r="G696" s="25">
        <v>44299</v>
      </c>
      <c r="H696">
        <v>21</v>
      </c>
      <c r="I696">
        <v>103</v>
      </c>
      <c r="J696" t="s">
        <v>3075</v>
      </c>
      <c r="K696" t="s">
        <v>921</v>
      </c>
      <c r="L696" t="s">
        <v>231</v>
      </c>
      <c r="M696" t="s">
        <v>926</v>
      </c>
      <c r="N696" t="s">
        <v>185</v>
      </c>
      <c r="O696" t="s">
        <v>1043</v>
      </c>
      <c r="P696" t="s">
        <v>867</v>
      </c>
      <c r="Q696" t="s">
        <v>1044</v>
      </c>
      <c r="R696" t="s">
        <v>1045</v>
      </c>
      <c r="S696" t="s">
        <v>239</v>
      </c>
      <c r="T696" t="s">
        <v>502</v>
      </c>
      <c r="U696" t="s">
        <v>287</v>
      </c>
      <c r="V696" t="s">
        <v>234</v>
      </c>
      <c r="W696" t="s">
        <v>58</v>
      </c>
      <c r="X696" t="s">
        <v>235</v>
      </c>
      <c r="Y696" t="s">
        <v>288</v>
      </c>
      <c r="Z696">
        <v>1213</v>
      </c>
      <c r="AA696">
        <v>1213</v>
      </c>
      <c r="AB696" t="s">
        <v>237</v>
      </c>
      <c r="AC696">
        <v>4.97</v>
      </c>
      <c r="AD696">
        <v>6028.61</v>
      </c>
      <c r="AE696">
        <v>1686.07</v>
      </c>
      <c r="AF696" t="s">
        <v>870</v>
      </c>
      <c r="AG696">
        <v>4342.54</v>
      </c>
      <c r="AH696">
        <v>0.72</v>
      </c>
    </row>
    <row r="697" spans="1:34" x14ac:dyDescent="0.25">
      <c r="A697" t="s">
        <v>2497</v>
      </c>
      <c r="B697">
        <v>696</v>
      </c>
      <c r="C697" t="s">
        <v>487</v>
      </c>
      <c r="D697" t="s">
        <v>247</v>
      </c>
      <c r="E697" t="s">
        <v>256</v>
      </c>
      <c r="F697" t="s">
        <v>3073</v>
      </c>
      <c r="G697" s="25">
        <v>44299</v>
      </c>
      <c r="H697">
        <v>21</v>
      </c>
      <c r="I697">
        <v>103</v>
      </c>
      <c r="J697" t="s">
        <v>3075</v>
      </c>
      <c r="K697" t="s">
        <v>876</v>
      </c>
      <c r="L697" t="s">
        <v>231</v>
      </c>
      <c r="M697" t="s">
        <v>926</v>
      </c>
      <c r="N697" t="s">
        <v>185</v>
      </c>
      <c r="O697" t="s">
        <v>1043</v>
      </c>
      <c r="P697" t="s">
        <v>867</v>
      </c>
      <c r="Q697" t="s">
        <v>1044</v>
      </c>
      <c r="R697" t="s">
        <v>1045</v>
      </c>
      <c r="S697" t="s">
        <v>239</v>
      </c>
      <c r="T697" t="s">
        <v>502</v>
      </c>
      <c r="U697" t="s">
        <v>287</v>
      </c>
      <c r="V697" t="s">
        <v>234</v>
      </c>
      <c r="W697" t="s">
        <v>58</v>
      </c>
      <c r="X697" t="s">
        <v>235</v>
      </c>
      <c r="Y697" t="s">
        <v>288</v>
      </c>
      <c r="Z697">
        <v>2615</v>
      </c>
      <c r="AA697">
        <v>2615</v>
      </c>
      <c r="AB697" t="s">
        <v>237</v>
      </c>
      <c r="AC697">
        <v>4.97</v>
      </c>
      <c r="AD697">
        <v>12996.55</v>
      </c>
      <c r="AE697">
        <v>3634.85</v>
      </c>
      <c r="AF697" t="s">
        <v>870</v>
      </c>
      <c r="AG697">
        <v>9361.7000000000007</v>
      </c>
      <c r="AH697">
        <v>0.72</v>
      </c>
    </row>
    <row r="698" spans="1:34" x14ac:dyDescent="0.25">
      <c r="A698" t="s">
        <v>2743</v>
      </c>
      <c r="B698">
        <v>697</v>
      </c>
      <c r="C698" t="s">
        <v>487</v>
      </c>
      <c r="D698" t="s">
        <v>247</v>
      </c>
      <c r="E698" t="s">
        <v>256</v>
      </c>
      <c r="F698" t="s">
        <v>3073</v>
      </c>
      <c r="G698" s="25">
        <v>44299</v>
      </c>
      <c r="H698">
        <v>21</v>
      </c>
      <c r="I698">
        <v>103</v>
      </c>
      <c r="J698" t="s">
        <v>3075</v>
      </c>
      <c r="K698" t="s">
        <v>510</v>
      </c>
      <c r="L698" t="s">
        <v>231</v>
      </c>
      <c r="M698" t="s">
        <v>926</v>
      </c>
      <c r="N698" t="s">
        <v>185</v>
      </c>
      <c r="O698" t="s">
        <v>1043</v>
      </c>
      <c r="P698" t="s">
        <v>867</v>
      </c>
      <c r="Q698" t="s">
        <v>1044</v>
      </c>
      <c r="R698" t="s">
        <v>1045</v>
      </c>
      <c r="S698" t="s">
        <v>239</v>
      </c>
      <c r="T698" t="s">
        <v>502</v>
      </c>
      <c r="U698" t="s">
        <v>287</v>
      </c>
      <c r="V698" t="s">
        <v>234</v>
      </c>
      <c r="W698" t="s">
        <v>58</v>
      </c>
      <c r="X698" t="s">
        <v>235</v>
      </c>
      <c r="Y698" t="s">
        <v>288</v>
      </c>
      <c r="Z698">
        <v>3012</v>
      </c>
      <c r="AA698">
        <v>3012</v>
      </c>
      <c r="AB698" t="s">
        <v>237</v>
      </c>
      <c r="AC698">
        <v>4.97</v>
      </c>
      <c r="AD698">
        <v>14969.64</v>
      </c>
      <c r="AE698">
        <v>4186.68</v>
      </c>
      <c r="AF698" t="s">
        <v>870</v>
      </c>
      <c r="AG698">
        <v>10782.96</v>
      </c>
      <c r="AH698">
        <v>0.72</v>
      </c>
    </row>
    <row r="699" spans="1:34" x14ac:dyDescent="0.25">
      <c r="A699" t="s">
        <v>1688</v>
      </c>
      <c r="B699">
        <v>698</v>
      </c>
      <c r="C699" t="s">
        <v>487</v>
      </c>
      <c r="D699" t="s">
        <v>247</v>
      </c>
      <c r="E699" t="s">
        <v>256</v>
      </c>
      <c r="F699" t="s">
        <v>3073</v>
      </c>
      <c r="G699" s="25">
        <v>44299</v>
      </c>
      <c r="H699">
        <v>21</v>
      </c>
      <c r="I699">
        <v>103</v>
      </c>
      <c r="J699" t="s">
        <v>3076</v>
      </c>
      <c r="K699" t="s">
        <v>510</v>
      </c>
      <c r="L699" t="s">
        <v>231</v>
      </c>
      <c r="M699" t="s">
        <v>173</v>
      </c>
      <c r="N699" t="s">
        <v>185</v>
      </c>
      <c r="O699" t="s">
        <v>1533</v>
      </c>
      <c r="P699" t="s">
        <v>867</v>
      </c>
      <c r="Q699" t="s">
        <v>1534</v>
      </c>
      <c r="R699" t="s">
        <v>1535</v>
      </c>
      <c r="S699" t="s">
        <v>232</v>
      </c>
      <c r="T699" t="s">
        <v>491</v>
      </c>
      <c r="U699" t="s">
        <v>233</v>
      </c>
      <c r="V699" t="s">
        <v>234</v>
      </c>
      <c r="W699" t="s">
        <v>54</v>
      </c>
      <c r="X699" t="s">
        <v>235</v>
      </c>
      <c r="Y699" t="s">
        <v>236</v>
      </c>
      <c r="Z699">
        <v>2673</v>
      </c>
      <c r="AA699">
        <v>2673</v>
      </c>
      <c r="AB699" t="s">
        <v>237</v>
      </c>
      <c r="AC699">
        <v>6.09</v>
      </c>
      <c r="AD699">
        <v>16278.57</v>
      </c>
      <c r="AE699">
        <v>6067.71</v>
      </c>
      <c r="AF699" t="s">
        <v>870</v>
      </c>
      <c r="AG699">
        <v>10210.86</v>
      </c>
      <c r="AH699">
        <v>0.63</v>
      </c>
    </row>
    <row r="700" spans="1:34" x14ac:dyDescent="0.25">
      <c r="A700" t="s">
        <v>2908</v>
      </c>
      <c r="B700">
        <v>699</v>
      </c>
      <c r="C700" t="s">
        <v>487</v>
      </c>
      <c r="D700" t="s">
        <v>247</v>
      </c>
      <c r="E700" t="s">
        <v>256</v>
      </c>
      <c r="F700" t="s">
        <v>3073</v>
      </c>
      <c r="G700" s="25">
        <v>44299</v>
      </c>
      <c r="H700">
        <v>21</v>
      </c>
      <c r="I700">
        <v>103</v>
      </c>
      <c r="J700" t="s">
        <v>3077</v>
      </c>
      <c r="K700" t="s">
        <v>510</v>
      </c>
      <c r="L700" t="s">
        <v>231</v>
      </c>
      <c r="M700" t="s">
        <v>883</v>
      </c>
      <c r="N700" t="s">
        <v>185</v>
      </c>
      <c r="O700" t="s">
        <v>1290</v>
      </c>
      <c r="P700" t="s">
        <v>867</v>
      </c>
      <c r="Q700" t="s">
        <v>1291</v>
      </c>
      <c r="R700" t="s">
        <v>1292</v>
      </c>
      <c r="S700" t="s">
        <v>232</v>
      </c>
      <c r="T700" t="s">
        <v>491</v>
      </c>
      <c r="U700" t="s">
        <v>233</v>
      </c>
      <c r="V700" t="s">
        <v>234</v>
      </c>
      <c r="W700" t="s">
        <v>54</v>
      </c>
      <c r="X700" t="s">
        <v>235</v>
      </c>
      <c r="Y700" t="s">
        <v>236</v>
      </c>
      <c r="Z700">
        <v>2624</v>
      </c>
      <c r="AA700">
        <v>2624</v>
      </c>
      <c r="AB700" t="s">
        <v>237</v>
      </c>
      <c r="AC700">
        <v>6.09</v>
      </c>
      <c r="AD700">
        <v>15980.16</v>
      </c>
      <c r="AE700">
        <v>5956.48</v>
      </c>
      <c r="AF700" t="s">
        <v>870</v>
      </c>
      <c r="AG700">
        <v>10023.68</v>
      </c>
      <c r="AH700">
        <v>0.63</v>
      </c>
    </row>
    <row r="701" spans="1:34" x14ac:dyDescent="0.25">
      <c r="A701" t="s">
        <v>2076</v>
      </c>
      <c r="B701">
        <v>700</v>
      </c>
      <c r="C701" t="s">
        <v>487</v>
      </c>
      <c r="D701" t="s">
        <v>247</v>
      </c>
      <c r="E701" t="s">
        <v>256</v>
      </c>
      <c r="F701" t="s">
        <v>3073</v>
      </c>
      <c r="G701" s="25">
        <v>44299</v>
      </c>
      <c r="H701">
        <v>21</v>
      </c>
      <c r="I701">
        <v>103</v>
      </c>
      <c r="J701" t="s">
        <v>3076</v>
      </c>
      <c r="K701" t="s">
        <v>876</v>
      </c>
      <c r="L701" t="s">
        <v>231</v>
      </c>
      <c r="M701" t="s">
        <v>173</v>
      </c>
      <c r="N701" t="s">
        <v>185</v>
      </c>
      <c r="O701" t="s">
        <v>1533</v>
      </c>
      <c r="P701" t="s">
        <v>867</v>
      </c>
      <c r="Q701" t="s">
        <v>1534</v>
      </c>
      <c r="R701" t="s">
        <v>1535</v>
      </c>
      <c r="S701" t="s">
        <v>232</v>
      </c>
      <c r="T701" t="s">
        <v>491</v>
      </c>
      <c r="U701" t="s">
        <v>233</v>
      </c>
      <c r="V701" t="s">
        <v>234</v>
      </c>
      <c r="W701" t="s">
        <v>54</v>
      </c>
      <c r="X701" t="s">
        <v>235</v>
      </c>
      <c r="Y701" t="s">
        <v>236</v>
      </c>
      <c r="Z701">
        <v>2525</v>
      </c>
      <c r="AA701">
        <v>2525</v>
      </c>
      <c r="AB701" t="s">
        <v>237</v>
      </c>
      <c r="AC701">
        <v>6.09</v>
      </c>
      <c r="AD701">
        <v>15377.25</v>
      </c>
      <c r="AE701">
        <v>5731.75</v>
      </c>
      <c r="AF701" t="s">
        <v>870</v>
      </c>
      <c r="AG701">
        <v>9645.5</v>
      </c>
      <c r="AH701">
        <v>0.63</v>
      </c>
    </row>
    <row r="702" spans="1:34" x14ac:dyDescent="0.25">
      <c r="A702" t="s">
        <v>1682</v>
      </c>
      <c r="B702">
        <v>701</v>
      </c>
      <c r="C702" t="s">
        <v>487</v>
      </c>
      <c r="D702" t="s">
        <v>247</v>
      </c>
      <c r="E702" t="s">
        <v>256</v>
      </c>
      <c r="F702" t="s">
        <v>3073</v>
      </c>
      <c r="G702" s="25">
        <v>44299</v>
      </c>
      <c r="H702">
        <v>21</v>
      </c>
      <c r="I702">
        <v>103</v>
      </c>
      <c r="J702" t="s">
        <v>3077</v>
      </c>
      <c r="K702" t="s">
        <v>956</v>
      </c>
      <c r="L702" t="s">
        <v>231</v>
      </c>
      <c r="M702" t="s">
        <v>883</v>
      </c>
      <c r="N702" t="s">
        <v>185</v>
      </c>
      <c r="O702" t="s">
        <v>1290</v>
      </c>
      <c r="P702" t="s">
        <v>867</v>
      </c>
      <c r="Q702" t="s">
        <v>1291</v>
      </c>
      <c r="R702" t="s">
        <v>1292</v>
      </c>
      <c r="S702" t="s">
        <v>232</v>
      </c>
      <c r="T702" t="s">
        <v>491</v>
      </c>
      <c r="U702" t="s">
        <v>233</v>
      </c>
      <c r="V702" t="s">
        <v>234</v>
      </c>
      <c r="W702" t="s">
        <v>54</v>
      </c>
      <c r="X702" t="s">
        <v>235</v>
      </c>
      <c r="Y702" t="s">
        <v>236</v>
      </c>
      <c r="Z702">
        <v>2329</v>
      </c>
      <c r="AA702">
        <v>2329</v>
      </c>
      <c r="AB702" t="s">
        <v>237</v>
      </c>
      <c r="AC702">
        <v>6.09</v>
      </c>
      <c r="AD702">
        <v>14183.61</v>
      </c>
      <c r="AE702">
        <v>5286.83</v>
      </c>
      <c r="AF702" t="s">
        <v>870</v>
      </c>
      <c r="AG702">
        <v>8896.7800000000007</v>
      </c>
      <c r="AH702">
        <v>0.63</v>
      </c>
    </row>
    <row r="703" spans="1:34" x14ac:dyDescent="0.25">
      <c r="A703" t="s">
        <v>2259</v>
      </c>
      <c r="B703">
        <v>702</v>
      </c>
      <c r="C703" t="s">
        <v>487</v>
      </c>
      <c r="D703" t="s">
        <v>247</v>
      </c>
      <c r="E703" t="s">
        <v>256</v>
      </c>
      <c r="F703" t="s">
        <v>3073</v>
      </c>
      <c r="G703" s="25">
        <v>44299</v>
      </c>
      <c r="H703">
        <v>21</v>
      </c>
      <c r="I703">
        <v>103</v>
      </c>
      <c r="J703" t="s">
        <v>3077</v>
      </c>
      <c r="K703" t="s">
        <v>921</v>
      </c>
      <c r="L703" t="s">
        <v>231</v>
      </c>
      <c r="M703" t="s">
        <v>883</v>
      </c>
      <c r="N703" t="s">
        <v>185</v>
      </c>
      <c r="O703" t="s">
        <v>1290</v>
      </c>
      <c r="P703" t="s">
        <v>867</v>
      </c>
      <c r="Q703" t="s">
        <v>1291</v>
      </c>
      <c r="R703" t="s">
        <v>1292</v>
      </c>
      <c r="S703" t="s">
        <v>232</v>
      </c>
      <c r="T703" t="s">
        <v>491</v>
      </c>
      <c r="U703" t="s">
        <v>233</v>
      </c>
      <c r="V703" t="s">
        <v>234</v>
      </c>
      <c r="W703" t="s">
        <v>54</v>
      </c>
      <c r="X703" t="s">
        <v>235</v>
      </c>
      <c r="Y703" t="s">
        <v>236</v>
      </c>
      <c r="Z703">
        <v>2355</v>
      </c>
      <c r="AA703">
        <v>2355</v>
      </c>
      <c r="AB703" t="s">
        <v>237</v>
      </c>
      <c r="AC703">
        <v>6.09</v>
      </c>
      <c r="AD703">
        <v>14341.95</v>
      </c>
      <c r="AE703">
        <v>5345.85</v>
      </c>
      <c r="AF703" t="s">
        <v>870</v>
      </c>
      <c r="AG703">
        <v>8996.1</v>
      </c>
      <c r="AH703">
        <v>0.63</v>
      </c>
    </row>
    <row r="704" spans="1:34" x14ac:dyDescent="0.25">
      <c r="A704" t="s">
        <v>2114</v>
      </c>
      <c r="B704">
        <v>703</v>
      </c>
      <c r="C704" t="s">
        <v>487</v>
      </c>
      <c r="D704" t="s">
        <v>247</v>
      </c>
      <c r="E704" t="s">
        <v>256</v>
      </c>
      <c r="F704" t="s">
        <v>3073</v>
      </c>
      <c r="G704" s="25">
        <v>44299</v>
      </c>
      <c r="H704">
        <v>21</v>
      </c>
      <c r="I704">
        <v>103</v>
      </c>
      <c r="J704" t="s">
        <v>3077</v>
      </c>
      <c r="K704" t="s">
        <v>876</v>
      </c>
      <c r="L704" t="s">
        <v>231</v>
      </c>
      <c r="M704" t="s">
        <v>883</v>
      </c>
      <c r="N704" t="s">
        <v>185</v>
      </c>
      <c r="O704" t="s">
        <v>1290</v>
      </c>
      <c r="P704" t="s">
        <v>867</v>
      </c>
      <c r="Q704" t="s">
        <v>1291</v>
      </c>
      <c r="R704" t="s">
        <v>1292</v>
      </c>
      <c r="S704" t="s">
        <v>232</v>
      </c>
      <c r="T704" t="s">
        <v>502</v>
      </c>
      <c r="U704" t="s">
        <v>287</v>
      </c>
      <c r="V704" t="s">
        <v>234</v>
      </c>
      <c r="W704" t="s">
        <v>58</v>
      </c>
      <c r="X704" t="s">
        <v>235</v>
      </c>
      <c r="Y704" t="s">
        <v>288</v>
      </c>
      <c r="Z704">
        <v>2791</v>
      </c>
      <c r="AA704">
        <v>2791</v>
      </c>
      <c r="AB704" t="s">
        <v>237</v>
      </c>
      <c r="AC704">
        <v>5.07</v>
      </c>
      <c r="AD704">
        <v>14150.37</v>
      </c>
      <c r="AE704">
        <v>3879.49</v>
      </c>
      <c r="AF704" t="s">
        <v>870</v>
      </c>
      <c r="AG704">
        <v>10270.879999999999</v>
      </c>
      <c r="AH704">
        <v>0.73</v>
      </c>
    </row>
    <row r="705" spans="1:34" x14ac:dyDescent="0.25">
      <c r="A705" t="s">
        <v>2130</v>
      </c>
      <c r="B705">
        <v>704</v>
      </c>
      <c r="C705" t="s">
        <v>487</v>
      </c>
      <c r="D705" t="s">
        <v>247</v>
      </c>
      <c r="E705" t="s">
        <v>261</v>
      </c>
      <c r="F705" t="s">
        <v>3078</v>
      </c>
      <c r="G705" s="25">
        <v>44300</v>
      </c>
      <c r="H705">
        <v>21</v>
      </c>
      <c r="I705">
        <v>104</v>
      </c>
      <c r="J705" t="s">
        <v>3079</v>
      </c>
      <c r="K705" t="s">
        <v>510</v>
      </c>
      <c r="L705" t="s">
        <v>231</v>
      </c>
      <c r="M705" t="s">
        <v>931</v>
      </c>
      <c r="N705" t="s">
        <v>186</v>
      </c>
      <c r="O705" t="s">
        <v>1251</v>
      </c>
      <c r="P705" t="s">
        <v>867</v>
      </c>
      <c r="Q705" t="s">
        <v>1252</v>
      </c>
      <c r="R705" t="s">
        <v>1253</v>
      </c>
      <c r="S705" t="s">
        <v>239</v>
      </c>
      <c r="T705" t="s">
        <v>502</v>
      </c>
      <c r="U705" t="s">
        <v>287</v>
      </c>
      <c r="V705" t="s">
        <v>234</v>
      </c>
      <c r="W705" t="s">
        <v>58</v>
      </c>
      <c r="X705" t="s">
        <v>235</v>
      </c>
      <c r="Y705" t="s">
        <v>288</v>
      </c>
      <c r="Z705">
        <v>3015</v>
      </c>
      <c r="AA705">
        <v>3015</v>
      </c>
      <c r="AB705" t="s">
        <v>237</v>
      </c>
      <c r="AC705">
        <v>4.97</v>
      </c>
      <c r="AD705">
        <v>14984.55</v>
      </c>
      <c r="AE705">
        <v>4190.8500000000004</v>
      </c>
      <c r="AF705" t="s">
        <v>870</v>
      </c>
      <c r="AG705">
        <v>10793.7</v>
      </c>
      <c r="AH705">
        <v>0.72</v>
      </c>
    </row>
    <row r="706" spans="1:34" x14ac:dyDescent="0.25">
      <c r="A706" t="s">
        <v>2095</v>
      </c>
      <c r="B706">
        <v>705</v>
      </c>
      <c r="C706" t="s">
        <v>487</v>
      </c>
      <c r="D706" t="s">
        <v>247</v>
      </c>
      <c r="E706" t="s">
        <v>261</v>
      </c>
      <c r="F706" t="s">
        <v>3078</v>
      </c>
      <c r="G706" s="25">
        <v>44300</v>
      </c>
      <c r="H706">
        <v>21</v>
      </c>
      <c r="I706">
        <v>104</v>
      </c>
      <c r="J706" t="s">
        <v>3079</v>
      </c>
      <c r="K706" t="s">
        <v>876</v>
      </c>
      <c r="L706" t="s">
        <v>231</v>
      </c>
      <c r="M706" t="s">
        <v>931</v>
      </c>
      <c r="N706" t="s">
        <v>186</v>
      </c>
      <c r="O706" t="s">
        <v>1251</v>
      </c>
      <c r="P706" t="s">
        <v>867</v>
      </c>
      <c r="Q706" t="s">
        <v>1252</v>
      </c>
      <c r="R706" t="s">
        <v>1253</v>
      </c>
      <c r="S706" t="s">
        <v>239</v>
      </c>
      <c r="T706" t="s">
        <v>502</v>
      </c>
      <c r="U706" t="s">
        <v>287</v>
      </c>
      <c r="V706" t="s">
        <v>234</v>
      </c>
      <c r="W706" t="s">
        <v>58</v>
      </c>
      <c r="X706" t="s">
        <v>235</v>
      </c>
      <c r="Y706" t="s">
        <v>288</v>
      </c>
      <c r="Z706">
        <v>3053</v>
      </c>
      <c r="AA706">
        <v>3053</v>
      </c>
      <c r="AB706" t="s">
        <v>237</v>
      </c>
      <c r="AC706">
        <v>4.97</v>
      </c>
      <c r="AD706">
        <v>15173.41</v>
      </c>
      <c r="AE706">
        <v>4243.67</v>
      </c>
      <c r="AF706" t="s">
        <v>870</v>
      </c>
      <c r="AG706">
        <v>10929.74</v>
      </c>
      <c r="AH706">
        <v>0.72</v>
      </c>
    </row>
    <row r="707" spans="1:34" x14ac:dyDescent="0.25">
      <c r="A707" t="s">
        <v>1928</v>
      </c>
      <c r="B707">
        <v>706</v>
      </c>
      <c r="C707" t="s">
        <v>487</v>
      </c>
      <c r="D707" t="s">
        <v>247</v>
      </c>
      <c r="E707" t="s">
        <v>261</v>
      </c>
      <c r="F707" t="s">
        <v>3078</v>
      </c>
      <c r="G707" s="25">
        <v>44300</v>
      </c>
      <c r="H707">
        <v>21</v>
      </c>
      <c r="I707">
        <v>104</v>
      </c>
      <c r="J707" t="s">
        <v>3079</v>
      </c>
      <c r="K707" t="s">
        <v>921</v>
      </c>
      <c r="L707" t="s">
        <v>231</v>
      </c>
      <c r="M707" t="s">
        <v>931</v>
      </c>
      <c r="N707" t="s">
        <v>186</v>
      </c>
      <c r="O707" t="s">
        <v>1251</v>
      </c>
      <c r="P707" t="s">
        <v>867</v>
      </c>
      <c r="Q707" t="s">
        <v>1252</v>
      </c>
      <c r="R707" t="s">
        <v>1253</v>
      </c>
      <c r="S707" t="s">
        <v>239</v>
      </c>
      <c r="T707" t="s">
        <v>502</v>
      </c>
      <c r="U707" t="s">
        <v>287</v>
      </c>
      <c r="V707" t="s">
        <v>234</v>
      </c>
      <c r="W707" t="s">
        <v>58</v>
      </c>
      <c r="X707" t="s">
        <v>235</v>
      </c>
      <c r="Y707" t="s">
        <v>288</v>
      </c>
      <c r="Z707">
        <v>2788</v>
      </c>
      <c r="AA707">
        <v>2788</v>
      </c>
      <c r="AB707" t="s">
        <v>237</v>
      </c>
      <c r="AC707">
        <v>4.97</v>
      </c>
      <c r="AD707">
        <v>13856.36</v>
      </c>
      <c r="AE707">
        <v>3875.32</v>
      </c>
      <c r="AF707" t="s">
        <v>870</v>
      </c>
      <c r="AG707">
        <v>9981.0400000000009</v>
      </c>
      <c r="AH707">
        <v>0.72</v>
      </c>
    </row>
    <row r="708" spans="1:34" x14ac:dyDescent="0.25">
      <c r="A708" t="s">
        <v>2218</v>
      </c>
      <c r="B708">
        <v>707</v>
      </c>
      <c r="C708" t="s">
        <v>487</v>
      </c>
      <c r="D708" t="s">
        <v>247</v>
      </c>
      <c r="E708" t="s">
        <v>261</v>
      </c>
      <c r="F708" t="s">
        <v>3078</v>
      </c>
      <c r="G708" s="25">
        <v>44300</v>
      </c>
      <c r="H708">
        <v>21</v>
      </c>
      <c r="I708">
        <v>104</v>
      </c>
      <c r="J708" t="s">
        <v>3080</v>
      </c>
      <c r="K708" t="s">
        <v>510</v>
      </c>
      <c r="L708" t="s">
        <v>231</v>
      </c>
      <c r="M708" t="s">
        <v>872</v>
      </c>
      <c r="N708" t="s">
        <v>184</v>
      </c>
      <c r="O708" t="s">
        <v>1497</v>
      </c>
      <c r="P708" t="s">
        <v>867</v>
      </c>
      <c r="Q708" t="s">
        <v>3009</v>
      </c>
      <c r="R708" t="s">
        <v>3010</v>
      </c>
      <c r="S708" t="s">
        <v>537</v>
      </c>
      <c r="T708" t="s">
        <v>505</v>
      </c>
      <c r="U708" t="s">
        <v>41</v>
      </c>
      <c r="V708" t="s">
        <v>234</v>
      </c>
      <c r="W708" t="s">
        <v>40</v>
      </c>
      <c r="X708" t="s">
        <v>21</v>
      </c>
      <c r="Y708" t="s">
        <v>266</v>
      </c>
      <c r="Z708">
        <v>3255</v>
      </c>
      <c r="AA708">
        <v>3255</v>
      </c>
      <c r="AB708" t="s">
        <v>237</v>
      </c>
      <c r="AC708">
        <v>4.42</v>
      </c>
      <c r="AD708">
        <v>14387.1</v>
      </c>
      <c r="AE708">
        <v>2929.5</v>
      </c>
      <c r="AF708" t="s">
        <v>870</v>
      </c>
      <c r="AG708">
        <v>11457.6</v>
      </c>
      <c r="AH708">
        <v>0.8</v>
      </c>
    </row>
    <row r="709" spans="1:34" x14ac:dyDescent="0.25">
      <c r="A709" t="s">
        <v>2281</v>
      </c>
      <c r="B709">
        <v>708</v>
      </c>
      <c r="C709" t="s">
        <v>487</v>
      </c>
      <c r="D709" t="s">
        <v>247</v>
      </c>
      <c r="E709" t="s">
        <v>261</v>
      </c>
      <c r="F709" t="s">
        <v>3078</v>
      </c>
      <c r="G709" s="25">
        <v>44300</v>
      </c>
      <c r="H709">
        <v>21</v>
      </c>
      <c r="I709">
        <v>104</v>
      </c>
      <c r="J709" t="s">
        <v>3081</v>
      </c>
      <c r="K709" t="s">
        <v>510</v>
      </c>
      <c r="L709" t="s">
        <v>231</v>
      </c>
      <c r="M709" t="s">
        <v>911</v>
      </c>
      <c r="N709" t="s">
        <v>186</v>
      </c>
      <c r="O709" t="s">
        <v>1121</v>
      </c>
      <c r="P709" t="s">
        <v>867</v>
      </c>
      <c r="Q709" t="s">
        <v>1122</v>
      </c>
      <c r="R709" t="s">
        <v>1123</v>
      </c>
      <c r="S709" t="s">
        <v>537</v>
      </c>
      <c r="T709" t="s">
        <v>505</v>
      </c>
      <c r="U709" t="s">
        <v>41</v>
      </c>
      <c r="V709" t="s">
        <v>234</v>
      </c>
      <c r="W709" t="s">
        <v>40</v>
      </c>
      <c r="X709" t="s">
        <v>21</v>
      </c>
      <c r="Y709" t="s">
        <v>266</v>
      </c>
      <c r="Z709">
        <v>2882</v>
      </c>
      <c r="AA709">
        <v>2882</v>
      </c>
      <c r="AB709" t="s">
        <v>237</v>
      </c>
      <c r="AC709">
        <v>4.42</v>
      </c>
      <c r="AD709">
        <v>12738.44</v>
      </c>
      <c r="AE709">
        <v>2593.8000000000002</v>
      </c>
      <c r="AF709" t="s">
        <v>870</v>
      </c>
      <c r="AG709">
        <v>10144.64</v>
      </c>
      <c r="AH709">
        <v>0.8</v>
      </c>
    </row>
    <row r="710" spans="1:34" x14ac:dyDescent="0.25">
      <c r="A710" t="s">
        <v>1765</v>
      </c>
      <c r="B710">
        <v>709</v>
      </c>
      <c r="C710" t="s">
        <v>487</v>
      </c>
      <c r="D710" t="s">
        <v>247</v>
      </c>
      <c r="E710" t="s">
        <v>261</v>
      </c>
      <c r="F710" t="s">
        <v>3078</v>
      </c>
      <c r="G710" s="25">
        <v>44300</v>
      </c>
      <c r="H710">
        <v>21</v>
      </c>
      <c r="I710">
        <v>104</v>
      </c>
      <c r="J710" t="s">
        <v>3082</v>
      </c>
      <c r="K710" t="s">
        <v>510</v>
      </c>
      <c r="L710" t="s">
        <v>231</v>
      </c>
      <c r="M710" t="s">
        <v>911</v>
      </c>
      <c r="N710" t="s">
        <v>186</v>
      </c>
      <c r="O710" t="s">
        <v>1260</v>
      </c>
      <c r="P710" t="s">
        <v>867</v>
      </c>
      <c r="Q710" t="s">
        <v>1362</v>
      </c>
      <c r="R710" t="s">
        <v>1363</v>
      </c>
      <c r="S710" t="s">
        <v>537</v>
      </c>
      <c r="T710" t="s">
        <v>505</v>
      </c>
      <c r="U710" t="s">
        <v>41</v>
      </c>
      <c r="V710" t="s">
        <v>234</v>
      </c>
      <c r="W710" t="s">
        <v>40</v>
      </c>
      <c r="X710" t="s">
        <v>21</v>
      </c>
      <c r="Y710" t="s">
        <v>266</v>
      </c>
      <c r="Z710">
        <v>3488</v>
      </c>
      <c r="AA710">
        <v>3488</v>
      </c>
      <c r="AB710" t="s">
        <v>237</v>
      </c>
      <c r="AC710">
        <v>4.42</v>
      </c>
      <c r="AD710">
        <v>15416.96</v>
      </c>
      <c r="AE710">
        <v>3139.2</v>
      </c>
      <c r="AF710" t="s">
        <v>870</v>
      </c>
      <c r="AG710">
        <v>12277.76</v>
      </c>
      <c r="AH710">
        <v>0.8</v>
      </c>
    </row>
    <row r="711" spans="1:34" x14ac:dyDescent="0.25">
      <c r="A711" t="s">
        <v>2336</v>
      </c>
      <c r="B711">
        <v>710</v>
      </c>
      <c r="C711" t="s">
        <v>487</v>
      </c>
      <c r="D711" t="s">
        <v>247</v>
      </c>
      <c r="E711" t="s">
        <v>322</v>
      </c>
      <c r="F711" t="s">
        <v>3083</v>
      </c>
      <c r="G711" s="25">
        <v>44301</v>
      </c>
      <c r="H711">
        <v>21</v>
      </c>
      <c r="I711">
        <v>105</v>
      </c>
      <c r="J711" t="s">
        <v>3084</v>
      </c>
      <c r="K711" t="s">
        <v>921</v>
      </c>
      <c r="L711" t="s">
        <v>231</v>
      </c>
      <c r="M711" t="s">
        <v>872</v>
      </c>
      <c r="N711" t="s">
        <v>184</v>
      </c>
      <c r="O711" t="s">
        <v>1180</v>
      </c>
      <c r="P711" t="s">
        <v>867</v>
      </c>
      <c r="Q711" t="s">
        <v>1181</v>
      </c>
      <c r="R711" t="s">
        <v>1182</v>
      </c>
      <c r="S711" t="s">
        <v>232</v>
      </c>
      <c r="T711" t="s">
        <v>505</v>
      </c>
      <c r="U711" t="s">
        <v>41</v>
      </c>
      <c r="V711" t="s">
        <v>234</v>
      </c>
      <c r="W711" t="s">
        <v>40</v>
      </c>
      <c r="X711" t="s">
        <v>21</v>
      </c>
      <c r="Y711" t="s">
        <v>266</v>
      </c>
      <c r="Z711">
        <v>2814</v>
      </c>
      <c r="AA711">
        <v>2814</v>
      </c>
      <c r="AB711" t="s">
        <v>237</v>
      </c>
      <c r="AC711">
        <v>4.51</v>
      </c>
      <c r="AD711">
        <v>12691.14</v>
      </c>
      <c r="AE711">
        <v>2532.6</v>
      </c>
      <c r="AF711" t="s">
        <v>870</v>
      </c>
      <c r="AG711">
        <v>10158.540000000001</v>
      </c>
      <c r="AH711">
        <v>0.8</v>
      </c>
    </row>
    <row r="712" spans="1:34" x14ac:dyDescent="0.25">
      <c r="A712" t="s">
        <v>2788</v>
      </c>
      <c r="B712">
        <v>711</v>
      </c>
      <c r="C712" t="s">
        <v>487</v>
      </c>
      <c r="D712" t="s">
        <v>247</v>
      </c>
      <c r="E712" t="s">
        <v>322</v>
      </c>
      <c r="F712" t="s">
        <v>3083</v>
      </c>
      <c r="G712" s="25">
        <v>44301</v>
      </c>
      <c r="H712">
        <v>21</v>
      </c>
      <c r="I712">
        <v>105</v>
      </c>
      <c r="J712" t="s">
        <v>3084</v>
      </c>
      <c r="K712" t="s">
        <v>876</v>
      </c>
      <c r="L712" t="s">
        <v>231</v>
      </c>
      <c r="M712" t="s">
        <v>872</v>
      </c>
      <c r="N712" t="s">
        <v>184</v>
      </c>
      <c r="O712" t="s">
        <v>1180</v>
      </c>
      <c r="P712" t="s">
        <v>867</v>
      </c>
      <c r="Q712" t="s">
        <v>1181</v>
      </c>
      <c r="R712" t="s">
        <v>1182</v>
      </c>
      <c r="S712" t="s">
        <v>232</v>
      </c>
      <c r="T712" t="s">
        <v>503</v>
      </c>
      <c r="U712" t="s">
        <v>303</v>
      </c>
      <c r="V712" t="s">
        <v>234</v>
      </c>
      <c r="W712" t="s">
        <v>56</v>
      </c>
      <c r="X712" t="s">
        <v>235</v>
      </c>
      <c r="Y712" t="s">
        <v>304</v>
      </c>
      <c r="Z712">
        <v>234</v>
      </c>
      <c r="AA712">
        <v>234</v>
      </c>
      <c r="AB712" t="s">
        <v>237</v>
      </c>
      <c r="AC712">
        <v>4.9400000000000004</v>
      </c>
      <c r="AD712">
        <v>1155.96</v>
      </c>
      <c r="AE712">
        <v>533.52</v>
      </c>
      <c r="AF712" t="s">
        <v>870</v>
      </c>
      <c r="AG712">
        <v>622.44000000000005</v>
      </c>
      <c r="AH712">
        <v>0.54</v>
      </c>
    </row>
    <row r="713" spans="1:34" x14ac:dyDescent="0.25">
      <c r="A713" t="s">
        <v>1843</v>
      </c>
      <c r="B713">
        <v>712</v>
      </c>
      <c r="C713" t="s">
        <v>487</v>
      </c>
      <c r="D713" t="s">
        <v>247</v>
      </c>
      <c r="E713" t="s">
        <v>322</v>
      </c>
      <c r="F713" t="s">
        <v>3083</v>
      </c>
      <c r="G713" s="25">
        <v>44301</v>
      </c>
      <c r="H713">
        <v>21</v>
      </c>
      <c r="I713">
        <v>105</v>
      </c>
      <c r="J713" t="s">
        <v>3084</v>
      </c>
      <c r="K713" t="s">
        <v>510</v>
      </c>
      <c r="L713" t="s">
        <v>231</v>
      </c>
      <c r="M713" t="s">
        <v>872</v>
      </c>
      <c r="N713" t="s">
        <v>184</v>
      </c>
      <c r="O713" t="s">
        <v>1180</v>
      </c>
      <c r="P713" t="s">
        <v>867</v>
      </c>
      <c r="Q713" t="s">
        <v>1181</v>
      </c>
      <c r="R713" t="s">
        <v>1182</v>
      </c>
      <c r="S713" t="s">
        <v>232</v>
      </c>
      <c r="T713" t="s">
        <v>502</v>
      </c>
      <c r="U713" t="s">
        <v>287</v>
      </c>
      <c r="V713" t="s">
        <v>234</v>
      </c>
      <c r="W713" t="s">
        <v>58</v>
      </c>
      <c r="X713" t="s">
        <v>235</v>
      </c>
      <c r="Y713" t="s">
        <v>288</v>
      </c>
      <c r="Z713">
        <v>1644</v>
      </c>
      <c r="AA713">
        <v>1644</v>
      </c>
      <c r="AB713" t="s">
        <v>237</v>
      </c>
      <c r="AC713">
        <v>5.07</v>
      </c>
      <c r="AD713">
        <v>8335.08</v>
      </c>
      <c r="AE713">
        <v>2285.16</v>
      </c>
      <c r="AF713" t="s">
        <v>870</v>
      </c>
      <c r="AG713">
        <v>6049.92</v>
      </c>
      <c r="AH713">
        <v>0.73</v>
      </c>
    </row>
    <row r="714" spans="1:34" x14ac:dyDescent="0.25">
      <c r="A714" t="s">
        <v>2609</v>
      </c>
      <c r="B714">
        <v>713</v>
      </c>
      <c r="C714" t="s">
        <v>487</v>
      </c>
      <c r="D714" t="s">
        <v>247</v>
      </c>
      <c r="E714" t="s">
        <v>247</v>
      </c>
      <c r="F714" t="s">
        <v>3085</v>
      </c>
      <c r="G714" s="25">
        <v>44302</v>
      </c>
      <c r="H714">
        <v>22</v>
      </c>
      <c r="I714">
        <v>106</v>
      </c>
      <c r="J714" t="s">
        <v>3086</v>
      </c>
      <c r="K714" t="s">
        <v>876</v>
      </c>
      <c r="L714" t="s">
        <v>231</v>
      </c>
      <c r="M714" t="s">
        <v>1114</v>
      </c>
      <c r="N714" t="s">
        <v>185</v>
      </c>
      <c r="O714" t="s">
        <v>1255</v>
      </c>
      <c r="P714" t="s">
        <v>867</v>
      </c>
      <c r="Q714" t="s">
        <v>1256</v>
      </c>
      <c r="R714" t="s">
        <v>1257</v>
      </c>
      <c r="S714" t="s">
        <v>232</v>
      </c>
      <c r="T714" t="s">
        <v>505</v>
      </c>
      <c r="U714" t="s">
        <v>41</v>
      </c>
      <c r="V714" t="s">
        <v>234</v>
      </c>
      <c r="W714" t="s">
        <v>40</v>
      </c>
      <c r="X714" t="s">
        <v>21</v>
      </c>
      <c r="Y714" t="s">
        <v>266</v>
      </c>
      <c r="Z714">
        <v>3122</v>
      </c>
      <c r="AA714">
        <v>3122</v>
      </c>
      <c r="AB714" t="s">
        <v>237</v>
      </c>
      <c r="AC714">
        <v>4.51</v>
      </c>
      <c r="AD714">
        <v>14080.22</v>
      </c>
      <c r="AE714">
        <v>2809.8</v>
      </c>
      <c r="AF714" t="s">
        <v>870</v>
      </c>
      <c r="AG714">
        <v>11270.42</v>
      </c>
      <c r="AH714">
        <v>0.8</v>
      </c>
    </row>
    <row r="715" spans="1:34" x14ac:dyDescent="0.25">
      <c r="A715" t="s">
        <v>2045</v>
      </c>
      <c r="B715">
        <v>714</v>
      </c>
      <c r="C715" t="s">
        <v>487</v>
      </c>
      <c r="D715" t="s">
        <v>247</v>
      </c>
      <c r="E715" t="s">
        <v>247</v>
      </c>
      <c r="F715" t="s">
        <v>3085</v>
      </c>
      <c r="G715" s="25">
        <v>44302</v>
      </c>
      <c r="H715">
        <v>22</v>
      </c>
      <c r="I715">
        <v>106</v>
      </c>
      <c r="J715" t="s">
        <v>3086</v>
      </c>
      <c r="K715" t="s">
        <v>510</v>
      </c>
      <c r="L715" t="s">
        <v>231</v>
      </c>
      <c r="M715" t="s">
        <v>1114</v>
      </c>
      <c r="N715" t="s">
        <v>185</v>
      </c>
      <c r="O715" t="s">
        <v>1255</v>
      </c>
      <c r="P715" t="s">
        <v>867</v>
      </c>
      <c r="Q715" t="s">
        <v>1256</v>
      </c>
      <c r="R715" t="s">
        <v>1257</v>
      </c>
      <c r="S715" t="s">
        <v>232</v>
      </c>
      <c r="T715" t="s">
        <v>505</v>
      </c>
      <c r="U715" t="s">
        <v>41</v>
      </c>
      <c r="V715" t="s">
        <v>234</v>
      </c>
      <c r="W715" t="s">
        <v>40</v>
      </c>
      <c r="X715" t="s">
        <v>21</v>
      </c>
      <c r="Y715" t="s">
        <v>266</v>
      </c>
      <c r="Z715">
        <v>3525</v>
      </c>
      <c r="AA715">
        <v>3525</v>
      </c>
      <c r="AB715" t="s">
        <v>237</v>
      </c>
      <c r="AC715">
        <v>4.51</v>
      </c>
      <c r="AD715">
        <v>15897.75</v>
      </c>
      <c r="AE715">
        <v>3172.5</v>
      </c>
      <c r="AF715" t="s">
        <v>870</v>
      </c>
      <c r="AG715">
        <v>12725.25</v>
      </c>
      <c r="AH715">
        <v>0.8</v>
      </c>
    </row>
    <row r="716" spans="1:34" x14ac:dyDescent="0.25">
      <c r="A716" t="s">
        <v>2173</v>
      </c>
      <c r="B716">
        <v>715</v>
      </c>
      <c r="C716" t="s">
        <v>487</v>
      </c>
      <c r="D716" t="s">
        <v>247</v>
      </c>
      <c r="E716" t="s">
        <v>247</v>
      </c>
      <c r="F716" t="s">
        <v>3085</v>
      </c>
      <c r="G716" s="25">
        <v>44302</v>
      </c>
      <c r="H716">
        <v>22</v>
      </c>
      <c r="I716">
        <v>106</v>
      </c>
      <c r="J716" t="s">
        <v>3086</v>
      </c>
      <c r="K716" t="s">
        <v>921</v>
      </c>
      <c r="L716" t="s">
        <v>231</v>
      </c>
      <c r="M716" t="s">
        <v>1114</v>
      </c>
      <c r="N716" t="s">
        <v>185</v>
      </c>
      <c r="O716" t="s">
        <v>1255</v>
      </c>
      <c r="P716" t="s">
        <v>867</v>
      </c>
      <c r="Q716" t="s">
        <v>1256</v>
      </c>
      <c r="R716" t="s">
        <v>1257</v>
      </c>
      <c r="S716" t="s">
        <v>232</v>
      </c>
      <c r="T716" t="s">
        <v>509</v>
      </c>
      <c r="U716" t="s">
        <v>45</v>
      </c>
      <c r="V716" t="s">
        <v>234</v>
      </c>
      <c r="W716" t="s">
        <v>44</v>
      </c>
      <c r="X716" t="s">
        <v>21</v>
      </c>
      <c r="Y716" t="s">
        <v>304</v>
      </c>
      <c r="Z716">
        <v>3409</v>
      </c>
      <c r="AA716">
        <v>3409</v>
      </c>
      <c r="AB716" t="s">
        <v>237</v>
      </c>
      <c r="AC716">
        <v>4.9000000000000004</v>
      </c>
      <c r="AD716">
        <v>16704.099999999999</v>
      </c>
      <c r="AE716">
        <v>4193.07</v>
      </c>
      <c r="AF716" t="s">
        <v>870</v>
      </c>
      <c r="AG716">
        <v>12511.03</v>
      </c>
      <c r="AH716">
        <v>0.75</v>
      </c>
    </row>
    <row r="717" spans="1:34" x14ac:dyDescent="0.25">
      <c r="A717" t="s">
        <v>2178</v>
      </c>
      <c r="B717">
        <v>716</v>
      </c>
      <c r="C717" t="s">
        <v>487</v>
      </c>
      <c r="D717" t="s">
        <v>247</v>
      </c>
      <c r="E717" t="s">
        <v>247</v>
      </c>
      <c r="F717" t="s">
        <v>3085</v>
      </c>
      <c r="G717" s="25">
        <v>44302</v>
      </c>
      <c r="H717">
        <v>22</v>
      </c>
      <c r="I717">
        <v>106</v>
      </c>
      <c r="J717" t="s">
        <v>3087</v>
      </c>
      <c r="K717" t="s">
        <v>510</v>
      </c>
      <c r="L717" t="s">
        <v>231</v>
      </c>
      <c r="M717" t="s">
        <v>872</v>
      </c>
      <c r="N717" t="s">
        <v>184</v>
      </c>
      <c r="O717" t="s">
        <v>1092</v>
      </c>
      <c r="P717" t="s">
        <v>867</v>
      </c>
      <c r="Q717" t="s">
        <v>1093</v>
      </c>
      <c r="R717" t="s">
        <v>1094</v>
      </c>
      <c r="S717" t="s">
        <v>232</v>
      </c>
      <c r="T717" t="s">
        <v>509</v>
      </c>
      <c r="U717" t="s">
        <v>45</v>
      </c>
      <c r="V717" t="s">
        <v>234</v>
      </c>
      <c r="W717" t="s">
        <v>44</v>
      </c>
      <c r="X717" t="s">
        <v>21</v>
      </c>
      <c r="Y717" t="s">
        <v>304</v>
      </c>
      <c r="Z717">
        <v>3231</v>
      </c>
      <c r="AA717">
        <v>3231</v>
      </c>
      <c r="AB717" t="s">
        <v>237</v>
      </c>
      <c r="AC717">
        <v>4.9000000000000004</v>
      </c>
      <c r="AD717">
        <v>15831.9</v>
      </c>
      <c r="AE717">
        <v>3974.13</v>
      </c>
      <c r="AF717" t="s">
        <v>870</v>
      </c>
      <c r="AG717">
        <v>11857.77</v>
      </c>
      <c r="AH717">
        <v>0.75</v>
      </c>
    </row>
    <row r="718" spans="1:34" x14ac:dyDescent="0.25">
      <c r="A718" t="s">
        <v>2203</v>
      </c>
      <c r="B718">
        <v>717</v>
      </c>
      <c r="C718" t="s">
        <v>487</v>
      </c>
      <c r="D718" t="s">
        <v>247</v>
      </c>
      <c r="E718" t="s">
        <v>247</v>
      </c>
      <c r="F718" t="s">
        <v>3085</v>
      </c>
      <c r="G718" s="25">
        <v>44302</v>
      </c>
      <c r="H718">
        <v>22</v>
      </c>
      <c r="I718">
        <v>106</v>
      </c>
      <c r="J718" t="s">
        <v>3088</v>
      </c>
      <c r="K718" t="s">
        <v>510</v>
      </c>
      <c r="L718" t="s">
        <v>231</v>
      </c>
      <c r="M718" t="s">
        <v>872</v>
      </c>
      <c r="N718" t="s">
        <v>184</v>
      </c>
      <c r="O718" t="s">
        <v>1224</v>
      </c>
      <c r="P718" t="s">
        <v>867</v>
      </c>
      <c r="Q718" t="s">
        <v>1225</v>
      </c>
      <c r="R718" t="s">
        <v>1226</v>
      </c>
      <c r="S718" t="s">
        <v>232</v>
      </c>
      <c r="T718" t="s">
        <v>509</v>
      </c>
      <c r="U718" t="s">
        <v>45</v>
      </c>
      <c r="V718" t="s">
        <v>234</v>
      </c>
      <c r="W718" t="s">
        <v>44</v>
      </c>
      <c r="X718" t="s">
        <v>21</v>
      </c>
      <c r="Y718" t="s">
        <v>304</v>
      </c>
      <c r="Z718">
        <v>3042</v>
      </c>
      <c r="AA718">
        <v>3042</v>
      </c>
      <c r="AB718" t="s">
        <v>237</v>
      </c>
      <c r="AC718">
        <v>4.9000000000000004</v>
      </c>
      <c r="AD718">
        <v>14905.8</v>
      </c>
      <c r="AE718">
        <v>3741.66</v>
      </c>
      <c r="AF718" t="s">
        <v>870</v>
      </c>
      <c r="AG718">
        <v>11164.14</v>
      </c>
      <c r="AH718">
        <v>0.75</v>
      </c>
    </row>
    <row r="719" spans="1:34" x14ac:dyDescent="0.25">
      <c r="A719" t="s">
        <v>1715</v>
      </c>
      <c r="B719">
        <v>718</v>
      </c>
      <c r="C719" t="s">
        <v>487</v>
      </c>
      <c r="D719" t="s">
        <v>247</v>
      </c>
      <c r="E719" t="s">
        <v>247</v>
      </c>
      <c r="F719" t="s">
        <v>3085</v>
      </c>
      <c r="G719" s="25">
        <v>44302</v>
      </c>
      <c r="H719">
        <v>22</v>
      </c>
      <c r="I719">
        <v>106</v>
      </c>
      <c r="J719" t="s">
        <v>3089</v>
      </c>
      <c r="K719" t="s">
        <v>510</v>
      </c>
      <c r="L719" t="s">
        <v>231</v>
      </c>
      <c r="M719" t="s">
        <v>931</v>
      </c>
      <c r="N719" t="s">
        <v>186</v>
      </c>
      <c r="O719" t="s">
        <v>1061</v>
      </c>
      <c r="P719" t="s">
        <v>867</v>
      </c>
      <c r="Q719" t="s">
        <v>1062</v>
      </c>
      <c r="R719" t="s">
        <v>1063</v>
      </c>
      <c r="S719" t="s">
        <v>537</v>
      </c>
      <c r="T719" t="s">
        <v>505</v>
      </c>
      <c r="U719" t="s">
        <v>41</v>
      </c>
      <c r="V719" t="s">
        <v>234</v>
      </c>
      <c r="W719" t="s">
        <v>40</v>
      </c>
      <c r="X719" t="s">
        <v>21</v>
      </c>
      <c r="Y719" t="s">
        <v>266</v>
      </c>
      <c r="Z719">
        <v>3383</v>
      </c>
      <c r="AA719">
        <v>3383</v>
      </c>
      <c r="AB719" t="s">
        <v>237</v>
      </c>
      <c r="AC719">
        <v>4.42</v>
      </c>
      <c r="AD719">
        <v>14952.86</v>
      </c>
      <c r="AE719">
        <v>3044.7</v>
      </c>
      <c r="AF719" t="s">
        <v>870</v>
      </c>
      <c r="AG719">
        <v>11908.16</v>
      </c>
      <c r="AH719">
        <v>0.8</v>
      </c>
    </row>
    <row r="720" spans="1:34" x14ac:dyDescent="0.25">
      <c r="A720" t="s">
        <v>1684</v>
      </c>
      <c r="B720">
        <v>719</v>
      </c>
      <c r="C720" t="s">
        <v>487</v>
      </c>
      <c r="D720" t="s">
        <v>247</v>
      </c>
      <c r="E720" t="s">
        <v>247</v>
      </c>
      <c r="F720" t="s">
        <v>3085</v>
      </c>
      <c r="G720" s="25">
        <v>44302</v>
      </c>
      <c r="H720">
        <v>22</v>
      </c>
      <c r="I720">
        <v>106</v>
      </c>
      <c r="J720" t="s">
        <v>3090</v>
      </c>
      <c r="K720" t="s">
        <v>510</v>
      </c>
      <c r="L720" t="s">
        <v>231</v>
      </c>
      <c r="M720" t="s">
        <v>997</v>
      </c>
      <c r="N720" t="s">
        <v>185</v>
      </c>
      <c r="O720" t="s">
        <v>1004</v>
      </c>
      <c r="P720" t="s">
        <v>867</v>
      </c>
      <c r="Q720" t="s">
        <v>1005</v>
      </c>
      <c r="R720" t="s">
        <v>1006</v>
      </c>
      <c r="S720" t="s">
        <v>537</v>
      </c>
      <c r="T720" t="s">
        <v>505</v>
      </c>
      <c r="U720" t="s">
        <v>41</v>
      </c>
      <c r="V720" t="s">
        <v>234</v>
      </c>
      <c r="W720" t="s">
        <v>40</v>
      </c>
      <c r="X720" t="s">
        <v>21</v>
      </c>
      <c r="Y720" t="s">
        <v>266</v>
      </c>
      <c r="Z720">
        <v>2856</v>
      </c>
      <c r="AA720">
        <v>2856</v>
      </c>
      <c r="AB720" t="s">
        <v>237</v>
      </c>
      <c r="AC720">
        <v>4.42</v>
      </c>
      <c r="AD720">
        <v>12623.52</v>
      </c>
      <c r="AE720">
        <v>2570.4</v>
      </c>
      <c r="AF720" t="s">
        <v>870</v>
      </c>
      <c r="AG720">
        <v>10053.120000000001</v>
      </c>
      <c r="AH720">
        <v>0.8</v>
      </c>
    </row>
    <row r="721" spans="1:34" x14ac:dyDescent="0.25">
      <c r="A721" t="s">
        <v>1884</v>
      </c>
      <c r="B721">
        <v>720</v>
      </c>
      <c r="C721" t="s">
        <v>487</v>
      </c>
      <c r="D721" t="s">
        <v>247</v>
      </c>
      <c r="E721" t="s">
        <v>326</v>
      </c>
      <c r="F721" t="s">
        <v>3091</v>
      </c>
      <c r="G721" s="25">
        <v>44303</v>
      </c>
      <c r="H721">
        <v>22</v>
      </c>
      <c r="I721">
        <v>107</v>
      </c>
      <c r="J721" t="s">
        <v>3092</v>
      </c>
      <c r="K721" t="s">
        <v>510</v>
      </c>
      <c r="L721" t="s">
        <v>231</v>
      </c>
      <c r="M721" t="s">
        <v>865</v>
      </c>
      <c r="N721" t="s">
        <v>186</v>
      </c>
      <c r="O721" t="s">
        <v>1012</v>
      </c>
      <c r="P721" t="s">
        <v>867</v>
      </c>
      <c r="Q721" t="s">
        <v>3093</v>
      </c>
      <c r="R721" t="s">
        <v>3094</v>
      </c>
      <c r="S721" t="s">
        <v>537</v>
      </c>
      <c r="T721" t="s">
        <v>505</v>
      </c>
      <c r="U721" t="s">
        <v>41</v>
      </c>
      <c r="V721" t="s">
        <v>234</v>
      </c>
      <c r="W721" t="s">
        <v>40</v>
      </c>
      <c r="X721" t="s">
        <v>21</v>
      </c>
      <c r="Y721" t="s">
        <v>266</v>
      </c>
      <c r="Z721">
        <v>3240</v>
      </c>
      <c r="AA721">
        <v>3240</v>
      </c>
      <c r="AB721" t="s">
        <v>237</v>
      </c>
      <c r="AC721">
        <v>4.42</v>
      </c>
      <c r="AD721">
        <v>14320.8</v>
      </c>
      <c r="AE721">
        <v>2916</v>
      </c>
      <c r="AF721" t="s">
        <v>870</v>
      </c>
      <c r="AG721">
        <v>11404.8</v>
      </c>
      <c r="AH721">
        <v>0.8</v>
      </c>
    </row>
    <row r="722" spans="1:34" x14ac:dyDescent="0.25">
      <c r="A722" t="s">
        <v>2136</v>
      </c>
      <c r="B722">
        <v>721</v>
      </c>
      <c r="C722" t="s">
        <v>487</v>
      </c>
      <c r="D722" t="s">
        <v>247</v>
      </c>
      <c r="E722" t="s">
        <v>326</v>
      </c>
      <c r="F722" t="s">
        <v>3091</v>
      </c>
      <c r="G722" s="25">
        <v>44303</v>
      </c>
      <c r="H722">
        <v>22</v>
      </c>
      <c r="I722">
        <v>107</v>
      </c>
      <c r="J722" t="s">
        <v>3095</v>
      </c>
      <c r="K722" t="s">
        <v>510</v>
      </c>
      <c r="L722" t="s">
        <v>231</v>
      </c>
      <c r="M722" t="s">
        <v>865</v>
      </c>
      <c r="N722" t="s">
        <v>186</v>
      </c>
      <c r="O722" t="s">
        <v>1069</v>
      </c>
      <c r="P722" t="s">
        <v>867</v>
      </c>
      <c r="Q722" t="s">
        <v>3096</v>
      </c>
      <c r="R722" t="s">
        <v>3097</v>
      </c>
      <c r="S722" t="s">
        <v>537</v>
      </c>
      <c r="T722" t="s">
        <v>505</v>
      </c>
      <c r="U722" t="s">
        <v>41</v>
      </c>
      <c r="V722" t="s">
        <v>234</v>
      </c>
      <c r="W722" t="s">
        <v>40</v>
      </c>
      <c r="X722" t="s">
        <v>21</v>
      </c>
      <c r="Y722" t="s">
        <v>266</v>
      </c>
      <c r="Z722">
        <v>1653</v>
      </c>
      <c r="AA722">
        <v>1653</v>
      </c>
      <c r="AB722" t="s">
        <v>237</v>
      </c>
      <c r="AC722">
        <v>4.42</v>
      </c>
      <c r="AD722">
        <v>7306.26</v>
      </c>
      <c r="AE722">
        <v>1487.7</v>
      </c>
      <c r="AF722" t="s">
        <v>870</v>
      </c>
      <c r="AG722">
        <v>5818.56</v>
      </c>
      <c r="AH722">
        <v>0.8</v>
      </c>
    </row>
    <row r="723" spans="1:34" x14ac:dyDescent="0.25">
      <c r="A723" t="s">
        <v>1968</v>
      </c>
      <c r="B723">
        <v>722</v>
      </c>
      <c r="C723" t="s">
        <v>487</v>
      </c>
      <c r="D723" t="s">
        <v>247</v>
      </c>
      <c r="E723" t="s">
        <v>326</v>
      </c>
      <c r="F723" t="s">
        <v>3091</v>
      </c>
      <c r="G723" s="25">
        <v>44303</v>
      </c>
      <c r="H723">
        <v>22</v>
      </c>
      <c r="I723">
        <v>107</v>
      </c>
      <c r="J723" t="s">
        <v>3098</v>
      </c>
      <c r="K723" t="s">
        <v>510</v>
      </c>
      <c r="L723" t="s">
        <v>231</v>
      </c>
      <c r="M723" t="s">
        <v>911</v>
      </c>
      <c r="N723" t="s">
        <v>186</v>
      </c>
      <c r="O723" t="s">
        <v>1016</v>
      </c>
      <c r="P723" t="s">
        <v>867</v>
      </c>
      <c r="Q723" t="s">
        <v>1489</v>
      </c>
      <c r="R723" t="s">
        <v>1490</v>
      </c>
      <c r="S723" t="s">
        <v>537</v>
      </c>
      <c r="T723" t="s">
        <v>505</v>
      </c>
      <c r="U723" t="s">
        <v>41</v>
      </c>
      <c r="V723" t="s">
        <v>234</v>
      </c>
      <c r="W723" t="s">
        <v>40</v>
      </c>
      <c r="X723" t="s">
        <v>21</v>
      </c>
      <c r="Y723" t="s">
        <v>266</v>
      </c>
      <c r="Z723">
        <v>3597</v>
      </c>
      <c r="AA723">
        <v>3597</v>
      </c>
      <c r="AB723" t="s">
        <v>237</v>
      </c>
      <c r="AC723">
        <v>4.42</v>
      </c>
      <c r="AD723">
        <v>15898.74</v>
      </c>
      <c r="AE723">
        <v>3237.3</v>
      </c>
      <c r="AF723" t="s">
        <v>870</v>
      </c>
      <c r="AG723">
        <v>12661.44</v>
      </c>
      <c r="AH723">
        <v>0.8</v>
      </c>
    </row>
    <row r="724" spans="1:34" x14ac:dyDescent="0.25">
      <c r="A724" t="s">
        <v>2185</v>
      </c>
      <c r="B724">
        <v>723</v>
      </c>
      <c r="C724" t="s">
        <v>487</v>
      </c>
      <c r="D724" t="s">
        <v>247</v>
      </c>
      <c r="E724" t="s">
        <v>326</v>
      </c>
      <c r="F724" t="s">
        <v>3091</v>
      </c>
      <c r="G724" s="25">
        <v>44303</v>
      </c>
      <c r="H724">
        <v>22</v>
      </c>
      <c r="I724">
        <v>107</v>
      </c>
      <c r="J724" t="s">
        <v>3099</v>
      </c>
      <c r="K724" t="s">
        <v>510</v>
      </c>
      <c r="L724" t="s">
        <v>231</v>
      </c>
      <c r="M724" t="s">
        <v>888</v>
      </c>
      <c r="N724" t="s">
        <v>184</v>
      </c>
      <c r="O724" t="s">
        <v>1126</v>
      </c>
      <c r="P724" t="s">
        <v>867</v>
      </c>
      <c r="Q724" t="s">
        <v>1582</v>
      </c>
      <c r="R724" t="s">
        <v>1583</v>
      </c>
      <c r="S724" t="s">
        <v>537</v>
      </c>
      <c r="T724" t="s">
        <v>505</v>
      </c>
      <c r="U724" t="s">
        <v>41</v>
      </c>
      <c r="V724" t="s">
        <v>234</v>
      </c>
      <c r="W724" t="s">
        <v>40</v>
      </c>
      <c r="X724" t="s">
        <v>21</v>
      </c>
      <c r="Y724" t="s">
        <v>266</v>
      </c>
      <c r="Z724">
        <v>3161</v>
      </c>
      <c r="AA724">
        <v>3161</v>
      </c>
      <c r="AB724" t="s">
        <v>237</v>
      </c>
      <c r="AC724">
        <v>4.42</v>
      </c>
      <c r="AD724">
        <v>13971.62</v>
      </c>
      <c r="AE724">
        <v>2844.9</v>
      </c>
      <c r="AF724" t="s">
        <v>870</v>
      </c>
      <c r="AG724">
        <v>11126.72</v>
      </c>
      <c r="AH724">
        <v>0.8</v>
      </c>
    </row>
    <row r="725" spans="1:34" x14ac:dyDescent="0.25">
      <c r="A725" t="s">
        <v>2749</v>
      </c>
      <c r="B725">
        <v>724</v>
      </c>
      <c r="C725" t="s">
        <v>487</v>
      </c>
      <c r="D725" t="s">
        <v>247</v>
      </c>
      <c r="E725" t="s">
        <v>326</v>
      </c>
      <c r="F725" t="s">
        <v>3091</v>
      </c>
      <c r="G725" s="25">
        <v>44303</v>
      </c>
      <c r="H725">
        <v>22</v>
      </c>
      <c r="I725">
        <v>107</v>
      </c>
      <c r="J725" t="s">
        <v>3100</v>
      </c>
      <c r="K725" t="s">
        <v>510</v>
      </c>
      <c r="L725" t="s">
        <v>231</v>
      </c>
      <c r="M725" t="s">
        <v>872</v>
      </c>
      <c r="N725" t="s">
        <v>184</v>
      </c>
      <c r="O725" t="s">
        <v>1020</v>
      </c>
      <c r="P725" t="s">
        <v>867</v>
      </c>
      <c r="Q725" t="s">
        <v>1021</v>
      </c>
      <c r="R725" t="s">
        <v>1022</v>
      </c>
      <c r="S725" t="s">
        <v>537</v>
      </c>
      <c r="T725" t="s">
        <v>505</v>
      </c>
      <c r="U725" t="s">
        <v>41</v>
      </c>
      <c r="V725" t="s">
        <v>234</v>
      </c>
      <c r="W725" t="s">
        <v>40</v>
      </c>
      <c r="X725" t="s">
        <v>21</v>
      </c>
      <c r="Y725" t="s">
        <v>266</v>
      </c>
      <c r="Z725">
        <v>3229</v>
      </c>
      <c r="AA725">
        <v>3229</v>
      </c>
      <c r="AB725" t="s">
        <v>237</v>
      </c>
      <c r="AC725">
        <v>4.42</v>
      </c>
      <c r="AD725">
        <v>14272.18</v>
      </c>
      <c r="AE725">
        <v>2906.1</v>
      </c>
      <c r="AF725" t="s">
        <v>870</v>
      </c>
      <c r="AG725">
        <v>11366.08</v>
      </c>
      <c r="AH725">
        <v>0.8</v>
      </c>
    </row>
    <row r="726" spans="1:34" x14ac:dyDescent="0.25">
      <c r="A726" t="s">
        <v>1877</v>
      </c>
      <c r="B726">
        <v>725</v>
      </c>
      <c r="C726" t="s">
        <v>487</v>
      </c>
      <c r="D726" t="s">
        <v>247</v>
      </c>
      <c r="E726" t="s">
        <v>326</v>
      </c>
      <c r="F726" t="s">
        <v>3091</v>
      </c>
      <c r="G726" s="25">
        <v>44303</v>
      </c>
      <c r="H726">
        <v>22</v>
      </c>
      <c r="I726">
        <v>107</v>
      </c>
      <c r="J726" t="s">
        <v>3101</v>
      </c>
      <c r="K726" t="s">
        <v>510</v>
      </c>
      <c r="L726" t="s">
        <v>231</v>
      </c>
      <c r="M726" t="s">
        <v>872</v>
      </c>
      <c r="N726" t="s">
        <v>184</v>
      </c>
      <c r="O726" t="s">
        <v>1577</v>
      </c>
      <c r="P726" t="s">
        <v>867</v>
      </c>
      <c r="Q726" t="s">
        <v>1578</v>
      </c>
      <c r="R726" t="s">
        <v>1579</v>
      </c>
      <c r="S726" t="s">
        <v>537</v>
      </c>
      <c r="T726" t="s">
        <v>505</v>
      </c>
      <c r="U726" t="s">
        <v>41</v>
      </c>
      <c r="V726" t="s">
        <v>234</v>
      </c>
      <c r="W726" t="s">
        <v>40</v>
      </c>
      <c r="X726" t="s">
        <v>21</v>
      </c>
      <c r="Y726" t="s">
        <v>266</v>
      </c>
      <c r="Z726">
        <v>3795</v>
      </c>
      <c r="AA726">
        <v>3795</v>
      </c>
      <c r="AB726" t="s">
        <v>237</v>
      </c>
      <c r="AC726">
        <v>4.42</v>
      </c>
      <c r="AD726">
        <v>16773.900000000001</v>
      </c>
      <c r="AE726">
        <v>3415.5</v>
      </c>
      <c r="AF726" t="s">
        <v>870</v>
      </c>
      <c r="AG726">
        <v>13358.4</v>
      </c>
      <c r="AH726">
        <v>0.8</v>
      </c>
    </row>
    <row r="727" spans="1:34" x14ac:dyDescent="0.25">
      <c r="A727" t="s">
        <v>1888</v>
      </c>
      <c r="B727">
        <v>726</v>
      </c>
      <c r="C727" t="s">
        <v>487</v>
      </c>
      <c r="D727" t="s">
        <v>247</v>
      </c>
      <c r="E727" t="s">
        <v>326</v>
      </c>
      <c r="F727" t="s">
        <v>3091</v>
      </c>
      <c r="G727" s="25">
        <v>44303</v>
      </c>
      <c r="H727">
        <v>22</v>
      </c>
      <c r="I727">
        <v>107</v>
      </c>
      <c r="J727" t="s">
        <v>3102</v>
      </c>
      <c r="K727" t="s">
        <v>510</v>
      </c>
      <c r="L727" t="s">
        <v>231</v>
      </c>
      <c r="M727" t="s">
        <v>865</v>
      </c>
      <c r="N727" t="s">
        <v>186</v>
      </c>
      <c r="O727" t="s">
        <v>1012</v>
      </c>
      <c r="P727" t="s">
        <v>867</v>
      </c>
      <c r="Q727" t="s">
        <v>1160</v>
      </c>
      <c r="R727" t="s">
        <v>1161</v>
      </c>
      <c r="S727" t="s">
        <v>537</v>
      </c>
      <c r="T727" t="s">
        <v>509</v>
      </c>
      <c r="U727" t="s">
        <v>45</v>
      </c>
      <c r="V727" t="s">
        <v>234</v>
      </c>
      <c r="W727" t="s">
        <v>44</v>
      </c>
      <c r="X727" t="s">
        <v>21</v>
      </c>
      <c r="Y727" t="s">
        <v>304</v>
      </c>
      <c r="Z727">
        <v>3423</v>
      </c>
      <c r="AA727">
        <v>3423</v>
      </c>
      <c r="AB727" t="s">
        <v>237</v>
      </c>
      <c r="AC727">
        <v>4.8</v>
      </c>
      <c r="AD727">
        <v>16430.400000000001</v>
      </c>
      <c r="AE727">
        <v>4210.29</v>
      </c>
      <c r="AF727" t="s">
        <v>870</v>
      </c>
      <c r="AG727">
        <v>12220.11</v>
      </c>
      <c r="AH727">
        <v>0.74</v>
      </c>
    </row>
    <row r="728" spans="1:34" x14ac:dyDescent="0.25">
      <c r="A728" t="s">
        <v>2604</v>
      </c>
      <c r="B728">
        <v>727</v>
      </c>
      <c r="C728" t="s">
        <v>487</v>
      </c>
      <c r="D728" t="s">
        <v>247</v>
      </c>
      <c r="E728" t="s">
        <v>326</v>
      </c>
      <c r="F728" t="s">
        <v>3091</v>
      </c>
      <c r="G728" s="25">
        <v>44303</v>
      </c>
      <c r="H728">
        <v>22</v>
      </c>
      <c r="I728">
        <v>107</v>
      </c>
      <c r="J728" t="s">
        <v>3103</v>
      </c>
      <c r="K728" t="s">
        <v>510</v>
      </c>
      <c r="L728" t="s">
        <v>231</v>
      </c>
      <c r="M728" t="s">
        <v>883</v>
      </c>
      <c r="N728" t="s">
        <v>185</v>
      </c>
      <c r="O728" t="s">
        <v>3104</v>
      </c>
      <c r="P728" t="s">
        <v>867</v>
      </c>
      <c r="Q728" t="s">
        <v>3105</v>
      </c>
      <c r="R728" t="s">
        <v>3106</v>
      </c>
      <c r="S728" t="s">
        <v>537</v>
      </c>
      <c r="T728" t="s">
        <v>509</v>
      </c>
      <c r="U728" t="s">
        <v>45</v>
      </c>
      <c r="V728" t="s">
        <v>234</v>
      </c>
      <c r="W728" t="s">
        <v>44</v>
      </c>
      <c r="X728" t="s">
        <v>21</v>
      </c>
      <c r="Y728" t="s">
        <v>304</v>
      </c>
      <c r="Z728">
        <v>3138</v>
      </c>
      <c r="AA728">
        <v>3138</v>
      </c>
      <c r="AB728" t="s">
        <v>237</v>
      </c>
      <c r="AC728">
        <v>4.8</v>
      </c>
      <c r="AD728">
        <v>15062.4</v>
      </c>
      <c r="AE728">
        <v>3859.74</v>
      </c>
      <c r="AF728" t="s">
        <v>870</v>
      </c>
      <c r="AG728">
        <v>11202.66</v>
      </c>
      <c r="AH728">
        <v>0.74</v>
      </c>
    </row>
    <row r="729" spans="1:34" x14ac:dyDescent="0.25">
      <c r="A729" t="s">
        <v>2658</v>
      </c>
      <c r="B729">
        <v>728</v>
      </c>
      <c r="C729" t="s">
        <v>487</v>
      </c>
      <c r="D729" t="s">
        <v>247</v>
      </c>
      <c r="E729" t="s">
        <v>381</v>
      </c>
      <c r="F729" t="s">
        <v>3107</v>
      </c>
      <c r="G729" s="25">
        <v>44304</v>
      </c>
      <c r="H729">
        <v>22</v>
      </c>
      <c r="I729">
        <v>108</v>
      </c>
      <c r="J729" t="s">
        <v>3108</v>
      </c>
      <c r="K729" t="s">
        <v>510</v>
      </c>
      <c r="L729" t="s">
        <v>231</v>
      </c>
      <c r="M729" t="s">
        <v>872</v>
      </c>
      <c r="N729" t="s">
        <v>184</v>
      </c>
      <c r="O729" t="s">
        <v>873</v>
      </c>
      <c r="P729" t="s">
        <v>867</v>
      </c>
      <c r="Q729" t="s">
        <v>874</v>
      </c>
      <c r="R729" t="s">
        <v>875</v>
      </c>
      <c r="S729" t="s">
        <v>232</v>
      </c>
      <c r="T729" t="s">
        <v>504</v>
      </c>
      <c r="U729" t="s">
        <v>43</v>
      </c>
      <c r="V729" t="s">
        <v>234</v>
      </c>
      <c r="W729" t="s">
        <v>42</v>
      </c>
      <c r="X729" t="s">
        <v>21</v>
      </c>
      <c r="Y729" t="s">
        <v>236</v>
      </c>
      <c r="Z729">
        <v>3121</v>
      </c>
      <c r="AA729">
        <v>3121</v>
      </c>
      <c r="AB729" t="s">
        <v>237</v>
      </c>
      <c r="AC729">
        <v>4.9000000000000004</v>
      </c>
      <c r="AD729">
        <v>15292.9</v>
      </c>
      <c r="AE729">
        <v>3838.83</v>
      </c>
      <c r="AF729" t="s">
        <v>870</v>
      </c>
      <c r="AG729">
        <v>11454.07</v>
      </c>
      <c r="AH729">
        <v>0.75</v>
      </c>
    </row>
    <row r="730" spans="1:34" x14ac:dyDescent="0.25">
      <c r="A730" t="s">
        <v>2709</v>
      </c>
      <c r="B730">
        <v>729</v>
      </c>
      <c r="C730" t="s">
        <v>487</v>
      </c>
      <c r="D730" t="s">
        <v>247</v>
      </c>
      <c r="E730" t="s">
        <v>381</v>
      </c>
      <c r="F730" t="s">
        <v>3107</v>
      </c>
      <c r="G730" s="25">
        <v>44304</v>
      </c>
      <c r="H730">
        <v>22</v>
      </c>
      <c r="I730">
        <v>108</v>
      </c>
      <c r="J730" t="s">
        <v>3109</v>
      </c>
      <c r="K730" t="s">
        <v>510</v>
      </c>
      <c r="L730" t="s">
        <v>231</v>
      </c>
      <c r="M730" t="s">
        <v>888</v>
      </c>
      <c r="N730" t="s">
        <v>184</v>
      </c>
      <c r="O730" t="s">
        <v>1106</v>
      </c>
      <c r="P730" t="s">
        <v>867</v>
      </c>
      <c r="Q730" t="s">
        <v>1107</v>
      </c>
      <c r="R730" t="s">
        <v>1108</v>
      </c>
      <c r="S730" t="s">
        <v>537</v>
      </c>
      <c r="T730" t="s">
        <v>504</v>
      </c>
      <c r="U730" t="s">
        <v>43</v>
      </c>
      <c r="V730" t="s">
        <v>234</v>
      </c>
      <c r="W730" t="s">
        <v>42</v>
      </c>
      <c r="X730" t="s">
        <v>21</v>
      </c>
      <c r="Y730" t="s">
        <v>236</v>
      </c>
      <c r="Z730">
        <v>2754</v>
      </c>
      <c r="AA730">
        <v>2754</v>
      </c>
      <c r="AB730" t="s">
        <v>237</v>
      </c>
      <c r="AC730">
        <v>4.8</v>
      </c>
      <c r="AD730">
        <v>13219.2</v>
      </c>
      <c r="AE730">
        <v>3387.42</v>
      </c>
      <c r="AF730" t="s">
        <v>870</v>
      </c>
      <c r="AG730">
        <v>9831.7800000000007</v>
      </c>
      <c r="AH730">
        <v>0.74</v>
      </c>
    </row>
    <row r="731" spans="1:34" x14ac:dyDescent="0.25">
      <c r="A731" t="s">
        <v>2769</v>
      </c>
      <c r="B731">
        <v>730</v>
      </c>
      <c r="C731" t="s">
        <v>487</v>
      </c>
      <c r="D731" t="s">
        <v>247</v>
      </c>
      <c r="E731" t="s">
        <v>381</v>
      </c>
      <c r="F731" t="s">
        <v>3107</v>
      </c>
      <c r="G731" s="25">
        <v>44304</v>
      </c>
      <c r="H731">
        <v>22</v>
      </c>
      <c r="I731">
        <v>108</v>
      </c>
      <c r="J731" t="s">
        <v>3110</v>
      </c>
      <c r="K731" t="s">
        <v>510</v>
      </c>
      <c r="L731" t="s">
        <v>231</v>
      </c>
      <c r="M731" t="s">
        <v>173</v>
      </c>
      <c r="N731" t="s">
        <v>185</v>
      </c>
      <c r="O731" t="s">
        <v>966</v>
      </c>
      <c r="P731" t="s">
        <v>867</v>
      </c>
      <c r="Q731" t="s">
        <v>3039</v>
      </c>
      <c r="R731" t="s">
        <v>3040</v>
      </c>
      <c r="S731" t="s">
        <v>537</v>
      </c>
      <c r="T731" t="s">
        <v>509</v>
      </c>
      <c r="U731" t="s">
        <v>45</v>
      </c>
      <c r="V731" t="s">
        <v>234</v>
      </c>
      <c r="W731" t="s">
        <v>44</v>
      </c>
      <c r="X731" t="s">
        <v>21</v>
      </c>
      <c r="Y731" t="s">
        <v>304</v>
      </c>
      <c r="Z731">
        <v>2714</v>
      </c>
      <c r="AA731">
        <v>2714</v>
      </c>
      <c r="AB731" t="s">
        <v>237</v>
      </c>
      <c r="AC731">
        <v>4.8</v>
      </c>
      <c r="AD731">
        <v>13027.2</v>
      </c>
      <c r="AE731">
        <v>3338.22</v>
      </c>
      <c r="AF731" t="s">
        <v>870</v>
      </c>
      <c r="AG731">
        <v>9688.98</v>
      </c>
      <c r="AH731">
        <v>0.74</v>
      </c>
    </row>
    <row r="732" spans="1:34" x14ac:dyDescent="0.25">
      <c r="A732" t="s">
        <v>2285</v>
      </c>
      <c r="B732">
        <v>731</v>
      </c>
      <c r="C732" t="s">
        <v>487</v>
      </c>
      <c r="D732" t="s">
        <v>247</v>
      </c>
      <c r="E732" t="s">
        <v>381</v>
      </c>
      <c r="F732" t="s">
        <v>3107</v>
      </c>
      <c r="G732" s="25">
        <v>44304</v>
      </c>
      <c r="H732">
        <v>22</v>
      </c>
      <c r="I732">
        <v>108</v>
      </c>
      <c r="J732" t="s">
        <v>3111</v>
      </c>
      <c r="K732" t="s">
        <v>510</v>
      </c>
      <c r="L732" t="s">
        <v>231</v>
      </c>
      <c r="M732" t="s">
        <v>997</v>
      </c>
      <c r="N732" t="s">
        <v>185</v>
      </c>
      <c r="O732" t="s">
        <v>1243</v>
      </c>
      <c r="P732" t="s">
        <v>867</v>
      </c>
      <c r="Q732" t="s">
        <v>1244</v>
      </c>
      <c r="R732" t="s">
        <v>1245</v>
      </c>
      <c r="S732" t="s">
        <v>537</v>
      </c>
      <c r="T732" t="s">
        <v>509</v>
      </c>
      <c r="U732" t="s">
        <v>45</v>
      </c>
      <c r="V732" t="s">
        <v>234</v>
      </c>
      <c r="W732" t="s">
        <v>44</v>
      </c>
      <c r="X732" t="s">
        <v>21</v>
      </c>
      <c r="Y732" t="s">
        <v>304</v>
      </c>
      <c r="Z732">
        <v>3350</v>
      </c>
      <c r="AA732">
        <v>3350</v>
      </c>
      <c r="AB732" t="s">
        <v>237</v>
      </c>
      <c r="AC732">
        <v>4.8</v>
      </c>
      <c r="AD732">
        <v>16080</v>
      </c>
      <c r="AE732">
        <v>4120.5</v>
      </c>
      <c r="AF732" t="s">
        <v>870</v>
      </c>
      <c r="AG732">
        <v>11959.5</v>
      </c>
      <c r="AH732">
        <v>0.74</v>
      </c>
    </row>
    <row r="733" spans="1:34" x14ac:dyDescent="0.25">
      <c r="A733" t="s">
        <v>2223</v>
      </c>
      <c r="B733">
        <v>732</v>
      </c>
      <c r="C733" t="s">
        <v>487</v>
      </c>
      <c r="D733" t="s">
        <v>247</v>
      </c>
      <c r="E733" t="s">
        <v>371</v>
      </c>
      <c r="F733" t="s">
        <v>3112</v>
      </c>
      <c r="G733" s="25">
        <v>44305</v>
      </c>
      <c r="H733">
        <v>22</v>
      </c>
      <c r="I733">
        <v>109</v>
      </c>
      <c r="J733" t="s">
        <v>3113</v>
      </c>
      <c r="K733" t="s">
        <v>510</v>
      </c>
      <c r="L733" t="s">
        <v>231</v>
      </c>
      <c r="M733" t="s">
        <v>883</v>
      </c>
      <c r="N733" t="s">
        <v>185</v>
      </c>
      <c r="O733" t="s">
        <v>1290</v>
      </c>
      <c r="P733" t="s">
        <v>867</v>
      </c>
      <c r="Q733" t="s">
        <v>1291</v>
      </c>
      <c r="R733" t="s">
        <v>1292</v>
      </c>
      <c r="S733" t="s">
        <v>232</v>
      </c>
      <c r="T733" t="s">
        <v>504</v>
      </c>
      <c r="U733" t="s">
        <v>43</v>
      </c>
      <c r="V733" t="s">
        <v>234</v>
      </c>
      <c r="W733" t="s">
        <v>42</v>
      </c>
      <c r="X733" t="s">
        <v>21</v>
      </c>
      <c r="Y733" t="s">
        <v>236</v>
      </c>
      <c r="Z733">
        <v>3397</v>
      </c>
      <c r="AA733">
        <v>3397</v>
      </c>
      <c r="AB733" t="s">
        <v>237</v>
      </c>
      <c r="AC733">
        <v>4.9000000000000004</v>
      </c>
      <c r="AD733">
        <v>16645.3</v>
      </c>
      <c r="AE733">
        <v>4178.3100000000004</v>
      </c>
      <c r="AF733" t="s">
        <v>870</v>
      </c>
      <c r="AG733">
        <v>12466.99</v>
      </c>
      <c r="AH733">
        <v>0.75</v>
      </c>
    </row>
    <row r="734" spans="1:34" x14ac:dyDescent="0.25">
      <c r="A734" t="s">
        <v>1995</v>
      </c>
      <c r="B734">
        <v>733</v>
      </c>
      <c r="C734" t="s">
        <v>487</v>
      </c>
      <c r="D734" t="s">
        <v>247</v>
      </c>
      <c r="E734" t="s">
        <v>371</v>
      </c>
      <c r="F734" t="s">
        <v>3112</v>
      </c>
      <c r="G734" s="25">
        <v>44305</v>
      </c>
      <c r="H734">
        <v>22</v>
      </c>
      <c r="I734">
        <v>109</v>
      </c>
      <c r="J734" t="s">
        <v>3113</v>
      </c>
      <c r="K734" t="s">
        <v>876</v>
      </c>
      <c r="L734" t="s">
        <v>231</v>
      </c>
      <c r="M734" t="s">
        <v>883</v>
      </c>
      <c r="N734" t="s">
        <v>185</v>
      </c>
      <c r="O734" t="s">
        <v>1290</v>
      </c>
      <c r="P734" t="s">
        <v>867</v>
      </c>
      <c r="Q734" t="s">
        <v>1291</v>
      </c>
      <c r="R734" t="s">
        <v>1292</v>
      </c>
      <c r="S734" t="s">
        <v>232</v>
      </c>
      <c r="T734" t="s">
        <v>504</v>
      </c>
      <c r="U734" t="s">
        <v>43</v>
      </c>
      <c r="V734" t="s">
        <v>234</v>
      </c>
      <c r="W734" t="s">
        <v>42</v>
      </c>
      <c r="X734" t="s">
        <v>21</v>
      </c>
      <c r="Y734" t="s">
        <v>236</v>
      </c>
      <c r="Z734">
        <v>3179</v>
      </c>
      <c r="AA734">
        <v>3179</v>
      </c>
      <c r="AB734" t="s">
        <v>237</v>
      </c>
      <c r="AC734">
        <v>4.9000000000000004</v>
      </c>
      <c r="AD734">
        <v>15577.1</v>
      </c>
      <c r="AE734">
        <v>3910.17</v>
      </c>
      <c r="AF734" t="s">
        <v>870</v>
      </c>
      <c r="AG734">
        <v>11666.93</v>
      </c>
      <c r="AH734">
        <v>0.75</v>
      </c>
    </row>
    <row r="735" spans="1:34" x14ac:dyDescent="0.25">
      <c r="A735" t="s">
        <v>2373</v>
      </c>
      <c r="B735">
        <v>734</v>
      </c>
      <c r="C735" t="s">
        <v>487</v>
      </c>
      <c r="D735" t="s">
        <v>247</v>
      </c>
      <c r="E735" t="s">
        <v>371</v>
      </c>
      <c r="F735" t="s">
        <v>3112</v>
      </c>
      <c r="G735" s="25">
        <v>44305</v>
      </c>
      <c r="H735">
        <v>22</v>
      </c>
      <c r="I735">
        <v>109</v>
      </c>
      <c r="J735" t="s">
        <v>3114</v>
      </c>
      <c r="K735" t="s">
        <v>510</v>
      </c>
      <c r="L735" t="s">
        <v>231</v>
      </c>
      <c r="M735" t="s">
        <v>1184</v>
      </c>
      <c r="N735" t="s">
        <v>186</v>
      </c>
      <c r="O735" t="s">
        <v>1185</v>
      </c>
      <c r="P735" t="s">
        <v>867</v>
      </c>
      <c r="Q735" t="s">
        <v>1186</v>
      </c>
      <c r="R735" t="s">
        <v>1187</v>
      </c>
      <c r="S735" t="s">
        <v>537</v>
      </c>
      <c r="T735" t="s">
        <v>504</v>
      </c>
      <c r="U735" t="s">
        <v>43</v>
      </c>
      <c r="V735" t="s">
        <v>234</v>
      </c>
      <c r="W735" t="s">
        <v>42</v>
      </c>
      <c r="X735" t="s">
        <v>21</v>
      </c>
      <c r="Y735" t="s">
        <v>236</v>
      </c>
      <c r="Z735">
        <v>2732</v>
      </c>
      <c r="AA735">
        <v>2732</v>
      </c>
      <c r="AB735" t="s">
        <v>237</v>
      </c>
      <c r="AC735">
        <v>4.8</v>
      </c>
      <c r="AD735">
        <v>13113.6</v>
      </c>
      <c r="AE735">
        <v>3360.36</v>
      </c>
      <c r="AF735" t="s">
        <v>870</v>
      </c>
      <c r="AG735">
        <v>9753.24</v>
      </c>
      <c r="AH735">
        <v>0.74</v>
      </c>
    </row>
    <row r="736" spans="1:34" x14ac:dyDescent="0.25">
      <c r="A736" t="s">
        <v>1824</v>
      </c>
      <c r="B736">
        <v>735</v>
      </c>
      <c r="C736" t="s">
        <v>487</v>
      </c>
      <c r="D736" t="s">
        <v>247</v>
      </c>
      <c r="E736" t="s">
        <v>371</v>
      </c>
      <c r="F736" t="s">
        <v>3112</v>
      </c>
      <c r="G736" s="25">
        <v>44305</v>
      </c>
      <c r="H736">
        <v>22</v>
      </c>
      <c r="I736">
        <v>109</v>
      </c>
      <c r="J736" t="s">
        <v>3115</v>
      </c>
      <c r="K736" t="s">
        <v>510</v>
      </c>
      <c r="L736" t="s">
        <v>231</v>
      </c>
      <c r="M736" t="s">
        <v>888</v>
      </c>
      <c r="N736" t="s">
        <v>184</v>
      </c>
      <c r="O736" t="s">
        <v>889</v>
      </c>
      <c r="P736" t="s">
        <v>867</v>
      </c>
      <c r="Q736" t="s">
        <v>1380</v>
      </c>
      <c r="R736" t="s">
        <v>1381</v>
      </c>
      <c r="S736" t="s">
        <v>537</v>
      </c>
      <c r="T736" t="s">
        <v>504</v>
      </c>
      <c r="U736" t="s">
        <v>43</v>
      </c>
      <c r="V736" t="s">
        <v>234</v>
      </c>
      <c r="W736" t="s">
        <v>42</v>
      </c>
      <c r="X736" t="s">
        <v>21</v>
      </c>
      <c r="Y736" t="s">
        <v>236</v>
      </c>
      <c r="Z736">
        <v>2834</v>
      </c>
      <c r="AA736">
        <v>2834</v>
      </c>
      <c r="AB736" t="s">
        <v>237</v>
      </c>
      <c r="AC736">
        <v>4.8</v>
      </c>
      <c r="AD736">
        <v>13603.2</v>
      </c>
      <c r="AE736">
        <v>3485.82</v>
      </c>
      <c r="AF736" t="s">
        <v>870</v>
      </c>
      <c r="AG736">
        <v>10117.379999999999</v>
      </c>
      <c r="AH736">
        <v>0.74</v>
      </c>
    </row>
    <row r="737" spans="1:34" x14ac:dyDescent="0.25">
      <c r="A737" t="s">
        <v>2554</v>
      </c>
      <c r="B737">
        <v>736</v>
      </c>
      <c r="C737" t="s">
        <v>487</v>
      </c>
      <c r="D737" t="s">
        <v>247</v>
      </c>
      <c r="E737" t="s">
        <v>371</v>
      </c>
      <c r="F737" t="s">
        <v>3112</v>
      </c>
      <c r="G737" s="25">
        <v>44305</v>
      </c>
      <c r="H737">
        <v>22</v>
      </c>
      <c r="I737">
        <v>109</v>
      </c>
      <c r="J737" t="s">
        <v>3116</v>
      </c>
      <c r="K737" t="s">
        <v>510</v>
      </c>
      <c r="L737" t="s">
        <v>231</v>
      </c>
      <c r="M737" t="s">
        <v>888</v>
      </c>
      <c r="N737" t="s">
        <v>184</v>
      </c>
      <c r="O737" t="s">
        <v>1126</v>
      </c>
      <c r="P737" t="s">
        <v>867</v>
      </c>
      <c r="Q737" t="s">
        <v>1127</v>
      </c>
      <c r="R737" t="s">
        <v>1128</v>
      </c>
      <c r="S737" t="s">
        <v>537</v>
      </c>
      <c r="T737" t="s">
        <v>509</v>
      </c>
      <c r="U737" t="s">
        <v>45</v>
      </c>
      <c r="V737" t="s">
        <v>234</v>
      </c>
      <c r="W737" t="s">
        <v>44</v>
      </c>
      <c r="X737" t="s">
        <v>21</v>
      </c>
      <c r="Y737" t="s">
        <v>304</v>
      </c>
      <c r="Z737">
        <v>3324</v>
      </c>
      <c r="AA737">
        <v>3324</v>
      </c>
      <c r="AB737" t="s">
        <v>237</v>
      </c>
      <c r="AC737">
        <v>4.8</v>
      </c>
      <c r="AD737">
        <v>15955.2</v>
      </c>
      <c r="AE737">
        <v>4088.52</v>
      </c>
      <c r="AF737" t="s">
        <v>870</v>
      </c>
      <c r="AG737">
        <v>11866.68</v>
      </c>
      <c r="AH737">
        <v>0.74</v>
      </c>
    </row>
    <row r="738" spans="1:34" x14ac:dyDescent="0.25">
      <c r="A738" t="s">
        <v>2666</v>
      </c>
      <c r="B738">
        <v>737</v>
      </c>
      <c r="C738" t="s">
        <v>487</v>
      </c>
      <c r="D738" t="s">
        <v>247</v>
      </c>
      <c r="E738" t="s">
        <v>371</v>
      </c>
      <c r="F738" t="s">
        <v>3112</v>
      </c>
      <c r="G738" s="25">
        <v>44305</v>
      </c>
      <c r="H738">
        <v>22</v>
      </c>
      <c r="I738">
        <v>109</v>
      </c>
      <c r="J738" t="s">
        <v>3117</v>
      </c>
      <c r="K738" t="s">
        <v>510</v>
      </c>
      <c r="L738" t="s">
        <v>231</v>
      </c>
      <c r="M738" t="s">
        <v>931</v>
      </c>
      <c r="N738" t="s">
        <v>186</v>
      </c>
      <c r="O738" t="s">
        <v>1397</v>
      </c>
      <c r="P738" t="s">
        <v>867</v>
      </c>
      <c r="Q738" t="s">
        <v>1398</v>
      </c>
      <c r="R738" t="s">
        <v>1399</v>
      </c>
      <c r="S738" t="s">
        <v>537</v>
      </c>
      <c r="T738" t="s">
        <v>509</v>
      </c>
      <c r="U738" t="s">
        <v>45</v>
      </c>
      <c r="V738" t="s">
        <v>234</v>
      </c>
      <c r="W738" t="s">
        <v>44</v>
      </c>
      <c r="X738" t="s">
        <v>21</v>
      </c>
      <c r="Y738" t="s">
        <v>304</v>
      </c>
      <c r="Z738">
        <v>2710</v>
      </c>
      <c r="AA738">
        <v>2710</v>
      </c>
      <c r="AB738" t="s">
        <v>237</v>
      </c>
      <c r="AC738">
        <v>4.8</v>
      </c>
      <c r="AD738">
        <v>13008</v>
      </c>
      <c r="AE738">
        <v>3333.3</v>
      </c>
      <c r="AF738" t="s">
        <v>870</v>
      </c>
      <c r="AG738">
        <v>9674.7000000000007</v>
      </c>
      <c r="AH738">
        <v>0.74</v>
      </c>
    </row>
    <row r="739" spans="1:34" x14ac:dyDescent="0.25">
      <c r="A739" t="s">
        <v>2668</v>
      </c>
      <c r="B739">
        <v>738</v>
      </c>
      <c r="C739" t="s">
        <v>487</v>
      </c>
      <c r="D739" t="s">
        <v>247</v>
      </c>
      <c r="E739" t="s">
        <v>239</v>
      </c>
      <c r="F739" t="s">
        <v>3118</v>
      </c>
      <c r="G739" s="25">
        <v>44306</v>
      </c>
      <c r="H739">
        <v>22</v>
      </c>
      <c r="I739">
        <v>110</v>
      </c>
      <c r="J739" t="s">
        <v>3119</v>
      </c>
      <c r="K739" t="s">
        <v>510</v>
      </c>
      <c r="L739" t="s">
        <v>231</v>
      </c>
      <c r="M739" t="s">
        <v>888</v>
      </c>
      <c r="N739" t="s">
        <v>184</v>
      </c>
      <c r="O739" t="s">
        <v>978</v>
      </c>
      <c r="P739" t="s">
        <v>867</v>
      </c>
      <c r="Q739" t="s">
        <v>979</v>
      </c>
      <c r="R739" t="s">
        <v>980</v>
      </c>
      <c r="S739" t="s">
        <v>232</v>
      </c>
      <c r="T739" t="s">
        <v>504</v>
      </c>
      <c r="U739" t="s">
        <v>43</v>
      </c>
      <c r="V739" t="s">
        <v>234</v>
      </c>
      <c r="W739" t="s">
        <v>42</v>
      </c>
      <c r="X739" t="s">
        <v>21</v>
      </c>
      <c r="Y739" t="s">
        <v>236</v>
      </c>
      <c r="Z739">
        <v>2767</v>
      </c>
      <c r="AA739">
        <v>2767</v>
      </c>
      <c r="AB739" t="s">
        <v>237</v>
      </c>
      <c r="AC739">
        <v>4.9000000000000004</v>
      </c>
      <c r="AD739">
        <v>13558.3</v>
      </c>
      <c r="AE739">
        <v>3403.41</v>
      </c>
      <c r="AF739" t="s">
        <v>870</v>
      </c>
      <c r="AG739">
        <v>10154.89</v>
      </c>
      <c r="AH739">
        <v>0.75</v>
      </c>
    </row>
    <row r="740" spans="1:34" x14ac:dyDescent="0.25">
      <c r="A740" t="s">
        <v>2070</v>
      </c>
      <c r="B740">
        <v>739</v>
      </c>
      <c r="C740" t="s">
        <v>487</v>
      </c>
      <c r="D740" t="s">
        <v>247</v>
      </c>
      <c r="E740" t="s">
        <v>239</v>
      </c>
      <c r="F740" t="s">
        <v>3118</v>
      </c>
      <c r="G740" s="25">
        <v>44306</v>
      </c>
      <c r="H740">
        <v>22</v>
      </c>
      <c r="I740">
        <v>110</v>
      </c>
      <c r="J740" t="s">
        <v>3120</v>
      </c>
      <c r="K740" t="s">
        <v>510</v>
      </c>
      <c r="L740" t="s">
        <v>231</v>
      </c>
      <c r="M740" t="s">
        <v>872</v>
      </c>
      <c r="N740" t="s">
        <v>184</v>
      </c>
      <c r="O740" t="s">
        <v>1057</v>
      </c>
      <c r="P740" t="s">
        <v>867</v>
      </c>
      <c r="Q740" t="s">
        <v>3121</v>
      </c>
      <c r="R740" t="s">
        <v>3122</v>
      </c>
      <c r="S740" t="s">
        <v>232</v>
      </c>
      <c r="T740" t="s">
        <v>504</v>
      </c>
      <c r="U740" t="s">
        <v>43</v>
      </c>
      <c r="V740" t="s">
        <v>234</v>
      </c>
      <c r="W740" t="s">
        <v>42</v>
      </c>
      <c r="X740" t="s">
        <v>21</v>
      </c>
      <c r="Y740" t="s">
        <v>236</v>
      </c>
      <c r="Z740">
        <v>2983</v>
      </c>
      <c r="AA740">
        <v>2983</v>
      </c>
      <c r="AB740" t="s">
        <v>237</v>
      </c>
      <c r="AC740">
        <v>4.9000000000000004</v>
      </c>
      <c r="AD740">
        <v>14616.7</v>
      </c>
      <c r="AE740">
        <v>3669.09</v>
      </c>
      <c r="AF740" t="s">
        <v>870</v>
      </c>
      <c r="AG740">
        <v>10947.61</v>
      </c>
      <c r="AH740">
        <v>0.75</v>
      </c>
    </row>
    <row r="741" spans="1:34" x14ac:dyDescent="0.25">
      <c r="A741" t="s">
        <v>2213</v>
      </c>
      <c r="B741">
        <v>740</v>
      </c>
      <c r="C741" t="s">
        <v>487</v>
      </c>
      <c r="D741" t="s">
        <v>247</v>
      </c>
      <c r="E741" t="s">
        <v>239</v>
      </c>
      <c r="F741" t="s">
        <v>3118</v>
      </c>
      <c r="G741" s="25">
        <v>44306</v>
      </c>
      <c r="H741">
        <v>22</v>
      </c>
      <c r="I741">
        <v>110</v>
      </c>
      <c r="J741" t="s">
        <v>3123</v>
      </c>
      <c r="K741" t="s">
        <v>921</v>
      </c>
      <c r="L741" t="s">
        <v>231</v>
      </c>
      <c r="M741" t="s">
        <v>872</v>
      </c>
      <c r="N741" t="s">
        <v>184</v>
      </c>
      <c r="O741" t="s">
        <v>922</v>
      </c>
      <c r="P741" t="s">
        <v>867</v>
      </c>
      <c r="Q741" t="s">
        <v>923</v>
      </c>
      <c r="R741" t="s">
        <v>924</v>
      </c>
      <c r="S741" t="s">
        <v>232</v>
      </c>
      <c r="T741" t="s">
        <v>504</v>
      </c>
      <c r="U741" t="s">
        <v>43</v>
      </c>
      <c r="V741" t="s">
        <v>234</v>
      </c>
      <c r="W741" t="s">
        <v>42</v>
      </c>
      <c r="X741" t="s">
        <v>21</v>
      </c>
      <c r="Y741" t="s">
        <v>236</v>
      </c>
      <c r="Z741">
        <v>2850</v>
      </c>
      <c r="AA741">
        <v>2850</v>
      </c>
      <c r="AB741" t="s">
        <v>237</v>
      </c>
      <c r="AC741">
        <v>4.9000000000000004</v>
      </c>
      <c r="AD741">
        <v>13965</v>
      </c>
      <c r="AE741">
        <v>3505.5</v>
      </c>
      <c r="AF741" t="s">
        <v>870</v>
      </c>
      <c r="AG741">
        <v>10459.5</v>
      </c>
      <c r="AH741">
        <v>0.75</v>
      </c>
    </row>
    <row r="742" spans="1:34" x14ac:dyDescent="0.25">
      <c r="A742" t="s">
        <v>1882</v>
      </c>
      <c r="B742">
        <v>741</v>
      </c>
      <c r="C742" t="s">
        <v>487</v>
      </c>
      <c r="D742" t="s">
        <v>247</v>
      </c>
      <c r="E742" t="s">
        <v>239</v>
      </c>
      <c r="F742" t="s">
        <v>3118</v>
      </c>
      <c r="G742" s="25">
        <v>44306</v>
      </c>
      <c r="H742">
        <v>22</v>
      </c>
      <c r="I742">
        <v>110</v>
      </c>
      <c r="J742" t="s">
        <v>3124</v>
      </c>
      <c r="K742" t="s">
        <v>510</v>
      </c>
      <c r="L742" t="s">
        <v>231</v>
      </c>
      <c r="M742" t="s">
        <v>1076</v>
      </c>
      <c r="N742" t="s">
        <v>185</v>
      </c>
      <c r="O742" t="s">
        <v>1077</v>
      </c>
      <c r="P742" t="s">
        <v>867</v>
      </c>
      <c r="Q742" t="s">
        <v>1078</v>
      </c>
      <c r="R742" t="s">
        <v>1079</v>
      </c>
      <c r="S742" t="s">
        <v>232</v>
      </c>
      <c r="T742" t="s">
        <v>504</v>
      </c>
      <c r="U742" t="s">
        <v>43</v>
      </c>
      <c r="V742" t="s">
        <v>234</v>
      </c>
      <c r="W742" t="s">
        <v>42</v>
      </c>
      <c r="X742" t="s">
        <v>21</v>
      </c>
      <c r="Y742" t="s">
        <v>236</v>
      </c>
      <c r="Z742">
        <v>2860</v>
      </c>
      <c r="AA742">
        <v>2860</v>
      </c>
      <c r="AB742" t="s">
        <v>237</v>
      </c>
      <c r="AC742">
        <v>4.9000000000000004</v>
      </c>
      <c r="AD742">
        <v>14014</v>
      </c>
      <c r="AE742">
        <v>3517.8</v>
      </c>
      <c r="AF742" t="s">
        <v>870</v>
      </c>
      <c r="AG742">
        <v>10496.2</v>
      </c>
      <c r="AH742">
        <v>0.75</v>
      </c>
    </row>
    <row r="743" spans="1:34" x14ac:dyDescent="0.25">
      <c r="A743" t="s">
        <v>2126</v>
      </c>
      <c r="B743">
        <v>742</v>
      </c>
      <c r="C743" t="s">
        <v>487</v>
      </c>
      <c r="D743" t="s">
        <v>247</v>
      </c>
      <c r="E743" t="s">
        <v>239</v>
      </c>
      <c r="F743" t="s">
        <v>3118</v>
      </c>
      <c r="G743" s="25">
        <v>44306</v>
      </c>
      <c r="H743">
        <v>22</v>
      </c>
      <c r="I743">
        <v>110</v>
      </c>
      <c r="J743" t="s">
        <v>3125</v>
      </c>
      <c r="K743" t="s">
        <v>510</v>
      </c>
      <c r="L743" t="s">
        <v>231</v>
      </c>
      <c r="M743" t="s">
        <v>911</v>
      </c>
      <c r="N743" t="s">
        <v>186</v>
      </c>
      <c r="O743" t="s">
        <v>2993</v>
      </c>
      <c r="P743" t="s">
        <v>867</v>
      </c>
      <c r="Q743" t="s">
        <v>2994</v>
      </c>
      <c r="R743" t="s">
        <v>2995</v>
      </c>
      <c r="S743" t="s">
        <v>232</v>
      </c>
      <c r="T743" t="s">
        <v>504</v>
      </c>
      <c r="U743" t="s">
        <v>43</v>
      </c>
      <c r="V743" t="s">
        <v>234</v>
      </c>
      <c r="W743" t="s">
        <v>42</v>
      </c>
      <c r="X743" t="s">
        <v>21</v>
      </c>
      <c r="Y743" t="s">
        <v>236</v>
      </c>
      <c r="Z743">
        <v>2787</v>
      </c>
      <c r="AA743">
        <v>2787</v>
      </c>
      <c r="AB743" t="s">
        <v>237</v>
      </c>
      <c r="AC743">
        <v>4.9000000000000004</v>
      </c>
      <c r="AD743">
        <v>13656.3</v>
      </c>
      <c r="AE743">
        <v>3428.01</v>
      </c>
      <c r="AF743" t="s">
        <v>870</v>
      </c>
      <c r="AG743">
        <v>10228.290000000001</v>
      </c>
      <c r="AH743">
        <v>0.75</v>
      </c>
    </row>
    <row r="744" spans="1:34" x14ac:dyDescent="0.25">
      <c r="A744" t="s">
        <v>2013</v>
      </c>
      <c r="B744">
        <v>743</v>
      </c>
      <c r="C744" t="s">
        <v>487</v>
      </c>
      <c r="D744" t="s">
        <v>247</v>
      </c>
      <c r="E744" t="s">
        <v>239</v>
      </c>
      <c r="F744" t="s">
        <v>3118</v>
      </c>
      <c r="G744" s="25">
        <v>44306</v>
      </c>
      <c r="H744">
        <v>22</v>
      </c>
      <c r="I744">
        <v>110</v>
      </c>
      <c r="J744" t="s">
        <v>3123</v>
      </c>
      <c r="K744" t="s">
        <v>510</v>
      </c>
      <c r="L744" t="s">
        <v>231</v>
      </c>
      <c r="M744" t="s">
        <v>872</v>
      </c>
      <c r="N744" t="s">
        <v>184</v>
      </c>
      <c r="O744" t="s">
        <v>922</v>
      </c>
      <c r="P744" t="s">
        <v>867</v>
      </c>
      <c r="Q744" t="s">
        <v>923</v>
      </c>
      <c r="R744" t="s">
        <v>924</v>
      </c>
      <c r="S744" t="s">
        <v>232</v>
      </c>
      <c r="T744" t="s">
        <v>509</v>
      </c>
      <c r="U744" t="s">
        <v>45</v>
      </c>
      <c r="V744" t="s">
        <v>234</v>
      </c>
      <c r="W744" t="s">
        <v>44</v>
      </c>
      <c r="X744" t="s">
        <v>21</v>
      </c>
      <c r="Y744" t="s">
        <v>304</v>
      </c>
      <c r="Z744">
        <v>2712</v>
      </c>
      <c r="AA744">
        <v>2712</v>
      </c>
      <c r="AB744" t="s">
        <v>237</v>
      </c>
      <c r="AC744">
        <v>4.9000000000000004</v>
      </c>
      <c r="AD744">
        <v>13288.8</v>
      </c>
      <c r="AE744">
        <v>3335.76</v>
      </c>
      <c r="AF744" t="s">
        <v>870</v>
      </c>
      <c r="AG744">
        <v>9953.0400000000009</v>
      </c>
      <c r="AH744">
        <v>0.75</v>
      </c>
    </row>
    <row r="745" spans="1:34" x14ac:dyDescent="0.25">
      <c r="A745" t="s">
        <v>1851</v>
      </c>
      <c r="B745">
        <v>744</v>
      </c>
      <c r="C745" t="s">
        <v>487</v>
      </c>
      <c r="D745" t="s">
        <v>247</v>
      </c>
      <c r="E745" t="s">
        <v>239</v>
      </c>
      <c r="F745" t="s">
        <v>3118</v>
      </c>
      <c r="G745" s="25">
        <v>44306</v>
      </c>
      <c r="H745">
        <v>22</v>
      </c>
      <c r="I745">
        <v>110</v>
      </c>
      <c r="J745" t="s">
        <v>3123</v>
      </c>
      <c r="K745" t="s">
        <v>876</v>
      </c>
      <c r="L745" t="s">
        <v>231</v>
      </c>
      <c r="M745" t="s">
        <v>872</v>
      </c>
      <c r="N745" t="s">
        <v>184</v>
      </c>
      <c r="O745" t="s">
        <v>922</v>
      </c>
      <c r="P745" t="s">
        <v>867</v>
      </c>
      <c r="Q745" t="s">
        <v>923</v>
      </c>
      <c r="R745" t="s">
        <v>924</v>
      </c>
      <c r="S745" t="s">
        <v>232</v>
      </c>
      <c r="T745" t="s">
        <v>509</v>
      </c>
      <c r="U745" t="s">
        <v>45</v>
      </c>
      <c r="V745" t="s">
        <v>234</v>
      </c>
      <c r="W745" t="s">
        <v>44</v>
      </c>
      <c r="X745" t="s">
        <v>21</v>
      </c>
      <c r="Y745" t="s">
        <v>304</v>
      </c>
      <c r="Z745">
        <v>2652</v>
      </c>
      <c r="AA745">
        <v>2652</v>
      </c>
      <c r="AB745" t="s">
        <v>237</v>
      </c>
      <c r="AC745">
        <v>4.9000000000000004</v>
      </c>
      <c r="AD745">
        <v>12994.8</v>
      </c>
      <c r="AE745">
        <v>3261.96</v>
      </c>
      <c r="AF745" t="s">
        <v>870</v>
      </c>
      <c r="AG745">
        <v>9732.84</v>
      </c>
      <c r="AH745">
        <v>0.75</v>
      </c>
    </row>
    <row r="746" spans="1:34" x14ac:dyDescent="0.25">
      <c r="A746" t="s">
        <v>2674</v>
      </c>
      <c r="B746">
        <v>745</v>
      </c>
      <c r="C746" t="s">
        <v>487</v>
      </c>
      <c r="D746" t="s">
        <v>247</v>
      </c>
      <c r="E746" t="s">
        <v>239</v>
      </c>
      <c r="F746" t="s">
        <v>3118</v>
      </c>
      <c r="G746" s="25">
        <v>44306</v>
      </c>
      <c r="H746">
        <v>22</v>
      </c>
      <c r="I746">
        <v>110</v>
      </c>
      <c r="J746" t="s">
        <v>3124</v>
      </c>
      <c r="K746" t="s">
        <v>876</v>
      </c>
      <c r="L746" t="s">
        <v>231</v>
      </c>
      <c r="M746" t="s">
        <v>1076</v>
      </c>
      <c r="N746" t="s">
        <v>185</v>
      </c>
      <c r="O746" t="s">
        <v>1077</v>
      </c>
      <c r="P746" t="s">
        <v>867</v>
      </c>
      <c r="Q746" t="s">
        <v>1078</v>
      </c>
      <c r="R746" t="s">
        <v>1079</v>
      </c>
      <c r="S746" t="s">
        <v>232</v>
      </c>
      <c r="T746" t="s">
        <v>509</v>
      </c>
      <c r="U746" t="s">
        <v>45</v>
      </c>
      <c r="V746" t="s">
        <v>234</v>
      </c>
      <c r="W746" t="s">
        <v>44</v>
      </c>
      <c r="X746" t="s">
        <v>21</v>
      </c>
      <c r="Y746" t="s">
        <v>304</v>
      </c>
      <c r="Z746">
        <v>3279</v>
      </c>
      <c r="AA746">
        <v>3279</v>
      </c>
      <c r="AB746" t="s">
        <v>237</v>
      </c>
      <c r="AC746">
        <v>4.9000000000000004</v>
      </c>
      <c r="AD746">
        <v>16067.1</v>
      </c>
      <c r="AE746">
        <v>4033.17</v>
      </c>
      <c r="AF746" t="s">
        <v>870</v>
      </c>
      <c r="AG746">
        <v>12033.93</v>
      </c>
      <c r="AH746">
        <v>0.75</v>
      </c>
    </row>
    <row r="747" spans="1:34" x14ac:dyDescent="0.25">
      <c r="A747" t="s">
        <v>1953</v>
      </c>
      <c r="B747">
        <v>746</v>
      </c>
      <c r="C747" t="s">
        <v>487</v>
      </c>
      <c r="D747" t="s">
        <v>247</v>
      </c>
      <c r="E747" t="s">
        <v>239</v>
      </c>
      <c r="F747" t="s">
        <v>3118</v>
      </c>
      <c r="G747" s="25">
        <v>44306</v>
      </c>
      <c r="H747">
        <v>22</v>
      </c>
      <c r="I747">
        <v>110</v>
      </c>
      <c r="J747" t="s">
        <v>3120</v>
      </c>
      <c r="K747" t="s">
        <v>876</v>
      </c>
      <c r="L747" t="s">
        <v>231</v>
      </c>
      <c r="M747" t="s">
        <v>872</v>
      </c>
      <c r="N747" t="s">
        <v>184</v>
      </c>
      <c r="O747" t="s">
        <v>1057</v>
      </c>
      <c r="P747" t="s">
        <v>867</v>
      </c>
      <c r="Q747" t="s">
        <v>3121</v>
      </c>
      <c r="R747" t="s">
        <v>3122</v>
      </c>
      <c r="S747" t="s">
        <v>232</v>
      </c>
      <c r="T747" t="s">
        <v>509</v>
      </c>
      <c r="U747" t="s">
        <v>45</v>
      </c>
      <c r="V747" t="s">
        <v>234</v>
      </c>
      <c r="W747" t="s">
        <v>44</v>
      </c>
      <c r="X747" t="s">
        <v>21</v>
      </c>
      <c r="Y747" t="s">
        <v>304</v>
      </c>
      <c r="Z747">
        <v>3034</v>
      </c>
      <c r="AA747">
        <v>3034</v>
      </c>
      <c r="AB747" t="s">
        <v>237</v>
      </c>
      <c r="AC747">
        <v>4.9000000000000004</v>
      </c>
      <c r="AD747">
        <v>14866.6</v>
      </c>
      <c r="AE747">
        <v>3731.82</v>
      </c>
      <c r="AF747" t="s">
        <v>870</v>
      </c>
      <c r="AG747">
        <v>11134.78</v>
      </c>
      <c r="AH747">
        <v>0.75</v>
      </c>
    </row>
    <row r="748" spans="1:34" x14ac:dyDescent="0.25">
      <c r="A748" t="s">
        <v>1678</v>
      </c>
      <c r="B748">
        <v>747</v>
      </c>
      <c r="C748" t="s">
        <v>487</v>
      </c>
      <c r="D748" t="s">
        <v>247</v>
      </c>
      <c r="E748" t="s">
        <v>239</v>
      </c>
      <c r="F748" t="s">
        <v>3118</v>
      </c>
      <c r="G748" s="25">
        <v>44306</v>
      </c>
      <c r="H748">
        <v>22</v>
      </c>
      <c r="I748">
        <v>110</v>
      </c>
      <c r="J748" t="s">
        <v>3119</v>
      </c>
      <c r="K748" t="s">
        <v>921</v>
      </c>
      <c r="L748" t="s">
        <v>231</v>
      </c>
      <c r="M748" t="s">
        <v>888</v>
      </c>
      <c r="N748" t="s">
        <v>184</v>
      </c>
      <c r="O748" t="s">
        <v>978</v>
      </c>
      <c r="P748" t="s">
        <v>867</v>
      </c>
      <c r="Q748" t="s">
        <v>979</v>
      </c>
      <c r="R748" t="s">
        <v>980</v>
      </c>
      <c r="S748" t="s">
        <v>232</v>
      </c>
      <c r="T748" t="s">
        <v>509</v>
      </c>
      <c r="U748" t="s">
        <v>45</v>
      </c>
      <c r="V748" t="s">
        <v>234</v>
      </c>
      <c r="W748" t="s">
        <v>44</v>
      </c>
      <c r="X748" t="s">
        <v>21</v>
      </c>
      <c r="Y748" t="s">
        <v>304</v>
      </c>
      <c r="Z748">
        <v>3283</v>
      </c>
      <c r="AA748">
        <v>3283</v>
      </c>
      <c r="AB748" t="s">
        <v>237</v>
      </c>
      <c r="AC748">
        <v>4.9000000000000004</v>
      </c>
      <c r="AD748">
        <v>16086.7</v>
      </c>
      <c r="AE748">
        <v>4038.09</v>
      </c>
      <c r="AF748" t="s">
        <v>870</v>
      </c>
      <c r="AG748">
        <v>12048.61</v>
      </c>
      <c r="AH748">
        <v>0.75</v>
      </c>
    </row>
    <row r="749" spans="1:34" x14ac:dyDescent="0.25">
      <c r="A749" t="s">
        <v>2370</v>
      </c>
      <c r="B749">
        <v>748</v>
      </c>
      <c r="C749" t="s">
        <v>487</v>
      </c>
      <c r="D749" t="s">
        <v>247</v>
      </c>
      <c r="E749" t="s">
        <v>239</v>
      </c>
      <c r="F749" t="s">
        <v>3118</v>
      </c>
      <c r="G749" s="25">
        <v>44306</v>
      </c>
      <c r="H749">
        <v>22</v>
      </c>
      <c r="I749">
        <v>110</v>
      </c>
      <c r="J749" t="s">
        <v>3119</v>
      </c>
      <c r="K749" t="s">
        <v>876</v>
      </c>
      <c r="L749" t="s">
        <v>231</v>
      </c>
      <c r="M749" t="s">
        <v>888</v>
      </c>
      <c r="N749" t="s">
        <v>184</v>
      </c>
      <c r="O749" t="s">
        <v>978</v>
      </c>
      <c r="P749" t="s">
        <v>867</v>
      </c>
      <c r="Q749" t="s">
        <v>979</v>
      </c>
      <c r="R749" t="s">
        <v>980</v>
      </c>
      <c r="S749" t="s">
        <v>232</v>
      </c>
      <c r="T749" t="s">
        <v>509</v>
      </c>
      <c r="U749" t="s">
        <v>45</v>
      </c>
      <c r="V749" t="s">
        <v>234</v>
      </c>
      <c r="W749" t="s">
        <v>44</v>
      </c>
      <c r="X749" t="s">
        <v>21</v>
      </c>
      <c r="Y749" t="s">
        <v>304</v>
      </c>
      <c r="Z749">
        <v>3110</v>
      </c>
      <c r="AA749">
        <v>3110</v>
      </c>
      <c r="AB749" t="s">
        <v>237</v>
      </c>
      <c r="AC749">
        <v>4.9000000000000004</v>
      </c>
      <c r="AD749">
        <v>15239</v>
      </c>
      <c r="AE749">
        <v>3825.3</v>
      </c>
      <c r="AF749" t="s">
        <v>870</v>
      </c>
      <c r="AG749">
        <v>11413.7</v>
      </c>
      <c r="AH749">
        <v>0.75</v>
      </c>
    </row>
    <row r="750" spans="1:34" x14ac:dyDescent="0.25">
      <c r="A750" t="s">
        <v>1818</v>
      </c>
      <c r="B750">
        <v>749</v>
      </c>
      <c r="C750" t="s">
        <v>487</v>
      </c>
      <c r="D750" t="s">
        <v>247</v>
      </c>
      <c r="E750" t="s">
        <v>239</v>
      </c>
      <c r="F750" t="s">
        <v>3118</v>
      </c>
      <c r="G750" s="25">
        <v>44306</v>
      </c>
      <c r="H750">
        <v>22</v>
      </c>
      <c r="I750">
        <v>110</v>
      </c>
      <c r="J750" t="s">
        <v>3126</v>
      </c>
      <c r="K750" t="s">
        <v>510</v>
      </c>
      <c r="L750" t="s">
        <v>231</v>
      </c>
      <c r="M750" t="s">
        <v>926</v>
      </c>
      <c r="N750" t="s">
        <v>185</v>
      </c>
      <c r="O750" t="s">
        <v>974</v>
      </c>
      <c r="P750" t="s">
        <v>867</v>
      </c>
      <c r="Q750" t="s">
        <v>3127</v>
      </c>
      <c r="R750" t="s">
        <v>3128</v>
      </c>
      <c r="S750" t="s">
        <v>537</v>
      </c>
      <c r="T750" t="s">
        <v>504</v>
      </c>
      <c r="U750" t="s">
        <v>43</v>
      </c>
      <c r="V750" t="s">
        <v>234</v>
      </c>
      <c r="W750" t="s">
        <v>42</v>
      </c>
      <c r="X750" t="s">
        <v>21</v>
      </c>
      <c r="Y750" t="s">
        <v>236</v>
      </c>
      <c r="Z750">
        <v>3393</v>
      </c>
      <c r="AA750">
        <v>3393</v>
      </c>
      <c r="AB750" t="s">
        <v>237</v>
      </c>
      <c r="AC750">
        <v>4.8</v>
      </c>
      <c r="AD750">
        <v>16286.4</v>
      </c>
      <c r="AE750">
        <v>4173.3900000000003</v>
      </c>
      <c r="AF750" t="s">
        <v>870</v>
      </c>
      <c r="AG750">
        <v>12113.01</v>
      </c>
      <c r="AH750">
        <v>0.74</v>
      </c>
    </row>
    <row r="751" spans="1:34" x14ac:dyDescent="0.25">
      <c r="A751" t="s">
        <v>1646</v>
      </c>
      <c r="B751">
        <v>750</v>
      </c>
      <c r="C751" t="s">
        <v>487</v>
      </c>
      <c r="D751" t="s">
        <v>247</v>
      </c>
      <c r="E751" t="s">
        <v>239</v>
      </c>
      <c r="F751" t="s">
        <v>3118</v>
      </c>
      <c r="G751" s="25">
        <v>44306</v>
      </c>
      <c r="H751">
        <v>22</v>
      </c>
      <c r="I751">
        <v>110</v>
      </c>
      <c r="J751" t="s">
        <v>3129</v>
      </c>
      <c r="K751" t="s">
        <v>510</v>
      </c>
      <c r="L751" t="s">
        <v>231</v>
      </c>
      <c r="M751" t="s">
        <v>872</v>
      </c>
      <c r="N751" t="s">
        <v>184</v>
      </c>
      <c r="O751" t="s">
        <v>1024</v>
      </c>
      <c r="P751" t="s">
        <v>867</v>
      </c>
      <c r="Q751" t="s">
        <v>1148</v>
      </c>
      <c r="R751" t="s">
        <v>1149</v>
      </c>
      <c r="S751" t="s">
        <v>537</v>
      </c>
      <c r="T751" t="s">
        <v>504</v>
      </c>
      <c r="U751" t="s">
        <v>43</v>
      </c>
      <c r="V751" t="s">
        <v>234</v>
      </c>
      <c r="W751" t="s">
        <v>42</v>
      </c>
      <c r="X751" t="s">
        <v>21</v>
      </c>
      <c r="Y751" t="s">
        <v>236</v>
      </c>
      <c r="Z751">
        <v>2855</v>
      </c>
      <c r="AA751">
        <v>2855</v>
      </c>
      <c r="AB751" t="s">
        <v>237</v>
      </c>
      <c r="AC751">
        <v>4.8</v>
      </c>
      <c r="AD751">
        <v>13704</v>
      </c>
      <c r="AE751">
        <v>3511.65</v>
      </c>
      <c r="AF751" t="s">
        <v>870</v>
      </c>
      <c r="AG751">
        <v>10192.35</v>
      </c>
      <c r="AH751">
        <v>0.74</v>
      </c>
    </row>
    <row r="752" spans="1:34" x14ac:dyDescent="0.25">
      <c r="A752" t="s">
        <v>1912</v>
      </c>
      <c r="B752">
        <v>751</v>
      </c>
      <c r="C752" t="s">
        <v>487</v>
      </c>
      <c r="D752" t="s">
        <v>247</v>
      </c>
      <c r="E752" t="s">
        <v>239</v>
      </c>
      <c r="F752" t="s">
        <v>3118</v>
      </c>
      <c r="G752" s="25">
        <v>44306</v>
      </c>
      <c r="H752">
        <v>22</v>
      </c>
      <c r="I752">
        <v>110</v>
      </c>
      <c r="J752" t="s">
        <v>3130</v>
      </c>
      <c r="K752" t="s">
        <v>510</v>
      </c>
      <c r="L752" t="s">
        <v>231</v>
      </c>
      <c r="M752" t="s">
        <v>865</v>
      </c>
      <c r="N752" t="s">
        <v>186</v>
      </c>
      <c r="O752" t="s">
        <v>1012</v>
      </c>
      <c r="P752" t="s">
        <v>867</v>
      </c>
      <c r="Q752" t="s">
        <v>1325</v>
      </c>
      <c r="R752" t="s">
        <v>3131</v>
      </c>
      <c r="S752" t="s">
        <v>537</v>
      </c>
      <c r="T752" t="s">
        <v>504</v>
      </c>
      <c r="U752" t="s">
        <v>43</v>
      </c>
      <c r="V752" t="s">
        <v>234</v>
      </c>
      <c r="W752" t="s">
        <v>42</v>
      </c>
      <c r="X752" t="s">
        <v>21</v>
      </c>
      <c r="Y752" t="s">
        <v>236</v>
      </c>
      <c r="Z752">
        <v>3150</v>
      </c>
      <c r="AA752">
        <v>3150</v>
      </c>
      <c r="AB752" t="s">
        <v>237</v>
      </c>
      <c r="AC752">
        <v>4.8</v>
      </c>
      <c r="AD752">
        <v>15120</v>
      </c>
      <c r="AE752">
        <v>3874.5</v>
      </c>
      <c r="AF752" t="s">
        <v>870</v>
      </c>
      <c r="AG752">
        <v>11245.5</v>
      </c>
      <c r="AH752">
        <v>0.74</v>
      </c>
    </row>
    <row r="753" spans="1:34" x14ac:dyDescent="0.25">
      <c r="A753" t="s">
        <v>2647</v>
      </c>
      <c r="B753">
        <v>752</v>
      </c>
      <c r="C753" t="s">
        <v>487</v>
      </c>
      <c r="D753" t="s">
        <v>247</v>
      </c>
      <c r="E753" t="s">
        <v>239</v>
      </c>
      <c r="F753" t="s">
        <v>3118</v>
      </c>
      <c r="G753" s="25">
        <v>44306</v>
      </c>
      <c r="H753">
        <v>22</v>
      </c>
      <c r="I753">
        <v>110</v>
      </c>
      <c r="J753" t="s">
        <v>3132</v>
      </c>
      <c r="K753" t="s">
        <v>510</v>
      </c>
      <c r="L753" t="s">
        <v>231</v>
      </c>
      <c r="M753" t="s">
        <v>931</v>
      </c>
      <c r="N753" t="s">
        <v>186</v>
      </c>
      <c r="O753" t="s">
        <v>1281</v>
      </c>
      <c r="P753" t="s">
        <v>867</v>
      </c>
      <c r="Q753" t="s">
        <v>1282</v>
      </c>
      <c r="R753" t="s">
        <v>1283</v>
      </c>
      <c r="S753" t="s">
        <v>537</v>
      </c>
      <c r="T753" t="s">
        <v>504</v>
      </c>
      <c r="U753" t="s">
        <v>43</v>
      </c>
      <c r="V753" t="s">
        <v>234</v>
      </c>
      <c r="W753" t="s">
        <v>42</v>
      </c>
      <c r="X753" t="s">
        <v>21</v>
      </c>
      <c r="Y753" t="s">
        <v>236</v>
      </c>
      <c r="Z753">
        <v>3139</v>
      </c>
      <c r="AA753">
        <v>3139</v>
      </c>
      <c r="AB753" t="s">
        <v>237</v>
      </c>
      <c r="AC753">
        <v>4.8</v>
      </c>
      <c r="AD753">
        <v>15067.2</v>
      </c>
      <c r="AE753">
        <v>3860.97</v>
      </c>
      <c r="AF753" t="s">
        <v>870</v>
      </c>
      <c r="AG753">
        <v>11206.23</v>
      </c>
      <c r="AH753">
        <v>0.74</v>
      </c>
    </row>
    <row r="754" spans="1:34" x14ac:dyDescent="0.25">
      <c r="A754" t="s">
        <v>2771</v>
      </c>
      <c r="B754">
        <v>753</v>
      </c>
      <c r="C754" t="s">
        <v>487</v>
      </c>
      <c r="D754" t="s">
        <v>247</v>
      </c>
      <c r="E754" t="s">
        <v>239</v>
      </c>
      <c r="F754" t="s">
        <v>3118</v>
      </c>
      <c r="G754" s="25">
        <v>44306</v>
      </c>
      <c r="H754">
        <v>22</v>
      </c>
      <c r="I754">
        <v>110</v>
      </c>
      <c r="J754" t="s">
        <v>3133</v>
      </c>
      <c r="K754" t="s">
        <v>510</v>
      </c>
      <c r="L754" t="s">
        <v>231</v>
      </c>
      <c r="M754" t="s">
        <v>1184</v>
      </c>
      <c r="N754" t="s">
        <v>186</v>
      </c>
      <c r="O754" t="s">
        <v>1207</v>
      </c>
      <c r="P754" t="s">
        <v>867</v>
      </c>
      <c r="Q754" t="s">
        <v>1208</v>
      </c>
      <c r="R754" t="s">
        <v>1209</v>
      </c>
      <c r="S754" t="s">
        <v>537</v>
      </c>
      <c r="T754" t="s">
        <v>504</v>
      </c>
      <c r="U754" t="s">
        <v>43</v>
      </c>
      <c r="V754" t="s">
        <v>234</v>
      </c>
      <c r="W754" t="s">
        <v>42</v>
      </c>
      <c r="X754" t="s">
        <v>21</v>
      </c>
      <c r="Y754" t="s">
        <v>236</v>
      </c>
      <c r="Z754">
        <v>3199</v>
      </c>
      <c r="AA754">
        <v>3199</v>
      </c>
      <c r="AB754" t="s">
        <v>237</v>
      </c>
      <c r="AC754">
        <v>4.8</v>
      </c>
      <c r="AD754">
        <v>15355.2</v>
      </c>
      <c r="AE754">
        <v>3934.77</v>
      </c>
      <c r="AF754" t="s">
        <v>870</v>
      </c>
      <c r="AG754">
        <v>11420.43</v>
      </c>
      <c r="AH754">
        <v>0.74</v>
      </c>
    </row>
    <row r="755" spans="1:34" x14ac:dyDescent="0.25">
      <c r="A755" t="s">
        <v>2712</v>
      </c>
      <c r="B755">
        <v>754</v>
      </c>
      <c r="C755" t="s">
        <v>487</v>
      </c>
      <c r="D755" t="s">
        <v>247</v>
      </c>
      <c r="E755" t="s">
        <v>515</v>
      </c>
      <c r="F755" t="s">
        <v>3134</v>
      </c>
      <c r="G755" s="25">
        <v>44307</v>
      </c>
      <c r="H755">
        <v>23</v>
      </c>
      <c r="I755">
        <v>111</v>
      </c>
      <c r="J755" t="s">
        <v>3135</v>
      </c>
      <c r="K755" t="s">
        <v>510</v>
      </c>
      <c r="L755" t="s">
        <v>231</v>
      </c>
      <c r="M755" t="s">
        <v>872</v>
      </c>
      <c r="N755" t="s">
        <v>184</v>
      </c>
      <c r="O755" t="s">
        <v>1497</v>
      </c>
      <c r="P755" t="s">
        <v>867</v>
      </c>
      <c r="Q755" t="s">
        <v>1498</v>
      </c>
      <c r="R755" t="s">
        <v>1499</v>
      </c>
      <c r="S755" t="s">
        <v>537</v>
      </c>
      <c r="T755" t="s">
        <v>508</v>
      </c>
      <c r="U755" t="s">
        <v>47</v>
      </c>
      <c r="V755" t="s">
        <v>234</v>
      </c>
      <c r="W755" t="s">
        <v>46</v>
      </c>
      <c r="X755" t="s">
        <v>21</v>
      </c>
      <c r="Y755" t="s">
        <v>288</v>
      </c>
      <c r="Z755">
        <v>3193</v>
      </c>
      <c r="AA755">
        <v>3193</v>
      </c>
      <c r="AB755" t="s">
        <v>237</v>
      </c>
      <c r="AC755">
        <v>4.3</v>
      </c>
      <c r="AD755">
        <v>13729.9</v>
      </c>
      <c r="AE755">
        <v>2522.4699999999998</v>
      </c>
      <c r="AF755" t="s">
        <v>870</v>
      </c>
      <c r="AG755">
        <v>11207.43</v>
      </c>
      <c r="AH755">
        <v>0.82</v>
      </c>
    </row>
    <row r="756" spans="1:34" x14ac:dyDescent="0.25">
      <c r="A756" t="s">
        <v>2517</v>
      </c>
      <c r="B756">
        <v>755</v>
      </c>
      <c r="C756" t="s">
        <v>487</v>
      </c>
      <c r="D756" t="s">
        <v>247</v>
      </c>
      <c r="E756" t="s">
        <v>515</v>
      </c>
      <c r="F756" t="s">
        <v>3134</v>
      </c>
      <c r="G756" s="25">
        <v>44307</v>
      </c>
      <c r="H756">
        <v>23</v>
      </c>
      <c r="I756">
        <v>111</v>
      </c>
      <c r="J756" t="s">
        <v>3136</v>
      </c>
      <c r="K756" t="s">
        <v>510</v>
      </c>
      <c r="L756" t="s">
        <v>231</v>
      </c>
      <c r="M756" t="s">
        <v>911</v>
      </c>
      <c r="N756" t="s">
        <v>186</v>
      </c>
      <c r="O756" t="s">
        <v>3137</v>
      </c>
      <c r="P756" t="s">
        <v>867</v>
      </c>
      <c r="Q756" t="s">
        <v>3138</v>
      </c>
      <c r="R756" t="s">
        <v>3139</v>
      </c>
      <c r="S756" t="s">
        <v>537</v>
      </c>
      <c r="T756" t="s">
        <v>508</v>
      </c>
      <c r="U756" t="s">
        <v>47</v>
      </c>
      <c r="V756" t="s">
        <v>234</v>
      </c>
      <c r="W756" t="s">
        <v>46</v>
      </c>
      <c r="X756" t="s">
        <v>21</v>
      </c>
      <c r="Y756" t="s">
        <v>288</v>
      </c>
      <c r="Z756">
        <v>3666</v>
      </c>
      <c r="AA756">
        <v>3666</v>
      </c>
      <c r="AB756" t="s">
        <v>237</v>
      </c>
      <c r="AC756">
        <v>4.3</v>
      </c>
      <c r="AD756">
        <v>15763.8</v>
      </c>
      <c r="AE756">
        <v>2896.14</v>
      </c>
      <c r="AF756" t="s">
        <v>870</v>
      </c>
      <c r="AG756">
        <v>12867.66</v>
      </c>
      <c r="AH756">
        <v>0.82</v>
      </c>
    </row>
    <row r="757" spans="1:34" x14ac:dyDescent="0.25">
      <c r="A757" t="s">
        <v>2263</v>
      </c>
      <c r="B757">
        <v>756</v>
      </c>
      <c r="C757" t="s">
        <v>487</v>
      </c>
      <c r="D757" t="s">
        <v>247</v>
      </c>
      <c r="E757" t="s">
        <v>232</v>
      </c>
      <c r="F757" t="s">
        <v>3140</v>
      </c>
      <c r="G757" s="25">
        <v>44308</v>
      </c>
      <c r="H757">
        <v>23</v>
      </c>
      <c r="I757">
        <v>112</v>
      </c>
      <c r="J757" t="s">
        <v>3141</v>
      </c>
      <c r="K757" t="s">
        <v>921</v>
      </c>
      <c r="L757" t="s">
        <v>231</v>
      </c>
      <c r="M757" t="s">
        <v>931</v>
      </c>
      <c r="N757" t="s">
        <v>186</v>
      </c>
      <c r="O757" t="s">
        <v>932</v>
      </c>
      <c r="P757" t="s">
        <v>867</v>
      </c>
      <c r="Q757" t="s">
        <v>933</v>
      </c>
      <c r="R757" t="s">
        <v>934</v>
      </c>
      <c r="S757" t="s">
        <v>232</v>
      </c>
      <c r="T757" t="s">
        <v>508</v>
      </c>
      <c r="U757" t="s">
        <v>47</v>
      </c>
      <c r="V757" t="s">
        <v>234</v>
      </c>
      <c r="W757" t="s">
        <v>46</v>
      </c>
      <c r="X757" t="s">
        <v>21</v>
      </c>
      <c r="Y757" t="s">
        <v>288</v>
      </c>
      <c r="Z757">
        <v>3767</v>
      </c>
      <c r="AA757">
        <v>3767</v>
      </c>
      <c r="AB757" t="s">
        <v>237</v>
      </c>
      <c r="AC757">
        <v>4.3899999999999997</v>
      </c>
      <c r="AD757">
        <v>16537.13</v>
      </c>
      <c r="AE757">
        <v>2975.93</v>
      </c>
      <c r="AF757" t="s">
        <v>870</v>
      </c>
      <c r="AG757">
        <v>13561.2</v>
      </c>
      <c r="AH757">
        <v>0.82</v>
      </c>
    </row>
    <row r="758" spans="1:34" x14ac:dyDescent="0.25">
      <c r="A758" t="s">
        <v>2344</v>
      </c>
      <c r="B758">
        <v>757</v>
      </c>
      <c r="C758" t="s">
        <v>487</v>
      </c>
      <c r="D758" t="s">
        <v>247</v>
      </c>
      <c r="E758" t="s">
        <v>232</v>
      </c>
      <c r="F758" t="s">
        <v>3140</v>
      </c>
      <c r="G758" s="25">
        <v>44308</v>
      </c>
      <c r="H758">
        <v>23</v>
      </c>
      <c r="I758">
        <v>112</v>
      </c>
      <c r="J758" t="s">
        <v>3141</v>
      </c>
      <c r="K758" t="s">
        <v>510</v>
      </c>
      <c r="L758" t="s">
        <v>231</v>
      </c>
      <c r="M758" t="s">
        <v>931</v>
      </c>
      <c r="N758" t="s">
        <v>186</v>
      </c>
      <c r="O758" t="s">
        <v>932</v>
      </c>
      <c r="P758" t="s">
        <v>867</v>
      </c>
      <c r="Q758" t="s">
        <v>933</v>
      </c>
      <c r="R758" t="s">
        <v>934</v>
      </c>
      <c r="S758" t="s">
        <v>232</v>
      </c>
      <c r="T758" t="s">
        <v>491</v>
      </c>
      <c r="U758" t="s">
        <v>233</v>
      </c>
      <c r="V758" t="s">
        <v>234</v>
      </c>
      <c r="W758" t="s">
        <v>54</v>
      </c>
      <c r="X758" t="s">
        <v>235</v>
      </c>
      <c r="Y758" t="s">
        <v>236</v>
      </c>
      <c r="Z758">
        <v>2707</v>
      </c>
      <c r="AA758">
        <v>2707</v>
      </c>
      <c r="AB758" t="s">
        <v>237</v>
      </c>
      <c r="AC758">
        <v>6.09</v>
      </c>
      <c r="AD758">
        <v>16485.63</v>
      </c>
      <c r="AE758">
        <v>6144.89</v>
      </c>
      <c r="AF758" t="s">
        <v>870</v>
      </c>
      <c r="AG758">
        <v>10340.74</v>
      </c>
      <c r="AH758">
        <v>0.63</v>
      </c>
    </row>
    <row r="759" spans="1:34" x14ac:dyDescent="0.25">
      <c r="A759" t="s">
        <v>1776</v>
      </c>
      <c r="B759">
        <v>758</v>
      </c>
      <c r="C759" t="s">
        <v>487</v>
      </c>
      <c r="D759" t="s">
        <v>247</v>
      </c>
      <c r="E759" t="s">
        <v>232</v>
      </c>
      <c r="F759" t="s">
        <v>3140</v>
      </c>
      <c r="G759" s="25">
        <v>44308</v>
      </c>
      <c r="H759">
        <v>23</v>
      </c>
      <c r="I759">
        <v>112</v>
      </c>
      <c r="J759" t="s">
        <v>3141</v>
      </c>
      <c r="K759" t="s">
        <v>876</v>
      </c>
      <c r="L759" t="s">
        <v>231</v>
      </c>
      <c r="M759" t="s">
        <v>931</v>
      </c>
      <c r="N759" t="s">
        <v>186</v>
      </c>
      <c r="O759" t="s">
        <v>932</v>
      </c>
      <c r="P759" t="s">
        <v>867</v>
      </c>
      <c r="Q759" t="s">
        <v>933</v>
      </c>
      <c r="R759" t="s">
        <v>934</v>
      </c>
      <c r="S759" t="s">
        <v>232</v>
      </c>
      <c r="T759" t="s">
        <v>491</v>
      </c>
      <c r="U759" t="s">
        <v>233</v>
      </c>
      <c r="V759" t="s">
        <v>234</v>
      </c>
      <c r="W759" t="s">
        <v>54</v>
      </c>
      <c r="X759" t="s">
        <v>235</v>
      </c>
      <c r="Y759" t="s">
        <v>236</v>
      </c>
      <c r="Z759">
        <v>2298</v>
      </c>
      <c r="AA759">
        <v>2298</v>
      </c>
      <c r="AB759" t="s">
        <v>237</v>
      </c>
      <c r="AC759">
        <v>6.09</v>
      </c>
      <c r="AD759">
        <v>13994.82</v>
      </c>
      <c r="AE759">
        <v>5216.46</v>
      </c>
      <c r="AF759" t="s">
        <v>870</v>
      </c>
      <c r="AG759">
        <v>8778.36</v>
      </c>
      <c r="AH759">
        <v>0.63</v>
      </c>
    </row>
    <row r="760" spans="1:34" x14ac:dyDescent="0.25">
      <c r="A760" t="s">
        <v>1870</v>
      </c>
      <c r="B760">
        <v>759</v>
      </c>
      <c r="C760" t="s">
        <v>487</v>
      </c>
      <c r="D760" t="s">
        <v>247</v>
      </c>
      <c r="E760" t="s">
        <v>232</v>
      </c>
      <c r="F760" t="s">
        <v>3140</v>
      </c>
      <c r="G760" s="25">
        <v>44308</v>
      </c>
      <c r="H760">
        <v>23</v>
      </c>
      <c r="I760">
        <v>112</v>
      </c>
      <c r="J760" t="s">
        <v>3141</v>
      </c>
      <c r="K760" t="s">
        <v>956</v>
      </c>
      <c r="L760" t="s">
        <v>231</v>
      </c>
      <c r="M760" t="s">
        <v>931</v>
      </c>
      <c r="N760" t="s">
        <v>186</v>
      </c>
      <c r="O760" t="s">
        <v>932</v>
      </c>
      <c r="P760" t="s">
        <v>867</v>
      </c>
      <c r="Q760" t="s">
        <v>933</v>
      </c>
      <c r="R760" t="s">
        <v>934</v>
      </c>
      <c r="S760" t="s">
        <v>232</v>
      </c>
      <c r="T760" t="s">
        <v>491</v>
      </c>
      <c r="U760" t="s">
        <v>233</v>
      </c>
      <c r="V760" t="s">
        <v>234</v>
      </c>
      <c r="W760" t="s">
        <v>54</v>
      </c>
      <c r="X760" t="s">
        <v>235</v>
      </c>
      <c r="Y760" t="s">
        <v>236</v>
      </c>
      <c r="Z760">
        <v>2731</v>
      </c>
      <c r="AA760">
        <v>2731</v>
      </c>
      <c r="AB760" t="s">
        <v>237</v>
      </c>
      <c r="AC760">
        <v>6.09</v>
      </c>
      <c r="AD760">
        <v>16631.79</v>
      </c>
      <c r="AE760">
        <v>6199.37</v>
      </c>
      <c r="AF760" t="s">
        <v>870</v>
      </c>
      <c r="AG760">
        <v>10432.42</v>
      </c>
      <c r="AH760">
        <v>0.63</v>
      </c>
    </row>
    <row r="761" spans="1:34" x14ac:dyDescent="0.25">
      <c r="A761" t="s">
        <v>1874</v>
      </c>
      <c r="B761">
        <v>760</v>
      </c>
      <c r="C761" t="s">
        <v>487</v>
      </c>
      <c r="D761" t="s">
        <v>247</v>
      </c>
      <c r="E761" t="s">
        <v>232</v>
      </c>
      <c r="F761" t="s">
        <v>3140</v>
      </c>
      <c r="G761" s="25">
        <v>44308</v>
      </c>
      <c r="H761">
        <v>23</v>
      </c>
      <c r="I761">
        <v>112</v>
      </c>
      <c r="J761" t="s">
        <v>3142</v>
      </c>
      <c r="K761" t="s">
        <v>510</v>
      </c>
      <c r="L761" t="s">
        <v>231</v>
      </c>
      <c r="M761" t="s">
        <v>931</v>
      </c>
      <c r="N761" t="s">
        <v>186</v>
      </c>
      <c r="O761" t="s">
        <v>3143</v>
      </c>
      <c r="P761" t="s">
        <v>867</v>
      </c>
      <c r="Q761" t="s">
        <v>3144</v>
      </c>
      <c r="R761" t="s">
        <v>3145</v>
      </c>
      <c r="S761" t="s">
        <v>537</v>
      </c>
      <c r="T761" t="s">
        <v>508</v>
      </c>
      <c r="U761" t="s">
        <v>47</v>
      </c>
      <c r="V761" t="s">
        <v>234</v>
      </c>
      <c r="W761" t="s">
        <v>46</v>
      </c>
      <c r="X761" t="s">
        <v>21</v>
      </c>
      <c r="Y761" t="s">
        <v>288</v>
      </c>
      <c r="Z761">
        <v>3632</v>
      </c>
      <c r="AA761">
        <v>3632</v>
      </c>
      <c r="AB761" t="s">
        <v>237</v>
      </c>
      <c r="AC761">
        <v>4.3</v>
      </c>
      <c r="AD761">
        <v>15617.6</v>
      </c>
      <c r="AE761">
        <v>2869.28</v>
      </c>
      <c r="AF761" t="s">
        <v>870</v>
      </c>
      <c r="AG761">
        <v>12748.32</v>
      </c>
      <c r="AH761">
        <v>0.82</v>
      </c>
    </row>
    <row r="762" spans="1:34" x14ac:dyDescent="0.25">
      <c r="A762" t="s">
        <v>2582</v>
      </c>
      <c r="B762">
        <v>761</v>
      </c>
      <c r="C762" t="s">
        <v>487</v>
      </c>
      <c r="D762" t="s">
        <v>247</v>
      </c>
      <c r="E762" t="s">
        <v>512</v>
      </c>
      <c r="F762" t="s">
        <v>3146</v>
      </c>
      <c r="G762" s="25">
        <v>44309</v>
      </c>
      <c r="H762">
        <v>23</v>
      </c>
      <c r="I762">
        <v>113</v>
      </c>
      <c r="J762" t="s">
        <v>3147</v>
      </c>
      <c r="K762" t="s">
        <v>510</v>
      </c>
      <c r="L762" t="s">
        <v>231</v>
      </c>
      <c r="M762" t="s">
        <v>872</v>
      </c>
      <c r="N762" t="s">
        <v>184</v>
      </c>
      <c r="O762" t="s">
        <v>1164</v>
      </c>
      <c r="P762" t="s">
        <v>867</v>
      </c>
      <c r="Q762" t="s">
        <v>1165</v>
      </c>
      <c r="R762" t="s">
        <v>1166</v>
      </c>
      <c r="S762" t="s">
        <v>239</v>
      </c>
      <c r="T762" t="s">
        <v>491</v>
      </c>
      <c r="U762" t="s">
        <v>233</v>
      </c>
      <c r="V762" t="s">
        <v>234</v>
      </c>
      <c r="W762" t="s">
        <v>54</v>
      </c>
      <c r="X762" t="s">
        <v>235</v>
      </c>
      <c r="Y762" t="s">
        <v>236</v>
      </c>
      <c r="Z762">
        <v>2470</v>
      </c>
      <c r="AA762">
        <v>2470</v>
      </c>
      <c r="AB762" t="s">
        <v>237</v>
      </c>
      <c r="AC762">
        <v>5.97</v>
      </c>
      <c r="AD762">
        <v>14745.9</v>
      </c>
      <c r="AE762">
        <v>5606.9</v>
      </c>
      <c r="AF762" t="s">
        <v>870</v>
      </c>
      <c r="AG762">
        <v>9139</v>
      </c>
      <c r="AH762">
        <v>0.62</v>
      </c>
    </row>
    <row r="763" spans="1:34" x14ac:dyDescent="0.25">
      <c r="A763" t="s">
        <v>2077</v>
      </c>
      <c r="B763">
        <v>762</v>
      </c>
      <c r="C763" t="s">
        <v>487</v>
      </c>
      <c r="D763" t="s">
        <v>247</v>
      </c>
      <c r="E763" t="s">
        <v>512</v>
      </c>
      <c r="F763" t="s">
        <v>3146</v>
      </c>
      <c r="G763" s="25">
        <v>44309</v>
      </c>
      <c r="H763">
        <v>23</v>
      </c>
      <c r="I763">
        <v>113</v>
      </c>
      <c r="J763" t="s">
        <v>3147</v>
      </c>
      <c r="K763" t="s">
        <v>876</v>
      </c>
      <c r="L763" t="s">
        <v>231</v>
      </c>
      <c r="M763" t="s">
        <v>872</v>
      </c>
      <c r="N763" t="s">
        <v>184</v>
      </c>
      <c r="O763" t="s">
        <v>1164</v>
      </c>
      <c r="P763" t="s">
        <v>867</v>
      </c>
      <c r="Q763" t="s">
        <v>1165</v>
      </c>
      <c r="R763" t="s">
        <v>1166</v>
      </c>
      <c r="S763" t="s">
        <v>239</v>
      </c>
      <c r="T763" t="s">
        <v>491</v>
      </c>
      <c r="U763" t="s">
        <v>233</v>
      </c>
      <c r="V763" t="s">
        <v>234</v>
      </c>
      <c r="W763" t="s">
        <v>54</v>
      </c>
      <c r="X763" t="s">
        <v>235</v>
      </c>
      <c r="Y763" t="s">
        <v>236</v>
      </c>
      <c r="Z763">
        <v>1292</v>
      </c>
      <c r="AA763">
        <v>1292</v>
      </c>
      <c r="AB763" t="s">
        <v>237</v>
      </c>
      <c r="AC763">
        <v>5.97</v>
      </c>
      <c r="AD763">
        <v>7713.24</v>
      </c>
      <c r="AE763">
        <v>2932.84</v>
      </c>
      <c r="AF763" t="s">
        <v>870</v>
      </c>
      <c r="AG763">
        <v>4780.3999999999996</v>
      </c>
      <c r="AH763">
        <v>0.62</v>
      </c>
    </row>
    <row r="764" spans="1:34" x14ac:dyDescent="0.25">
      <c r="A764" t="s">
        <v>2569</v>
      </c>
      <c r="B764">
        <v>763</v>
      </c>
      <c r="C764" t="s">
        <v>487</v>
      </c>
      <c r="D764" t="s">
        <v>247</v>
      </c>
      <c r="E764" t="s">
        <v>512</v>
      </c>
      <c r="F764" t="s">
        <v>3146</v>
      </c>
      <c r="G764" s="25">
        <v>44309</v>
      </c>
      <c r="H764">
        <v>23</v>
      </c>
      <c r="I764">
        <v>113</v>
      </c>
      <c r="J764" t="s">
        <v>3148</v>
      </c>
      <c r="K764" t="s">
        <v>510</v>
      </c>
      <c r="L764" t="s">
        <v>231</v>
      </c>
      <c r="M764" t="s">
        <v>173</v>
      </c>
      <c r="N764" t="s">
        <v>185</v>
      </c>
      <c r="O764" t="s">
        <v>966</v>
      </c>
      <c r="P764" t="s">
        <v>867</v>
      </c>
      <c r="Q764" t="s">
        <v>967</v>
      </c>
      <c r="R764" t="s">
        <v>968</v>
      </c>
      <c r="S764" t="s">
        <v>232</v>
      </c>
      <c r="T764" t="s">
        <v>509</v>
      </c>
      <c r="U764" t="s">
        <v>45</v>
      </c>
      <c r="V764" t="s">
        <v>234</v>
      </c>
      <c r="W764" t="s">
        <v>44</v>
      </c>
      <c r="X764" t="s">
        <v>21</v>
      </c>
      <c r="Y764" t="s">
        <v>304</v>
      </c>
      <c r="Z764">
        <v>1589</v>
      </c>
      <c r="AA764">
        <v>1589</v>
      </c>
      <c r="AB764" t="s">
        <v>237</v>
      </c>
      <c r="AC764">
        <v>4.9000000000000004</v>
      </c>
      <c r="AD764">
        <v>7786.1</v>
      </c>
      <c r="AE764">
        <v>1954.47</v>
      </c>
      <c r="AF764" t="s">
        <v>870</v>
      </c>
      <c r="AG764">
        <v>5831.63</v>
      </c>
      <c r="AH764">
        <v>0.75</v>
      </c>
    </row>
    <row r="765" spans="1:34" x14ac:dyDescent="0.25">
      <c r="A765" t="s">
        <v>2190</v>
      </c>
      <c r="B765">
        <v>764</v>
      </c>
      <c r="C765" t="s">
        <v>487</v>
      </c>
      <c r="D765" t="s">
        <v>247</v>
      </c>
      <c r="E765" t="s">
        <v>512</v>
      </c>
      <c r="F765" t="s">
        <v>3146</v>
      </c>
      <c r="G765" s="25">
        <v>44309</v>
      </c>
      <c r="H765">
        <v>23</v>
      </c>
      <c r="I765">
        <v>113</v>
      </c>
      <c r="J765" t="s">
        <v>3148</v>
      </c>
      <c r="K765" t="s">
        <v>876</v>
      </c>
      <c r="L765" t="s">
        <v>231</v>
      </c>
      <c r="M765" t="s">
        <v>173</v>
      </c>
      <c r="N765" t="s">
        <v>185</v>
      </c>
      <c r="O765" t="s">
        <v>966</v>
      </c>
      <c r="P765" t="s">
        <v>867</v>
      </c>
      <c r="Q765" t="s">
        <v>967</v>
      </c>
      <c r="R765" t="s">
        <v>968</v>
      </c>
      <c r="S765" t="s">
        <v>232</v>
      </c>
      <c r="T765" t="s">
        <v>508</v>
      </c>
      <c r="U765" t="s">
        <v>47</v>
      </c>
      <c r="V765" t="s">
        <v>234</v>
      </c>
      <c r="W765" t="s">
        <v>46</v>
      </c>
      <c r="X765" t="s">
        <v>21</v>
      </c>
      <c r="Y765" t="s">
        <v>288</v>
      </c>
      <c r="Z765">
        <v>3477</v>
      </c>
      <c r="AA765">
        <v>3477</v>
      </c>
      <c r="AB765" t="s">
        <v>237</v>
      </c>
      <c r="AC765">
        <v>4.3899999999999997</v>
      </c>
      <c r="AD765">
        <v>15264.03</v>
      </c>
      <c r="AE765">
        <v>2746.83</v>
      </c>
      <c r="AF765" t="s">
        <v>870</v>
      </c>
      <c r="AG765">
        <v>12517.2</v>
      </c>
      <c r="AH765">
        <v>0.82</v>
      </c>
    </row>
    <row r="766" spans="1:34" x14ac:dyDescent="0.25">
      <c r="A766" t="s">
        <v>2533</v>
      </c>
      <c r="B766">
        <v>765</v>
      </c>
      <c r="C766" t="s">
        <v>487</v>
      </c>
      <c r="D766" t="s">
        <v>247</v>
      </c>
      <c r="E766" t="s">
        <v>512</v>
      </c>
      <c r="F766" t="s">
        <v>3146</v>
      </c>
      <c r="G766" s="25">
        <v>44309</v>
      </c>
      <c r="H766">
        <v>23</v>
      </c>
      <c r="I766">
        <v>113</v>
      </c>
      <c r="J766" t="s">
        <v>3149</v>
      </c>
      <c r="K766" t="s">
        <v>510</v>
      </c>
      <c r="L766" t="s">
        <v>231</v>
      </c>
      <c r="M766" t="s">
        <v>872</v>
      </c>
      <c r="N766" t="s">
        <v>184</v>
      </c>
      <c r="O766" t="s">
        <v>958</v>
      </c>
      <c r="P766" t="s">
        <v>867</v>
      </c>
      <c r="Q766" t="s">
        <v>959</v>
      </c>
      <c r="R766" t="s">
        <v>960</v>
      </c>
      <c r="S766" t="s">
        <v>232</v>
      </c>
      <c r="T766" t="s">
        <v>508</v>
      </c>
      <c r="U766" t="s">
        <v>47</v>
      </c>
      <c r="V766" t="s">
        <v>234</v>
      </c>
      <c r="W766" t="s">
        <v>46</v>
      </c>
      <c r="X766" t="s">
        <v>21</v>
      </c>
      <c r="Y766" t="s">
        <v>288</v>
      </c>
      <c r="Z766">
        <v>3509</v>
      </c>
      <c r="AA766">
        <v>3509</v>
      </c>
      <c r="AB766" t="s">
        <v>237</v>
      </c>
      <c r="AC766">
        <v>4.3899999999999997</v>
      </c>
      <c r="AD766">
        <v>15404.51</v>
      </c>
      <c r="AE766">
        <v>2772.11</v>
      </c>
      <c r="AF766" t="s">
        <v>870</v>
      </c>
      <c r="AG766">
        <v>12632.4</v>
      </c>
      <c r="AH766">
        <v>0.82</v>
      </c>
    </row>
    <row r="767" spans="1:34" x14ac:dyDescent="0.25">
      <c r="A767" t="s">
        <v>2493</v>
      </c>
      <c r="B767">
        <v>766</v>
      </c>
      <c r="C767" t="s">
        <v>487</v>
      </c>
      <c r="D767" t="s">
        <v>247</v>
      </c>
      <c r="E767" t="s">
        <v>512</v>
      </c>
      <c r="F767" t="s">
        <v>3146</v>
      </c>
      <c r="G767" s="25">
        <v>44309</v>
      </c>
      <c r="H767">
        <v>23</v>
      </c>
      <c r="I767">
        <v>113</v>
      </c>
      <c r="J767" t="s">
        <v>3149</v>
      </c>
      <c r="K767" t="s">
        <v>876</v>
      </c>
      <c r="L767" t="s">
        <v>231</v>
      </c>
      <c r="M767" t="s">
        <v>872</v>
      </c>
      <c r="N767" t="s">
        <v>184</v>
      </c>
      <c r="O767" t="s">
        <v>958</v>
      </c>
      <c r="P767" t="s">
        <v>867</v>
      </c>
      <c r="Q767" t="s">
        <v>959</v>
      </c>
      <c r="R767" t="s">
        <v>960</v>
      </c>
      <c r="S767" t="s">
        <v>232</v>
      </c>
      <c r="T767" t="s">
        <v>491</v>
      </c>
      <c r="U767" t="s">
        <v>233</v>
      </c>
      <c r="V767" t="s">
        <v>234</v>
      </c>
      <c r="W767" t="s">
        <v>54</v>
      </c>
      <c r="X767" t="s">
        <v>235</v>
      </c>
      <c r="Y767" t="s">
        <v>236</v>
      </c>
      <c r="Z767">
        <v>2363</v>
      </c>
      <c r="AA767">
        <v>2363</v>
      </c>
      <c r="AB767" t="s">
        <v>237</v>
      </c>
      <c r="AC767">
        <v>6.09</v>
      </c>
      <c r="AD767">
        <v>14390.67</v>
      </c>
      <c r="AE767">
        <v>5364.01</v>
      </c>
      <c r="AF767" t="s">
        <v>870</v>
      </c>
      <c r="AG767">
        <v>9026.66</v>
      </c>
      <c r="AH767">
        <v>0.63</v>
      </c>
    </row>
    <row r="768" spans="1:34" x14ac:dyDescent="0.25">
      <c r="A768" t="s">
        <v>2568</v>
      </c>
      <c r="B768">
        <v>767</v>
      </c>
      <c r="C768" t="s">
        <v>487</v>
      </c>
      <c r="D768" t="s">
        <v>247</v>
      </c>
      <c r="E768" t="s">
        <v>512</v>
      </c>
      <c r="F768" t="s">
        <v>3146</v>
      </c>
      <c r="G768" s="25">
        <v>44309</v>
      </c>
      <c r="H768">
        <v>23</v>
      </c>
      <c r="I768">
        <v>113</v>
      </c>
      <c r="J768" t="s">
        <v>3149</v>
      </c>
      <c r="K768" t="s">
        <v>921</v>
      </c>
      <c r="L768" t="s">
        <v>231</v>
      </c>
      <c r="M768" t="s">
        <v>872</v>
      </c>
      <c r="N768" t="s">
        <v>184</v>
      </c>
      <c r="O768" t="s">
        <v>958</v>
      </c>
      <c r="P768" t="s">
        <v>867</v>
      </c>
      <c r="Q768" t="s">
        <v>959</v>
      </c>
      <c r="R768" t="s">
        <v>960</v>
      </c>
      <c r="S768" t="s">
        <v>232</v>
      </c>
      <c r="T768" t="s">
        <v>491</v>
      </c>
      <c r="U768" t="s">
        <v>233</v>
      </c>
      <c r="V768" t="s">
        <v>234</v>
      </c>
      <c r="W768" t="s">
        <v>54</v>
      </c>
      <c r="X768" t="s">
        <v>235</v>
      </c>
      <c r="Y768" t="s">
        <v>236</v>
      </c>
      <c r="Z768">
        <v>2157</v>
      </c>
      <c r="AA768">
        <v>2157</v>
      </c>
      <c r="AB768" t="s">
        <v>237</v>
      </c>
      <c r="AC768">
        <v>6.09</v>
      </c>
      <c r="AD768">
        <v>13136.13</v>
      </c>
      <c r="AE768">
        <v>4896.3900000000003</v>
      </c>
      <c r="AF768" t="s">
        <v>870</v>
      </c>
      <c r="AG768">
        <v>8239.74</v>
      </c>
      <c r="AH768">
        <v>0.63</v>
      </c>
    </row>
    <row r="769" spans="1:34" x14ac:dyDescent="0.25">
      <c r="A769" t="s">
        <v>2479</v>
      </c>
      <c r="B769">
        <v>768</v>
      </c>
      <c r="C769" t="s">
        <v>487</v>
      </c>
      <c r="D769" t="s">
        <v>247</v>
      </c>
      <c r="E769" t="s">
        <v>512</v>
      </c>
      <c r="F769" t="s">
        <v>3146</v>
      </c>
      <c r="G769" s="25">
        <v>44309</v>
      </c>
      <c r="H769">
        <v>23</v>
      </c>
      <c r="I769">
        <v>113</v>
      </c>
      <c r="J769" t="s">
        <v>3149</v>
      </c>
      <c r="K769" t="s">
        <v>956</v>
      </c>
      <c r="L769" t="s">
        <v>231</v>
      </c>
      <c r="M769" t="s">
        <v>872</v>
      </c>
      <c r="N769" t="s">
        <v>184</v>
      </c>
      <c r="O769" t="s">
        <v>958</v>
      </c>
      <c r="P769" t="s">
        <v>867</v>
      </c>
      <c r="Q769" t="s">
        <v>959</v>
      </c>
      <c r="R769" t="s">
        <v>960</v>
      </c>
      <c r="S769" t="s">
        <v>232</v>
      </c>
      <c r="T769" t="s">
        <v>491</v>
      </c>
      <c r="U769" t="s">
        <v>233</v>
      </c>
      <c r="V769" t="s">
        <v>234</v>
      </c>
      <c r="W769" t="s">
        <v>54</v>
      </c>
      <c r="X769" t="s">
        <v>235</v>
      </c>
      <c r="Y769" t="s">
        <v>236</v>
      </c>
      <c r="Z769">
        <v>2121</v>
      </c>
      <c r="AA769">
        <v>2121</v>
      </c>
      <c r="AB769" t="s">
        <v>237</v>
      </c>
      <c r="AC769">
        <v>6.09</v>
      </c>
      <c r="AD769">
        <v>12916.89</v>
      </c>
      <c r="AE769">
        <v>4814.67</v>
      </c>
      <c r="AF769" t="s">
        <v>870</v>
      </c>
      <c r="AG769">
        <v>8102.22</v>
      </c>
      <c r="AH769">
        <v>0.63</v>
      </c>
    </row>
    <row r="770" spans="1:34" x14ac:dyDescent="0.25">
      <c r="A770" t="s">
        <v>2000</v>
      </c>
      <c r="B770">
        <v>769</v>
      </c>
      <c r="C770" t="s">
        <v>487</v>
      </c>
      <c r="D770" t="s">
        <v>247</v>
      </c>
      <c r="E770" t="s">
        <v>512</v>
      </c>
      <c r="F770" t="s">
        <v>3146</v>
      </c>
      <c r="G770" s="25">
        <v>44309</v>
      </c>
      <c r="H770">
        <v>23</v>
      </c>
      <c r="I770">
        <v>113</v>
      </c>
      <c r="J770" t="s">
        <v>3150</v>
      </c>
      <c r="K770" t="s">
        <v>956</v>
      </c>
      <c r="L770" t="s">
        <v>231</v>
      </c>
      <c r="M770" t="s">
        <v>1076</v>
      </c>
      <c r="N770" t="s">
        <v>185</v>
      </c>
      <c r="O770" t="s">
        <v>1077</v>
      </c>
      <c r="P770" t="s">
        <v>867</v>
      </c>
      <c r="Q770" t="s">
        <v>1078</v>
      </c>
      <c r="R770" t="s">
        <v>1079</v>
      </c>
      <c r="S770" t="s">
        <v>232</v>
      </c>
      <c r="T770" t="s">
        <v>491</v>
      </c>
      <c r="U770" t="s">
        <v>233</v>
      </c>
      <c r="V770" t="s">
        <v>234</v>
      </c>
      <c r="W770" t="s">
        <v>54</v>
      </c>
      <c r="X770" t="s">
        <v>235</v>
      </c>
      <c r="Y770" t="s">
        <v>236</v>
      </c>
      <c r="Z770">
        <v>2747</v>
      </c>
      <c r="AA770">
        <v>2747</v>
      </c>
      <c r="AB770" t="s">
        <v>237</v>
      </c>
      <c r="AC770">
        <v>6.09</v>
      </c>
      <c r="AD770">
        <v>16729.23</v>
      </c>
      <c r="AE770">
        <v>6235.69</v>
      </c>
      <c r="AF770" t="s">
        <v>870</v>
      </c>
      <c r="AG770">
        <v>10493.54</v>
      </c>
      <c r="AH770">
        <v>0.63</v>
      </c>
    </row>
    <row r="771" spans="1:34" x14ac:dyDescent="0.25">
      <c r="A771" t="s">
        <v>2010</v>
      </c>
      <c r="B771">
        <v>770</v>
      </c>
      <c r="C771" t="s">
        <v>487</v>
      </c>
      <c r="D771" t="s">
        <v>247</v>
      </c>
      <c r="E771" t="s">
        <v>512</v>
      </c>
      <c r="F771" t="s">
        <v>3146</v>
      </c>
      <c r="G771" s="25">
        <v>44309</v>
      </c>
      <c r="H771">
        <v>23</v>
      </c>
      <c r="I771">
        <v>113</v>
      </c>
      <c r="J771" t="s">
        <v>3150</v>
      </c>
      <c r="K771" t="s">
        <v>921</v>
      </c>
      <c r="L771" t="s">
        <v>231</v>
      </c>
      <c r="M771" t="s">
        <v>1076</v>
      </c>
      <c r="N771" t="s">
        <v>185</v>
      </c>
      <c r="O771" t="s">
        <v>1077</v>
      </c>
      <c r="P771" t="s">
        <v>867</v>
      </c>
      <c r="Q771" t="s">
        <v>1078</v>
      </c>
      <c r="R771" t="s">
        <v>1079</v>
      </c>
      <c r="S771" t="s">
        <v>232</v>
      </c>
      <c r="T771" t="s">
        <v>491</v>
      </c>
      <c r="U771" t="s">
        <v>233</v>
      </c>
      <c r="V771" t="s">
        <v>234</v>
      </c>
      <c r="W771" t="s">
        <v>54</v>
      </c>
      <c r="X771" t="s">
        <v>235</v>
      </c>
      <c r="Y771" t="s">
        <v>236</v>
      </c>
      <c r="Z771">
        <v>2264</v>
      </c>
      <c r="AA771">
        <v>2264</v>
      </c>
      <c r="AB771" t="s">
        <v>237</v>
      </c>
      <c r="AC771">
        <v>6.09</v>
      </c>
      <c r="AD771">
        <v>13787.76</v>
      </c>
      <c r="AE771">
        <v>5139.28</v>
      </c>
      <c r="AF771" t="s">
        <v>870</v>
      </c>
      <c r="AG771">
        <v>8648.48</v>
      </c>
      <c r="AH771">
        <v>0.63</v>
      </c>
    </row>
    <row r="772" spans="1:34" x14ac:dyDescent="0.25">
      <c r="A772" t="s">
        <v>1924</v>
      </c>
      <c r="B772">
        <v>771</v>
      </c>
      <c r="C772" t="s">
        <v>487</v>
      </c>
      <c r="D772" t="s">
        <v>247</v>
      </c>
      <c r="E772" t="s">
        <v>512</v>
      </c>
      <c r="F772" t="s">
        <v>3146</v>
      </c>
      <c r="G772" s="25">
        <v>44309</v>
      </c>
      <c r="H772">
        <v>23</v>
      </c>
      <c r="I772">
        <v>113</v>
      </c>
      <c r="J772" t="s">
        <v>3150</v>
      </c>
      <c r="K772" t="s">
        <v>876</v>
      </c>
      <c r="L772" t="s">
        <v>231</v>
      </c>
      <c r="M772" t="s">
        <v>1076</v>
      </c>
      <c r="N772" t="s">
        <v>185</v>
      </c>
      <c r="O772" t="s">
        <v>1077</v>
      </c>
      <c r="P772" t="s">
        <v>867</v>
      </c>
      <c r="Q772" t="s">
        <v>1078</v>
      </c>
      <c r="R772" t="s">
        <v>1079</v>
      </c>
      <c r="S772" t="s">
        <v>232</v>
      </c>
      <c r="T772" t="s">
        <v>491</v>
      </c>
      <c r="U772" t="s">
        <v>233</v>
      </c>
      <c r="V772" t="s">
        <v>234</v>
      </c>
      <c r="W772" t="s">
        <v>54</v>
      </c>
      <c r="X772" t="s">
        <v>235</v>
      </c>
      <c r="Y772" t="s">
        <v>236</v>
      </c>
      <c r="Z772">
        <v>2593</v>
      </c>
      <c r="AA772">
        <v>2593</v>
      </c>
      <c r="AB772" t="s">
        <v>237</v>
      </c>
      <c r="AC772">
        <v>6.09</v>
      </c>
      <c r="AD772">
        <v>15791.37</v>
      </c>
      <c r="AE772">
        <v>5886.11</v>
      </c>
      <c r="AF772" t="s">
        <v>870</v>
      </c>
      <c r="AG772">
        <v>9905.26</v>
      </c>
      <c r="AH772">
        <v>0.63</v>
      </c>
    </row>
    <row r="773" spans="1:34" x14ac:dyDescent="0.25">
      <c r="A773" t="s">
        <v>2780</v>
      </c>
      <c r="B773">
        <v>772</v>
      </c>
      <c r="C773" t="s">
        <v>487</v>
      </c>
      <c r="D773" t="s">
        <v>247</v>
      </c>
      <c r="E773" t="s">
        <v>512</v>
      </c>
      <c r="F773" t="s">
        <v>3146</v>
      </c>
      <c r="G773" s="25">
        <v>44309</v>
      </c>
      <c r="H773">
        <v>23</v>
      </c>
      <c r="I773">
        <v>113</v>
      </c>
      <c r="J773" t="s">
        <v>3150</v>
      </c>
      <c r="K773" t="s">
        <v>510</v>
      </c>
      <c r="L773" t="s">
        <v>231</v>
      </c>
      <c r="M773" t="s">
        <v>1076</v>
      </c>
      <c r="N773" t="s">
        <v>185</v>
      </c>
      <c r="O773" t="s">
        <v>1077</v>
      </c>
      <c r="P773" t="s">
        <v>867</v>
      </c>
      <c r="Q773" t="s">
        <v>1078</v>
      </c>
      <c r="R773" t="s">
        <v>1079</v>
      </c>
      <c r="S773" t="s">
        <v>232</v>
      </c>
      <c r="T773" t="s">
        <v>491</v>
      </c>
      <c r="U773" t="s">
        <v>233</v>
      </c>
      <c r="V773" t="s">
        <v>234</v>
      </c>
      <c r="W773" t="s">
        <v>54</v>
      </c>
      <c r="X773" t="s">
        <v>235</v>
      </c>
      <c r="Y773" t="s">
        <v>236</v>
      </c>
      <c r="Z773">
        <v>2444</v>
      </c>
      <c r="AA773">
        <v>2444</v>
      </c>
      <c r="AB773" t="s">
        <v>237</v>
      </c>
      <c r="AC773">
        <v>6.09</v>
      </c>
      <c r="AD773">
        <v>14883.96</v>
      </c>
      <c r="AE773">
        <v>5547.88</v>
      </c>
      <c r="AF773" t="s">
        <v>870</v>
      </c>
      <c r="AG773">
        <v>9336.08</v>
      </c>
      <c r="AH773">
        <v>0.63</v>
      </c>
    </row>
    <row r="774" spans="1:34" x14ac:dyDescent="0.25">
      <c r="A774" t="s">
        <v>2278</v>
      </c>
      <c r="B774">
        <v>773</v>
      </c>
      <c r="C774" t="s">
        <v>487</v>
      </c>
      <c r="D774" t="s">
        <v>247</v>
      </c>
      <c r="E774" t="s">
        <v>512</v>
      </c>
      <c r="F774" t="s">
        <v>3146</v>
      </c>
      <c r="G774" s="25">
        <v>44309</v>
      </c>
      <c r="H774">
        <v>23</v>
      </c>
      <c r="I774">
        <v>113</v>
      </c>
      <c r="J774" t="s">
        <v>3148</v>
      </c>
      <c r="K774" t="s">
        <v>921</v>
      </c>
      <c r="L774" t="s">
        <v>231</v>
      </c>
      <c r="M774" t="s">
        <v>173</v>
      </c>
      <c r="N774" t="s">
        <v>185</v>
      </c>
      <c r="O774" t="s">
        <v>966</v>
      </c>
      <c r="P774" t="s">
        <v>867</v>
      </c>
      <c r="Q774" t="s">
        <v>967</v>
      </c>
      <c r="R774" t="s">
        <v>968</v>
      </c>
      <c r="S774" t="s">
        <v>232</v>
      </c>
      <c r="T774" t="s">
        <v>491</v>
      </c>
      <c r="U774" t="s">
        <v>233</v>
      </c>
      <c r="V774" t="s">
        <v>234</v>
      </c>
      <c r="W774" t="s">
        <v>54</v>
      </c>
      <c r="X774" t="s">
        <v>235</v>
      </c>
      <c r="Y774" t="s">
        <v>236</v>
      </c>
      <c r="Z774">
        <v>2370</v>
      </c>
      <c r="AA774">
        <v>2370</v>
      </c>
      <c r="AB774" t="s">
        <v>237</v>
      </c>
      <c r="AC774">
        <v>6.09</v>
      </c>
      <c r="AD774">
        <v>14433.3</v>
      </c>
      <c r="AE774">
        <v>5379.9</v>
      </c>
      <c r="AF774" t="s">
        <v>870</v>
      </c>
      <c r="AG774">
        <v>9053.4</v>
      </c>
      <c r="AH774">
        <v>0.63</v>
      </c>
    </row>
    <row r="775" spans="1:34" x14ac:dyDescent="0.25">
      <c r="A775" t="s">
        <v>2768</v>
      </c>
      <c r="B775">
        <v>774</v>
      </c>
      <c r="C775" t="s">
        <v>487</v>
      </c>
      <c r="D775" t="s">
        <v>247</v>
      </c>
      <c r="E775" t="s">
        <v>512</v>
      </c>
      <c r="F775" t="s">
        <v>3146</v>
      </c>
      <c r="G775" s="25">
        <v>44309</v>
      </c>
      <c r="H775">
        <v>23</v>
      </c>
      <c r="I775">
        <v>113</v>
      </c>
      <c r="J775" t="s">
        <v>3148</v>
      </c>
      <c r="K775" t="s">
        <v>956</v>
      </c>
      <c r="L775" t="s">
        <v>231</v>
      </c>
      <c r="M775" t="s">
        <v>173</v>
      </c>
      <c r="N775" t="s">
        <v>185</v>
      </c>
      <c r="O775" t="s">
        <v>966</v>
      </c>
      <c r="P775" t="s">
        <v>867</v>
      </c>
      <c r="Q775" t="s">
        <v>967</v>
      </c>
      <c r="R775" t="s">
        <v>968</v>
      </c>
      <c r="S775" t="s">
        <v>232</v>
      </c>
      <c r="T775" t="s">
        <v>491</v>
      </c>
      <c r="U775" t="s">
        <v>233</v>
      </c>
      <c r="V775" t="s">
        <v>234</v>
      </c>
      <c r="W775" t="s">
        <v>54</v>
      </c>
      <c r="X775" t="s">
        <v>235</v>
      </c>
      <c r="Y775" t="s">
        <v>236</v>
      </c>
      <c r="Z775">
        <v>2568</v>
      </c>
      <c r="AA775">
        <v>2568</v>
      </c>
      <c r="AB775" t="s">
        <v>237</v>
      </c>
      <c r="AC775">
        <v>6.09</v>
      </c>
      <c r="AD775">
        <v>15639.12</v>
      </c>
      <c r="AE775">
        <v>5829.36</v>
      </c>
      <c r="AF775" t="s">
        <v>870</v>
      </c>
      <c r="AG775">
        <v>9809.76</v>
      </c>
      <c r="AH775">
        <v>0.63</v>
      </c>
    </row>
    <row r="776" spans="1:34" x14ac:dyDescent="0.25">
      <c r="A776" t="s">
        <v>2284</v>
      </c>
      <c r="B776">
        <v>775</v>
      </c>
      <c r="C776" t="s">
        <v>487</v>
      </c>
      <c r="D776" t="s">
        <v>247</v>
      </c>
      <c r="E776" t="s">
        <v>512</v>
      </c>
      <c r="F776" t="s">
        <v>3146</v>
      </c>
      <c r="G776" s="25">
        <v>44309</v>
      </c>
      <c r="H776">
        <v>23</v>
      </c>
      <c r="I776">
        <v>113</v>
      </c>
      <c r="J776" t="s">
        <v>3151</v>
      </c>
      <c r="K776" t="s">
        <v>510</v>
      </c>
      <c r="L776" t="s">
        <v>231</v>
      </c>
      <c r="M776" t="s">
        <v>878</v>
      </c>
      <c r="N776" t="s">
        <v>185</v>
      </c>
      <c r="O776" t="s">
        <v>989</v>
      </c>
      <c r="P776" t="s">
        <v>867</v>
      </c>
      <c r="Q776" t="s">
        <v>1592</v>
      </c>
      <c r="R776" t="s">
        <v>1593</v>
      </c>
      <c r="S776" t="s">
        <v>537</v>
      </c>
      <c r="T776" t="s">
        <v>508</v>
      </c>
      <c r="U776" t="s">
        <v>47</v>
      </c>
      <c r="V776" t="s">
        <v>234</v>
      </c>
      <c r="W776" t="s">
        <v>46</v>
      </c>
      <c r="X776" t="s">
        <v>21</v>
      </c>
      <c r="Y776" t="s">
        <v>288</v>
      </c>
      <c r="Z776">
        <v>3524</v>
      </c>
      <c r="AA776">
        <v>3524</v>
      </c>
      <c r="AB776" t="s">
        <v>237</v>
      </c>
      <c r="AC776">
        <v>4.3</v>
      </c>
      <c r="AD776">
        <v>15153.2</v>
      </c>
      <c r="AE776">
        <v>2783.96</v>
      </c>
      <c r="AF776" t="s">
        <v>870</v>
      </c>
      <c r="AG776">
        <v>12369.24</v>
      </c>
      <c r="AH776">
        <v>0.82</v>
      </c>
    </row>
    <row r="777" spans="1:34" x14ac:dyDescent="0.25">
      <c r="A777" t="s">
        <v>2828</v>
      </c>
      <c r="B777">
        <v>776</v>
      </c>
      <c r="C777" t="s">
        <v>487</v>
      </c>
      <c r="D777" t="s">
        <v>247</v>
      </c>
      <c r="E777" t="s">
        <v>512</v>
      </c>
      <c r="F777" t="s">
        <v>3146</v>
      </c>
      <c r="G777" s="25">
        <v>44309</v>
      </c>
      <c r="H777">
        <v>23</v>
      </c>
      <c r="I777">
        <v>113</v>
      </c>
      <c r="J777" t="s">
        <v>3152</v>
      </c>
      <c r="K777" t="s">
        <v>510</v>
      </c>
      <c r="L777" t="s">
        <v>231</v>
      </c>
      <c r="M777" t="s">
        <v>931</v>
      </c>
      <c r="N777" t="s">
        <v>186</v>
      </c>
      <c r="O777" t="s">
        <v>1308</v>
      </c>
      <c r="P777" t="s">
        <v>867</v>
      </c>
      <c r="Q777" t="s">
        <v>1543</v>
      </c>
      <c r="R777" t="s">
        <v>1544</v>
      </c>
      <c r="S777" t="s">
        <v>537</v>
      </c>
      <c r="T777" t="s">
        <v>508</v>
      </c>
      <c r="U777" t="s">
        <v>47</v>
      </c>
      <c r="V777" t="s">
        <v>234</v>
      </c>
      <c r="W777" t="s">
        <v>46</v>
      </c>
      <c r="X777" t="s">
        <v>21</v>
      </c>
      <c r="Y777" t="s">
        <v>288</v>
      </c>
      <c r="Z777">
        <v>3150</v>
      </c>
      <c r="AA777">
        <v>3150</v>
      </c>
      <c r="AB777" t="s">
        <v>237</v>
      </c>
      <c r="AC777">
        <v>4.3</v>
      </c>
      <c r="AD777">
        <v>13545</v>
      </c>
      <c r="AE777">
        <v>2488.5</v>
      </c>
      <c r="AF777" t="s">
        <v>870</v>
      </c>
      <c r="AG777">
        <v>11056.5</v>
      </c>
      <c r="AH777">
        <v>0.82</v>
      </c>
    </row>
    <row r="778" spans="1:34" x14ac:dyDescent="0.25">
      <c r="A778" t="s">
        <v>2617</v>
      </c>
      <c r="B778">
        <v>777</v>
      </c>
      <c r="C778" t="s">
        <v>487</v>
      </c>
      <c r="D778" t="s">
        <v>247</v>
      </c>
      <c r="E778" t="s">
        <v>537</v>
      </c>
      <c r="F778" t="s">
        <v>3153</v>
      </c>
      <c r="G778" s="25">
        <v>44310</v>
      </c>
      <c r="H778">
        <v>23</v>
      </c>
      <c r="I778">
        <v>114</v>
      </c>
      <c r="J778" t="s">
        <v>3154</v>
      </c>
      <c r="K778" t="s">
        <v>876</v>
      </c>
      <c r="L778" t="s">
        <v>231</v>
      </c>
      <c r="M778" t="s">
        <v>872</v>
      </c>
      <c r="N778" t="s">
        <v>184</v>
      </c>
      <c r="O778" t="s">
        <v>1199</v>
      </c>
      <c r="P778" t="s">
        <v>867</v>
      </c>
      <c r="Q778" t="s">
        <v>1331</v>
      </c>
      <c r="R778" t="s">
        <v>1332</v>
      </c>
      <c r="S778" t="s">
        <v>239</v>
      </c>
      <c r="T778" t="s">
        <v>500</v>
      </c>
      <c r="U778" t="s">
        <v>265</v>
      </c>
      <c r="V778" t="s">
        <v>234</v>
      </c>
      <c r="W778" t="s">
        <v>52</v>
      </c>
      <c r="X778" t="s">
        <v>235</v>
      </c>
      <c r="Y778" t="s">
        <v>266</v>
      </c>
      <c r="Z778">
        <v>2435</v>
      </c>
      <c r="AA778">
        <v>2435</v>
      </c>
      <c r="AB778" t="s">
        <v>237</v>
      </c>
      <c r="AC778">
        <v>5.23</v>
      </c>
      <c r="AD778">
        <v>12735.05</v>
      </c>
      <c r="AE778">
        <v>3944.7</v>
      </c>
      <c r="AF778" t="s">
        <v>870</v>
      </c>
      <c r="AG778">
        <v>8790.35</v>
      </c>
      <c r="AH778">
        <v>0.69</v>
      </c>
    </row>
    <row r="779" spans="1:34" x14ac:dyDescent="0.25">
      <c r="A779" t="s">
        <v>2372</v>
      </c>
      <c r="B779">
        <v>778</v>
      </c>
      <c r="C779" t="s">
        <v>487</v>
      </c>
      <c r="D779" t="s">
        <v>247</v>
      </c>
      <c r="E779" t="s">
        <v>537</v>
      </c>
      <c r="F779" t="s">
        <v>3153</v>
      </c>
      <c r="G779" s="25">
        <v>44310</v>
      </c>
      <c r="H779">
        <v>23</v>
      </c>
      <c r="I779">
        <v>114</v>
      </c>
      <c r="J779" t="s">
        <v>3154</v>
      </c>
      <c r="K779" t="s">
        <v>510</v>
      </c>
      <c r="L779" t="s">
        <v>231</v>
      </c>
      <c r="M779" t="s">
        <v>872</v>
      </c>
      <c r="N779" t="s">
        <v>184</v>
      </c>
      <c r="O779" t="s">
        <v>1199</v>
      </c>
      <c r="P779" t="s">
        <v>867</v>
      </c>
      <c r="Q779" t="s">
        <v>1331</v>
      </c>
      <c r="R779" t="s">
        <v>1332</v>
      </c>
      <c r="S779" t="s">
        <v>239</v>
      </c>
      <c r="T779" t="s">
        <v>500</v>
      </c>
      <c r="U779" t="s">
        <v>265</v>
      </c>
      <c r="V779" t="s">
        <v>234</v>
      </c>
      <c r="W779" t="s">
        <v>52</v>
      </c>
      <c r="X779" t="s">
        <v>235</v>
      </c>
      <c r="Y779" t="s">
        <v>266</v>
      </c>
      <c r="Z779">
        <v>2815</v>
      </c>
      <c r="AA779">
        <v>2815</v>
      </c>
      <c r="AB779" t="s">
        <v>237</v>
      </c>
      <c r="AC779">
        <v>5.23</v>
      </c>
      <c r="AD779">
        <v>14722.45</v>
      </c>
      <c r="AE779">
        <v>4560.3</v>
      </c>
      <c r="AF779" t="s">
        <v>870</v>
      </c>
      <c r="AG779">
        <v>10162.15</v>
      </c>
      <c r="AH779">
        <v>0.69</v>
      </c>
    </row>
    <row r="780" spans="1:34" x14ac:dyDescent="0.25">
      <c r="A780" t="s">
        <v>2446</v>
      </c>
      <c r="B780">
        <v>779</v>
      </c>
      <c r="C780" t="s">
        <v>487</v>
      </c>
      <c r="D780" t="s">
        <v>247</v>
      </c>
      <c r="E780" t="s">
        <v>537</v>
      </c>
      <c r="F780" t="s">
        <v>3153</v>
      </c>
      <c r="G780" s="25">
        <v>44310</v>
      </c>
      <c r="H780">
        <v>23</v>
      </c>
      <c r="I780">
        <v>114</v>
      </c>
      <c r="J780" t="s">
        <v>3154</v>
      </c>
      <c r="K780" t="s">
        <v>921</v>
      </c>
      <c r="L780" t="s">
        <v>231</v>
      </c>
      <c r="M780" t="s">
        <v>872</v>
      </c>
      <c r="N780" t="s">
        <v>184</v>
      </c>
      <c r="O780" t="s">
        <v>1199</v>
      </c>
      <c r="P780" t="s">
        <v>867</v>
      </c>
      <c r="Q780" t="s">
        <v>1331</v>
      </c>
      <c r="R780" t="s">
        <v>1332</v>
      </c>
      <c r="S780" t="s">
        <v>239</v>
      </c>
      <c r="T780" t="s">
        <v>491</v>
      </c>
      <c r="U780" t="s">
        <v>233</v>
      </c>
      <c r="V780" t="s">
        <v>234</v>
      </c>
      <c r="W780" t="s">
        <v>54</v>
      </c>
      <c r="X780" t="s">
        <v>235</v>
      </c>
      <c r="Y780" t="s">
        <v>236</v>
      </c>
      <c r="Z780">
        <v>2136</v>
      </c>
      <c r="AA780">
        <v>2136</v>
      </c>
      <c r="AB780" t="s">
        <v>237</v>
      </c>
      <c r="AC780">
        <v>5.97</v>
      </c>
      <c r="AD780">
        <v>12751.92</v>
      </c>
      <c r="AE780">
        <v>4848.72</v>
      </c>
      <c r="AF780" t="s">
        <v>870</v>
      </c>
      <c r="AG780">
        <v>7903.2</v>
      </c>
      <c r="AH780">
        <v>0.62</v>
      </c>
    </row>
    <row r="781" spans="1:34" x14ac:dyDescent="0.25">
      <c r="A781" t="s">
        <v>1868</v>
      </c>
      <c r="B781">
        <v>780</v>
      </c>
      <c r="C781" t="s">
        <v>487</v>
      </c>
      <c r="D781" t="s">
        <v>247</v>
      </c>
      <c r="E781" t="s">
        <v>537</v>
      </c>
      <c r="F781" t="s">
        <v>3153</v>
      </c>
      <c r="G781" s="25">
        <v>44310</v>
      </c>
      <c r="H781">
        <v>23</v>
      </c>
      <c r="I781">
        <v>114</v>
      </c>
      <c r="J781" t="s">
        <v>3155</v>
      </c>
      <c r="K781" t="s">
        <v>921</v>
      </c>
      <c r="L781" t="s">
        <v>231</v>
      </c>
      <c r="M781" t="s">
        <v>926</v>
      </c>
      <c r="N781" t="s">
        <v>185</v>
      </c>
      <c r="O781" t="s">
        <v>1043</v>
      </c>
      <c r="P781" t="s">
        <v>867</v>
      </c>
      <c r="Q781" t="s">
        <v>1044</v>
      </c>
      <c r="R781" t="s">
        <v>1045</v>
      </c>
      <c r="S781" t="s">
        <v>239</v>
      </c>
      <c r="T781" t="s">
        <v>491</v>
      </c>
      <c r="U781" t="s">
        <v>233</v>
      </c>
      <c r="V781" t="s">
        <v>234</v>
      </c>
      <c r="W781" t="s">
        <v>54</v>
      </c>
      <c r="X781" t="s">
        <v>235</v>
      </c>
      <c r="Y781" t="s">
        <v>236</v>
      </c>
      <c r="Z781">
        <v>2128</v>
      </c>
      <c r="AA781">
        <v>2128</v>
      </c>
      <c r="AB781" t="s">
        <v>237</v>
      </c>
      <c r="AC781">
        <v>5.97</v>
      </c>
      <c r="AD781">
        <v>12704.16</v>
      </c>
      <c r="AE781">
        <v>4830.5600000000004</v>
      </c>
      <c r="AF781" t="s">
        <v>870</v>
      </c>
      <c r="AG781">
        <v>7873.6</v>
      </c>
      <c r="AH781">
        <v>0.62</v>
      </c>
    </row>
    <row r="782" spans="1:34" x14ac:dyDescent="0.25">
      <c r="A782" t="s">
        <v>2665</v>
      </c>
      <c r="B782">
        <v>781</v>
      </c>
      <c r="C782" t="s">
        <v>487</v>
      </c>
      <c r="D782" t="s">
        <v>247</v>
      </c>
      <c r="E782" t="s">
        <v>537</v>
      </c>
      <c r="F782" t="s">
        <v>3153</v>
      </c>
      <c r="G782" s="25">
        <v>44310</v>
      </c>
      <c r="H782">
        <v>23</v>
      </c>
      <c r="I782">
        <v>114</v>
      </c>
      <c r="J782" t="s">
        <v>3155</v>
      </c>
      <c r="K782" t="s">
        <v>876</v>
      </c>
      <c r="L782" t="s">
        <v>231</v>
      </c>
      <c r="M782" t="s">
        <v>926</v>
      </c>
      <c r="N782" t="s">
        <v>185</v>
      </c>
      <c r="O782" t="s">
        <v>1043</v>
      </c>
      <c r="P782" t="s">
        <v>867</v>
      </c>
      <c r="Q782" t="s">
        <v>1044</v>
      </c>
      <c r="R782" t="s">
        <v>1045</v>
      </c>
      <c r="S782" t="s">
        <v>239</v>
      </c>
      <c r="T782" t="s">
        <v>491</v>
      </c>
      <c r="U782" t="s">
        <v>233</v>
      </c>
      <c r="V782" t="s">
        <v>234</v>
      </c>
      <c r="W782" t="s">
        <v>54</v>
      </c>
      <c r="X782" t="s">
        <v>235</v>
      </c>
      <c r="Y782" t="s">
        <v>236</v>
      </c>
      <c r="Z782">
        <v>2678</v>
      </c>
      <c r="AA782">
        <v>2678</v>
      </c>
      <c r="AB782" t="s">
        <v>237</v>
      </c>
      <c r="AC782">
        <v>5.97</v>
      </c>
      <c r="AD782">
        <v>15987.66</v>
      </c>
      <c r="AE782">
        <v>6079.06</v>
      </c>
      <c r="AF782" t="s">
        <v>870</v>
      </c>
      <c r="AG782">
        <v>9908.6</v>
      </c>
      <c r="AH782">
        <v>0.62</v>
      </c>
    </row>
    <row r="783" spans="1:34" x14ac:dyDescent="0.25">
      <c r="A783" t="s">
        <v>1996</v>
      </c>
      <c r="B783">
        <v>782</v>
      </c>
      <c r="C783" t="s">
        <v>487</v>
      </c>
      <c r="D783" t="s">
        <v>247</v>
      </c>
      <c r="E783" t="s">
        <v>537</v>
      </c>
      <c r="F783" t="s">
        <v>3153</v>
      </c>
      <c r="G783" s="25">
        <v>44310</v>
      </c>
      <c r="H783">
        <v>23</v>
      </c>
      <c r="I783">
        <v>114</v>
      </c>
      <c r="J783" t="s">
        <v>3155</v>
      </c>
      <c r="K783" t="s">
        <v>510</v>
      </c>
      <c r="L783" t="s">
        <v>231</v>
      </c>
      <c r="M783" t="s">
        <v>926</v>
      </c>
      <c r="N783" t="s">
        <v>185</v>
      </c>
      <c r="O783" t="s">
        <v>1043</v>
      </c>
      <c r="P783" t="s">
        <v>867</v>
      </c>
      <c r="Q783" t="s">
        <v>1044</v>
      </c>
      <c r="R783" t="s">
        <v>1045</v>
      </c>
      <c r="S783" t="s">
        <v>239</v>
      </c>
      <c r="T783" t="s">
        <v>491</v>
      </c>
      <c r="U783" t="s">
        <v>233</v>
      </c>
      <c r="V783" t="s">
        <v>234</v>
      </c>
      <c r="W783" t="s">
        <v>54</v>
      </c>
      <c r="X783" t="s">
        <v>235</v>
      </c>
      <c r="Y783" t="s">
        <v>236</v>
      </c>
      <c r="Z783">
        <v>2495</v>
      </c>
      <c r="AA783">
        <v>2495</v>
      </c>
      <c r="AB783" t="s">
        <v>237</v>
      </c>
      <c r="AC783">
        <v>5.97</v>
      </c>
      <c r="AD783">
        <v>14895.15</v>
      </c>
      <c r="AE783">
        <v>5663.65</v>
      </c>
      <c r="AF783" t="s">
        <v>870</v>
      </c>
      <c r="AG783">
        <v>9231.5</v>
      </c>
      <c r="AH783">
        <v>0.62</v>
      </c>
    </row>
    <row r="784" spans="1:34" x14ac:dyDescent="0.25">
      <c r="A784" t="s">
        <v>2700</v>
      </c>
      <c r="B784">
        <v>783</v>
      </c>
      <c r="C784" t="s">
        <v>487</v>
      </c>
      <c r="D784" t="s">
        <v>247</v>
      </c>
      <c r="E784" t="s">
        <v>537</v>
      </c>
      <c r="F784" t="s">
        <v>3153</v>
      </c>
      <c r="G784" s="25">
        <v>44310</v>
      </c>
      <c r="H784">
        <v>23</v>
      </c>
      <c r="I784">
        <v>114</v>
      </c>
      <c r="J784" t="s">
        <v>3156</v>
      </c>
      <c r="K784" t="s">
        <v>510</v>
      </c>
      <c r="L784" t="s">
        <v>231</v>
      </c>
      <c r="M784" t="s">
        <v>926</v>
      </c>
      <c r="N784" t="s">
        <v>185</v>
      </c>
      <c r="O784" t="s">
        <v>1484</v>
      </c>
      <c r="P784" t="s">
        <v>867</v>
      </c>
      <c r="Q784" t="s">
        <v>1485</v>
      </c>
      <c r="R784" t="s">
        <v>1486</v>
      </c>
      <c r="S784" t="s">
        <v>537</v>
      </c>
      <c r="T784" t="s">
        <v>508</v>
      </c>
      <c r="U784" t="s">
        <v>47</v>
      </c>
      <c r="V784" t="s">
        <v>234</v>
      </c>
      <c r="W784" t="s">
        <v>46</v>
      </c>
      <c r="X784" t="s">
        <v>21</v>
      </c>
      <c r="Y784" t="s">
        <v>288</v>
      </c>
      <c r="Z784">
        <v>3750</v>
      </c>
      <c r="AA784">
        <v>3750</v>
      </c>
      <c r="AB784" t="s">
        <v>237</v>
      </c>
      <c r="AC784">
        <v>4.3</v>
      </c>
      <c r="AD784">
        <v>16125</v>
      </c>
      <c r="AE784">
        <v>2962.5</v>
      </c>
      <c r="AF784" t="s">
        <v>870</v>
      </c>
      <c r="AG784">
        <v>13162.5</v>
      </c>
      <c r="AH784">
        <v>0.82</v>
      </c>
    </row>
    <row r="785" spans="1:34" x14ac:dyDescent="0.25">
      <c r="A785" t="s">
        <v>2212</v>
      </c>
      <c r="B785">
        <v>784</v>
      </c>
      <c r="C785" t="s">
        <v>487</v>
      </c>
      <c r="D785" t="s">
        <v>247</v>
      </c>
      <c r="E785" t="s">
        <v>537</v>
      </c>
      <c r="F785" t="s">
        <v>3153</v>
      </c>
      <c r="G785" s="25">
        <v>44310</v>
      </c>
      <c r="H785">
        <v>23</v>
      </c>
      <c r="I785">
        <v>114</v>
      </c>
      <c r="J785" t="s">
        <v>3157</v>
      </c>
      <c r="K785" t="s">
        <v>510</v>
      </c>
      <c r="L785" t="s">
        <v>231</v>
      </c>
      <c r="M785" t="s">
        <v>872</v>
      </c>
      <c r="N785" t="s">
        <v>184</v>
      </c>
      <c r="O785" t="s">
        <v>1497</v>
      </c>
      <c r="P785" t="s">
        <v>867</v>
      </c>
      <c r="Q785" t="s">
        <v>3009</v>
      </c>
      <c r="R785" t="s">
        <v>3010</v>
      </c>
      <c r="S785" t="s">
        <v>537</v>
      </c>
      <c r="T785" t="s">
        <v>508</v>
      </c>
      <c r="U785" t="s">
        <v>47</v>
      </c>
      <c r="V785" t="s">
        <v>234</v>
      </c>
      <c r="W785" t="s">
        <v>46</v>
      </c>
      <c r="X785" t="s">
        <v>21</v>
      </c>
      <c r="Y785" t="s">
        <v>288</v>
      </c>
      <c r="Z785">
        <v>3291</v>
      </c>
      <c r="AA785">
        <v>3291</v>
      </c>
      <c r="AB785" t="s">
        <v>237</v>
      </c>
      <c r="AC785">
        <v>4.3</v>
      </c>
      <c r="AD785">
        <v>14151.3</v>
      </c>
      <c r="AE785">
        <v>2599.89</v>
      </c>
      <c r="AF785" t="s">
        <v>870</v>
      </c>
      <c r="AG785">
        <v>11551.41</v>
      </c>
      <c r="AH785">
        <v>0.82</v>
      </c>
    </row>
    <row r="786" spans="1:34" x14ac:dyDescent="0.25">
      <c r="A786" t="s">
        <v>2470</v>
      </c>
      <c r="B786">
        <v>785</v>
      </c>
      <c r="C786" t="s">
        <v>487</v>
      </c>
      <c r="D786" t="s">
        <v>247</v>
      </c>
      <c r="E786" t="s">
        <v>575</v>
      </c>
      <c r="F786" t="s">
        <v>3158</v>
      </c>
      <c r="G786" s="25">
        <v>44311</v>
      </c>
      <c r="H786">
        <v>23</v>
      </c>
      <c r="I786">
        <v>115</v>
      </c>
      <c r="J786" t="s">
        <v>3159</v>
      </c>
      <c r="K786" t="s">
        <v>510</v>
      </c>
      <c r="L786" t="s">
        <v>231</v>
      </c>
      <c r="M786" t="s">
        <v>872</v>
      </c>
      <c r="N786" t="s">
        <v>184</v>
      </c>
      <c r="O786" t="s">
        <v>1212</v>
      </c>
      <c r="P786" t="s">
        <v>867</v>
      </c>
      <c r="Q786" t="s">
        <v>1213</v>
      </c>
      <c r="R786" t="s">
        <v>1214</v>
      </c>
      <c r="S786" t="s">
        <v>232</v>
      </c>
      <c r="T786" t="s">
        <v>508</v>
      </c>
      <c r="U786" t="s">
        <v>47</v>
      </c>
      <c r="V786" t="s">
        <v>234</v>
      </c>
      <c r="W786" t="s">
        <v>46</v>
      </c>
      <c r="X786" t="s">
        <v>21</v>
      </c>
      <c r="Y786" t="s">
        <v>288</v>
      </c>
      <c r="Z786">
        <v>2041</v>
      </c>
      <c r="AA786">
        <v>2041</v>
      </c>
      <c r="AB786" t="s">
        <v>237</v>
      </c>
      <c r="AC786">
        <v>4.3899999999999997</v>
      </c>
      <c r="AD786">
        <v>8959.99</v>
      </c>
      <c r="AE786">
        <v>1612.39</v>
      </c>
      <c r="AF786" t="s">
        <v>870</v>
      </c>
      <c r="AG786">
        <v>7347.6</v>
      </c>
      <c r="AH786">
        <v>0.82</v>
      </c>
    </row>
    <row r="787" spans="1:34" x14ac:dyDescent="0.25">
      <c r="A787" t="s">
        <v>2060</v>
      </c>
      <c r="B787">
        <v>786</v>
      </c>
      <c r="C787" t="s">
        <v>487</v>
      </c>
      <c r="D787" t="s">
        <v>247</v>
      </c>
      <c r="E787" t="s">
        <v>575</v>
      </c>
      <c r="F787" t="s">
        <v>3158</v>
      </c>
      <c r="G787" s="25">
        <v>44311</v>
      </c>
      <c r="H787">
        <v>23</v>
      </c>
      <c r="I787">
        <v>115</v>
      </c>
      <c r="J787" t="s">
        <v>3160</v>
      </c>
      <c r="K787" t="s">
        <v>510</v>
      </c>
      <c r="L787" t="s">
        <v>231</v>
      </c>
      <c r="M787" t="s">
        <v>926</v>
      </c>
      <c r="N787" t="s">
        <v>185</v>
      </c>
      <c r="O787" t="s">
        <v>953</v>
      </c>
      <c r="P787" t="s">
        <v>867</v>
      </c>
      <c r="Q787" t="s">
        <v>986</v>
      </c>
      <c r="R787" t="s">
        <v>987</v>
      </c>
      <c r="S787" t="s">
        <v>232</v>
      </c>
      <c r="T787" t="s">
        <v>500</v>
      </c>
      <c r="U787" t="s">
        <v>265</v>
      </c>
      <c r="V787" t="s">
        <v>234</v>
      </c>
      <c r="W787" t="s">
        <v>52</v>
      </c>
      <c r="X787" t="s">
        <v>235</v>
      </c>
      <c r="Y787" t="s">
        <v>266</v>
      </c>
      <c r="Z787">
        <v>2794</v>
      </c>
      <c r="AA787">
        <v>2794</v>
      </c>
      <c r="AB787" t="s">
        <v>237</v>
      </c>
      <c r="AC787">
        <v>5.34</v>
      </c>
      <c r="AD787">
        <v>14919.96</v>
      </c>
      <c r="AE787">
        <v>4526.28</v>
      </c>
      <c r="AF787" t="s">
        <v>870</v>
      </c>
      <c r="AG787">
        <v>10393.68</v>
      </c>
      <c r="AH787">
        <v>0.7</v>
      </c>
    </row>
    <row r="788" spans="1:34" x14ac:dyDescent="0.25">
      <c r="A788" t="s">
        <v>2631</v>
      </c>
      <c r="B788">
        <v>787</v>
      </c>
      <c r="C788" t="s">
        <v>487</v>
      </c>
      <c r="D788" t="s">
        <v>247</v>
      </c>
      <c r="E788" t="s">
        <v>575</v>
      </c>
      <c r="F788" t="s">
        <v>3158</v>
      </c>
      <c r="G788" s="25">
        <v>44311</v>
      </c>
      <c r="H788">
        <v>23</v>
      </c>
      <c r="I788">
        <v>115</v>
      </c>
      <c r="J788" t="s">
        <v>3160</v>
      </c>
      <c r="K788" t="s">
        <v>876</v>
      </c>
      <c r="L788" t="s">
        <v>231</v>
      </c>
      <c r="M788" t="s">
        <v>926</v>
      </c>
      <c r="N788" t="s">
        <v>185</v>
      </c>
      <c r="O788" t="s">
        <v>953</v>
      </c>
      <c r="P788" t="s">
        <v>867</v>
      </c>
      <c r="Q788" t="s">
        <v>986</v>
      </c>
      <c r="R788" t="s">
        <v>987</v>
      </c>
      <c r="S788" t="s">
        <v>232</v>
      </c>
      <c r="T788" t="s">
        <v>500</v>
      </c>
      <c r="U788" t="s">
        <v>265</v>
      </c>
      <c r="V788" t="s">
        <v>234</v>
      </c>
      <c r="W788" t="s">
        <v>52</v>
      </c>
      <c r="X788" t="s">
        <v>235</v>
      </c>
      <c r="Y788" t="s">
        <v>266</v>
      </c>
      <c r="Z788">
        <v>2463</v>
      </c>
      <c r="AA788">
        <v>2463</v>
      </c>
      <c r="AB788" t="s">
        <v>237</v>
      </c>
      <c r="AC788">
        <v>5.34</v>
      </c>
      <c r="AD788">
        <v>13152.42</v>
      </c>
      <c r="AE788">
        <v>3990.06</v>
      </c>
      <c r="AF788" t="s">
        <v>870</v>
      </c>
      <c r="AG788">
        <v>9162.36</v>
      </c>
      <c r="AH788">
        <v>0.7</v>
      </c>
    </row>
    <row r="789" spans="1:34" x14ac:dyDescent="0.25">
      <c r="A789" t="s">
        <v>1967</v>
      </c>
      <c r="B789">
        <v>788</v>
      </c>
      <c r="C789" t="s">
        <v>487</v>
      </c>
      <c r="D789" t="s">
        <v>247</v>
      </c>
      <c r="E789" t="s">
        <v>575</v>
      </c>
      <c r="F789" t="s">
        <v>3158</v>
      </c>
      <c r="G789" s="25">
        <v>44311</v>
      </c>
      <c r="H789">
        <v>23</v>
      </c>
      <c r="I789">
        <v>115</v>
      </c>
      <c r="J789" t="s">
        <v>3160</v>
      </c>
      <c r="K789" t="s">
        <v>921</v>
      </c>
      <c r="L789" t="s">
        <v>231</v>
      </c>
      <c r="M789" t="s">
        <v>926</v>
      </c>
      <c r="N789" t="s">
        <v>185</v>
      </c>
      <c r="O789" t="s">
        <v>953</v>
      </c>
      <c r="P789" t="s">
        <v>867</v>
      </c>
      <c r="Q789" t="s">
        <v>986</v>
      </c>
      <c r="R789" t="s">
        <v>987</v>
      </c>
      <c r="S789" t="s">
        <v>232</v>
      </c>
      <c r="T789" t="s">
        <v>500</v>
      </c>
      <c r="U789" t="s">
        <v>265</v>
      </c>
      <c r="V789" t="s">
        <v>234</v>
      </c>
      <c r="W789" t="s">
        <v>52</v>
      </c>
      <c r="X789" t="s">
        <v>235</v>
      </c>
      <c r="Y789" t="s">
        <v>266</v>
      </c>
      <c r="Z789">
        <v>2508</v>
      </c>
      <c r="AA789">
        <v>2508</v>
      </c>
      <c r="AB789" t="s">
        <v>237</v>
      </c>
      <c r="AC789">
        <v>5.34</v>
      </c>
      <c r="AD789">
        <v>13392.72</v>
      </c>
      <c r="AE789">
        <v>4062.96</v>
      </c>
      <c r="AF789" t="s">
        <v>870</v>
      </c>
      <c r="AG789">
        <v>9329.76</v>
      </c>
      <c r="AH789">
        <v>0.7</v>
      </c>
    </row>
    <row r="790" spans="1:34" x14ac:dyDescent="0.25">
      <c r="A790" t="s">
        <v>2895</v>
      </c>
      <c r="B790">
        <v>789</v>
      </c>
      <c r="C790" t="s">
        <v>487</v>
      </c>
      <c r="D790" t="s">
        <v>247</v>
      </c>
      <c r="E790" t="s">
        <v>575</v>
      </c>
      <c r="F790" t="s">
        <v>3158</v>
      </c>
      <c r="G790" s="25">
        <v>44311</v>
      </c>
      <c r="H790">
        <v>23</v>
      </c>
      <c r="I790">
        <v>115</v>
      </c>
      <c r="J790" t="s">
        <v>3160</v>
      </c>
      <c r="K790" t="s">
        <v>956</v>
      </c>
      <c r="L790" t="s">
        <v>231</v>
      </c>
      <c r="M790" t="s">
        <v>926</v>
      </c>
      <c r="N790" t="s">
        <v>185</v>
      </c>
      <c r="O790" t="s">
        <v>953</v>
      </c>
      <c r="P790" t="s">
        <v>867</v>
      </c>
      <c r="Q790" t="s">
        <v>986</v>
      </c>
      <c r="R790" t="s">
        <v>987</v>
      </c>
      <c r="S790" t="s">
        <v>232</v>
      </c>
      <c r="T790" t="s">
        <v>500</v>
      </c>
      <c r="U790" t="s">
        <v>265</v>
      </c>
      <c r="V790" t="s">
        <v>234</v>
      </c>
      <c r="W790" t="s">
        <v>52</v>
      </c>
      <c r="X790" t="s">
        <v>235</v>
      </c>
      <c r="Y790" t="s">
        <v>266</v>
      </c>
      <c r="Z790">
        <v>2534</v>
      </c>
      <c r="AA790">
        <v>2534</v>
      </c>
      <c r="AB790" t="s">
        <v>237</v>
      </c>
      <c r="AC790">
        <v>5.34</v>
      </c>
      <c r="AD790">
        <v>13531.56</v>
      </c>
      <c r="AE790">
        <v>4105.08</v>
      </c>
      <c r="AF790" t="s">
        <v>870</v>
      </c>
      <c r="AG790">
        <v>9426.48</v>
      </c>
      <c r="AH790">
        <v>0.7</v>
      </c>
    </row>
    <row r="791" spans="1:34" x14ac:dyDescent="0.25">
      <c r="A791" t="s">
        <v>2574</v>
      </c>
      <c r="B791">
        <v>790</v>
      </c>
      <c r="C791" t="s">
        <v>487</v>
      </c>
      <c r="D791" t="s">
        <v>247</v>
      </c>
      <c r="E791" t="s">
        <v>575</v>
      </c>
      <c r="F791" t="s">
        <v>3158</v>
      </c>
      <c r="G791" s="25">
        <v>44311</v>
      </c>
      <c r="H791">
        <v>23</v>
      </c>
      <c r="I791">
        <v>115</v>
      </c>
      <c r="J791" t="s">
        <v>3159</v>
      </c>
      <c r="K791" t="s">
        <v>921</v>
      </c>
      <c r="L791" t="s">
        <v>231</v>
      </c>
      <c r="M791" t="s">
        <v>872</v>
      </c>
      <c r="N791" t="s">
        <v>184</v>
      </c>
      <c r="O791" t="s">
        <v>1212</v>
      </c>
      <c r="P791" t="s">
        <v>867</v>
      </c>
      <c r="Q791" t="s">
        <v>1213</v>
      </c>
      <c r="R791" t="s">
        <v>1214</v>
      </c>
      <c r="S791" t="s">
        <v>232</v>
      </c>
      <c r="T791" t="s">
        <v>500</v>
      </c>
      <c r="U791" t="s">
        <v>265</v>
      </c>
      <c r="V791" t="s">
        <v>234</v>
      </c>
      <c r="W791" t="s">
        <v>52</v>
      </c>
      <c r="X791" t="s">
        <v>235</v>
      </c>
      <c r="Y791" t="s">
        <v>266</v>
      </c>
      <c r="Z791">
        <v>2753</v>
      </c>
      <c r="AA791">
        <v>2753</v>
      </c>
      <c r="AB791" t="s">
        <v>237</v>
      </c>
      <c r="AC791">
        <v>5.34</v>
      </c>
      <c r="AD791">
        <v>14701.02</v>
      </c>
      <c r="AE791">
        <v>4459.8599999999997</v>
      </c>
      <c r="AF791" t="s">
        <v>870</v>
      </c>
      <c r="AG791">
        <v>10241.16</v>
      </c>
      <c r="AH791">
        <v>0.7</v>
      </c>
    </row>
    <row r="792" spans="1:34" x14ac:dyDescent="0.25">
      <c r="A792" t="s">
        <v>2306</v>
      </c>
      <c r="B792">
        <v>791</v>
      </c>
      <c r="C792" t="s">
        <v>487</v>
      </c>
      <c r="D792" t="s">
        <v>247</v>
      </c>
      <c r="E792" t="s">
        <v>575</v>
      </c>
      <c r="F792" t="s">
        <v>3158</v>
      </c>
      <c r="G792" s="25">
        <v>44311</v>
      </c>
      <c r="H792">
        <v>23</v>
      </c>
      <c r="I792">
        <v>115</v>
      </c>
      <c r="J792" t="s">
        <v>3161</v>
      </c>
      <c r="K792" t="s">
        <v>876</v>
      </c>
      <c r="L792" t="s">
        <v>231</v>
      </c>
      <c r="M792" t="s">
        <v>888</v>
      </c>
      <c r="N792" t="s">
        <v>184</v>
      </c>
      <c r="O792" t="s">
        <v>978</v>
      </c>
      <c r="P792" t="s">
        <v>867</v>
      </c>
      <c r="Q792" t="s">
        <v>979</v>
      </c>
      <c r="R792" t="s">
        <v>980</v>
      </c>
      <c r="S792" t="s">
        <v>232</v>
      </c>
      <c r="T792" t="s">
        <v>500</v>
      </c>
      <c r="U792" t="s">
        <v>265</v>
      </c>
      <c r="V792" t="s">
        <v>234</v>
      </c>
      <c r="W792" t="s">
        <v>52</v>
      </c>
      <c r="X792" t="s">
        <v>235</v>
      </c>
      <c r="Y792" t="s">
        <v>266</v>
      </c>
      <c r="Z792">
        <v>2927</v>
      </c>
      <c r="AA792">
        <v>2927</v>
      </c>
      <c r="AB792" t="s">
        <v>237</v>
      </c>
      <c r="AC792">
        <v>5.34</v>
      </c>
      <c r="AD792">
        <v>15630.18</v>
      </c>
      <c r="AE792">
        <v>4741.74</v>
      </c>
      <c r="AF792" t="s">
        <v>870</v>
      </c>
      <c r="AG792">
        <v>10888.44</v>
      </c>
      <c r="AH792">
        <v>0.7</v>
      </c>
    </row>
    <row r="793" spans="1:34" x14ac:dyDescent="0.25">
      <c r="A793" t="s">
        <v>2314</v>
      </c>
      <c r="B793">
        <v>792</v>
      </c>
      <c r="C793" t="s">
        <v>487</v>
      </c>
      <c r="D793" t="s">
        <v>247</v>
      </c>
      <c r="E793" t="s">
        <v>575</v>
      </c>
      <c r="F793" t="s">
        <v>3158</v>
      </c>
      <c r="G793" s="25">
        <v>44311</v>
      </c>
      <c r="H793">
        <v>23</v>
      </c>
      <c r="I793">
        <v>115</v>
      </c>
      <c r="J793" t="s">
        <v>3161</v>
      </c>
      <c r="K793" t="s">
        <v>921</v>
      </c>
      <c r="L793" t="s">
        <v>231</v>
      </c>
      <c r="M793" t="s">
        <v>888</v>
      </c>
      <c r="N793" t="s">
        <v>184</v>
      </c>
      <c r="O793" t="s">
        <v>978</v>
      </c>
      <c r="P793" t="s">
        <v>867</v>
      </c>
      <c r="Q793" t="s">
        <v>979</v>
      </c>
      <c r="R793" t="s">
        <v>980</v>
      </c>
      <c r="S793" t="s">
        <v>232</v>
      </c>
      <c r="T793" t="s">
        <v>500</v>
      </c>
      <c r="U793" t="s">
        <v>265</v>
      </c>
      <c r="V793" t="s">
        <v>234</v>
      </c>
      <c r="W793" t="s">
        <v>52</v>
      </c>
      <c r="X793" t="s">
        <v>235</v>
      </c>
      <c r="Y793" t="s">
        <v>266</v>
      </c>
      <c r="Z793">
        <v>2390</v>
      </c>
      <c r="AA793">
        <v>2390</v>
      </c>
      <c r="AB793" t="s">
        <v>237</v>
      </c>
      <c r="AC793">
        <v>5.34</v>
      </c>
      <c r="AD793">
        <v>12762.6</v>
      </c>
      <c r="AE793">
        <v>3871.8</v>
      </c>
      <c r="AF793" t="s">
        <v>870</v>
      </c>
      <c r="AG793">
        <v>8890.7999999999993</v>
      </c>
      <c r="AH793">
        <v>0.7</v>
      </c>
    </row>
    <row r="794" spans="1:34" x14ac:dyDescent="0.25">
      <c r="A794" t="s">
        <v>2443</v>
      </c>
      <c r="B794">
        <v>793</v>
      </c>
      <c r="C794" t="s">
        <v>487</v>
      </c>
      <c r="D794" t="s">
        <v>247</v>
      </c>
      <c r="E794" t="s">
        <v>575</v>
      </c>
      <c r="F794" t="s">
        <v>3158</v>
      </c>
      <c r="G794" s="25">
        <v>44311</v>
      </c>
      <c r="H794">
        <v>23</v>
      </c>
      <c r="I794">
        <v>115</v>
      </c>
      <c r="J794" t="s">
        <v>3159</v>
      </c>
      <c r="K794" t="s">
        <v>876</v>
      </c>
      <c r="L794" t="s">
        <v>231</v>
      </c>
      <c r="M794" t="s">
        <v>872</v>
      </c>
      <c r="N794" t="s">
        <v>184</v>
      </c>
      <c r="O794" t="s">
        <v>1212</v>
      </c>
      <c r="P794" t="s">
        <v>867</v>
      </c>
      <c r="Q794" t="s">
        <v>1213</v>
      </c>
      <c r="R794" t="s">
        <v>1214</v>
      </c>
      <c r="S794" t="s">
        <v>232</v>
      </c>
      <c r="T794" t="s">
        <v>491</v>
      </c>
      <c r="U794" t="s">
        <v>233</v>
      </c>
      <c r="V794" t="s">
        <v>234</v>
      </c>
      <c r="W794" t="s">
        <v>54</v>
      </c>
      <c r="X794" t="s">
        <v>235</v>
      </c>
      <c r="Y794" t="s">
        <v>236</v>
      </c>
      <c r="Z794">
        <v>2153</v>
      </c>
      <c r="AA794">
        <v>2153</v>
      </c>
      <c r="AB794" t="s">
        <v>237</v>
      </c>
      <c r="AC794">
        <v>6.09</v>
      </c>
      <c r="AD794">
        <v>13111.77</v>
      </c>
      <c r="AE794">
        <v>4887.3100000000004</v>
      </c>
      <c r="AF794" t="s">
        <v>870</v>
      </c>
      <c r="AG794">
        <v>8224.4599999999991</v>
      </c>
      <c r="AH794">
        <v>0.63</v>
      </c>
    </row>
    <row r="795" spans="1:34" x14ac:dyDescent="0.25">
      <c r="A795" t="s">
        <v>1730</v>
      </c>
      <c r="B795">
        <v>794</v>
      </c>
      <c r="C795" t="s">
        <v>487</v>
      </c>
      <c r="D795" t="s">
        <v>247</v>
      </c>
      <c r="E795" t="s">
        <v>575</v>
      </c>
      <c r="F795" t="s">
        <v>3158</v>
      </c>
      <c r="G795" s="25">
        <v>44311</v>
      </c>
      <c r="H795">
        <v>23</v>
      </c>
      <c r="I795">
        <v>115</v>
      </c>
      <c r="J795" t="s">
        <v>3161</v>
      </c>
      <c r="K795" t="s">
        <v>510</v>
      </c>
      <c r="L795" t="s">
        <v>231</v>
      </c>
      <c r="M795" t="s">
        <v>888</v>
      </c>
      <c r="N795" t="s">
        <v>184</v>
      </c>
      <c r="O795" t="s">
        <v>978</v>
      </c>
      <c r="P795" t="s">
        <v>867</v>
      </c>
      <c r="Q795" t="s">
        <v>979</v>
      </c>
      <c r="R795" t="s">
        <v>980</v>
      </c>
      <c r="S795" t="s">
        <v>232</v>
      </c>
      <c r="T795" t="s">
        <v>491</v>
      </c>
      <c r="U795" t="s">
        <v>233</v>
      </c>
      <c r="V795" t="s">
        <v>234</v>
      </c>
      <c r="W795" t="s">
        <v>54</v>
      </c>
      <c r="X795" t="s">
        <v>235</v>
      </c>
      <c r="Y795" t="s">
        <v>236</v>
      </c>
      <c r="Z795">
        <v>2127</v>
      </c>
      <c r="AA795">
        <v>2127</v>
      </c>
      <c r="AB795" t="s">
        <v>237</v>
      </c>
      <c r="AC795">
        <v>6.09</v>
      </c>
      <c r="AD795">
        <v>12953.43</v>
      </c>
      <c r="AE795">
        <v>4828.29</v>
      </c>
      <c r="AF795" t="s">
        <v>870</v>
      </c>
      <c r="AG795">
        <v>8125.14</v>
      </c>
      <c r="AH795">
        <v>0.63</v>
      </c>
    </row>
    <row r="796" spans="1:34" x14ac:dyDescent="0.25">
      <c r="A796" t="s">
        <v>2151</v>
      </c>
      <c r="B796">
        <v>795</v>
      </c>
      <c r="C796" t="s">
        <v>487</v>
      </c>
      <c r="D796" t="s">
        <v>247</v>
      </c>
      <c r="E796" t="s">
        <v>620</v>
      </c>
      <c r="F796" t="s">
        <v>3162</v>
      </c>
      <c r="G796" s="25">
        <v>44312</v>
      </c>
      <c r="H796">
        <v>24</v>
      </c>
      <c r="I796">
        <v>116</v>
      </c>
      <c r="J796" t="s">
        <v>3163</v>
      </c>
      <c r="K796" t="s">
        <v>921</v>
      </c>
      <c r="L796" t="s">
        <v>231</v>
      </c>
      <c r="M796" t="s">
        <v>872</v>
      </c>
      <c r="N796" t="s">
        <v>184</v>
      </c>
      <c r="O796" t="s">
        <v>962</v>
      </c>
      <c r="P796" t="s">
        <v>867</v>
      </c>
      <c r="Q796" t="s">
        <v>963</v>
      </c>
      <c r="R796" t="s">
        <v>964</v>
      </c>
      <c r="S796" t="s">
        <v>239</v>
      </c>
      <c r="T796" t="s">
        <v>500</v>
      </c>
      <c r="U796" t="s">
        <v>265</v>
      </c>
      <c r="V796" t="s">
        <v>234</v>
      </c>
      <c r="W796" t="s">
        <v>52</v>
      </c>
      <c r="X796" t="s">
        <v>235</v>
      </c>
      <c r="Y796" t="s">
        <v>266</v>
      </c>
      <c r="Z796">
        <v>2445</v>
      </c>
      <c r="AA796">
        <v>2445</v>
      </c>
      <c r="AB796" t="s">
        <v>237</v>
      </c>
      <c r="AC796">
        <v>5.23</v>
      </c>
      <c r="AD796">
        <v>12787.35</v>
      </c>
      <c r="AE796">
        <v>3960.9</v>
      </c>
      <c r="AF796" t="s">
        <v>870</v>
      </c>
      <c r="AG796">
        <v>8826.4500000000007</v>
      </c>
      <c r="AH796">
        <v>0.69</v>
      </c>
    </row>
    <row r="797" spans="1:34" x14ac:dyDescent="0.25">
      <c r="A797" t="s">
        <v>1974</v>
      </c>
      <c r="B797">
        <v>796</v>
      </c>
      <c r="C797" t="s">
        <v>487</v>
      </c>
      <c r="D797" t="s">
        <v>247</v>
      </c>
      <c r="E797" t="s">
        <v>620</v>
      </c>
      <c r="F797" t="s">
        <v>3162</v>
      </c>
      <c r="G797" s="25">
        <v>44312</v>
      </c>
      <c r="H797">
        <v>24</v>
      </c>
      <c r="I797">
        <v>116</v>
      </c>
      <c r="J797" t="s">
        <v>3163</v>
      </c>
      <c r="K797" t="s">
        <v>876</v>
      </c>
      <c r="L797" t="s">
        <v>231</v>
      </c>
      <c r="M797" t="s">
        <v>872</v>
      </c>
      <c r="N797" t="s">
        <v>184</v>
      </c>
      <c r="O797" t="s">
        <v>962</v>
      </c>
      <c r="P797" t="s">
        <v>867</v>
      </c>
      <c r="Q797" t="s">
        <v>963</v>
      </c>
      <c r="R797" t="s">
        <v>964</v>
      </c>
      <c r="S797" t="s">
        <v>239</v>
      </c>
      <c r="T797" t="s">
        <v>500</v>
      </c>
      <c r="U797" t="s">
        <v>265</v>
      </c>
      <c r="V797" t="s">
        <v>234</v>
      </c>
      <c r="W797" t="s">
        <v>52</v>
      </c>
      <c r="X797" t="s">
        <v>235</v>
      </c>
      <c r="Y797" t="s">
        <v>266</v>
      </c>
      <c r="Z797">
        <v>2857</v>
      </c>
      <c r="AA797">
        <v>2857</v>
      </c>
      <c r="AB797" t="s">
        <v>237</v>
      </c>
      <c r="AC797">
        <v>5.23</v>
      </c>
      <c r="AD797">
        <v>14942.11</v>
      </c>
      <c r="AE797">
        <v>4628.34</v>
      </c>
      <c r="AF797" t="s">
        <v>870</v>
      </c>
      <c r="AG797">
        <v>10313.77</v>
      </c>
      <c r="AH797">
        <v>0.69</v>
      </c>
    </row>
    <row r="798" spans="1:34" x14ac:dyDescent="0.25">
      <c r="A798" t="s">
        <v>2770</v>
      </c>
      <c r="B798">
        <v>797</v>
      </c>
      <c r="C798" t="s">
        <v>487</v>
      </c>
      <c r="D798" t="s">
        <v>247</v>
      </c>
      <c r="E798" t="s">
        <v>620</v>
      </c>
      <c r="F798" t="s">
        <v>3162</v>
      </c>
      <c r="G798" s="25">
        <v>44312</v>
      </c>
      <c r="H798">
        <v>24</v>
      </c>
      <c r="I798">
        <v>116</v>
      </c>
      <c r="J798" t="s">
        <v>3163</v>
      </c>
      <c r="K798" t="s">
        <v>510</v>
      </c>
      <c r="L798" t="s">
        <v>231</v>
      </c>
      <c r="M798" t="s">
        <v>872</v>
      </c>
      <c r="N798" t="s">
        <v>184</v>
      </c>
      <c r="O798" t="s">
        <v>962</v>
      </c>
      <c r="P798" t="s">
        <v>867</v>
      </c>
      <c r="Q798" t="s">
        <v>963</v>
      </c>
      <c r="R798" t="s">
        <v>964</v>
      </c>
      <c r="S798" t="s">
        <v>239</v>
      </c>
      <c r="T798" t="s">
        <v>500</v>
      </c>
      <c r="U798" t="s">
        <v>265</v>
      </c>
      <c r="V798" t="s">
        <v>234</v>
      </c>
      <c r="W798" t="s">
        <v>52</v>
      </c>
      <c r="X798" t="s">
        <v>235</v>
      </c>
      <c r="Y798" t="s">
        <v>266</v>
      </c>
      <c r="Z798">
        <v>2789</v>
      </c>
      <c r="AA798">
        <v>2789</v>
      </c>
      <c r="AB798" t="s">
        <v>237</v>
      </c>
      <c r="AC798">
        <v>5.23</v>
      </c>
      <c r="AD798">
        <v>14586.47</v>
      </c>
      <c r="AE798">
        <v>4518.18</v>
      </c>
      <c r="AF798" t="s">
        <v>870</v>
      </c>
      <c r="AG798">
        <v>10068.290000000001</v>
      </c>
      <c r="AH798">
        <v>0.69</v>
      </c>
    </row>
    <row r="799" spans="1:34" x14ac:dyDescent="0.25">
      <c r="A799" t="s">
        <v>2034</v>
      </c>
      <c r="B799">
        <v>798</v>
      </c>
      <c r="C799" t="s">
        <v>487</v>
      </c>
      <c r="D799" t="s">
        <v>247</v>
      </c>
      <c r="E799" t="s">
        <v>620</v>
      </c>
      <c r="F799" t="s">
        <v>3162</v>
      </c>
      <c r="G799" s="25">
        <v>44312</v>
      </c>
      <c r="H799">
        <v>24</v>
      </c>
      <c r="I799">
        <v>116</v>
      </c>
      <c r="J799" t="s">
        <v>3164</v>
      </c>
      <c r="K799" t="s">
        <v>921</v>
      </c>
      <c r="L799" t="s">
        <v>231</v>
      </c>
      <c r="M799" t="s">
        <v>911</v>
      </c>
      <c r="N799" t="s">
        <v>186</v>
      </c>
      <c r="O799" t="s">
        <v>970</v>
      </c>
      <c r="P799" t="s">
        <v>867</v>
      </c>
      <c r="Q799" t="s">
        <v>1265</v>
      </c>
      <c r="R799" t="s">
        <v>1266</v>
      </c>
      <c r="S799" t="s">
        <v>239</v>
      </c>
      <c r="T799" t="s">
        <v>500</v>
      </c>
      <c r="U799" t="s">
        <v>265</v>
      </c>
      <c r="V799" t="s">
        <v>234</v>
      </c>
      <c r="W799" t="s">
        <v>52</v>
      </c>
      <c r="X799" t="s">
        <v>235</v>
      </c>
      <c r="Y799" t="s">
        <v>266</v>
      </c>
      <c r="Z799">
        <v>2981</v>
      </c>
      <c r="AA799">
        <v>2981</v>
      </c>
      <c r="AB799" t="s">
        <v>237</v>
      </c>
      <c r="AC799">
        <v>5.23</v>
      </c>
      <c r="AD799">
        <v>15590.63</v>
      </c>
      <c r="AE799">
        <v>4829.22</v>
      </c>
      <c r="AF799" t="s">
        <v>870</v>
      </c>
      <c r="AG799">
        <v>10761.41</v>
      </c>
      <c r="AH799">
        <v>0.69</v>
      </c>
    </row>
    <row r="800" spans="1:34" x14ac:dyDescent="0.25">
      <c r="A800" t="s">
        <v>2516</v>
      </c>
      <c r="B800">
        <v>799</v>
      </c>
      <c r="C800" t="s">
        <v>487</v>
      </c>
      <c r="D800" t="s">
        <v>247</v>
      </c>
      <c r="E800" t="s">
        <v>620</v>
      </c>
      <c r="F800" t="s">
        <v>3162</v>
      </c>
      <c r="G800" s="25">
        <v>44312</v>
      </c>
      <c r="H800">
        <v>24</v>
      </c>
      <c r="I800">
        <v>116</v>
      </c>
      <c r="J800" t="s">
        <v>3164</v>
      </c>
      <c r="K800" t="s">
        <v>876</v>
      </c>
      <c r="L800" t="s">
        <v>231</v>
      </c>
      <c r="M800" t="s">
        <v>911</v>
      </c>
      <c r="N800" t="s">
        <v>186</v>
      </c>
      <c r="O800" t="s">
        <v>970</v>
      </c>
      <c r="P800" t="s">
        <v>867</v>
      </c>
      <c r="Q800" t="s">
        <v>1265</v>
      </c>
      <c r="R800" t="s">
        <v>1266</v>
      </c>
      <c r="S800" t="s">
        <v>239</v>
      </c>
      <c r="T800" t="s">
        <v>500</v>
      </c>
      <c r="U800" t="s">
        <v>265</v>
      </c>
      <c r="V800" t="s">
        <v>234</v>
      </c>
      <c r="W800" t="s">
        <v>52</v>
      </c>
      <c r="X800" t="s">
        <v>235</v>
      </c>
      <c r="Y800" t="s">
        <v>266</v>
      </c>
      <c r="Z800">
        <v>2522</v>
      </c>
      <c r="AA800">
        <v>2522</v>
      </c>
      <c r="AB800" t="s">
        <v>237</v>
      </c>
      <c r="AC800">
        <v>5.23</v>
      </c>
      <c r="AD800">
        <v>13190.06</v>
      </c>
      <c r="AE800">
        <v>4085.64</v>
      </c>
      <c r="AF800" t="s">
        <v>870</v>
      </c>
      <c r="AG800">
        <v>9104.42</v>
      </c>
      <c r="AH800">
        <v>0.69</v>
      </c>
    </row>
    <row r="801" spans="1:34" x14ac:dyDescent="0.25">
      <c r="A801" t="s">
        <v>2854</v>
      </c>
      <c r="B801">
        <v>800</v>
      </c>
      <c r="C801" t="s">
        <v>487</v>
      </c>
      <c r="D801" t="s">
        <v>247</v>
      </c>
      <c r="E801" t="s">
        <v>620</v>
      </c>
      <c r="F801" t="s">
        <v>3162</v>
      </c>
      <c r="G801" s="25">
        <v>44312</v>
      </c>
      <c r="H801">
        <v>24</v>
      </c>
      <c r="I801">
        <v>116</v>
      </c>
      <c r="J801" t="s">
        <v>3164</v>
      </c>
      <c r="K801" t="s">
        <v>510</v>
      </c>
      <c r="L801" t="s">
        <v>231</v>
      </c>
      <c r="M801" t="s">
        <v>911</v>
      </c>
      <c r="N801" t="s">
        <v>186</v>
      </c>
      <c r="O801" t="s">
        <v>970</v>
      </c>
      <c r="P801" t="s">
        <v>867</v>
      </c>
      <c r="Q801" t="s">
        <v>1265</v>
      </c>
      <c r="R801" t="s">
        <v>1266</v>
      </c>
      <c r="S801" t="s">
        <v>239</v>
      </c>
      <c r="T801" t="s">
        <v>500</v>
      </c>
      <c r="U801" t="s">
        <v>265</v>
      </c>
      <c r="V801" t="s">
        <v>234</v>
      </c>
      <c r="W801" t="s">
        <v>52</v>
      </c>
      <c r="X801" t="s">
        <v>235</v>
      </c>
      <c r="Y801" t="s">
        <v>266</v>
      </c>
      <c r="Z801">
        <v>2956</v>
      </c>
      <c r="AA801">
        <v>2956</v>
      </c>
      <c r="AB801" t="s">
        <v>237</v>
      </c>
      <c r="AC801">
        <v>5.23</v>
      </c>
      <c r="AD801">
        <v>15459.88</v>
      </c>
      <c r="AE801">
        <v>4788.72</v>
      </c>
      <c r="AF801" t="s">
        <v>870</v>
      </c>
      <c r="AG801">
        <v>10671.16</v>
      </c>
      <c r="AH801">
        <v>0.69</v>
      </c>
    </row>
    <row r="802" spans="1:34" x14ac:dyDescent="0.25">
      <c r="A802" t="s">
        <v>2343</v>
      </c>
      <c r="B802">
        <v>801</v>
      </c>
      <c r="C802" t="s">
        <v>487</v>
      </c>
      <c r="D802" t="s">
        <v>247</v>
      </c>
      <c r="E802" t="s">
        <v>620</v>
      </c>
      <c r="F802" t="s">
        <v>3162</v>
      </c>
      <c r="G802" s="25">
        <v>44312</v>
      </c>
      <c r="H802">
        <v>24</v>
      </c>
      <c r="I802">
        <v>116</v>
      </c>
      <c r="J802" t="s">
        <v>3165</v>
      </c>
      <c r="K802" t="s">
        <v>510</v>
      </c>
      <c r="L802" t="s">
        <v>231</v>
      </c>
      <c r="M802" t="s">
        <v>872</v>
      </c>
      <c r="N802" t="s">
        <v>184</v>
      </c>
      <c r="O802" t="s">
        <v>1057</v>
      </c>
      <c r="P802" t="s">
        <v>867</v>
      </c>
      <c r="Q802" t="s">
        <v>3121</v>
      </c>
      <c r="R802" t="s">
        <v>3122</v>
      </c>
      <c r="S802" t="s">
        <v>232</v>
      </c>
      <c r="T802" t="s">
        <v>500</v>
      </c>
      <c r="U802" t="s">
        <v>265</v>
      </c>
      <c r="V802" t="s">
        <v>234</v>
      </c>
      <c r="W802" t="s">
        <v>52</v>
      </c>
      <c r="X802" t="s">
        <v>235</v>
      </c>
      <c r="Y802" t="s">
        <v>266</v>
      </c>
      <c r="Z802">
        <v>2616</v>
      </c>
      <c r="AA802">
        <v>2616</v>
      </c>
      <c r="AB802" t="s">
        <v>237</v>
      </c>
      <c r="AC802">
        <v>5.34</v>
      </c>
      <c r="AD802">
        <v>13969.44</v>
      </c>
      <c r="AE802">
        <v>4237.92</v>
      </c>
      <c r="AF802" t="s">
        <v>870</v>
      </c>
      <c r="AG802">
        <v>9731.52</v>
      </c>
      <c r="AH802">
        <v>0.7</v>
      </c>
    </row>
    <row r="803" spans="1:34" x14ac:dyDescent="0.25">
      <c r="A803" t="s">
        <v>2396</v>
      </c>
      <c r="B803">
        <v>802</v>
      </c>
      <c r="C803" t="s">
        <v>487</v>
      </c>
      <c r="D803" t="s">
        <v>247</v>
      </c>
      <c r="E803" t="s">
        <v>620</v>
      </c>
      <c r="F803" t="s">
        <v>3162</v>
      </c>
      <c r="G803" s="25">
        <v>44312</v>
      </c>
      <c r="H803">
        <v>24</v>
      </c>
      <c r="I803">
        <v>116</v>
      </c>
      <c r="J803" t="s">
        <v>3165</v>
      </c>
      <c r="K803" t="s">
        <v>921</v>
      </c>
      <c r="L803" t="s">
        <v>231</v>
      </c>
      <c r="M803" t="s">
        <v>872</v>
      </c>
      <c r="N803" t="s">
        <v>184</v>
      </c>
      <c r="O803" t="s">
        <v>1057</v>
      </c>
      <c r="P803" t="s">
        <v>867</v>
      </c>
      <c r="Q803" t="s">
        <v>3121</v>
      </c>
      <c r="R803" t="s">
        <v>3122</v>
      </c>
      <c r="S803" t="s">
        <v>232</v>
      </c>
      <c r="T803" t="s">
        <v>500</v>
      </c>
      <c r="U803" t="s">
        <v>265</v>
      </c>
      <c r="V803" t="s">
        <v>234</v>
      </c>
      <c r="W803" t="s">
        <v>52</v>
      </c>
      <c r="X803" t="s">
        <v>235</v>
      </c>
      <c r="Y803" t="s">
        <v>266</v>
      </c>
      <c r="Z803">
        <v>2718</v>
      </c>
      <c r="AA803">
        <v>2718</v>
      </c>
      <c r="AB803" t="s">
        <v>237</v>
      </c>
      <c r="AC803">
        <v>5.34</v>
      </c>
      <c r="AD803">
        <v>14514.12</v>
      </c>
      <c r="AE803">
        <v>4403.16</v>
      </c>
      <c r="AF803" t="s">
        <v>870</v>
      </c>
      <c r="AG803">
        <v>10110.959999999999</v>
      </c>
      <c r="AH803">
        <v>0.7</v>
      </c>
    </row>
    <row r="804" spans="1:34" x14ac:dyDescent="0.25">
      <c r="A804" t="s">
        <v>1869</v>
      </c>
      <c r="B804">
        <v>803</v>
      </c>
      <c r="C804" t="s">
        <v>487</v>
      </c>
      <c r="D804" t="s">
        <v>247</v>
      </c>
      <c r="E804" t="s">
        <v>620</v>
      </c>
      <c r="F804" t="s">
        <v>3162</v>
      </c>
      <c r="G804" s="25">
        <v>44312</v>
      </c>
      <c r="H804">
        <v>24</v>
      </c>
      <c r="I804">
        <v>116</v>
      </c>
      <c r="J804" t="s">
        <v>3165</v>
      </c>
      <c r="K804" t="s">
        <v>876</v>
      </c>
      <c r="L804" t="s">
        <v>231</v>
      </c>
      <c r="M804" t="s">
        <v>872</v>
      </c>
      <c r="N804" t="s">
        <v>184</v>
      </c>
      <c r="O804" t="s">
        <v>1057</v>
      </c>
      <c r="P804" t="s">
        <v>867</v>
      </c>
      <c r="Q804" t="s">
        <v>3121</v>
      </c>
      <c r="R804" t="s">
        <v>3122</v>
      </c>
      <c r="S804" t="s">
        <v>232</v>
      </c>
      <c r="T804" t="s">
        <v>503</v>
      </c>
      <c r="U804" t="s">
        <v>303</v>
      </c>
      <c r="V804" t="s">
        <v>234</v>
      </c>
      <c r="W804" t="s">
        <v>56</v>
      </c>
      <c r="X804" t="s">
        <v>235</v>
      </c>
      <c r="Y804" t="s">
        <v>304</v>
      </c>
      <c r="Z804">
        <v>2659</v>
      </c>
      <c r="AA804">
        <v>2659</v>
      </c>
      <c r="AB804" t="s">
        <v>237</v>
      </c>
      <c r="AC804">
        <v>4.9400000000000004</v>
      </c>
      <c r="AD804">
        <v>13135.46</v>
      </c>
      <c r="AE804">
        <v>6062.52</v>
      </c>
      <c r="AF804" t="s">
        <v>870</v>
      </c>
      <c r="AG804">
        <v>7072.94</v>
      </c>
      <c r="AH804">
        <v>0.54</v>
      </c>
    </row>
    <row r="805" spans="1:34" x14ac:dyDescent="0.25">
      <c r="A805" t="s">
        <v>1873</v>
      </c>
      <c r="B805">
        <v>804</v>
      </c>
      <c r="C805" t="s">
        <v>487</v>
      </c>
      <c r="D805" t="s">
        <v>247</v>
      </c>
      <c r="E805" t="s">
        <v>534</v>
      </c>
      <c r="F805" t="s">
        <v>3166</v>
      </c>
      <c r="G805" s="25">
        <v>44313</v>
      </c>
      <c r="H805">
        <v>24</v>
      </c>
      <c r="I805">
        <v>117</v>
      </c>
      <c r="J805" t="s">
        <v>3167</v>
      </c>
      <c r="K805" t="s">
        <v>921</v>
      </c>
      <c r="L805" t="s">
        <v>231</v>
      </c>
      <c r="M805" t="s">
        <v>872</v>
      </c>
      <c r="N805" t="s">
        <v>184</v>
      </c>
      <c r="O805" t="s">
        <v>962</v>
      </c>
      <c r="P805" t="s">
        <v>867</v>
      </c>
      <c r="Q805" t="s">
        <v>963</v>
      </c>
      <c r="R805" t="s">
        <v>964</v>
      </c>
      <c r="S805" t="s">
        <v>239</v>
      </c>
      <c r="T805" t="s">
        <v>491</v>
      </c>
      <c r="U805" t="s">
        <v>233</v>
      </c>
      <c r="V805" t="s">
        <v>234</v>
      </c>
      <c r="W805" t="s">
        <v>54</v>
      </c>
      <c r="X805" t="s">
        <v>235</v>
      </c>
      <c r="Y805" t="s">
        <v>236</v>
      </c>
      <c r="Z805">
        <v>1158</v>
      </c>
      <c r="AA805">
        <v>1158</v>
      </c>
      <c r="AB805" t="s">
        <v>237</v>
      </c>
      <c r="AC805">
        <v>5.97</v>
      </c>
      <c r="AD805">
        <v>6913.26</v>
      </c>
      <c r="AE805">
        <v>2628.66</v>
      </c>
      <c r="AF805" t="s">
        <v>870</v>
      </c>
      <c r="AG805">
        <v>4284.6000000000004</v>
      </c>
      <c r="AH805">
        <v>0.62</v>
      </c>
    </row>
    <row r="806" spans="1:34" x14ac:dyDescent="0.25">
      <c r="A806" t="s">
        <v>1902</v>
      </c>
      <c r="B806">
        <v>805</v>
      </c>
      <c r="C806" t="s">
        <v>487</v>
      </c>
      <c r="D806" t="s">
        <v>247</v>
      </c>
      <c r="E806" t="s">
        <v>534</v>
      </c>
      <c r="F806" t="s">
        <v>3166</v>
      </c>
      <c r="G806" s="25">
        <v>44313</v>
      </c>
      <c r="H806">
        <v>24</v>
      </c>
      <c r="I806">
        <v>117</v>
      </c>
      <c r="J806" t="s">
        <v>3167</v>
      </c>
      <c r="K806" t="s">
        <v>876</v>
      </c>
      <c r="L806" t="s">
        <v>231</v>
      </c>
      <c r="M806" t="s">
        <v>872</v>
      </c>
      <c r="N806" t="s">
        <v>184</v>
      </c>
      <c r="O806" t="s">
        <v>962</v>
      </c>
      <c r="P806" t="s">
        <v>867</v>
      </c>
      <c r="Q806" t="s">
        <v>963</v>
      </c>
      <c r="R806" t="s">
        <v>964</v>
      </c>
      <c r="S806" t="s">
        <v>239</v>
      </c>
      <c r="T806" t="s">
        <v>503</v>
      </c>
      <c r="U806" t="s">
        <v>303</v>
      </c>
      <c r="V806" t="s">
        <v>234</v>
      </c>
      <c r="W806" t="s">
        <v>56</v>
      </c>
      <c r="X806" t="s">
        <v>235</v>
      </c>
      <c r="Y806" t="s">
        <v>304</v>
      </c>
      <c r="Z806">
        <v>2945</v>
      </c>
      <c r="AA806">
        <v>2945</v>
      </c>
      <c r="AB806" t="s">
        <v>237</v>
      </c>
      <c r="AC806">
        <v>4.84</v>
      </c>
      <c r="AD806">
        <v>14253.8</v>
      </c>
      <c r="AE806">
        <v>6714.6</v>
      </c>
      <c r="AF806" t="s">
        <v>870</v>
      </c>
      <c r="AG806">
        <v>7539.2</v>
      </c>
      <c r="AH806">
        <v>0.53</v>
      </c>
    </row>
    <row r="807" spans="1:34" x14ac:dyDescent="0.25">
      <c r="A807" t="s">
        <v>2705</v>
      </c>
      <c r="B807">
        <v>806</v>
      </c>
      <c r="C807" t="s">
        <v>487</v>
      </c>
      <c r="D807" t="s">
        <v>247</v>
      </c>
      <c r="E807" t="s">
        <v>534</v>
      </c>
      <c r="F807" t="s">
        <v>3166</v>
      </c>
      <c r="G807" s="25">
        <v>44313</v>
      </c>
      <c r="H807">
        <v>24</v>
      </c>
      <c r="I807">
        <v>117</v>
      </c>
      <c r="J807" t="s">
        <v>3167</v>
      </c>
      <c r="K807" t="s">
        <v>510</v>
      </c>
      <c r="L807" t="s">
        <v>231</v>
      </c>
      <c r="M807" t="s">
        <v>872</v>
      </c>
      <c r="N807" t="s">
        <v>184</v>
      </c>
      <c r="O807" t="s">
        <v>962</v>
      </c>
      <c r="P807" t="s">
        <v>867</v>
      </c>
      <c r="Q807" t="s">
        <v>963</v>
      </c>
      <c r="R807" t="s">
        <v>964</v>
      </c>
      <c r="S807" t="s">
        <v>239</v>
      </c>
      <c r="T807" t="s">
        <v>503</v>
      </c>
      <c r="U807" t="s">
        <v>303</v>
      </c>
      <c r="V807" t="s">
        <v>234</v>
      </c>
      <c r="W807" t="s">
        <v>56</v>
      </c>
      <c r="X807" t="s">
        <v>235</v>
      </c>
      <c r="Y807" t="s">
        <v>304</v>
      </c>
      <c r="Z807">
        <v>2996</v>
      </c>
      <c r="AA807">
        <v>2996</v>
      </c>
      <c r="AB807" t="s">
        <v>237</v>
      </c>
      <c r="AC807">
        <v>4.84</v>
      </c>
      <c r="AD807">
        <v>14500.64</v>
      </c>
      <c r="AE807">
        <v>6830.88</v>
      </c>
      <c r="AF807" t="s">
        <v>870</v>
      </c>
      <c r="AG807">
        <v>7669.76</v>
      </c>
      <c r="AH807">
        <v>0.53</v>
      </c>
    </row>
    <row r="808" spans="1:34" x14ac:dyDescent="0.25">
      <c r="A808" t="s">
        <v>2680</v>
      </c>
      <c r="B808">
        <v>807</v>
      </c>
      <c r="C808" t="s">
        <v>487</v>
      </c>
      <c r="D808" t="s">
        <v>247</v>
      </c>
      <c r="E808" t="s">
        <v>534</v>
      </c>
      <c r="F808" t="s">
        <v>3166</v>
      </c>
      <c r="G808" s="25">
        <v>44313</v>
      </c>
      <c r="H808">
        <v>24</v>
      </c>
      <c r="I808">
        <v>117</v>
      </c>
      <c r="J808" t="s">
        <v>3168</v>
      </c>
      <c r="K808" t="s">
        <v>510</v>
      </c>
      <c r="L808" t="s">
        <v>231</v>
      </c>
      <c r="M808" t="s">
        <v>872</v>
      </c>
      <c r="N808" t="s">
        <v>184</v>
      </c>
      <c r="O808" t="s">
        <v>1180</v>
      </c>
      <c r="P808" t="s">
        <v>867</v>
      </c>
      <c r="Q808" t="s">
        <v>1181</v>
      </c>
      <c r="R808" t="s">
        <v>1182</v>
      </c>
      <c r="S808" t="s">
        <v>232</v>
      </c>
      <c r="T808" t="s">
        <v>503</v>
      </c>
      <c r="U808" t="s">
        <v>303</v>
      </c>
      <c r="V808" t="s">
        <v>234</v>
      </c>
      <c r="W808" t="s">
        <v>56</v>
      </c>
      <c r="X808" t="s">
        <v>235</v>
      </c>
      <c r="Y808" t="s">
        <v>304</v>
      </c>
      <c r="Z808">
        <v>3193</v>
      </c>
      <c r="AA808">
        <v>3193</v>
      </c>
      <c r="AB808" t="s">
        <v>237</v>
      </c>
      <c r="AC808">
        <v>4.9400000000000004</v>
      </c>
      <c r="AD808">
        <v>15773.42</v>
      </c>
      <c r="AE808">
        <v>7280.04</v>
      </c>
      <c r="AF808" t="s">
        <v>870</v>
      </c>
      <c r="AG808">
        <v>8493.3799999999992</v>
      </c>
      <c r="AH808">
        <v>0.54</v>
      </c>
    </row>
    <row r="809" spans="1:34" x14ac:dyDescent="0.25">
      <c r="A809" t="s">
        <v>2311</v>
      </c>
      <c r="B809">
        <v>808</v>
      </c>
      <c r="C809" t="s">
        <v>487</v>
      </c>
      <c r="D809" t="s">
        <v>247</v>
      </c>
      <c r="E809" t="s">
        <v>534</v>
      </c>
      <c r="F809" t="s">
        <v>3166</v>
      </c>
      <c r="G809" s="25">
        <v>44313</v>
      </c>
      <c r="H809">
        <v>24</v>
      </c>
      <c r="I809">
        <v>117</v>
      </c>
      <c r="J809" t="s">
        <v>3168</v>
      </c>
      <c r="K809" t="s">
        <v>876</v>
      </c>
      <c r="L809" t="s">
        <v>231</v>
      </c>
      <c r="M809" t="s">
        <v>872</v>
      </c>
      <c r="N809" t="s">
        <v>184</v>
      </c>
      <c r="O809" t="s">
        <v>1180</v>
      </c>
      <c r="P809" t="s">
        <v>867</v>
      </c>
      <c r="Q809" t="s">
        <v>1181</v>
      </c>
      <c r="R809" t="s">
        <v>1182</v>
      </c>
      <c r="S809" t="s">
        <v>232</v>
      </c>
      <c r="T809" t="s">
        <v>503</v>
      </c>
      <c r="U809" t="s">
        <v>303</v>
      </c>
      <c r="V809" t="s">
        <v>234</v>
      </c>
      <c r="W809" t="s">
        <v>56</v>
      </c>
      <c r="X809" t="s">
        <v>235</v>
      </c>
      <c r="Y809" t="s">
        <v>304</v>
      </c>
      <c r="Z809">
        <v>3225</v>
      </c>
      <c r="AA809">
        <v>3225</v>
      </c>
      <c r="AB809" t="s">
        <v>237</v>
      </c>
      <c r="AC809">
        <v>4.9400000000000004</v>
      </c>
      <c r="AD809">
        <v>15931.5</v>
      </c>
      <c r="AE809">
        <v>7353</v>
      </c>
      <c r="AF809" t="s">
        <v>870</v>
      </c>
      <c r="AG809">
        <v>8578.5</v>
      </c>
      <c r="AH809">
        <v>0.54</v>
      </c>
    </row>
    <row r="810" spans="1:34" x14ac:dyDescent="0.25">
      <c r="A810" t="s">
        <v>1841</v>
      </c>
      <c r="B810">
        <v>809</v>
      </c>
      <c r="C810" t="s">
        <v>487</v>
      </c>
      <c r="D810" t="s">
        <v>247</v>
      </c>
      <c r="E810" t="s">
        <v>534</v>
      </c>
      <c r="F810" t="s">
        <v>3166</v>
      </c>
      <c r="G810" s="25">
        <v>44313</v>
      </c>
      <c r="H810">
        <v>24</v>
      </c>
      <c r="I810">
        <v>117</v>
      </c>
      <c r="J810" t="s">
        <v>3168</v>
      </c>
      <c r="K810" t="s">
        <v>921</v>
      </c>
      <c r="L810" t="s">
        <v>231</v>
      </c>
      <c r="M810" t="s">
        <v>872</v>
      </c>
      <c r="N810" t="s">
        <v>184</v>
      </c>
      <c r="O810" t="s">
        <v>1180</v>
      </c>
      <c r="P810" t="s">
        <v>867</v>
      </c>
      <c r="Q810" t="s">
        <v>1181</v>
      </c>
      <c r="R810" t="s">
        <v>1182</v>
      </c>
      <c r="S810" t="s">
        <v>232</v>
      </c>
      <c r="T810" t="s">
        <v>503</v>
      </c>
      <c r="U810" t="s">
        <v>303</v>
      </c>
      <c r="V810" t="s">
        <v>234</v>
      </c>
      <c r="W810" t="s">
        <v>56</v>
      </c>
      <c r="X810" t="s">
        <v>235</v>
      </c>
      <c r="Y810" t="s">
        <v>304</v>
      </c>
      <c r="Z810">
        <v>3346</v>
      </c>
      <c r="AA810">
        <v>3346</v>
      </c>
      <c r="AB810" t="s">
        <v>237</v>
      </c>
      <c r="AC810">
        <v>4.9400000000000004</v>
      </c>
      <c r="AD810">
        <v>16529.240000000002</v>
      </c>
      <c r="AE810">
        <v>7628.88</v>
      </c>
      <c r="AF810" t="s">
        <v>870</v>
      </c>
      <c r="AG810">
        <v>8900.36</v>
      </c>
      <c r="AH810">
        <v>0.54</v>
      </c>
    </row>
    <row r="811" spans="1:34" x14ac:dyDescent="0.25">
      <c r="A811" t="s">
        <v>2492</v>
      </c>
      <c r="B811">
        <v>810</v>
      </c>
      <c r="C811" t="s">
        <v>487</v>
      </c>
      <c r="D811" t="s">
        <v>247</v>
      </c>
      <c r="E811" t="s">
        <v>534</v>
      </c>
      <c r="F811" t="s">
        <v>3166</v>
      </c>
      <c r="G811" s="25">
        <v>44313</v>
      </c>
      <c r="H811">
        <v>24</v>
      </c>
      <c r="I811">
        <v>117</v>
      </c>
      <c r="J811" t="s">
        <v>3169</v>
      </c>
      <c r="K811" t="s">
        <v>921</v>
      </c>
      <c r="L811" t="s">
        <v>231</v>
      </c>
      <c r="M811" t="s">
        <v>926</v>
      </c>
      <c r="N811" t="s">
        <v>185</v>
      </c>
      <c r="O811" t="s">
        <v>1053</v>
      </c>
      <c r="P811" t="s">
        <v>867</v>
      </c>
      <c r="Q811" t="s">
        <v>1054</v>
      </c>
      <c r="R811" t="s">
        <v>1055</v>
      </c>
      <c r="S811" t="s">
        <v>232</v>
      </c>
      <c r="T811" t="s">
        <v>503</v>
      </c>
      <c r="U811" t="s">
        <v>303</v>
      </c>
      <c r="V811" t="s">
        <v>234</v>
      </c>
      <c r="W811" t="s">
        <v>56</v>
      </c>
      <c r="X811" t="s">
        <v>235</v>
      </c>
      <c r="Y811" t="s">
        <v>304</v>
      </c>
      <c r="Z811">
        <v>2764</v>
      </c>
      <c r="AA811">
        <v>2764</v>
      </c>
      <c r="AB811" t="s">
        <v>237</v>
      </c>
      <c r="AC811">
        <v>4.9400000000000004</v>
      </c>
      <c r="AD811">
        <v>13654.16</v>
      </c>
      <c r="AE811">
        <v>6301.92</v>
      </c>
      <c r="AF811" t="s">
        <v>870</v>
      </c>
      <c r="AG811">
        <v>7352.24</v>
      </c>
      <c r="AH811">
        <v>0.54</v>
      </c>
    </row>
    <row r="812" spans="1:34" x14ac:dyDescent="0.25">
      <c r="A812" t="s">
        <v>2795</v>
      </c>
      <c r="B812">
        <v>811</v>
      </c>
      <c r="C812" t="s">
        <v>487</v>
      </c>
      <c r="D812" t="s">
        <v>247</v>
      </c>
      <c r="E812" t="s">
        <v>534</v>
      </c>
      <c r="F812" t="s">
        <v>3166</v>
      </c>
      <c r="G812" s="25">
        <v>44313</v>
      </c>
      <c r="H812">
        <v>24</v>
      </c>
      <c r="I812">
        <v>117</v>
      </c>
      <c r="J812" t="s">
        <v>3169</v>
      </c>
      <c r="K812" t="s">
        <v>876</v>
      </c>
      <c r="L812" t="s">
        <v>231</v>
      </c>
      <c r="M812" t="s">
        <v>926</v>
      </c>
      <c r="N812" t="s">
        <v>185</v>
      </c>
      <c r="O812" t="s">
        <v>1053</v>
      </c>
      <c r="P812" t="s">
        <v>867</v>
      </c>
      <c r="Q812" t="s">
        <v>1054</v>
      </c>
      <c r="R812" t="s">
        <v>1055</v>
      </c>
      <c r="S812" t="s">
        <v>232</v>
      </c>
      <c r="T812" t="s">
        <v>503</v>
      </c>
      <c r="U812" t="s">
        <v>303</v>
      </c>
      <c r="V812" t="s">
        <v>234</v>
      </c>
      <c r="W812" t="s">
        <v>56</v>
      </c>
      <c r="X812" t="s">
        <v>235</v>
      </c>
      <c r="Y812" t="s">
        <v>304</v>
      </c>
      <c r="Z812">
        <v>2869</v>
      </c>
      <c r="AA812">
        <v>2869</v>
      </c>
      <c r="AB812" t="s">
        <v>237</v>
      </c>
      <c r="AC812">
        <v>4.9400000000000004</v>
      </c>
      <c r="AD812">
        <v>14172.86</v>
      </c>
      <c r="AE812">
        <v>6541.32</v>
      </c>
      <c r="AF812" t="s">
        <v>870</v>
      </c>
      <c r="AG812">
        <v>7631.54</v>
      </c>
      <c r="AH812">
        <v>0.54</v>
      </c>
    </row>
    <row r="813" spans="1:34" x14ac:dyDescent="0.25">
      <c r="A813" t="s">
        <v>1790</v>
      </c>
      <c r="B813">
        <v>812</v>
      </c>
      <c r="C813" t="s">
        <v>487</v>
      </c>
      <c r="D813" t="s">
        <v>247</v>
      </c>
      <c r="E813" t="s">
        <v>534</v>
      </c>
      <c r="F813" t="s">
        <v>3166</v>
      </c>
      <c r="G813" s="25">
        <v>44313</v>
      </c>
      <c r="H813">
        <v>24</v>
      </c>
      <c r="I813">
        <v>117</v>
      </c>
      <c r="J813" t="s">
        <v>3169</v>
      </c>
      <c r="K813" t="s">
        <v>510</v>
      </c>
      <c r="L813" t="s">
        <v>231</v>
      </c>
      <c r="M813" t="s">
        <v>926</v>
      </c>
      <c r="N813" t="s">
        <v>185</v>
      </c>
      <c r="O813" t="s">
        <v>1053</v>
      </c>
      <c r="P813" t="s">
        <v>867</v>
      </c>
      <c r="Q813" t="s">
        <v>1054</v>
      </c>
      <c r="R813" t="s">
        <v>1055</v>
      </c>
      <c r="S813" t="s">
        <v>232</v>
      </c>
      <c r="T813" t="s">
        <v>503</v>
      </c>
      <c r="U813" t="s">
        <v>303</v>
      </c>
      <c r="V813" t="s">
        <v>234</v>
      </c>
      <c r="W813" t="s">
        <v>56</v>
      </c>
      <c r="X813" t="s">
        <v>235</v>
      </c>
      <c r="Y813" t="s">
        <v>304</v>
      </c>
      <c r="Z813">
        <v>3378</v>
      </c>
      <c r="AA813">
        <v>3378</v>
      </c>
      <c r="AB813" t="s">
        <v>237</v>
      </c>
      <c r="AC813">
        <v>4.9400000000000004</v>
      </c>
      <c r="AD813">
        <v>16687.32</v>
      </c>
      <c r="AE813">
        <v>7701.84</v>
      </c>
      <c r="AF813" t="s">
        <v>870</v>
      </c>
      <c r="AG813">
        <v>8985.48</v>
      </c>
      <c r="AH813">
        <v>0.54</v>
      </c>
    </row>
    <row r="814" spans="1:34" x14ac:dyDescent="0.25">
      <c r="A814" t="s">
        <v>2053</v>
      </c>
      <c r="B814">
        <v>813</v>
      </c>
      <c r="C814" t="s">
        <v>487</v>
      </c>
      <c r="D814" t="s">
        <v>247</v>
      </c>
      <c r="E814" t="s">
        <v>552</v>
      </c>
      <c r="F814" t="s">
        <v>3170</v>
      </c>
      <c r="G814" s="25">
        <v>44314</v>
      </c>
      <c r="H814">
        <v>24</v>
      </c>
      <c r="I814">
        <v>118</v>
      </c>
      <c r="J814" t="s">
        <v>3171</v>
      </c>
      <c r="K814" t="s">
        <v>921</v>
      </c>
      <c r="L814" t="s">
        <v>231</v>
      </c>
      <c r="M814" t="s">
        <v>173</v>
      </c>
      <c r="N814" t="s">
        <v>185</v>
      </c>
      <c r="O814" t="s">
        <v>966</v>
      </c>
      <c r="P814" t="s">
        <v>867</v>
      </c>
      <c r="Q814" t="s">
        <v>1597</v>
      </c>
      <c r="R814" t="s">
        <v>1598</v>
      </c>
      <c r="S814" t="s">
        <v>239</v>
      </c>
      <c r="T814" t="s">
        <v>502</v>
      </c>
      <c r="U814" t="s">
        <v>287</v>
      </c>
      <c r="V814" t="s">
        <v>234</v>
      </c>
      <c r="W814" t="s">
        <v>58</v>
      </c>
      <c r="X814" t="s">
        <v>235</v>
      </c>
      <c r="Y814" t="s">
        <v>288</v>
      </c>
      <c r="Z814">
        <v>2696</v>
      </c>
      <c r="AA814">
        <v>2696</v>
      </c>
      <c r="AB814" t="s">
        <v>237</v>
      </c>
      <c r="AC814">
        <v>4.97</v>
      </c>
      <c r="AD814">
        <v>13399.12</v>
      </c>
      <c r="AE814">
        <v>3747.44</v>
      </c>
      <c r="AF814" t="s">
        <v>870</v>
      </c>
      <c r="AG814">
        <v>9651.68</v>
      </c>
      <c r="AH814">
        <v>0.72</v>
      </c>
    </row>
    <row r="815" spans="1:34" x14ac:dyDescent="0.25">
      <c r="A815" t="s">
        <v>2064</v>
      </c>
      <c r="B815">
        <v>814</v>
      </c>
      <c r="C815" t="s">
        <v>487</v>
      </c>
      <c r="D815" t="s">
        <v>247</v>
      </c>
      <c r="E815" t="s">
        <v>552</v>
      </c>
      <c r="F815" t="s">
        <v>3170</v>
      </c>
      <c r="G815" s="25">
        <v>44314</v>
      </c>
      <c r="H815">
        <v>24</v>
      </c>
      <c r="I815">
        <v>118</v>
      </c>
      <c r="J815" t="s">
        <v>3171</v>
      </c>
      <c r="K815" t="s">
        <v>876</v>
      </c>
      <c r="L815" t="s">
        <v>231</v>
      </c>
      <c r="M815" t="s">
        <v>173</v>
      </c>
      <c r="N815" t="s">
        <v>185</v>
      </c>
      <c r="O815" t="s">
        <v>966</v>
      </c>
      <c r="P815" t="s">
        <v>867</v>
      </c>
      <c r="Q815" t="s">
        <v>1597</v>
      </c>
      <c r="R815" t="s">
        <v>1598</v>
      </c>
      <c r="S815" t="s">
        <v>239</v>
      </c>
      <c r="T815" t="s">
        <v>502</v>
      </c>
      <c r="U815" t="s">
        <v>287</v>
      </c>
      <c r="V815" t="s">
        <v>234</v>
      </c>
      <c r="W815" t="s">
        <v>58</v>
      </c>
      <c r="X815" t="s">
        <v>235</v>
      </c>
      <c r="Y815" t="s">
        <v>288</v>
      </c>
      <c r="Z815">
        <v>2949</v>
      </c>
      <c r="AA815">
        <v>2949</v>
      </c>
      <c r="AB815" t="s">
        <v>237</v>
      </c>
      <c r="AC815">
        <v>4.97</v>
      </c>
      <c r="AD815">
        <v>14656.53</v>
      </c>
      <c r="AE815">
        <v>4099.1099999999997</v>
      </c>
      <c r="AF815" t="s">
        <v>870</v>
      </c>
      <c r="AG815">
        <v>10557.42</v>
      </c>
      <c r="AH815">
        <v>0.72</v>
      </c>
    </row>
    <row r="816" spans="1:34" x14ac:dyDescent="0.25">
      <c r="A816" t="s">
        <v>2341</v>
      </c>
      <c r="B816">
        <v>815</v>
      </c>
      <c r="C816" t="s">
        <v>487</v>
      </c>
      <c r="D816" t="s">
        <v>247</v>
      </c>
      <c r="E816" t="s">
        <v>552</v>
      </c>
      <c r="F816" t="s">
        <v>3170</v>
      </c>
      <c r="G816" s="25">
        <v>44314</v>
      </c>
      <c r="H816">
        <v>24</v>
      </c>
      <c r="I816">
        <v>118</v>
      </c>
      <c r="J816" t="s">
        <v>3171</v>
      </c>
      <c r="K816" t="s">
        <v>510</v>
      </c>
      <c r="L816" t="s">
        <v>231</v>
      </c>
      <c r="M816" t="s">
        <v>173</v>
      </c>
      <c r="N816" t="s">
        <v>185</v>
      </c>
      <c r="O816" t="s">
        <v>966</v>
      </c>
      <c r="P816" t="s">
        <v>867</v>
      </c>
      <c r="Q816" t="s">
        <v>1597</v>
      </c>
      <c r="R816" t="s">
        <v>1598</v>
      </c>
      <c r="S816" t="s">
        <v>239</v>
      </c>
      <c r="T816" t="s">
        <v>502</v>
      </c>
      <c r="U816" t="s">
        <v>287</v>
      </c>
      <c r="V816" t="s">
        <v>234</v>
      </c>
      <c r="W816" t="s">
        <v>58</v>
      </c>
      <c r="X816" t="s">
        <v>235</v>
      </c>
      <c r="Y816" t="s">
        <v>288</v>
      </c>
      <c r="Z816">
        <v>2690</v>
      </c>
      <c r="AA816">
        <v>2690</v>
      </c>
      <c r="AB816" t="s">
        <v>237</v>
      </c>
      <c r="AC816">
        <v>4.97</v>
      </c>
      <c r="AD816">
        <v>13369.3</v>
      </c>
      <c r="AE816">
        <v>3739.1</v>
      </c>
      <c r="AF816" t="s">
        <v>870</v>
      </c>
      <c r="AG816">
        <v>9630.2000000000007</v>
      </c>
      <c r="AH816">
        <v>0.72</v>
      </c>
    </row>
    <row r="817" spans="1:34" x14ac:dyDescent="0.25">
      <c r="A817" t="s">
        <v>1773</v>
      </c>
      <c r="B817">
        <v>816</v>
      </c>
      <c r="C817" t="s">
        <v>487</v>
      </c>
      <c r="D817" t="s">
        <v>247</v>
      </c>
      <c r="E817" t="s">
        <v>552</v>
      </c>
      <c r="F817" t="s">
        <v>3170</v>
      </c>
      <c r="G817" s="25">
        <v>44314</v>
      </c>
      <c r="H817">
        <v>24</v>
      </c>
      <c r="I817">
        <v>118</v>
      </c>
      <c r="J817" t="s">
        <v>3172</v>
      </c>
      <c r="K817" t="s">
        <v>510</v>
      </c>
      <c r="L817" t="s">
        <v>231</v>
      </c>
      <c r="M817" t="s">
        <v>872</v>
      </c>
      <c r="N817" t="s">
        <v>184</v>
      </c>
      <c r="O817" t="s">
        <v>873</v>
      </c>
      <c r="P817" t="s">
        <v>867</v>
      </c>
      <c r="Q817" t="s">
        <v>874</v>
      </c>
      <c r="R817" t="s">
        <v>875</v>
      </c>
      <c r="S817" t="s">
        <v>232</v>
      </c>
      <c r="T817" t="s">
        <v>503</v>
      </c>
      <c r="U817" t="s">
        <v>303</v>
      </c>
      <c r="V817" t="s">
        <v>234</v>
      </c>
      <c r="W817" t="s">
        <v>56</v>
      </c>
      <c r="X817" t="s">
        <v>235</v>
      </c>
      <c r="Y817" t="s">
        <v>304</v>
      </c>
      <c r="Z817">
        <v>2625</v>
      </c>
      <c r="AA817">
        <v>2625</v>
      </c>
      <c r="AB817" t="s">
        <v>237</v>
      </c>
      <c r="AC817">
        <v>4.9400000000000004</v>
      </c>
      <c r="AD817">
        <v>12967.5</v>
      </c>
      <c r="AE817">
        <v>5985</v>
      </c>
      <c r="AF817" t="s">
        <v>870</v>
      </c>
      <c r="AG817">
        <v>6982.5</v>
      </c>
      <c r="AH817">
        <v>0.54</v>
      </c>
    </row>
    <row r="818" spans="1:34" x14ac:dyDescent="0.25">
      <c r="A818" t="s">
        <v>2277</v>
      </c>
      <c r="B818">
        <v>817</v>
      </c>
      <c r="C818" t="s">
        <v>487</v>
      </c>
      <c r="D818" t="s">
        <v>247</v>
      </c>
      <c r="E818" t="s">
        <v>552</v>
      </c>
      <c r="F818" t="s">
        <v>3170</v>
      </c>
      <c r="G818" s="25">
        <v>44314</v>
      </c>
      <c r="H818">
        <v>24</v>
      </c>
      <c r="I818">
        <v>118</v>
      </c>
      <c r="J818" t="s">
        <v>3172</v>
      </c>
      <c r="K818" t="s">
        <v>876</v>
      </c>
      <c r="L818" t="s">
        <v>231</v>
      </c>
      <c r="M818" t="s">
        <v>872</v>
      </c>
      <c r="N818" t="s">
        <v>184</v>
      </c>
      <c r="O818" t="s">
        <v>873</v>
      </c>
      <c r="P818" t="s">
        <v>867</v>
      </c>
      <c r="Q818" t="s">
        <v>874</v>
      </c>
      <c r="R818" t="s">
        <v>875</v>
      </c>
      <c r="S818" t="s">
        <v>232</v>
      </c>
      <c r="T818" t="s">
        <v>502</v>
      </c>
      <c r="U818" t="s">
        <v>287</v>
      </c>
      <c r="V818" t="s">
        <v>234</v>
      </c>
      <c r="W818" t="s">
        <v>58</v>
      </c>
      <c r="X818" t="s">
        <v>235</v>
      </c>
      <c r="Y818" t="s">
        <v>288</v>
      </c>
      <c r="Z818">
        <v>2574</v>
      </c>
      <c r="AA818">
        <v>2574</v>
      </c>
      <c r="AB818" t="s">
        <v>237</v>
      </c>
      <c r="AC818">
        <v>5.07</v>
      </c>
      <c r="AD818">
        <v>13050.18</v>
      </c>
      <c r="AE818">
        <v>3577.86</v>
      </c>
      <c r="AF818" t="s">
        <v>870</v>
      </c>
      <c r="AG818">
        <v>9472.32</v>
      </c>
      <c r="AH818">
        <v>0.73</v>
      </c>
    </row>
    <row r="819" spans="1:34" x14ac:dyDescent="0.25">
      <c r="A819" t="s">
        <v>2503</v>
      </c>
      <c r="B819">
        <v>818</v>
      </c>
      <c r="C819" t="s">
        <v>487</v>
      </c>
      <c r="D819" t="s">
        <v>247</v>
      </c>
      <c r="E819" t="s">
        <v>531</v>
      </c>
      <c r="F819" t="s">
        <v>3173</v>
      </c>
      <c r="G819" s="25">
        <v>44315</v>
      </c>
      <c r="H819">
        <v>24</v>
      </c>
      <c r="I819">
        <v>119</v>
      </c>
      <c r="J819" t="s">
        <v>3174</v>
      </c>
      <c r="K819" t="s">
        <v>876</v>
      </c>
      <c r="L819" t="s">
        <v>231</v>
      </c>
      <c r="M819" t="s">
        <v>173</v>
      </c>
      <c r="N819" t="s">
        <v>185</v>
      </c>
      <c r="O819" t="s">
        <v>966</v>
      </c>
      <c r="P819" t="s">
        <v>867</v>
      </c>
      <c r="Q819" t="s">
        <v>1597</v>
      </c>
      <c r="R819" t="s">
        <v>1598</v>
      </c>
      <c r="S819" t="s">
        <v>239</v>
      </c>
      <c r="T819" t="s">
        <v>500</v>
      </c>
      <c r="U819" t="s">
        <v>265</v>
      </c>
      <c r="V819" t="s">
        <v>234</v>
      </c>
      <c r="W819" t="s">
        <v>52</v>
      </c>
      <c r="X819" t="s">
        <v>235</v>
      </c>
      <c r="Y819" t="s">
        <v>266</v>
      </c>
      <c r="Z819">
        <v>497</v>
      </c>
      <c r="AA819">
        <v>497</v>
      </c>
      <c r="AB819" t="s">
        <v>237</v>
      </c>
      <c r="AC819">
        <v>5.23</v>
      </c>
      <c r="AD819">
        <v>2599.31</v>
      </c>
      <c r="AE819">
        <v>805.14</v>
      </c>
      <c r="AF819" t="s">
        <v>870</v>
      </c>
      <c r="AG819">
        <v>1794.17</v>
      </c>
      <c r="AH819">
        <v>0.69</v>
      </c>
    </row>
    <row r="820" spans="1:34" x14ac:dyDescent="0.25">
      <c r="A820" t="s">
        <v>1978</v>
      </c>
      <c r="B820">
        <v>819</v>
      </c>
      <c r="C820" t="s">
        <v>487</v>
      </c>
      <c r="D820" t="s">
        <v>247</v>
      </c>
      <c r="E820" t="s">
        <v>531</v>
      </c>
      <c r="F820" t="s">
        <v>3173</v>
      </c>
      <c r="G820" s="25">
        <v>44315</v>
      </c>
      <c r="H820">
        <v>24</v>
      </c>
      <c r="I820">
        <v>119</v>
      </c>
      <c r="J820" t="s">
        <v>3174</v>
      </c>
      <c r="K820" t="s">
        <v>510</v>
      </c>
      <c r="L820" t="s">
        <v>231</v>
      </c>
      <c r="M820" t="s">
        <v>173</v>
      </c>
      <c r="N820" t="s">
        <v>185</v>
      </c>
      <c r="O820" t="s">
        <v>966</v>
      </c>
      <c r="P820" t="s">
        <v>867</v>
      </c>
      <c r="Q820" t="s">
        <v>1597</v>
      </c>
      <c r="R820" t="s">
        <v>1598</v>
      </c>
      <c r="S820" t="s">
        <v>239</v>
      </c>
      <c r="T820" t="s">
        <v>502</v>
      </c>
      <c r="U820" t="s">
        <v>287</v>
      </c>
      <c r="V820" t="s">
        <v>234</v>
      </c>
      <c r="W820" t="s">
        <v>58</v>
      </c>
      <c r="X820" t="s">
        <v>235</v>
      </c>
      <c r="Y820" t="s">
        <v>288</v>
      </c>
      <c r="Z820">
        <v>1253</v>
      </c>
      <c r="AA820">
        <v>1253</v>
      </c>
      <c r="AB820" t="s">
        <v>237</v>
      </c>
      <c r="AC820">
        <v>4.97</v>
      </c>
      <c r="AD820">
        <v>6227.41</v>
      </c>
      <c r="AE820">
        <v>1741.67</v>
      </c>
      <c r="AF820" t="s">
        <v>870</v>
      </c>
      <c r="AG820">
        <v>4485.74</v>
      </c>
      <c r="AH820">
        <v>0.72</v>
      </c>
    </row>
    <row r="821" spans="1:34" x14ac:dyDescent="0.25">
      <c r="A821" t="s">
        <v>2544</v>
      </c>
      <c r="B821">
        <v>820</v>
      </c>
      <c r="C821" t="s">
        <v>487</v>
      </c>
      <c r="D821" t="s">
        <v>247</v>
      </c>
      <c r="E821" t="s">
        <v>531</v>
      </c>
      <c r="F821" t="s">
        <v>3173</v>
      </c>
      <c r="G821" s="25">
        <v>44315</v>
      </c>
      <c r="H821">
        <v>24</v>
      </c>
      <c r="I821">
        <v>119</v>
      </c>
      <c r="J821" t="s">
        <v>3175</v>
      </c>
      <c r="K821" t="s">
        <v>921</v>
      </c>
      <c r="L821" t="s">
        <v>231</v>
      </c>
      <c r="M821" t="s">
        <v>872</v>
      </c>
      <c r="N821" t="s">
        <v>184</v>
      </c>
      <c r="O821" t="s">
        <v>894</v>
      </c>
      <c r="P821" t="s">
        <v>867</v>
      </c>
      <c r="Q821" t="s">
        <v>895</v>
      </c>
      <c r="R821" t="s">
        <v>896</v>
      </c>
      <c r="S821" t="s">
        <v>232</v>
      </c>
      <c r="T821" t="s">
        <v>502</v>
      </c>
      <c r="U821" t="s">
        <v>287</v>
      </c>
      <c r="V821" t="s">
        <v>234</v>
      </c>
      <c r="W821" t="s">
        <v>58</v>
      </c>
      <c r="X821" t="s">
        <v>235</v>
      </c>
      <c r="Y821" t="s">
        <v>288</v>
      </c>
      <c r="Z821">
        <v>3307</v>
      </c>
      <c r="AA821">
        <v>3307</v>
      </c>
      <c r="AB821" t="s">
        <v>237</v>
      </c>
      <c r="AC821">
        <v>5.07</v>
      </c>
      <c r="AD821">
        <v>16766.490000000002</v>
      </c>
      <c r="AE821">
        <v>4596.7299999999996</v>
      </c>
      <c r="AF821" t="s">
        <v>870</v>
      </c>
      <c r="AG821">
        <v>12169.76</v>
      </c>
      <c r="AH821">
        <v>0.73</v>
      </c>
    </row>
    <row r="822" spans="1:34" x14ac:dyDescent="0.25">
      <c r="A822" t="s">
        <v>1737</v>
      </c>
      <c r="B822">
        <v>821</v>
      </c>
      <c r="C822" t="s">
        <v>487</v>
      </c>
      <c r="D822" t="s">
        <v>247</v>
      </c>
      <c r="E822" t="s">
        <v>531</v>
      </c>
      <c r="F822" t="s">
        <v>3173</v>
      </c>
      <c r="G822" s="25">
        <v>44315</v>
      </c>
      <c r="H822">
        <v>24</v>
      </c>
      <c r="I822">
        <v>119</v>
      </c>
      <c r="J822" t="s">
        <v>3175</v>
      </c>
      <c r="K822" t="s">
        <v>876</v>
      </c>
      <c r="L822" t="s">
        <v>231</v>
      </c>
      <c r="M822" t="s">
        <v>872</v>
      </c>
      <c r="N822" t="s">
        <v>184</v>
      </c>
      <c r="O822" t="s">
        <v>894</v>
      </c>
      <c r="P822" t="s">
        <v>867</v>
      </c>
      <c r="Q822" t="s">
        <v>895</v>
      </c>
      <c r="R822" t="s">
        <v>896</v>
      </c>
      <c r="S822" t="s">
        <v>232</v>
      </c>
      <c r="T822" t="s">
        <v>502</v>
      </c>
      <c r="U822" t="s">
        <v>287</v>
      </c>
      <c r="V822" t="s">
        <v>234</v>
      </c>
      <c r="W822" t="s">
        <v>58</v>
      </c>
      <c r="X822" t="s">
        <v>235</v>
      </c>
      <c r="Y822" t="s">
        <v>288</v>
      </c>
      <c r="Z822">
        <v>2687</v>
      </c>
      <c r="AA822">
        <v>2687</v>
      </c>
      <c r="AB822" t="s">
        <v>237</v>
      </c>
      <c r="AC822">
        <v>5.07</v>
      </c>
      <c r="AD822">
        <v>13623.09</v>
      </c>
      <c r="AE822">
        <v>3734.93</v>
      </c>
      <c r="AF822" t="s">
        <v>870</v>
      </c>
      <c r="AG822">
        <v>9888.16</v>
      </c>
      <c r="AH822">
        <v>0.73</v>
      </c>
    </row>
    <row r="823" spans="1:34" x14ac:dyDescent="0.25">
      <c r="A823" t="s">
        <v>2067</v>
      </c>
      <c r="B823">
        <v>822</v>
      </c>
      <c r="C823" t="s">
        <v>487</v>
      </c>
      <c r="D823" t="s">
        <v>247</v>
      </c>
      <c r="E823" t="s">
        <v>531</v>
      </c>
      <c r="F823" t="s">
        <v>3173</v>
      </c>
      <c r="G823" s="25">
        <v>44315</v>
      </c>
      <c r="H823">
        <v>24</v>
      </c>
      <c r="I823">
        <v>119</v>
      </c>
      <c r="J823" t="s">
        <v>3175</v>
      </c>
      <c r="K823" t="s">
        <v>510</v>
      </c>
      <c r="L823" t="s">
        <v>231</v>
      </c>
      <c r="M823" t="s">
        <v>872</v>
      </c>
      <c r="N823" t="s">
        <v>184</v>
      </c>
      <c r="O823" t="s">
        <v>894</v>
      </c>
      <c r="P823" t="s">
        <v>867</v>
      </c>
      <c r="Q823" t="s">
        <v>895</v>
      </c>
      <c r="R823" t="s">
        <v>896</v>
      </c>
      <c r="S823" t="s">
        <v>232</v>
      </c>
      <c r="T823" t="s">
        <v>502</v>
      </c>
      <c r="U823" t="s">
        <v>287</v>
      </c>
      <c r="V823" t="s">
        <v>234</v>
      </c>
      <c r="W823" t="s">
        <v>58</v>
      </c>
      <c r="X823" t="s">
        <v>235</v>
      </c>
      <c r="Y823" t="s">
        <v>288</v>
      </c>
      <c r="Z823">
        <v>3203</v>
      </c>
      <c r="AA823">
        <v>3203</v>
      </c>
      <c r="AB823" t="s">
        <v>237</v>
      </c>
      <c r="AC823">
        <v>5.07</v>
      </c>
      <c r="AD823">
        <v>16239.21</v>
      </c>
      <c r="AE823">
        <v>4452.17</v>
      </c>
      <c r="AF823" t="s">
        <v>870</v>
      </c>
      <c r="AG823">
        <v>11787.04</v>
      </c>
      <c r="AH823">
        <v>0.73</v>
      </c>
    </row>
    <row r="824" spans="1:34" x14ac:dyDescent="0.25">
      <c r="A824" t="s">
        <v>2831</v>
      </c>
      <c r="B824">
        <v>823</v>
      </c>
      <c r="C824" t="s">
        <v>487</v>
      </c>
      <c r="D824" t="s">
        <v>247</v>
      </c>
      <c r="E824" t="s">
        <v>531</v>
      </c>
      <c r="F824" t="s">
        <v>3173</v>
      </c>
      <c r="G824" s="25">
        <v>44315</v>
      </c>
      <c r="H824">
        <v>24</v>
      </c>
      <c r="I824">
        <v>119</v>
      </c>
      <c r="J824" t="s">
        <v>3176</v>
      </c>
      <c r="K824" t="s">
        <v>921</v>
      </c>
      <c r="L824" t="s">
        <v>231</v>
      </c>
      <c r="M824" t="s">
        <v>872</v>
      </c>
      <c r="N824" t="s">
        <v>184</v>
      </c>
      <c r="O824" t="s">
        <v>873</v>
      </c>
      <c r="P824" t="s">
        <v>867</v>
      </c>
      <c r="Q824" t="s">
        <v>874</v>
      </c>
      <c r="R824" t="s">
        <v>875</v>
      </c>
      <c r="S824" t="s">
        <v>232</v>
      </c>
      <c r="T824" t="s">
        <v>502</v>
      </c>
      <c r="U824" t="s">
        <v>287</v>
      </c>
      <c r="V824" t="s">
        <v>234</v>
      </c>
      <c r="W824" t="s">
        <v>58</v>
      </c>
      <c r="X824" t="s">
        <v>235</v>
      </c>
      <c r="Y824" t="s">
        <v>288</v>
      </c>
      <c r="Z824">
        <v>3223</v>
      </c>
      <c r="AA824">
        <v>3223</v>
      </c>
      <c r="AB824" t="s">
        <v>237</v>
      </c>
      <c r="AC824">
        <v>5.07</v>
      </c>
      <c r="AD824">
        <v>16340.61</v>
      </c>
      <c r="AE824">
        <v>4479.97</v>
      </c>
      <c r="AF824" t="s">
        <v>870</v>
      </c>
      <c r="AG824">
        <v>11860.64</v>
      </c>
      <c r="AH824">
        <v>0.73</v>
      </c>
    </row>
    <row r="825" spans="1:34" x14ac:dyDescent="0.25">
      <c r="A825" t="s">
        <v>2884</v>
      </c>
      <c r="B825">
        <v>824</v>
      </c>
      <c r="C825" t="s">
        <v>487</v>
      </c>
      <c r="D825" t="s">
        <v>247</v>
      </c>
      <c r="E825" t="s">
        <v>531</v>
      </c>
      <c r="F825" t="s">
        <v>3173</v>
      </c>
      <c r="G825" s="25">
        <v>44315</v>
      </c>
      <c r="H825">
        <v>24</v>
      </c>
      <c r="I825">
        <v>119</v>
      </c>
      <c r="J825" t="s">
        <v>3176</v>
      </c>
      <c r="K825" t="s">
        <v>876</v>
      </c>
      <c r="L825" t="s">
        <v>231</v>
      </c>
      <c r="M825" t="s">
        <v>872</v>
      </c>
      <c r="N825" t="s">
        <v>184</v>
      </c>
      <c r="O825" t="s">
        <v>873</v>
      </c>
      <c r="P825" t="s">
        <v>867</v>
      </c>
      <c r="Q825" t="s">
        <v>874</v>
      </c>
      <c r="R825" t="s">
        <v>875</v>
      </c>
      <c r="S825" t="s">
        <v>232</v>
      </c>
      <c r="T825" t="s">
        <v>502</v>
      </c>
      <c r="U825" t="s">
        <v>287</v>
      </c>
      <c r="V825" t="s">
        <v>234</v>
      </c>
      <c r="W825" t="s">
        <v>58</v>
      </c>
      <c r="X825" t="s">
        <v>235</v>
      </c>
      <c r="Y825" t="s">
        <v>288</v>
      </c>
      <c r="Z825">
        <v>3098</v>
      </c>
      <c r="AA825">
        <v>3098</v>
      </c>
      <c r="AB825" t="s">
        <v>237</v>
      </c>
      <c r="AC825">
        <v>5.07</v>
      </c>
      <c r="AD825">
        <v>15706.86</v>
      </c>
      <c r="AE825">
        <v>4306.22</v>
      </c>
      <c r="AF825" t="s">
        <v>870</v>
      </c>
      <c r="AG825">
        <v>11400.64</v>
      </c>
      <c r="AH825">
        <v>0.73</v>
      </c>
    </row>
    <row r="826" spans="1:34" x14ac:dyDescent="0.25">
      <c r="A826" t="s">
        <v>2399</v>
      </c>
      <c r="B826">
        <v>825</v>
      </c>
      <c r="C826" t="s">
        <v>487</v>
      </c>
      <c r="D826" t="s">
        <v>247</v>
      </c>
      <c r="E826" t="s">
        <v>531</v>
      </c>
      <c r="F826" t="s">
        <v>3173</v>
      </c>
      <c r="G826" s="25">
        <v>44315</v>
      </c>
      <c r="H826">
        <v>24</v>
      </c>
      <c r="I826">
        <v>119</v>
      </c>
      <c r="J826" t="s">
        <v>3176</v>
      </c>
      <c r="K826" t="s">
        <v>510</v>
      </c>
      <c r="L826" t="s">
        <v>231</v>
      </c>
      <c r="M826" t="s">
        <v>872</v>
      </c>
      <c r="N826" t="s">
        <v>184</v>
      </c>
      <c r="O826" t="s">
        <v>873</v>
      </c>
      <c r="P826" t="s">
        <v>867</v>
      </c>
      <c r="Q826" t="s">
        <v>874</v>
      </c>
      <c r="R826" t="s">
        <v>875</v>
      </c>
      <c r="S826" t="s">
        <v>232</v>
      </c>
      <c r="T826" t="s">
        <v>502</v>
      </c>
      <c r="U826" t="s">
        <v>287</v>
      </c>
      <c r="V826" t="s">
        <v>234</v>
      </c>
      <c r="W826" t="s">
        <v>58</v>
      </c>
      <c r="X826" t="s">
        <v>235</v>
      </c>
      <c r="Y826" t="s">
        <v>288</v>
      </c>
      <c r="Z826">
        <v>2508</v>
      </c>
      <c r="AA826">
        <v>2508</v>
      </c>
      <c r="AB826" t="s">
        <v>237</v>
      </c>
      <c r="AC826">
        <v>5.07</v>
      </c>
      <c r="AD826">
        <v>12715.56</v>
      </c>
      <c r="AE826">
        <v>3486.12</v>
      </c>
      <c r="AF826" t="s">
        <v>870</v>
      </c>
      <c r="AG826">
        <v>9229.44</v>
      </c>
      <c r="AH826">
        <v>0.73</v>
      </c>
    </row>
    <row r="827" spans="1:34" x14ac:dyDescent="0.25">
      <c r="A827" t="s">
        <v>2403</v>
      </c>
      <c r="B827">
        <v>826</v>
      </c>
      <c r="C827" t="s">
        <v>487</v>
      </c>
      <c r="D827" t="s">
        <v>247</v>
      </c>
      <c r="E827" t="s">
        <v>531</v>
      </c>
      <c r="F827" t="s">
        <v>3173</v>
      </c>
      <c r="G827" s="25">
        <v>44315</v>
      </c>
      <c r="H827">
        <v>24</v>
      </c>
      <c r="I827">
        <v>119</v>
      </c>
      <c r="J827" t="s">
        <v>3177</v>
      </c>
      <c r="K827" t="s">
        <v>510</v>
      </c>
      <c r="L827" t="s">
        <v>231</v>
      </c>
      <c r="M827" t="s">
        <v>872</v>
      </c>
      <c r="N827" t="s">
        <v>184</v>
      </c>
      <c r="O827" t="s">
        <v>1212</v>
      </c>
      <c r="P827" t="s">
        <v>867</v>
      </c>
      <c r="Q827" t="s">
        <v>1213</v>
      </c>
      <c r="R827" t="s">
        <v>1214</v>
      </c>
      <c r="S827" t="s">
        <v>232</v>
      </c>
      <c r="T827" t="s">
        <v>502</v>
      </c>
      <c r="U827" t="s">
        <v>287</v>
      </c>
      <c r="V827" t="s">
        <v>234</v>
      </c>
      <c r="W827" t="s">
        <v>58</v>
      </c>
      <c r="X827" t="s">
        <v>235</v>
      </c>
      <c r="Y827" t="s">
        <v>288</v>
      </c>
      <c r="Z827">
        <v>2561</v>
      </c>
      <c r="AA827">
        <v>2561</v>
      </c>
      <c r="AB827" t="s">
        <v>237</v>
      </c>
      <c r="AC827">
        <v>5.07</v>
      </c>
      <c r="AD827">
        <v>12984.27</v>
      </c>
      <c r="AE827">
        <v>3559.79</v>
      </c>
      <c r="AF827" t="s">
        <v>870</v>
      </c>
      <c r="AG827">
        <v>9424.48</v>
      </c>
      <c r="AH827">
        <v>0.73</v>
      </c>
    </row>
    <row r="828" spans="1:34" x14ac:dyDescent="0.25">
      <c r="A828" t="s">
        <v>2426</v>
      </c>
      <c r="B828">
        <v>827</v>
      </c>
      <c r="C828" t="s">
        <v>487</v>
      </c>
      <c r="D828" t="s">
        <v>247</v>
      </c>
      <c r="E828" t="s">
        <v>531</v>
      </c>
      <c r="F828" t="s">
        <v>3173</v>
      </c>
      <c r="G828" s="25">
        <v>44315</v>
      </c>
      <c r="H828">
        <v>24</v>
      </c>
      <c r="I828">
        <v>119</v>
      </c>
      <c r="J828" t="s">
        <v>3177</v>
      </c>
      <c r="K828" t="s">
        <v>876</v>
      </c>
      <c r="L828" t="s">
        <v>231</v>
      </c>
      <c r="M828" t="s">
        <v>872</v>
      </c>
      <c r="N828" t="s">
        <v>184</v>
      </c>
      <c r="O828" t="s">
        <v>1212</v>
      </c>
      <c r="P828" t="s">
        <v>867</v>
      </c>
      <c r="Q828" t="s">
        <v>1213</v>
      </c>
      <c r="R828" t="s">
        <v>1214</v>
      </c>
      <c r="S828" t="s">
        <v>232</v>
      </c>
      <c r="T828" t="s">
        <v>502</v>
      </c>
      <c r="U828" t="s">
        <v>287</v>
      </c>
      <c r="V828" t="s">
        <v>234</v>
      </c>
      <c r="W828" t="s">
        <v>58</v>
      </c>
      <c r="X828" t="s">
        <v>235</v>
      </c>
      <c r="Y828" t="s">
        <v>288</v>
      </c>
      <c r="Z828">
        <v>3147</v>
      </c>
      <c r="AA828">
        <v>3147</v>
      </c>
      <c r="AB828" t="s">
        <v>237</v>
      </c>
      <c r="AC828">
        <v>5.07</v>
      </c>
      <c r="AD828">
        <v>15955.29</v>
      </c>
      <c r="AE828">
        <v>4374.33</v>
      </c>
      <c r="AF828" t="s">
        <v>870</v>
      </c>
      <c r="AG828">
        <v>11580.96</v>
      </c>
      <c r="AH828">
        <v>0.73</v>
      </c>
    </row>
    <row r="829" spans="1:34" x14ac:dyDescent="0.25">
      <c r="A829" t="s">
        <v>1908</v>
      </c>
      <c r="B829">
        <v>828</v>
      </c>
      <c r="C829" t="s">
        <v>487</v>
      </c>
      <c r="D829" t="s">
        <v>247</v>
      </c>
      <c r="E829" t="s">
        <v>531</v>
      </c>
      <c r="F829" t="s">
        <v>3173</v>
      </c>
      <c r="G829" s="25">
        <v>44315</v>
      </c>
      <c r="H829">
        <v>24</v>
      </c>
      <c r="I829">
        <v>119</v>
      </c>
      <c r="J829" t="s">
        <v>3177</v>
      </c>
      <c r="K829" t="s">
        <v>921</v>
      </c>
      <c r="L829" t="s">
        <v>231</v>
      </c>
      <c r="M829" t="s">
        <v>872</v>
      </c>
      <c r="N829" t="s">
        <v>184</v>
      </c>
      <c r="O829" t="s">
        <v>1212</v>
      </c>
      <c r="P829" t="s">
        <v>867</v>
      </c>
      <c r="Q829" t="s">
        <v>1213</v>
      </c>
      <c r="R829" t="s">
        <v>1214</v>
      </c>
      <c r="S829" t="s">
        <v>232</v>
      </c>
      <c r="T829" t="s">
        <v>502</v>
      </c>
      <c r="U829" t="s">
        <v>287</v>
      </c>
      <c r="V829" t="s">
        <v>234</v>
      </c>
      <c r="W829" t="s">
        <v>58</v>
      </c>
      <c r="X829" t="s">
        <v>235</v>
      </c>
      <c r="Y829" t="s">
        <v>288</v>
      </c>
      <c r="Z829">
        <v>2681</v>
      </c>
      <c r="AA829">
        <v>2681</v>
      </c>
      <c r="AB829" t="s">
        <v>237</v>
      </c>
      <c r="AC829">
        <v>5.07</v>
      </c>
      <c r="AD829">
        <v>13592.67</v>
      </c>
      <c r="AE829">
        <v>3726.59</v>
      </c>
      <c r="AF829" t="s">
        <v>870</v>
      </c>
      <c r="AG829">
        <v>9866.08</v>
      </c>
      <c r="AH829">
        <v>0.73</v>
      </c>
    </row>
    <row r="830" spans="1:34" x14ac:dyDescent="0.25">
      <c r="A830" t="s">
        <v>2797</v>
      </c>
      <c r="B830">
        <v>829</v>
      </c>
      <c r="C830" t="s">
        <v>487</v>
      </c>
      <c r="D830" t="s">
        <v>247</v>
      </c>
      <c r="E830" t="s">
        <v>531</v>
      </c>
      <c r="F830" t="s">
        <v>3173</v>
      </c>
      <c r="G830" s="25">
        <v>44315</v>
      </c>
      <c r="H830">
        <v>24</v>
      </c>
      <c r="I830">
        <v>119</v>
      </c>
      <c r="J830" t="s">
        <v>3177</v>
      </c>
      <c r="K830" t="s">
        <v>956</v>
      </c>
      <c r="L830" t="s">
        <v>231</v>
      </c>
      <c r="M830" t="s">
        <v>872</v>
      </c>
      <c r="N830" t="s">
        <v>184</v>
      </c>
      <c r="O830" t="s">
        <v>1212</v>
      </c>
      <c r="P830" t="s">
        <v>867</v>
      </c>
      <c r="Q830" t="s">
        <v>1213</v>
      </c>
      <c r="R830" t="s">
        <v>1214</v>
      </c>
      <c r="S830" t="s">
        <v>232</v>
      </c>
      <c r="T830" t="s">
        <v>502</v>
      </c>
      <c r="U830" t="s">
        <v>287</v>
      </c>
      <c r="V830" t="s">
        <v>234</v>
      </c>
      <c r="W830" t="s">
        <v>58</v>
      </c>
      <c r="X830" t="s">
        <v>235</v>
      </c>
      <c r="Y830" t="s">
        <v>288</v>
      </c>
      <c r="Z830">
        <v>2923</v>
      </c>
      <c r="AA830">
        <v>2923</v>
      </c>
      <c r="AB830" t="s">
        <v>237</v>
      </c>
      <c r="AC830">
        <v>5.07</v>
      </c>
      <c r="AD830">
        <v>14819.61</v>
      </c>
      <c r="AE830">
        <v>4062.97</v>
      </c>
      <c r="AF830" t="s">
        <v>870</v>
      </c>
      <c r="AG830">
        <v>10756.64</v>
      </c>
      <c r="AH830">
        <v>0.73</v>
      </c>
    </row>
    <row r="831" spans="1:34" x14ac:dyDescent="0.25">
      <c r="A831" t="s">
        <v>1748</v>
      </c>
      <c r="B831">
        <v>830</v>
      </c>
      <c r="C831" t="s">
        <v>487</v>
      </c>
      <c r="D831" t="s">
        <v>247</v>
      </c>
      <c r="E831" t="s">
        <v>408</v>
      </c>
      <c r="F831" t="s">
        <v>3178</v>
      </c>
      <c r="G831" s="25">
        <v>44316</v>
      </c>
      <c r="H831">
        <v>24</v>
      </c>
      <c r="I831">
        <v>120</v>
      </c>
      <c r="J831" t="s">
        <v>3179</v>
      </c>
      <c r="K831" t="s">
        <v>876</v>
      </c>
      <c r="L831" t="s">
        <v>231</v>
      </c>
      <c r="M831" t="s">
        <v>931</v>
      </c>
      <c r="N831" t="s">
        <v>186</v>
      </c>
      <c r="O831" t="s">
        <v>944</v>
      </c>
      <c r="P831" t="s">
        <v>867</v>
      </c>
      <c r="Q831" t="s">
        <v>945</v>
      </c>
      <c r="R831" t="s">
        <v>946</v>
      </c>
      <c r="S831" t="s">
        <v>232</v>
      </c>
      <c r="T831" t="s">
        <v>504</v>
      </c>
      <c r="U831" t="s">
        <v>43</v>
      </c>
      <c r="V831" t="s">
        <v>234</v>
      </c>
      <c r="W831" t="s">
        <v>42</v>
      </c>
      <c r="X831" t="s">
        <v>21</v>
      </c>
      <c r="Y831" t="s">
        <v>236</v>
      </c>
      <c r="Z831">
        <v>3187</v>
      </c>
      <c r="AA831">
        <v>3187</v>
      </c>
      <c r="AB831" t="s">
        <v>237</v>
      </c>
      <c r="AC831">
        <v>4.9000000000000004</v>
      </c>
      <c r="AD831">
        <v>15616.3</v>
      </c>
      <c r="AE831">
        <v>3920.01</v>
      </c>
      <c r="AF831" t="s">
        <v>870</v>
      </c>
      <c r="AG831">
        <v>11696.29</v>
      </c>
      <c r="AH831">
        <v>0.75</v>
      </c>
    </row>
    <row r="832" spans="1:34" x14ac:dyDescent="0.25">
      <c r="A832" t="s">
        <v>2907</v>
      </c>
      <c r="B832">
        <v>831</v>
      </c>
      <c r="C832" t="s">
        <v>487</v>
      </c>
      <c r="D832" t="s">
        <v>247</v>
      </c>
      <c r="E832" t="s">
        <v>408</v>
      </c>
      <c r="F832" t="s">
        <v>3178</v>
      </c>
      <c r="G832" s="25">
        <v>44316</v>
      </c>
      <c r="H832">
        <v>24</v>
      </c>
      <c r="I832">
        <v>120</v>
      </c>
      <c r="J832" t="s">
        <v>3179</v>
      </c>
      <c r="K832" t="s">
        <v>921</v>
      </c>
      <c r="L832" t="s">
        <v>231</v>
      </c>
      <c r="M832" t="s">
        <v>931</v>
      </c>
      <c r="N832" t="s">
        <v>186</v>
      </c>
      <c r="O832" t="s">
        <v>944</v>
      </c>
      <c r="P832" t="s">
        <v>867</v>
      </c>
      <c r="Q832" t="s">
        <v>945</v>
      </c>
      <c r="R832" t="s">
        <v>946</v>
      </c>
      <c r="S832" t="s">
        <v>232</v>
      </c>
      <c r="T832" t="s">
        <v>504</v>
      </c>
      <c r="U832" t="s">
        <v>43</v>
      </c>
      <c r="V832" t="s">
        <v>234</v>
      </c>
      <c r="W832" t="s">
        <v>42</v>
      </c>
      <c r="X832" t="s">
        <v>21</v>
      </c>
      <c r="Y832" t="s">
        <v>236</v>
      </c>
      <c r="Z832">
        <v>2754</v>
      </c>
      <c r="AA832">
        <v>2754</v>
      </c>
      <c r="AB832" t="s">
        <v>237</v>
      </c>
      <c r="AC832">
        <v>4.9000000000000004</v>
      </c>
      <c r="AD832">
        <v>13494.6</v>
      </c>
      <c r="AE832">
        <v>3387.42</v>
      </c>
      <c r="AF832" t="s">
        <v>870</v>
      </c>
      <c r="AG832">
        <v>10107.18</v>
      </c>
      <c r="AH832">
        <v>0.75</v>
      </c>
    </row>
    <row r="833" spans="1:34" x14ac:dyDescent="0.25">
      <c r="A833" t="s">
        <v>1850</v>
      </c>
      <c r="B833">
        <v>832</v>
      </c>
      <c r="C833" t="s">
        <v>487</v>
      </c>
      <c r="D833" t="s">
        <v>247</v>
      </c>
      <c r="E833" t="s">
        <v>408</v>
      </c>
      <c r="F833" t="s">
        <v>3178</v>
      </c>
      <c r="G833" s="25">
        <v>44316</v>
      </c>
      <c r="H833">
        <v>24</v>
      </c>
      <c r="I833">
        <v>120</v>
      </c>
      <c r="J833" t="s">
        <v>3180</v>
      </c>
      <c r="K833" t="s">
        <v>956</v>
      </c>
      <c r="L833" t="s">
        <v>231</v>
      </c>
      <c r="M833" t="s">
        <v>865</v>
      </c>
      <c r="N833" t="s">
        <v>186</v>
      </c>
      <c r="O833" t="s">
        <v>3181</v>
      </c>
      <c r="P833" t="s">
        <v>867</v>
      </c>
      <c r="Q833" t="s">
        <v>3182</v>
      </c>
      <c r="R833" t="s">
        <v>3183</v>
      </c>
      <c r="S833" t="s">
        <v>232</v>
      </c>
      <c r="T833" t="s">
        <v>504</v>
      </c>
      <c r="U833" t="s">
        <v>43</v>
      </c>
      <c r="V833" t="s">
        <v>234</v>
      </c>
      <c r="W833" t="s">
        <v>42</v>
      </c>
      <c r="X833" t="s">
        <v>21</v>
      </c>
      <c r="Y833" t="s">
        <v>236</v>
      </c>
      <c r="Z833">
        <v>1716</v>
      </c>
      <c r="AA833">
        <v>1716</v>
      </c>
      <c r="AB833" t="s">
        <v>237</v>
      </c>
      <c r="AC833">
        <v>4.9000000000000004</v>
      </c>
      <c r="AD833">
        <v>8408.4</v>
      </c>
      <c r="AE833">
        <v>2110.6799999999998</v>
      </c>
      <c r="AF833" t="s">
        <v>870</v>
      </c>
      <c r="AG833">
        <v>6297.72</v>
      </c>
      <c r="AH833">
        <v>0.75</v>
      </c>
    </row>
    <row r="834" spans="1:34" x14ac:dyDescent="0.25">
      <c r="A834" t="s">
        <v>2673</v>
      </c>
      <c r="B834">
        <v>833</v>
      </c>
      <c r="C834" t="s">
        <v>487</v>
      </c>
      <c r="D834" t="s">
        <v>247</v>
      </c>
      <c r="E834" t="s">
        <v>408</v>
      </c>
      <c r="F834" t="s">
        <v>3178</v>
      </c>
      <c r="G834" s="25">
        <v>44316</v>
      </c>
      <c r="H834">
        <v>24</v>
      </c>
      <c r="I834">
        <v>120</v>
      </c>
      <c r="J834" t="s">
        <v>3180</v>
      </c>
      <c r="K834" t="s">
        <v>921</v>
      </c>
      <c r="L834" t="s">
        <v>231</v>
      </c>
      <c r="M834" t="s">
        <v>865</v>
      </c>
      <c r="N834" t="s">
        <v>186</v>
      </c>
      <c r="O834" t="s">
        <v>3181</v>
      </c>
      <c r="P834" t="s">
        <v>867</v>
      </c>
      <c r="Q834" t="s">
        <v>3182</v>
      </c>
      <c r="R834" t="s">
        <v>3183</v>
      </c>
      <c r="S834" t="s">
        <v>232</v>
      </c>
      <c r="T834" t="s">
        <v>504</v>
      </c>
      <c r="U834" t="s">
        <v>43</v>
      </c>
      <c r="V834" t="s">
        <v>234</v>
      </c>
      <c r="W834" t="s">
        <v>42</v>
      </c>
      <c r="X834" t="s">
        <v>21</v>
      </c>
      <c r="Y834" t="s">
        <v>236</v>
      </c>
      <c r="Z834">
        <v>3136</v>
      </c>
      <c r="AA834">
        <v>3136</v>
      </c>
      <c r="AB834" t="s">
        <v>237</v>
      </c>
      <c r="AC834">
        <v>4.9000000000000004</v>
      </c>
      <c r="AD834">
        <v>15366.4</v>
      </c>
      <c r="AE834">
        <v>3857.28</v>
      </c>
      <c r="AF834" t="s">
        <v>870</v>
      </c>
      <c r="AG834">
        <v>11509.12</v>
      </c>
      <c r="AH834">
        <v>0.75</v>
      </c>
    </row>
    <row r="835" spans="1:34" x14ac:dyDescent="0.25">
      <c r="A835" t="s">
        <v>1693</v>
      </c>
      <c r="B835">
        <v>834</v>
      </c>
      <c r="C835" t="s">
        <v>487</v>
      </c>
      <c r="D835" t="s">
        <v>247</v>
      </c>
      <c r="E835" t="s">
        <v>408</v>
      </c>
      <c r="F835" t="s">
        <v>3178</v>
      </c>
      <c r="G835" s="25">
        <v>44316</v>
      </c>
      <c r="H835">
        <v>24</v>
      </c>
      <c r="I835">
        <v>120</v>
      </c>
      <c r="J835" t="s">
        <v>3180</v>
      </c>
      <c r="K835" t="s">
        <v>876</v>
      </c>
      <c r="L835" t="s">
        <v>231</v>
      </c>
      <c r="M835" t="s">
        <v>865</v>
      </c>
      <c r="N835" t="s">
        <v>186</v>
      </c>
      <c r="O835" t="s">
        <v>3181</v>
      </c>
      <c r="P835" t="s">
        <v>867</v>
      </c>
      <c r="Q835" t="s">
        <v>3182</v>
      </c>
      <c r="R835" t="s">
        <v>3183</v>
      </c>
      <c r="S835" t="s">
        <v>232</v>
      </c>
      <c r="T835" t="s">
        <v>504</v>
      </c>
      <c r="U835" t="s">
        <v>43</v>
      </c>
      <c r="V835" t="s">
        <v>234</v>
      </c>
      <c r="W835" t="s">
        <v>42</v>
      </c>
      <c r="X835" t="s">
        <v>21</v>
      </c>
      <c r="Y835" t="s">
        <v>236</v>
      </c>
      <c r="Z835">
        <v>2832</v>
      </c>
      <c r="AA835">
        <v>2832</v>
      </c>
      <c r="AB835" t="s">
        <v>237</v>
      </c>
      <c r="AC835">
        <v>4.9000000000000004</v>
      </c>
      <c r="AD835">
        <v>13876.8</v>
      </c>
      <c r="AE835">
        <v>3483.36</v>
      </c>
      <c r="AF835" t="s">
        <v>870</v>
      </c>
      <c r="AG835">
        <v>10393.44</v>
      </c>
      <c r="AH835">
        <v>0.75</v>
      </c>
    </row>
    <row r="836" spans="1:34" x14ac:dyDescent="0.25">
      <c r="A836" t="s">
        <v>2305</v>
      </c>
      <c r="B836">
        <v>835</v>
      </c>
      <c r="C836" t="s">
        <v>487</v>
      </c>
      <c r="D836" t="s">
        <v>247</v>
      </c>
      <c r="E836" t="s">
        <v>408</v>
      </c>
      <c r="F836" t="s">
        <v>3178</v>
      </c>
      <c r="G836" s="25">
        <v>44316</v>
      </c>
      <c r="H836">
        <v>24</v>
      </c>
      <c r="I836">
        <v>120</v>
      </c>
      <c r="J836" t="s">
        <v>3179</v>
      </c>
      <c r="K836" t="s">
        <v>510</v>
      </c>
      <c r="L836" t="s">
        <v>231</v>
      </c>
      <c r="M836" t="s">
        <v>931</v>
      </c>
      <c r="N836" t="s">
        <v>186</v>
      </c>
      <c r="O836" t="s">
        <v>944</v>
      </c>
      <c r="P836" t="s">
        <v>867</v>
      </c>
      <c r="Q836" t="s">
        <v>945</v>
      </c>
      <c r="R836" t="s">
        <v>946</v>
      </c>
      <c r="S836" t="s">
        <v>232</v>
      </c>
      <c r="T836" t="s">
        <v>502</v>
      </c>
      <c r="U836" t="s">
        <v>287</v>
      </c>
      <c r="V836" t="s">
        <v>234</v>
      </c>
      <c r="W836" t="s">
        <v>58</v>
      </c>
      <c r="X836" t="s">
        <v>235</v>
      </c>
      <c r="Y836" t="s">
        <v>288</v>
      </c>
      <c r="Z836">
        <v>3211</v>
      </c>
      <c r="AA836">
        <v>3211</v>
      </c>
      <c r="AB836" t="s">
        <v>237</v>
      </c>
      <c r="AC836">
        <v>5.07</v>
      </c>
      <c r="AD836">
        <v>16279.77</v>
      </c>
      <c r="AE836">
        <v>4463.29</v>
      </c>
      <c r="AF836" t="s">
        <v>870</v>
      </c>
      <c r="AG836">
        <v>11816.48</v>
      </c>
      <c r="AH836">
        <v>0.73</v>
      </c>
    </row>
    <row r="837" spans="1:34" x14ac:dyDescent="0.25">
      <c r="A837" t="s">
        <v>2313</v>
      </c>
      <c r="B837">
        <v>836</v>
      </c>
      <c r="C837" t="s">
        <v>487</v>
      </c>
      <c r="D837" t="s">
        <v>247</v>
      </c>
      <c r="E837" t="s">
        <v>408</v>
      </c>
      <c r="F837" t="s">
        <v>3178</v>
      </c>
      <c r="G837" s="25">
        <v>44316</v>
      </c>
      <c r="H837">
        <v>24</v>
      </c>
      <c r="I837">
        <v>120</v>
      </c>
      <c r="J837" t="s">
        <v>3179</v>
      </c>
      <c r="K837" t="s">
        <v>956</v>
      </c>
      <c r="L837" t="s">
        <v>231</v>
      </c>
      <c r="M837" t="s">
        <v>931</v>
      </c>
      <c r="N837" t="s">
        <v>186</v>
      </c>
      <c r="O837" t="s">
        <v>944</v>
      </c>
      <c r="P837" t="s">
        <v>867</v>
      </c>
      <c r="Q837" t="s">
        <v>945</v>
      </c>
      <c r="R837" t="s">
        <v>946</v>
      </c>
      <c r="S837" t="s">
        <v>232</v>
      </c>
      <c r="T837" t="s">
        <v>502</v>
      </c>
      <c r="U837" t="s">
        <v>287</v>
      </c>
      <c r="V837" t="s">
        <v>234</v>
      </c>
      <c r="W837" t="s">
        <v>58</v>
      </c>
      <c r="X837" t="s">
        <v>235</v>
      </c>
      <c r="Y837" t="s">
        <v>288</v>
      </c>
      <c r="Z837">
        <v>2678</v>
      </c>
      <c r="AA837">
        <v>2678</v>
      </c>
      <c r="AB837" t="s">
        <v>237</v>
      </c>
      <c r="AC837">
        <v>5.07</v>
      </c>
      <c r="AD837">
        <v>13577.46</v>
      </c>
      <c r="AE837">
        <v>3722.42</v>
      </c>
      <c r="AF837" t="s">
        <v>870</v>
      </c>
      <c r="AG837">
        <v>9855.0400000000009</v>
      </c>
      <c r="AH837">
        <v>0.73</v>
      </c>
    </row>
    <row r="838" spans="1:34" x14ac:dyDescent="0.25">
      <c r="A838" t="s">
        <v>2829</v>
      </c>
      <c r="B838">
        <v>837</v>
      </c>
      <c r="C838" t="s">
        <v>487</v>
      </c>
      <c r="D838" t="s">
        <v>247</v>
      </c>
      <c r="E838" t="s">
        <v>408</v>
      </c>
      <c r="F838" t="s">
        <v>3178</v>
      </c>
      <c r="G838" s="25">
        <v>44316</v>
      </c>
      <c r="H838">
        <v>24</v>
      </c>
      <c r="I838">
        <v>120</v>
      </c>
      <c r="J838" t="s">
        <v>3180</v>
      </c>
      <c r="K838" t="s">
        <v>510</v>
      </c>
      <c r="L838" t="s">
        <v>231</v>
      </c>
      <c r="M838" t="s">
        <v>865</v>
      </c>
      <c r="N838" t="s">
        <v>186</v>
      </c>
      <c r="O838" t="s">
        <v>3181</v>
      </c>
      <c r="P838" t="s">
        <v>867</v>
      </c>
      <c r="Q838" t="s">
        <v>3182</v>
      </c>
      <c r="R838" t="s">
        <v>3183</v>
      </c>
      <c r="S838" t="s">
        <v>232</v>
      </c>
      <c r="T838" t="s">
        <v>502</v>
      </c>
      <c r="U838" t="s">
        <v>287</v>
      </c>
      <c r="V838" t="s">
        <v>234</v>
      </c>
      <c r="W838" t="s">
        <v>58</v>
      </c>
      <c r="X838" t="s">
        <v>235</v>
      </c>
      <c r="Y838" t="s">
        <v>288</v>
      </c>
      <c r="Z838">
        <v>611</v>
      </c>
      <c r="AA838">
        <v>611</v>
      </c>
      <c r="AB838" t="s">
        <v>237</v>
      </c>
      <c r="AC838">
        <v>5.07</v>
      </c>
      <c r="AD838">
        <v>3097.77</v>
      </c>
      <c r="AE838">
        <v>849.29</v>
      </c>
      <c r="AF838" t="s">
        <v>870</v>
      </c>
      <c r="AG838">
        <v>2248.48</v>
      </c>
      <c r="AH838">
        <v>0.73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146-9690-4DD4-A003-139D4EC0EFC1}">
  <sheetPr codeName="Sheet10">
    <tabColor rgb="FFFFFF00"/>
  </sheetPr>
  <dimension ref="A1:U26"/>
  <sheetViews>
    <sheetView zoomScale="98" zoomScaleNormal="98" workbookViewId="0">
      <selection activeCell="C1" sqref="C1"/>
    </sheetView>
  </sheetViews>
  <sheetFormatPr defaultRowHeight="15" x14ac:dyDescent="0.25"/>
  <cols>
    <col min="1" max="1" width="17.42578125" style="68" customWidth="1"/>
    <col min="2" max="2" width="23.85546875" style="68" customWidth="1"/>
    <col min="3" max="3" width="14" style="68" customWidth="1"/>
    <col min="4" max="4" width="7.5703125" style="68" customWidth="1"/>
    <col min="5" max="15" width="15.5703125" style="68" customWidth="1"/>
    <col min="16" max="16" width="9.140625" style="68"/>
    <col min="17" max="17" width="13" style="68" customWidth="1"/>
    <col min="18" max="16384" width="9.140625" style="68"/>
  </cols>
  <sheetData>
    <row r="1" spans="1:21" ht="33" customHeight="1" x14ac:dyDescent="0.25">
      <c r="A1" s="96" t="s">
        <v>394</v>
      </c>
      <c r="B1" s="97">
        <v>6</v>
      </c>
      <c r="D1" s="176" t="s">
        <v>2933</v>
      </c>
      <c r="E1" s="176"/>
    </row>
    <row r="2" spans="1:21" x14ac:dyDescent="0.25">
      <c r="A2" s="177" t="s">
        <v>445</v>
      </c>
      <c r="B2" s="177"/>
    </row>
    <row r="3" spans="1:21" x14ac:dyDescent="0.25">
      <c r="A3" s="161" t="s">
        <v>446</v>
      </c>
      <c r="B3" s="161"/>
    </row>
    <row r="4" spans="1:21" x14ac:dyDescent="0.25">
      <c r="A4" s="178" t="s">
        <v>447</v>
      </c>
      <c r="B4" s="178"/>
    </row>
    <row r="5" spans="1:21" ht="15.75" thickBot="1" x14ac:dyDescent="0.3">
      <c r="A5" s="162" t="s">
        <v>448</v>
      </c>
      <c r="B5" s="162"/>
    </row>
    <row r="6" spans="1:21" s="102" customFormat="1" ht="30.75" thickBot="1" x14ac:dyDescent="0.3">
      <c r="A6" s="98" t="s">
        <v>136</v>
      </c>
      <c r="B6" s="99"/>
      <c r="C6" s="100"/>
      <c r="D6" s="100"/>
      <c r="E6" s="166" t="s">
        <v>137</v>
      </c>
      <c r="F6" s="167"/>
      <c r="G6" s="168"/>
      <c r="H6" s="169" t="s">
        <v>138</v>
      </c>
      <c r="I6" s="170"/>
      <c r="J6" s="170"/>
      <c r="K6" s="170"/>
      <c r="L6" s="170"/>
      <c r="M6" s="166" t="s">
        <v>139</v>
      </c>
      <c r="N6" s="167"/>
      <c r="O6" s="168"/>
      <c r="P6" s="101"/>
      <c r="Q6" s="111" t="s">
        <v>140</v>
      </c>
    </row>
    <row r="7" spans="1:21" s="103" customFormat="1" ht="30.75" thickBot="1" x14ac:dyDescent="0.3">
      <c r="A7" s="54" t="str">
        <f>[1]MaterialMaster!A2</f>
        <v>Material Number</v>
      </c>
      <c r="B7" s="54" t="str">
        <f>[1]MaterialMaster!B2</f>
        <v>Material Description</v>
      </c>
      <c r="C7" s="55" t="s">
        <v>23</v>
      </c>
      <c r="D7" s="55" t="s">
        <v>192</v>
      </c>
      <c r="E7" s="56" t="s">
        <v>141</v>
      </c>
      <c r="F7" s="56" t="s">
        <v>142</v>
      </c>
      <c r="G7" s="56" t="s">
        <v>143</v>
      </c>
      <c r="H7" s="56" t="s">
        <v>144</v>
      </c>
      <c r="I7" s="55" t="s">
        <v>145</v>
      </c>
      <c r="J7" s="55" t="s">
        <v>146</v>
      </c>
      <c r="K7" s="55" t="s">
        <v>147</v>
      </c>
      <c r="L7" s="55" t="s">
        <v>148</v>
      </c>
      <c r="M7" s="55" t="s">
        <v>149</v>
      </c>
      <c r="N7" s="55" t="s">
        <v>150</v>
      </c>
      <c r="O7" s="55" t="s">
        <v>151</v>
      </c>
      <c r="Q7" s="61">
        <f>(COUNTIF(L8:L19,"OK"))/COUNTA(A8:A19)</f>
        <v>0.5</v>
      </c>
    </row>
    <row r="8" spans="1:21" x14ac:dyDescent="0.25">
      <c r="A8" s="65" t="s">
        <v>40</v>
      </c>
      <c r="B8" s="42" t="str">
        <f t="shared" ref="B8:B19" si="0">IFERROR(VLOOKUP(A8,MaterialMaster,2,FALSE),"Invalid Record")</f>
        <v>500g Nut Muesli</v>
      </c>
      <c r="C8" s="42" t="str">
        <f t="shared" ref="C8:C19" si="1">IFERROR(VLOOKUP(A8,MaterialMaster,15,FALSE),"Invalid Record")</f>
        <v>Nut</v>
      </c>
      <c r="D8" s="57">
        <f t="shared" ref="D8:D19" si="2">VLOOKUP(A8,MaterialMaster,16,FALSE)</f>
        <v>500</v>
      </c>
      <c r="E8" s="104">
        <v>50000</v>
      </c>
      <c r="F8" s="105">
        <v>3.9</v>
      </c>
      <c r="G8" s="58">
        <f t="shared" ref="G8:G19" si="3">E8*F8</f>
        <v>195000</v>
      </c>
      <c r="H8" s="154">
        <f>SUMIFS(Sales__2[QUANTITY],Sales__2[SIM_ROUND],'SalesForecast-CurrentMonth'!$B$1,Sales__2[MATERIAL_CODE],'SalesForecast-CurrentMonth'!A8)</f>
        <v>44000</v>
      </c>
      <c r="I8" s="59">
        <f t="shared" ref="I8:I19" si="4">H8-E8</f>
        <v>-6000</v>
      </c>
      <c r="J8" s="60">
        <f t="shared" ref="J8:J19" si="5">IF(AND(E8=0,H8=0),0,IF(AND(E8=0,H8&gt;0),1,(I8/E8)))</f>
        <v>-0.12</v>
      </c>
      <c r="K8" s="45">
        <f t="shared" ref="K8:K19" si="6">ControlLimit</f>
        <v>0.05</v>
      </c>
      <c r="L8" s="49" t="str">
        <f>IF(ABS(J8)&lt;=K8,"OK","Error")</f>
        <v>Error</v>
      </c>
      <c r="M8" s="58">
        <f>H8*F8</f>
        <v>171600</v>
      </c>
      <c r="N8" s="58">
        <f>M8-G8</f>
        <v>-23400</v>
      </c>
      <c r="O8" s="60">
        <f>IF(AND(G8=0,M8=0),0,IF(AND(G8=0,M8&gt;0),1,(N8/G8)))</f>
        <v>-0.12</v>
      </c>
    </row>
    <row r="9" spans="1:21" x14ac:dyDescent="0.25">
      <c r="A9" s="65" t="s">
        <v>42</v>
      </c>
      <c r="B9" s="42" t="str">
        <f t="shared" si="0"/>
        <v>500g Blueberry Muesli</v>
      </c>
      <c r="C9" s="42" t="str">
        <f t="shared" si="1"/>
        <v>Blueberry</v>
      </c>
      <c r="D9" s="57">
        <f t="shared" si="2"/>
        <v>500</v>
      </c>
      <c r="E9" s="104">
        <v>50000</v>
      </c>
      <c r="F9" s="105">
        <v>4.2300000000000004</v>
      </c>
      <c r="G9" s="58">
        <f t="shared" si="3"/>
        <v>211500.00000000003</v>
      </c>
      <c r="H9" s="154">
        <f>SUMIFS(Sales__2[QUANTITY],Sales__2[SIM_ROUND],'SalesForecast-CurrentMonth'!$B$1,Sales__2[MATERIAL_CODE],'SalesForecast-CurrentMonth'!A9)</f>
        <v>61625</v>
      </c>
      <c r="I9" s="59">
        <f t="shared" si="4"/>
        <v>11625</v>
      </c>
      <c r="J9" s="60">
        <f t="shared" si="5"/>
        <v>0.23250000000000001</v>
      </c>
      <c r="K9" s="45">
        <f t="shared" si="6"/>
        <v>0.05</v>
      </c>
      <c r="L9" s="49" t="str">
        <f t="shared" ref="L9:L19" si="7">IF(ABS(J9)&lt;=K9,"OK","Error")</f>
        <v>Error</v>
      </c>
      <c r="M9" s="58">
        <f t="shared" ref="M9:M19" si="8">H9*F9</f>
        <v>260673.75000000003</v>
      </c>
      <c r="N9" s="58">
        <f t="shared" ref="N9:N19" si="9">M9-G9</f>
        <v>49173.75</v>
      </c>
      <c r="O9" s="60">
        <f t="shared" ref="O9:O19" si="10">IF(AND(G9=0,M9=0),0,IF(AND(G9=0,M9&gt;0),1,(N9/G9)))</f>
        <v>0.23249999999999996</v>
      </c>
      <c r="Q9" s="171" t="s">
        <v>390</v>
      </c>
      <c r="R9" s="172"/>
      <c r="S9" s="172"/>
      <c r="T9" s="172"/>
      <c r="U9" s="173"/>
    </row>
    <row r="10" spans="1:21" x14ac:dyDescent="0.25">
      <c r="A10" s="65" t="s">
        <v>44</v>
      </c>
      <c r="B10" s="42" t="str">
        <f t="shared" si="0"/>
        <v>500g Strawberry Muesli</v>
      </c>
      <c r="C10" s="42" t="str">
        <f t="shared" si="1"/>
        <v>Strawberry</v>
      </c>
      <c r="D10" s="57">
        <f t="shared" si="2"/>
        <v>500</v>
      </c>
      <c r="E10" s="104">
        <v>50000</v>
      </c>
      <c r="F10" s="105">
        <v>4.2300000000000004</v>
      </c>
      <c r="G10" s="58">
        <f t="shared" si="3"/>
        <v>211500.00000000003</v>
      </c>
      <c r="H10" s="154">
        <f>SUMIFS(Sales__2[QUANTITY],Sales__2[SIM_ROUND],'SalesForecast-CurrentMonth'!$B$1,Sales__2[MATERIAL_CODE],'SalesForecast-CurrentMonth'!A10)</f>
        <v>48000</v>
      </c>
      <c r="I10" s="59">
        <f t="shared" si="4"/>
        <v>-2000</v>
      </c>
      <c r="J10" s="60">
        <f t="shared" si="5"/>
        <v>-0.04</v>
      </c>
      <c r="K10" s="45">
        <f t="shared" si="6"/>
        <v>0.05</v>
      </c>
      <c r="L10" s="49" t="str">
        <f t="shared" si="7"/>
        <v>OK</v>
      </c>
      <c r="M10" s="58">
        <f t="shared" si="8"/>
        <v>203040.00000000003</v>
      </c>
      <c r="N10" s="58">
        <f t="shared" si="9"/>
        <v>-8460</v>
      </c>
      <c r="O10" s="60">
        <f t="shared" si="10"/>
        <v>-3.9999999999999994E-2</v>
      </c>
      <c r="Q10" s="65"/>
      <c r="R10" s="174" t="s">
        <v>137</v>
      </c>
      <c r="S10" s="175"/>
      <c r="T10" s="164" t="s">
        <v>391</v>
      </c>
      <c r="U10" s="165"/>
    </row>
    <row r="11" spans="1:21" x14ac:dyDescent="0.25">
      <c r="A11" s="65" t="s">
        <v>46</v>
      </c>
      <c r="B11" s="42" t="str">
        <f t="shared" si="0"/>
        <v>500g Raisin Muesli</v>
      </c>
      <c r="C11" s="42" t="str">
        <f t="shared" si="1"/>
        <v>Raisins</v>
      </c>
      <c r="D11" s="57">
        <f t="shared" si="2"/>
        <v>500</v>
      </c>
      <c r="E11" s="104">
        <v>50000</v>
      </c>
      <c r="F11" s="105">
        <v>3.79</v>
      </c>
      <c r="G11" s="58">
        <f t="shared" si="3"/>
        <v>189500</v>
      </c>
      <c r="H11" s="154">
        <f>SUMIFS(Sales__2[QUANTITY],Sales__2[SIM_ROUND],'SalesForecast-CurrentMonth'!$B$1,Sales__2[MATERIAL_CODE],'SalesForecast-CurrentMonth'!A11)</f>
        <v>37000</v>
      </c>
      <c r="I11" s="59">
        <f t="shared" si="4"/>
        <v>-13000</v>
      </c>
      <c r="J11" s="60">
        <f t="shared" si="5"/>
        <v>-0.26</v>
      </c>
      <c r="K11" s="45">
        <f t="shared" si="6"/>
        <v>0.05</v>
      </c>
      <c r="L11" s="49" t="str">
        <f t="shared" si="7"/>
        <v>Error</v>
      </c>
      <c r="M11" s="58">
        <f t="shared" si="8"/>
        <v>140230</v>
      </c>
      <c r="N11" s="58">
        <f t="shared" si="9"/>
        <v>-49270</v>
      </c>
      <c r="O11" s="60">
        <f t="shared" si="10"/>
        <v>-0.26</v>
      </c>
      <c r="Q11" s="11" t="s">
        <v>192</v>
      </c>
      <c r="R11" s="11" t="s">
        <v>111</v>
      </c>
      <c r="S11" s="11" t="s">
        <v>392</v>
      </c>
      <c r="T11" s="11" t="s">
        <v>111</v>
      </c>
      <c r="U11" s="11" t="s">
        <v>392</v>
      </c>
    </row>
    <row r="12" spans="1:21" x14ac:dyDescent="0.25">
      <c r="A12" s="65" t="s">
        <v>48</v>
      </c>
      <c r="B12" s="42" t="str">
        <f t="shared" si="0"/>
        <v>500g Original Muesli</v>
      </c>
      <c r="C12" s="42" t="str">
        <f t="shared" si="1"/>
        <v>Original</v>
      </c>
      <c r="D12" s="57">
        <f t="shared" si="2"/>
        <v>500</v>
      </c>
      <c r="E12" s="104">
        <v>0</v>
      </c>
      <c r="F12" s="105">
        <v>3.77</v>
      </c>
      <c r="G12" s="58">
        <f t="shared" si="3"/>
        <v>0</v>
      </c>
      <c r="H12" s="154">
        <f>SUMIFS(Sales__2[QUANTITY],Sales__2[SIM_ROUND],'SalesForecast-CurrentMonth'!$B$1,Sales__2[MATERIAL_CODE],'SalesForecast-CurrentMonth'!A12)</f>
        <v>0</v>
      </c>
      <c r="I12" s="59">
        <f t="shared" si="4"/>
        <v>0</v>
      </c>
      <c r="J12" s="60">
        <f t="shared" si="5"/>
        <v>0</v>
      </c>
      <c r="K12" s="45">
        <f t="shared" si="6"/>
        <v>0.05</v>
      </c>
      <c r="L12" s="49" t="str">
        <f t="shared" si="7"/>
        <v>OK</v>
      </c>
      <c r="M12" s="58">
        <f t="shared" si="8"/>
        <v>0</v>
      </c>
      <c r="N12" s="58">
        <f t="shared" si="9"/>
        <v>0</v>
      </c>
      <c r="O12" s="60">
        <f t="shared" si="10"/>
        <v>0</v>
      </c>
      <c r="Q12" s="65">
        <v>500</v>
      </c>
      <c r="R12" s="42">
        <f>SUMIF($D$8:$D$19,Q12,$E$8:$E$19)</f>
        <v>200000</v>
      </c>
      <c r="S12" s="42">
        <f>SUMIF($D$8:$D$19,Q12,$G$8:$G$19)</f>
        <v>807500</v>
      </c>
      <c r="T12" s="42">
        <f>SUMIF($D$8:$D$19,Q12,$H$8:$H$19)</f>
        <v>190625</v>
      </c>
      <c r="U12" s="42">
        <f>SUMIF($D$8:$D$19,Q12,$M$8:$M$19)</f>
        <v>775543.75</v>
      </c>
    </row>
    <row r="13" spans="1:21" x14ac:dyDescent="0.25">
      <c r="A13" s="65" t="s">
        <v>50</v>
      </c>
      <c r="B13" s="42" t="str">
        <f t="shared" si="0"/>
        <v>500g Mixed Fruits Muesli</v>
      </c>
      <c r="C13" s="42" t="str">
        <f t="shared" si="1"/>
        <v>Mixed</v>
      </c>
      <c r="D13" s="57">
        <f t="shared" si="2"/>
        <v>500</v>
      </c>
      <c r="E13" s="104">
        <v>0</v>
      </c>
      <c r="F13" s="105">
        <v>4.13</v>
      </c>
      <c r="G13" s="58">
        <f t="shared" si="3"/>
        <v>0</v>
      </c>
      <c r="H13" s="154">
        <f>SUMIFS(Sales__2[QUANTITY],Sales__2[SIM_ROUND],'SalesForecast-CurrentMonth'!$B$1,Sales__2[MATERIAL_CODE],'SalesForecast-CurrentMonth'!A13)</f>
        <v>0</v>
      </c>
      <c r="I13" s="59">
        <f t="shared" si="4"/>
        <v>0</v>
      </c>
      <c r="J13" s="60">
        <f t="shared" si="5"/>
        <v>0</v>
      </c>
      <c r="K13" s="45">
        <f t="shared" si="6"/>
        <v>0.05</v>
      </c>
      <c r="L13" s="49" t="str">
        <f t="shared" si="7"/>
        <v>OK</v>
      </c>
      <c r="M13" s="58">
        <f t="shared" si="8"/>
        <v>0</v>
      </c>
      <c r="N13" s="58">
        <f t="shared" si="9"/>
        <v>0</v>
      </c>
      <c r="O13" s="60">
        <f t="shared" si="10"/>
        <v>0</v>
      </c>
      <c r="Q13" s="65">
        <v>1000</v>
      </c>
      <c r="R13" s="42">
        <f>SUMIF($D$8:$D$19,Q13,$E$8:$E$19)</f>
        <v>200000</v>
      </c>
      <c r="S13" s="42">
        <f>SUMIF($D$8:$D$19,Q13,$G$8:$G$19)</f>
        <v>976000</v>
      </c>
      <c r="T13" s="42">
        <f>SUMIF($D$8:$D$19,Q13,$H$8:$H$19)</f>
        <v>249979</v>
      </c>
      <c r="U13" s="42">
        <f>SUMIF($D$8:$D$19,Q13,$M$8:$M$19)</f>
        <v>1214698.19</v>
      </c>
    </row>
    <row r="14" spans="1:21" x14ac:dyDescent="0.25">
      <c r="A14" s="65" t="s">
        <v>52</v>
      </c>
      <c r="B14" s="42" t="str">
        <f t="shared" si="0"/>
        <v>1000g Nut Muesli</v>
      </c>
      <c r="C14" s="42" t="str">
        <f t="shared" si="1"/>
        <v>Nut</v>
      </c>
      <c r="D14" s="57">
        <f t="shared" si="2"/>
        <v>1000</v>
      </c>
      <c r="E14" s="104">
        <v>50000</v>
      </c>
      <c r="F14" s="105">
        <v>4.6100000000000003</v>
      </c>
      <c r="G14" s="58">
        <f t="shared" si="3"/>
        <v>230500.00000000003</v>
      </c>
      <c r="H14" s="154">
        <f>SUMIFS(Sales__2[QUANTITY],Sales__2[SIM_ROUND],'SalesForecast-CurrentMonth'!$B$1,Sales__2[MATERIAL_CODE],'SalesForecast-CurrentMonth'!A14)</f>
        <v>49229</v>
      </c>
      <c r="I14" s="59">
        <f t="shared" si="4"/>
        <v>-771</v>
      </c>
      <c r="J14" s="60">
        <f t="shared" si="5"/>
        <v>-1.542E-2</v>
      </c>
      <c r="K14" s="45">
        <f t="shared" si="6"/>
        <v>0.05</v>
      </c>
      <c r="L14" s="49" t="str">
        <f t="shared" si="7"/>
        <v>OK</v>
      </c>
      <c r="M14" s="58">
        <f t="shared" si="8"/>
        <v>226945.69</v>
      </c>
      <c r="N14" s="58">
        <f t="shared" si="9"/>
        <v>-3554.3100000000268</v>
      </c>
      <c r="O14" s="60">
        <f t="shared" si="10"/>
        <v>-1.5420000000000114E-2</v>
      </c>
    </row>
    <row r="15" spans="1:21" x14ac:dyDescent="0.25">
      <c r="A15" s="65" t="s">
        <v>54</v>
      </c>
      <c r="B15" s="42" t="str">
        <f t="shared" si="0"/>
        <v>1000g Blueberry Muesli</v>
      </c>
      <c r="C15" s="42" t="str">
        <f t="shared" si="1"/>
        <v>Blueberry</v>
      </c>
      <c r="D15" s="57">
        <f t="shared" si="2"/>
        <v>1000</v>
      </c>
      <c r="E15" s="104">
        <v>50000</v>
      </c>
      <c r="F15" s="105">
        <v>5.26</v>
      </c>
      <c r="G15" s="58">
        <f t="shared" si="3"/>
        <v>263000</v>
      </c>
      <c r="H15" s="154">
        <f>SUMIFS(Sales__2[QUANTITY],Sales__2[SIM_ROUND],'SalesForecast-CurrentMonth'!$B$1,Sales__2[MATERIAL_CODE],'SalesForecast-CurrentMonth'!A15)</f>
        <v>78000</v>
      </c>
      <c r="I15" s="59">
        <f t="shared" si="4"/>
        <v>28000</v>
      </c>
      <c r="J15" s="60">
        <f t="shared" si="5"/>
        <v>0.56000000000000005</v>
      </c>
      <c r="K15" s="45">
        <f t="shared" si="6"/>
        <v>0.05</v>
      </c>
      <c r="L15" s="49" t="str">
        <f t="shared" si="7"/>
        <v>Error</v>
      </c>
      <c r="M15" s="58">
        <f t="shared" si="8"/>
        <v>410280</v>
      </c>
      <c r="N15" s="58">
        <f t="shared" si="9"/>
        <v>147280</v>
      </c>
      <c r="O15" s="60">
        <f t="shared" si="10"/>
        <v>0.56000000000000005</v>
      </c>
      <c r="Q15" s="65"/>
      <c r="R15" s="174" t="s">
        <v>137</v>
      </c>
      <c r="S15" s="175"/>
      <c r="T15" s="164" t="s">
        <v>391</v>
      </c>
      <c r="U15" s="165"/>
    </row>
    <row r="16" spans="1:21" x14ac:dyDescent="0.25">
      <c r="A16" s="65" t="s">
        <v>56</v>
      </c>
      <c r="B16" s="42" t="str">
        <f t="shared" si="0"/>
        <v>1000g Strawberry Muesli</v>
      </c>
      <c r="C16" s="42" t="str">
        <f t="shared" si="1"/>
        <v>Strawberry</v>
      </c>
      <c r="D16" s="57">
        <f t="shared" si="2"/>
        <v>1000</v>
      </c>
      <c r="E16" s="104">
        <v>50000</v>
      </c>
      <c r="F16" s="105">
        <v>5.27</v>
      </c>
      <c r="G16" s="58">
        <f t="shared" si="3"/>
        <v>263500</v>
      </c>
      <c r="H16" s="154">
        <f>SUMIFS(Sales__2[QUANTITY],Sales__2[SIM_ROUND],'SalesForecast-CurrentMonth'!$B$1,Sales__2[MATERIAL_CODE],'SalesForecast-CurrentMonth'!A16)</f>
        <v>44750</v>
      </c>
      <c r="I16" s="59">
        <f t="shared" si="4"/>
        <v>-5250</v>
      </c>
      <c r="J16" s="60">
        <f t="shared" si="5"/>
        <v>-0.105</v>
      </c>
      <c r="K16" s="45">
        <f t="shared" si="6"/>
        <v>0.05</v>
      </c>
      <c r="L16" s="49" t="str">
        <f t="shared" si="7"/>
        <v>Error</v>
      </c>
      <c r="M16" s="58">
        <f t="shared" si="8"/>
        <v>235832.49999999997</v>
      </c>
      <c r="N16" s="58">
        <f t="shared" si="9"/>
        <v>-27667.500000000029</v>
      </c>
      <c r="O16" s="60">
        <f t="shared" si="10"/>
        <v>-0.10500000000000011</v>
      </c>
      <c r="Q16" s="11" t="s">
        <v>23</v>
      </c>
      <c r="R16" s="11" t="s">
        <v>111</v>
      </c>
      <c r="S16" s="11" t="s">
        <v>392</v>
      </c>
      <c r="T16" s="11" t="s">
        <v>111</v>
      </c>
      <c r="U16" s="11" t="s">
        <v>392</v>
      </c>
    </row>
    <row r="17" spans="1:21" x14ac:dyDescent="0.25">
      <c r="A17" s="65" t="s">
        <v>58</v>
      </c>
      <c r="B17" s="42" t="str">
        <f t="shared" si="0"/>
        <v>1000g Raisin Muesli</v>
      </c>
      <c r="C17" s="42" t="str">
        <f t="shared" si="1"/>
        <v>Raisins</v>
      </c>
      <c r="D17" s="57">
        <f t="shared" si="2"/>
        <v>1000</v>
      </c>
      <c r="E17" s="104">
        <v>50000</v>
      </c>
      <c r="F17" s="105">
        <v>4.38</v>
      </c>
      <c r="G17" s="58">
        <f t="shared" si="3"/>
        <v>219000</v>
      </c>
      <c r="H17" s="154">
        <f>SUMIFS(Sales__2[QUANTITY],Sales__2[SIM_ROUND],'SalesForecast-CurrentMonth'!$B$1,Sales__2[MATERIAL_CODE],'SalesForecast-CurrentMonth'!A17)</f>
        <v>78000</v>
      </c>
      <c r="I17" s="59">
        <f t="shared" si="4"/>
        <v>28000</v>
      </c>
      <c r="J17" s="60">
        <f t="shared" si="5"/>
        <v>0.56000000000000005</v>
      </c>
      <c r="K17" s="45">
        <f t="shared" si="6"/>
        <v>0.05</v>
      </c>
      <c r="L17" s="49" t="str">
        <f t="shared" si="7"/>
        <v>Error</v>
      </c>
      <c r="M17" s="58">
        <f t="shared" si="8"/>
        <v>341640</v>
      </c>
      <c r="N17" s="58">
        <f t="shared" si="9"/>
        <v>122640</v>
      </c>
      <c r="O17" s="60">
        <f t="shared" si="10"/>
        <v>0.56000000000000005</v>
      </c>
      <c r="Q17" s="65" t="s">
        <v>399</v>
      </c>
      <c r="R17" s="42">
        <f t="shared" ref="R17:R22" si="11">SUMIF($C$8:$C$19,Q17,$E$8:$E$19)</f>
        <v>100000</v>
      </c>
      <c r="S17" s="42">
        <f>SUMIF($C$8:$C$19,Q17,$G$8:$G$19)</f>
        <v>425500</v>
      </c>
      <c r="T17" s="42">
        <f>SUMIF($C$8:$C$19,Q17,$H$8:$H$19)</f>
        <v>93229</v>
      </c>
      <c r="U17" s="42">
        <f>SUMIF($C$8:$C$19,Q17,$M$8:$M$19)</f>
        <v>398545.69</v>
      </c>
    </row>
    <row r="18" spans="1:21" x14ac:dyDescent="0.25">
      <c r="A18" s="65" t="s">
        <v>60</v>
      </c>
      <c r="B18" s="42" t="str">
        <f t="shared" si="0"/>
        <v>1000g Original Muesli</v>
      </c>
      <c r="C18" s="42" t="str">
        <f t="shared" si="1"/>
        <v>Original</v>
      </c>
      <c r="D18" s="57">
        <f t="shared" si="2"/>
        <v>1000</v>
      </c>
      <c r="E18" s="104">
        <v>0</v>
      </c>
      <c r="F18" s="105">
        <v>4.3499999999999996</v>
      </c>
      <c r="G18" s="58">
        <f t="shared" si="3"/>
        <v>0</v>
      </c>
      <c r="H18" s="154">
        <f>SUMIFS(Sales__2[QUANTITY],Sales__2[SIM_ROUND],'SalesForecast-CurrentMonth'!$B$1,Sales__2[MATERIAL_CODE],'SalesForecast-CurrentMonth'!A18)</f>
        <v>0</v>
      </c>
      <c r="I18" s="59">
        <f t="shared" si="4"/>
        <v>0</v>
      </c>
      <c r="J18" s="60">
        <f t="shared" si="5"/>
        <v>0</v>
      </c>
      <c r="K18" s="45">
        <f t="shared" si="6"/>
        <v>0.05</v>
      </c>
      <c r="L18" s="49" t="str">
        <f t="shared" si="7"/>
        <v>OK</v>
      </c>
      <c r="M18" s="58">
        <f t="shared" si="8"/>
        <v>0</v>
      </c>
      <c r="N18" s="58">
        <f t="shared" si="9"/>
        <v>0</v>
      </c>
      <c r="O18" s="60">
        <f t="shared" si="10"/>
        <v>0</v>
      </c>
      <c r="Q18" s="65" t="s">
        <v>66</v>
      </c>
      <c r="R18" s="42">
        <f t="shared" si="11"/>
        <v>100000</v>
      </c>
      <c r="S18" s="42">
        <f t="shared" ref="S18:S22" si="12">SUMIF($C$8:$C$19,Q18,$G$8:$G$19)</f>
        <v>474500</v>
      </c>
      <c r="T18" s="42">
        <f t="shared" ref="T18:T22" si="13">SUMIF($C$8:$C$19,Q18,$H$8:$H$19)</f>
        <v>139625</v>
      </c>
      <c r="U18" s="42">
        <f t="shared" ref="U18:U22" si="14">SUMIF($C$8:$C$19,Q18,$M$8:$M$19)</f>
        <v>670953.75</v>
      </c>
    </row>
    <row r="19" spans="1:21" x14ac:dyDescent="0.25">
      <c r="A19" s="65" t="s">
        <v>62</v>
      </c>
      <c r="B19" s="42" t="str">
        <f t="shared" si="0"/>
        <v>1000g Mixed Fruits Muesli</v>
      </c>
      <c r="C19" s="42" t="str">
        <f t="shared" si="1"/>
        <v>Mixed</v>
      </c>
      <c r="D19" s="57">
        <f t="shared" si="2"/>
        <v>1000</v>
      </c>
      <c r="E19" s="104">
        <v>0</v>
      </c>
      <c r="F19" s="105">
        <v>5.0599999999999996</v>
      </c>
      <c r="G19" s="58">
        <f t="shared" si="3"/>
        <v>0</v>
      </c>
      <c r="H19" s="154">
        <f>SUMIFS(Sales__2[QUANTITY],Sales__2[SIM_ROUND],'SalesForecast-CurrentMonth'!$B$1,Sales__2[MATERIAL_CODE],'SalesForecast-CurrentMonth'!A19)</f>
        <v>0</v>
      </c>
      <c r="I19" s="59">
        <f t="shared" si="4"/>
        <v>0</v>
      </c>
      <c r="J19" s="60">
        <f t="shared" si="5"/>
        <v>0</v>
      </c>
      <c r="K19" s="45">
        <f t="shared" si="6"/>
        <v>0.05</v>
      </c>
      <c r="L19" s="49" t="str">
        <f t="shared" si="7"/>
        <v>OK</v>
      </c>
      <c r="M19" s="58">
        <f t="shared" si="8"/>
        <v>0</v>
      </c>
      <c r="N19" s="58">
        <f t="shared" si="9"/>
        <v>0</v>
      </c>
      <c r="O19" s="60">
        <f t="shared" si="10"/>
        <v>0</v>
      </c>
      <c r="Q19" s="65" t="s">
        <v>156</v>
      </c>
      <c r="R19" s="42">
        <f t="shared" si="11"/>
        <v>100000</v>
      </c>
      <c r="S19" s="42">
        <f t="shared" si="12"/>
        <v>475000</v>
      </c>
      <c r="T19" s="42">
        <f t="shared" si="13"/>
        <v>92750</v>
      </c>
      <c r="U19" s="42">
        <f t="shared" si="14"/>
        <v>438872.5</v>
      </c>
    </row>
    <row r="20" spans="1:21" x14ac:dyDescent="0.25">
      <c r="L20" s="106"/>
      <c r="Q20" s="65" t="s">
        <v>25</v>
      </c>
      <c r="R20" s="42">
        <f t="shared" si="11"/>
        <v>100000</v>
      </c>
      <c r="S20" s="42">
        <f t="shared" si="12"/>
        <v>408500</v>
      </c>
      <c r="T20" s="42">
        <f t="shared" si="13"/>
        <v>115000</v>
      </c>
      <c r="U20" s="42">
        <f t="shared" si="14"/>
        <v>481870</v>
      </c>
    </row>
    <row r="21" spans="1:21" x14ac:dyDescent="0.25">
      <c r="D21" s="107" t="s">
        <v>396</v>
      </c>
      <c r="E21" s="64">
        <f>SUM(E8:E20)</f>
        <v>400000</v>
      </c>
      <c r="F21" s="108" t="s">
        <v>152</v>
      </c>
      <c r="G21" s="63">
        <f>SUM(G8:G19)</f>
        <v>1783500</v>
      </c>
      <c r="H21" s="64">
        <f>SUM(H8:H19)</f>
        <v>440604</v>
      </c>
      <c r="I21" s="81"/>
      <c r="J21" s="81"/>
      <c r="K21" s="81"/>
      <c r="L21" s="81"/>
      <c r="M21" s="62">
        <f>SUM(M8:M19)</f>
        <v>1990241.94</v>
      </c>
      <c r="Q21" s="65" t="s">
        <v>189</v>
      </c>
      <c r="R21" s="42">
        <f t="shared" si="11"/>
        <v>0</v>
      </c>
      <c r="S21" s="42">
        <f t="shared" si="12"/>
        <v>0</v>
      </c>
      <c r="T21" s="42">
        <f t="shared" si="13"/>
        <v>0</v>
      </c>
      <c r="U21" s="42">
        <f t="shared" si="14"/>
        <v>0</v>
      </c>
    </row>
    <row r="22" spans="1:21" x14ac:dyDescent="0.25">
      <c r="Q22" s="65" t="s">
        <v>393</v>
      </c>
      <c r="R22" s="42">
        <f t="shared" si="11"/>
        <v>0</v>
      </c>
      <c r="S22" s="42">
        <f t="shared" si="12"/>
        <v>0</v>
      </c>
      <c r="T22" s="42">
        <f t="shared" si="13"/>
        <v>0</v>
      </c>
      <c r="U22" s="42">
        <f t="shared" si="14"/>
        <v>0</v>
      </c>
    </row>
    <row r="23" spans="1:21" x14ac:dyDescent="0.25">
      <c r="E23" s="109">
        <f>StorageLocations!D5</f>
        <v>250000</v>
      </c>
      <c r="G23" s="109">
        <f>DistributionChannels!F8</f>
        <v>2280000</v>
      </c>
    </row>
    <row r="24" spans="1:21" x14ac:dyDescent="0.25">
      <c r="E24" s="110" t="s">
        <v>388</v>
      </c>
      <c r="G24" s="110" t="s">
        <v>389</v>
      </c>
    </row>
    <row r="25" spans="1:21" x14ac:dyDescent="0.25">
      <c r="Q25" s="80"/>
      <c r="R25" s="80"/>
    </row>
    <row r="26" spans="1:21" x14ac:dyDescent="0.25">
      <c r="P26" s="80"/>
    </row>
  </sheetData>
  <sheetProtection sheet="1" objects="1" scenarios="1"/>
  <mergeCells count="13">
    <mergeCell ref="D1:E1"/>
    <mergeCell ref="A2:B2"/>
    <mergeCell ref="A3:B3"/>
    <mergeCell ref="A5:B5"/>
    <mergeCell ref="R15:S15"/>
    <mergeCell ref="A4:B4"/>
    <mergeCell ref="T15:U15"/>
    <mergeCell ref="E6:G6"/>
    <mergeCell ref="H6:L6"/>
    <mergeCell ref="M6:O6"/>
    <mergeCell ref="Q9:U9"/>
    <mergeCell ref="R10:S10"/>
    <mergeCell ref="T10:U10"/>
  </mergeCells>
  <phoneticPr fontId="9" type="noConversion"/>
  <conditionalFormatting sqref="J8:J19">
    <cfRule type="expression" dxfId="30" priority="6">
      <formula>ABS(J8)&gt;=K8</formula>
    </cfRule>
  </conditionalFormatting>
  <conditionalFormatting sqref="E21">
    <cfRule type="cellIs" dxfId="29" priority="4" operator="greaterThan">
      <formula>$E$23</formula>
    </cfRule>
  </conditionalFormatting>
  <conditionalFormatting sqref="H21">
    <cfRule type="cellIs" dxfId="28" priority="3" operator="greaterThan">
      <formula>$E$23</formula>
    </cfRule>
  </conditionalFormatting>
  <conditionalFormatting sqref="O8:O19">
    <cfRule type="expression" dxfId="27" priority="2">
      <formula>ABS(O8)&gt;=K8</formula>
    </cfRule>
  </conditionalFormatting>
  <dataValidations count="3">
    <dataValidation type="list" allowBlank="1" showInputMessage="1" showErrorMessage="1" errorTitle="Invalid Recipe" error="See documentation sheet to create or modify recipe." sqref="Q17:Q22" xr:uid="{7D483DB3-7569-47C1-BFF0-76561ED41EF0}">
      <formula1>Recipe</formula1>
    </dataValidation>
    <dataValidation type="list" allowBlank="1" showInputMessage="1" showErrorMessage="1" errorTitle="Invalid Size" error="See Documentation to add or modify existing sizes." sqref="Q12:Q13" xr:uid="{4EE172DB-3991-4003-8418-527B86A2D392}">
      <formula1>Size</formula1>
    </dataValidation>
    <dataValidation type="list" allowBlank="1" showInputMessage="1" showErrorMessage="1" errorTitle="Invalid Item Number" error="See Material Master to add or modify existing items." sqref="A8:A19" xr:uid="{06952186-CA58-4BD7-A6D0-6B4C12B80D01}">
      <formula1>ParentItems</formula1>
    </dataValidation>
  </dataValidations>
  <hyperlinks>
    <hyperlink ref="D1:E1" location="MainNavigation!A1" display="MainNavigation" xr:uid="{9EF9B62D-620C-44BC-8DB2-1873DF4BB3D4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61B97-CD65-4AEA-B42C-A9E50A189171}">
  <sheetPr codeName="Sheet11">
    <tabColor rgb="FFFFFF00"/>
  </sheetPr>
  <dimension ref="A1:BB16"/>
  <sheetViews>
    <sheetView workbookViewId="0">
      <pane xSplit="4" ySplit="2" topLeftCell="E3" activePane="bottomRight" state="frozen"/>
      <selection activeCell="I1" sqref="I1"/>
      <selection pane="topRight" activeCell="I1" sqref="I1"/>
      <selection pane="bottomLeft" activeCell="I1" sqref="I1"/>
      <selection pane="bottomRight" sqref="A1:D1"/>
    </sheetView>
  </sheetViews>
  <sheetFormatPr defaultRowHeight="15" x14ac:dyDescent="0.25"/>
  <cols>
    <col min="1" max="1" width="15.7109375" style="68" bestFit="1" customWidth="1"/>
    <col min="2" max="2" width="21.28515625" style="68" customWidth="1"/>
    <col min="3" max="3" width="15.85546875" style="68" customWidth="1"/>
    <col min="4" max="4" width="19.28515625" style="68" bestFit="1" customWidth="1"/>
    <col min="5" max="5" width="13.140625" style="68" customWidth="1"/>
    <col min="6" max="6" width="13.5703125" style="68" customWidth="1"/>
    <col min="7" max="7" width="10.7109375" style="68" customWidth="1"/>
    <col min="8" max="8" width="9.140625" style="68"/>
    <col min="9" max="9" width="10.42578125" style="68" customWidth="1"/>
    <col min="10" max="10" width="9.140625" style="68"/>
    <col min="11" max="11" width="9.140625" style="68" customWidth="1"/>
    <col min="12" max="12" width="10.28515625" style="68" customWidth="1"/>
    <col min="13" max="13" width="9.140625" style="68"/>
    <col min="14" max="14" width="10.7109375" style="68" customWidth="1"/>
    <col min="15" max="15" width="9.140625" style="68"/>
    <col min="16" max="16" width="9.140625" style="68" customWidth="1"/>
    <col min="17" max="17" width="11.7109375" style="68" customWidth="1"/>
    <col min="18" max="18" width="9.140625" style="68"/>
    <col min="19" max="19" width="11.42578125" style="68" customWidth="1"/>
    <col min="20" max="16384" width="9.140625" style="68"/>
  </cols>
  <sheetData>
    <row r="1" spans="1:54" ht="16.5" thickBot="1" x14ac:dyDescent="0.3">
      <c r="A1" s="179" t="s">
        <v>153</v>
      </c>
      <c r="B1" s="179"/>
      <c r="C1" s="179"/>
      <c r="D1" s="180"/>
      <c r="E1" s="181" t="s">
        <v>474</v>
      </c>
      <c r="F1" s="182"/>
      <c r="G1" s="182"/>
      <c r="H1" s="182"/>
      <c r="I1" s="183"/>
      <c r="J1" s="181" t="s">
        <v>473</v>
      </c>
      <c r="K1" s="182"/>
      <c r="L1" s="182"/>
      <c r="M1" s="182"/>
      <c r="N1" s="183"/>
      <c r="O1" s="184" t="s">
        <v>472</v>
      </c>
      <c r="P1" s="185"/>
      <c r="Q1" s="185"/>
      <c r="R1" s="185"/>
      <c r="S1" s="186"/>
      <c r="T1" s="184" t="s">
        <v>471</v>
      </c>
      <c r="U1" s="185"/>
      <c r="V1" s="185"/>
      <c r="W1" s="185"/>
      <c r="X1" s="186"/>
      <c r="Y1" s="181" t="s">
        <v>470</v>
      </c>
      <c r="Z1" s="182"/>
      <c r="AA1" s="182"/>
      <c r="AB1" s="182"/>
      <c r="AC1" s="183"/>
      <c r="AD1" s="181" t="s">
        <v>469</v>
      </c>
      <c r="AE1" s="182"/>
      <c r="AF1" s="182"/>
      <c r="AG1" s="182"/>
      <c r="AH1" s="183"/>
      <c r="AI1" s="181" t="s">
        <v>409</v>
      </c>
      <c r="AJ1" s="182"/>
      <c r="AK1" s="182"/>
      <c r="AL1" s="182"/>
      <c r="AM1" s="183"/>
      <c r="AN1" s="181" t="s">
        <v>395</v>
      </c>
      <c r="AO1" s="182"/>
      <c r="AP1" s="182"/>
      <c r="AQ1" s="182"/>
      <c r="AR1" s="183"/>
      <c r="AS1" s="181" t="s">
        <v>155</v>
      </c>
      <c r="AT1" s="182"/>
      <c r="AU1" s="182"/>
      <c r="AV1" s="182"/>
      <c r="AW1" s="183"/>
      <c r="AX1" s="181" t="s">
        <v>154</v>
      </c>
      <c r="AY1" s="182"/>
      <c r="AZ1" s="182"/>
      <c r="BA1" s="182"/>
      <c r="BB1" s="183"/>
    </row>
    <row r="2" spans="1:54" ht="45.75" thickBot="1" x14ac:dyDescent="0.3">
      <c r="A2" s="130" t="s">
        <v>28</v>
      </c>
      <c r="B2" s="130" t="s">
        <v>29</v>
      </c>
      <c r="C2" s="130" t="s">
        <v>23</v>
      </c>
      <c r="D2" s="131" t="s">
        <v>192</v>
      </c>
      <c r="E2" s="132" t="s">
        <v>141</v>
      </c>
      <c r="F2" s="133" t="s">
        <v>142</v>
      </c>
      <c r="G2" s="133" t="s">
        <v>143</v>
      </c>
      <c r="H2" s="133" t="s">
        <v>144</v>
      </c>
      <c r="I2" s="134" t="s">
        <v>149</v>
      </c>
      <c r="J2" s="132" t="s">
        <v>141</v>
      </c>
      <c r="K2" s="133" t="s">
        <v>142</v>
      </c>
      <c r="L2" s="133" t="s">
        <v>143</v>
      </c>
      <c r="M2" s="133" t="s">
        <v>144</v>
      </c>
      <c r="N2" s="134" t="s">
        <v>149</v>
      </c>
      <c r="O2" s="132" t="s">
        <v>141</v>
      </c>
      <c r="P2" s="133" t="s">
        <v>142</v>
      </c>
      <c r="Q2" s="133" t="s">
        <v>143</v>
      </c>
      <c r="R2" s="133" t="s">
        <v>144</v>
      </c>
      <c r="S2" s="134" t="s">
        <v>149</v>
      </c>
      <c r="T2" s="132" t="s">
        <v>141</v>
      </c>
      <c r="U2" s="133" t="s">
        <v>142</v>
      </c>
      <c r="V2" s="133" t="s">
        <v>143</v>
      </c>
      <c r="W2" s="133" t="s">
        <v>144</v>
      </c>
      <c r="X2" s="134" t="s">
        <v>149</v>
      </c>
      <c r="Y2" s="132" t="s">
        <v>141</v>
      </c>
      <c r="Z2" s="133" t="s">
        <v>142</v>
      </c>
      <c r="AA2" s="133" t="s">
        <v>143</v>
      </c>
      <c r="AB2" s="133" t="s">
        <v>144</v>
      </c>
      <c r="AC2" s="134" t="s">
        <v>149</v>
      </c>
      <c r="AD2" s="132" t="s">
        <v>141</v>
      </c>
      <c r="AE2" s="133" t="s">
        <v>142</v>
      </c>
      <c r="AF2" s="133" t="s">
        <v>143</v>
      </c>
      <c r="AG2" s="133" t="s">
        <v>144</v>
      </c>
      <c r="AH2" s="134" t="s">
        <v>149</v>
      </c>
      <c r="AI2" s="132" t="s">
        <v>141</v>
      </c>
      <c r="AJ2" s="133" t="s">
        <v>142</v>
      </c>
      <c r="AK2" s="133" t="s">
        <v>143</v>
      </c>
      <c r="AL2" s="133" t="s">
        <v>144</v>
      </c>
      <c r="AM2" s="134" t="s">
        <v>149</v>
      </c>
      <c r="AN2" s="132" t="s">
        <v>141</v>
      </c>
      <c r="AO2" s="133" t="s">
        <v>142</v>
      </c>
      <c r="AP2" s="133" t="s">
        <v>143</v>
      </c>
      <c r="AQ2" s="133" t="s">
        <v>144</v>
      </c>
      <c r="AR2" s="134" t="s">
        <v>149</v>
      </c>
      <c r="AS2" s="132" t="s">
        <v>141</v>
      </c>
      <c r="AT2" s="133" t="s">
        <v>142</v>
      </c>
      <c r="AU2" s="133" t="s">
        <v>143</v>
      </c>
      <c r="AV2" s="133" t="s">
        <v>144</v>
      </c>
      <c r="AW2" s="134" t="s">
        <v>149</v>
      </c>
      <c r="AX2" s="132" t="s">
        <v>141</v>
      </c>
      <c r="AY2" s="133" t="s">
        <v>142</v>
      </c>
      <c r="AZ2" s="133" t="s">
        <v>143</v>
      </c>
      <c r="BA2" s="133" t="s">
        <v>144</v>
      </c>
      <c r="BB2" s="134" t="s">
        <v>149</v>
      </c>
    </row>
    <row r="3" spans="1:54" x14ac:dyDescent="0.25">
      <c r="A3" s="135" t="str">
        <f>MaterialMaster!A5</f>
        <v>F01</v>
      </c>
      <c r="B3" s="135" t="str">
        <f t="shared" ref="B3:B14" si="0">VLOOKUP(A3,MaterialMaster,2,FALSE)</f>
        <v>500g Nut Muesli</v>
      </c>
      <c r="C3" s="135" t="str">
        <f t="shared" ref="C3:C14" si="1">VLOOKUP(A3,MaterialMaster,15,FALSE)</f>
        <v>Nut</v>
      </c>
      <c r="D3" s="136">
        <f t="shared" ref="D3:D14" si="2">VLOOKUP(A3,MaterialMaster,16,FALSE)</f>
        <v>500</v>
      </c>
      <c r="E3" s="112">
        <v>50000</v>
      </c>
      <c r="F3" s="113">
        <v>3.9</v>
      </c>
      <c r="G3" s="114">
        <v>195000</v>
      </c>
      <c r="H3" s="115">
        <v>44000</v>
      </c>
      <c r="I3" s="116">
        <v>171600</v>
      </c>
      <c r="J3" s="112">
        <v>50000</v>
      </c>
      <c r="K3" s="113">
        <v>3.9</v>
      </c>
      <c r="L3" s="114">
        <v>195000</v>
      </c>
      <c r="M3" s="115">
        <v>46274</v>
      </c>
      <c r="N3" s="116">
        <v>180468.6</v>
      </c>
      <c r="O3" s="112">
        <v>55000</v>
      </c>
      <c r="P3" s="113">
        <v>3.9</v>
      </c>
      <c r="Q3" s="114">
        <v>214500</v>
      </c>
      <c r="R3" s="115">
        <v>113976</v>
      </c>
      <c r="S3" s="116">
        <v>444506.39999999997</v>
      </c>
      <c r="T3" s="112">
        <v>90000</v>
      </c>
      <c r="U3" s="113">
        <v>3.9</v>
      </c>
      <c r="V3" s="114">
        <v>351000</v>
      </c>
      <c r="W3" s="115">
        <v>19750</v>
      </c>
      <c r="X3" s="116">
        <v>77025</v>
      </c>
      <c r="Y3" s="112">
        <v>60000</v>
      </c>
      <c r="Z3" s="113">
        <v>3.9</v>
      </c>
      <c r="AA3" s="114">
        <v>234000</v>
      </c>
      <c r="AB3" s="115">
        <v>88000</v>
      </c>
      <c r="AC3" s="116">
        <v>343200</v>
      </c>
      <c r="AD3" s="112">
        <v>72000</v>
      </c>
      <c r="AE3" s="113">
        <v>3.9</v>
      </c>
      <c r="AF3" s="114">
        <v>280800</v>
      </c>
      <c r="AG3" s="115">
        <v>48000</v>
      </c>
      <c r="AH3" s="116">
        <v>187200</v>
      </c>
    </row>
    <row r="4" spans="1:54" x14ac:dyDescent="0.25">
      <c r="A4" s="135" t="str">
        <f>MaterialMaster!A6</f>
        <v>F02</v>
      </c>
      <c r="B4" s="135" t="str">
        <f t="shared" si="0"/>
        <v>500g Blueberry Muesli</v>
      </c>
      <c r="C4" s="135" t="str">
        <f t="shared" si="1"/>
        <v>Blueberry</v>
      </c>
      <c r="D4" s="136">
        <f t="shared" si="2"/>
        <v>500</v>
      </c>
      <c r="E4" s="120">
        <v>50000</v>
      </c>
      <c r="F4" s="66">
        <v>4.2300000000000004</v>
      </c>
      <c r="G4" s="117">
        <v>211500.00000000003</v>
      </c>
      <c r="H4" s="118">
        <v>61625</v>
      </c>
      <c r="I4" s="119">
        <v>260673.75000000003</v>
      </c>
      <c r="J4" s="120">
        <v>50000</v>
      </c>
      <c r="K4" s="66">
        <v>4.2300000000000004</v>
      </c>
      <c r="L4" s="117">
        <v>211500.00000000003</v>
      </c>
      <c r="M4" s="118">
        <v>30000</v>
      </c>
      <c r="N4" s="119">
        <v>126900.00000000001</v>
      </c>
      <c r="O4" s="120">
        <v>55000</v>
      </c>
      <c r="P4" s="66">
        <v>4.2300000000000004</v>
      </c>
      <c r="Q4" s="117">
        <v>232650.00000000003</v>
      </c>
      <c r="R4" s="118">
        <v>101232</v>
      </c>
      <c r="S4" s="119">
        <v>428211.36000000004</v>
      </c>
      <c r="T4" s="120">
        <v>90000</v>
      </c>
      <c r="U4" s="66">
        <v>4.2300000000000004</v>
      </c>
      <c r="V4" s="117">
        <v>380700.00000000006</v>
      </c>
      <c r="W4" s="118">
        <v>51765</v>
      </c>
      <c r="X4" s="119">
        <v>218965.95</v>
      </c>
      <c r="Y4" s="120">
        <v>60000</v>
      </c>
      <c r="Z4" s="66">
        <v>4.2300000000000004</v>
      </c>
      <c r="AA4" s="117">
        <v>253800.00000000003</v>
      </c>
      <c r="AB4" s="118">
        <v>83003</v>
      </c>
      <c r="AC4" s="119">
        <v>351102.69000000006</v>
      </c>
      <c r="AD4" s="120">
        <v>72000</v>
      </c>
      <c r="AE4" s="66">
        <v>4.2300000000000004</v>
      </c>
      <c r="AF4" s="117">
        <v>304560.00000000006</v>
      </c>
      <c r="AG4" s="118">
        <v>48000</v>
      </c>
      <c r="AH4" s="119">
        <v>203040.00000000003</v>
      </c>
    </row>
    <row r="5" spans="1:54" x14ac:dyDescent="0.25">
      <c r="A5" s="135" t="str">
        <f>MaterialMaster!A7</f>
        <v>F03</v>
      </c>
      <c r="B5" s="135" t="str">
        <f t="shared" si="0"/>
        <v>500g Strawberry Muesli</v>
      </c>
      <c r="C5" s="135" t="str">
        <f t="shared" si="1"/>
        <v>Strawberry</v>
      </c>
      <c r="D5" s="136">
        <f t="shared" si="2"/>
        <v>500</v>
      </c>
      <c r="E5" s="120">
        <v>50000</v>
      </c>
      <c r="F5" s="66">
        <v>4.2300000000000004</v>
      </c>
      <c r="G5" s="117">
        <v>211500.00000000003</v>
      </c>
      <c r="H5" s="118">
        <v>48000</v>
      </c>
      <c r="I5" s="119">
        <v>203040.00000000003</v>
      </c>
      <c r="J5" s="120">
        <v>50000</v>
      </c>
      <c r="K5" s="66">
        <v>4.2300000000000004</v>
      </c>
      <c r="L5" s="117">
        <v>211500.00000000003</v>
      </c>
      <c r="M5" s="118">
        <v>30167</v>
      </c>
      <c r="N5" s="119">
        <v>127606.41000000002</v>
      </c>
      <c r="O5" s="120">
        <v>55000</v>
      </c>
      <c r="P5" s="66">
        <v>4.2300000000000004</v>
      </c>
      <c r="Q5" s="117">
        <v>232650.00000000003</v>
      </c>
      <c r="R5" s="118">
        <v>115833</v>
      </c>
      <c r="S5" s="119">
        <v>489973.59</v>
      </c>
      <c r="T5" s="120">
        <v>90000</v>
      </c>
      <c r="U5" s="66">
        <v>4.2300000000000004</v>
      </c>
      <c r="V5" s="117">
        <v>380700.00000000006</v>
      </c>
      <c r="W5" s="118">
        <v>37928</v>
      </c>
      <c r="X5" s="119">
        <v>160435.44</v>
      </c>
      <c r="Y5" s="120">
        <v>60000</v>
      </c>
      <c r="Z5" s="66">
        <v>4.2300000000000004</v>
      </c>
      <c r="AA5" s="117">
        <v>253800.00000000003</v>
      </c>
      <c r="AB5" s="118">
        <v>42072</v>
      </c>
      <c r="AC5" s="119">
        <v>177964.56000000003</v>
      </c>
      <c r="AD5" s="120">
        <v>72000</v>
      </c>
      <c r="AE5" s="66">
        <v>4.2300000000000004</v>
      </c>
      <c r="AF5" s="117">
        <v>304560.00000000006</v>
      </c>
      <c r="AG5" s="118">
        <v>48000</v>
      </c>
      <c r="AH5" s="119">
        <v>203040.00000000003</v>
      </c>
    </row>
    <row r="6" spans="1:54" x14ac:dyDescent="0.25">
      <c r="A6" s="135" t="str">
        <f>MaterialMaster!A8</f>
        <v>F04</v>
      </c>
      <c r="B6" s="135" t="str">
        <f t="shared" si="0"/>
        <v>500g Raisin Muesli</v>
      </c>
      <c r="C6" s="135" t="str">
        <f t="shared" si="1"/>
        <v>Raisins</v>
      </c>
      <c r="D6" s="136">
        <f t="shared" si="2"/>
        <v>500</v>
      </c>
      <c r="E6" s="120">
        <v>50000</v>
      </c>
      <c r="F6" s="66">
        <v>3.79</v>
      </c>
      <c r="G6" s="117">
        <v>189500</v>
      </c>
      <c r="H6" s="118">
        <v>37000</v>
      </c>
      <c r="I6" s="119">
        <v>140230</v>
      </c>
      <c r="J6" s="120">
        <v>50000</v>
      </c>
      <c r="K6" s="66">
        <v>3.79</v>
      </c>
      <c r="L6" s="117">
        <v>189500</v>
      </c>
      <c r="M6" s="118">
        <v>53556</v>
      </c>
      <c r="N6" s="119">
        <v>202977.24</v>
      </c>
      <c r="O6" s="120">
        <v>55000</v>
      </c>
      <c r="P6" s="66">
        <v>3.79</v>
      </c>
      <c r="Q6" s="117">
        <v>208450</v>
      </c>
      <c r="R6" s="118">
        <v>74444</v>
      </c>
      <c r="S6" s="119">
        <v>282142.76</v>
      </c>
      <c r="T6" s="120">
        <v>90000</v>
      </c>
      <c r="U6" s="66">
        <v>3.79</v>
      </c>
      <c r="V6" s="117">
        <v>341100</v>
      </c>
      <c r="W6" s="118">
        <v>52449</v>
      </c>
      <c r="X6" s="119">
        <v>198781.71</v>
      </c>
      <c r="Y6" s="120">
        <v>60000</v>
      </c>
      <c r="Z6" s="66">
        <v>3.79</v>
      </c>
      <c r="AA6" s="117">
        <v>227400</v>
      </c>
      <c r="AB6" s="118">
        <v>20410</v>
      </c>
      <c r="AC6" s="119">
        <v>77353.899999999994</v>
      </c>
      <c r="AD6" s="120">
        <v>48000</v>
      </c>
      <c r="AE6" s="66">
        <v>3.79</v>
      </c>
      <c r="AF6" s="117">
        <v>181920</v>
      </c>
      <c r="AG6" s="118">
        <v>39141</v>
      </c>
      <c r="AH6" s="119">
        <v>148344.39000000001</v>
      </c>
    </row>
    <row r="7" spans="1:54" x14ac:dyDescent="0.25">
      <c r="A7" s="135" t="str">
        <f>MaterialMaster!A9</f>
        <v>F05</v>
      </c>
      <c r="B7" s="135" t="str">
        <f t="shared" si="0"/>
        <v>500g Original Muesli</v>
      </c>
      <c r="C7" s="135" t="str">
        <f t="shared" si="1"/>
        <v>Original</v>
      </c>
      <c r="D7" s="136">
        <f t="shared" si="2"/>
        <v>500</v>
      </c>
      <c r="E7" s="120">
        <v>0</v>
      </c>
      <c r="F7" s="66">
        <v>3.77</v>
      </c>
      <c r="G7" s="117">
        <v>0</v>
      </c>
      <c r="H7" s="118">
        <v>0</v>
      </c>
      <c r="I7" s="119">
        <v>0</v>
      </c>
      <c r="J7" s="120">
        <v>0</v>
      </c>
      <c r="K7" s="66">
        <v>3.77</v>
      </c>
      <c r="L7" s="117">
        <v>0</v>
      </c>
      <c r="M7" s="118">
        <v>0</v>
      </c>
      <c r="N7" s="119">
        <v>0</v>
      </c>
      <c r="O7" s="120">
        <v>0</v>
      </c>
      <c r="P7" s="66">
        <v>3.77</v>
      </c>
      <c r="Q7" s="117">
        <v>0</v>
      </c>
      <c r="R7" s="118">
        <v>0</v>
      </c>
      <c r="S7" s="119">
        <v>0</v>
      </c>
      <c r="T7" s="120">
        <v>0</v>
      </c>
      <c r="U7" s="66">
        <v>3.77</v>
      </c>
      <c r="V7" s="117">
        <v>0</v>
      </c>
      <c r="W7" s="118">
        <v>0</v>
      </c>
      <c r="X7" s="119">
        <v>0</v>
      </c>
      <c r="Y7" s="120">
        <v>0</v>
      </c>
      <c r="Z7" s="66">
        <v>3.77</v>
      </c>
      <c r="AA7" s="117">
        <v>0</v>
      </c>
      <c r="AB7" s="118">
        <v>0</v>
      </c>
      <c r="AC7" s="119">
        <v>0</v>
      </c>
      <c r="AD7" s="120">
        <v>0</v>
      </c>
      <c r="AE7" s="66">
        <v>3.77</v>
      </c>
      <c r="AF7" s="117">
        <v>0</v>
      </c>
      <c r="AG7" s="118">
        <v>0</v>
      </c>
      <c r="AH7" s="119">
        <v>0</v>
      </c>
    </row>
    <row r="8" spans="1:54" x14ac:dyDescent="0.25">
      <c r="A8" s="135" t="str">
        <f>MaterialMaster!A10</f>
        <v>F06</v>
      </c>
      <c r="B8" s="135" t="str">
        <f t="shared" si="0"/>
        <v>500g Mixed Fruits Muesli</v>
      </c>
      <c r="C8" s="135" t="str">
        <f t="shared" si="1"/>
        <v>Mixed</v>
      </c>
      <c r="D8" s="136">
        <f t="shared" si="2"/>
        <v>500</v>
      </c>
      <c r="E8" s="120">
        <v>0</v>
      </c>
      <c r="F8" s="66">
        <v>4.13</v>
      </c>
      <c r="G8" s="117">
        <v>0</v>
      </c>
      <c r="H8" s="118">
        <v>0</v>
      </c>
      <c r="I8" s="119">
        <v>0</v>
      </c>
      <c r="J8" s="120">
        <v>0</v>
      </c>
      <c r="K8" s="66">
        <v>4.13</v>
      </c>
      <c r="L8" s="117">
        <v>0</v>
      </c>
      <c r="M8" s="118">
        <v>0</v>
      </c>
      <c r="N8" s="119">
        <v>0</v>
      </c>
      <c r="O8" s="120">
        <v>0</v>
      </c>
      <c r="P8" s="66">
        <v>4.13</v>
      </c>
      <c r="Q8" s="117">
        <v>0</v>
      </c>
      <c r="R8" s="118">
        <v>0</v>
      </c>
      <c r="S8" s="119">
        <v>0</v>
      </c>
      <c r="T8" s="120">
        <v>0</v>
      </c>
      <c r="U8" s="66">
        <v>4.13</v>
      </c>
      <c r="V8" s="117">
        <v>0</v>
      </c>
      <c r="W8" s="118">
        <v>0</v>
      </c>
      <c r="X8" s="119">
        <v>0</v>
      </c>
      <c r="Y8" s="120">
        <v>0</v>
      </c>
      <c r="Z8" s="66">
        <v>4.13</v>
      </c>
      <c r="AA8" s="117">
        <v>0</v>
      </c>
      <c r="AB8" s="118">
        <v>0</v>
      </c>
      <c r="AC8" s="119">
        <v>0</v>
      </c>
      <c r="AD8" s="120">
        <v>0</v>
      </c>
      <c r="AE8" s="66">
        <v>4.13</v>
      </c>
      <c r="AF8" s="117">
        <v>0</v>
      </c>
      <c r="AG8" s="118">
        <v>0</v>
      </c>
      <c r="AH8" s="119">
        <v>0</v>
      </c>
    </row>
    <row r="9" spans="1:54" x14ac:dyDescent="0.25">
      <c r="A9" s="135" t="str">
        <f>MaterialMaster!A11</f>
        <v>F11</v>
      </c>
      <c r="B9" s="135" t="str">
        <f t="shared" si="0"/>
        <v>1000g Nut Muesli</v>
      </c>
      <c r="C9" s="135" t="str">
        <f t="shared" si="1"/>
        <v>Nut</v>
      </c>
      <c r="D9" s="136">
        <f t="shared" si="2"/>
        <v>1000</v>
      </c>
      <c r="E9" s="120">
        <v>50000</v>
      </c>
      <c r="F9" s="66">
        <v>4.6100000000000003</v>
      </c>
      <c r="G9" s="117">
        <v>230500.00000000003</v>
      </c>
      <c r="H9" s="118">
        <v>49229</v>
      </c>
      <c r="I9" s="119">
        <v>226945.69</v>
      </c>
      <c r="J9" s="120">
        <v>50000</v>
      </c>
      <c r="K9" s="66">
        <v>4.6100000000000003</v>
      </c>
      <c r="L9" s="117">
        <v>230500.00000000003</v>
      </c>
      <c r="M9" s="118">
        <v>40896</v>
      </c>
      <c r="N9" s="119">
        <v>188530.56000000003</v>
      </c>
      <c r="O9" s="120">
        <v>55000</v>
      </c>
      <c r="P9" s="66">
        <v>4.6100000000000003</v>
      </c>
      <c r="Q9" s="117">
        <v>253550.00000000003</v>
      </c>
      <c r="R9" s="118">
        <v>71875</v>
      </c>
      <c r="S9" s="119">
        <v>331343.75</v>
      </c>
      <c r="T9" s="120">
        <v>90000</v>
      </c>
      <c r="U9" s="66">
        <v>4.6100000000000003</v>
      </c>
      <c r="V9" s="117">
        <v>414900</v>
      </c>
      <c r="W9" s="118">
        <v>64000</v>
      </c>
      <c r="X9" s="119">
        <v>295040</v>
      </c>
      <c r="Y9" s="120">
        <v>60000</v>
      </c>
      <c r="Z9" s="66">
        <v>4.6100000000000003</v>
      </c>
      <c r="AA9" s="117">
        <v>276600</v>
      </c>
      <c r="AB9" s="118">
        <v>16000</v>
      </c>
      <c r="AC9" s="119">
        <v>73760</v>
      </c>
      <c r="AD9" s="120">
        <v>48000</v>
      </c>
      <c r="AE9" s="66">
        <v>4.6100000000000003</v>
      </c>
      <c r="AF9" s="117">
        <v>221280.00000000003</v>
      </c>
      <c r="AG9" s="118">
        <v>48000</v>
      </c>
      <c r="AH9" s="119">
        <v>221280.00000000003</v>
      </c>
    </row>
    <row r="10" spans="1:54" x14ac:dyDescent="0.25">
      <c r="A10" s="135" t="str">
        <f>MaterialMaster!A12</f>
        <v>F12</v>
      </c>
      <c r="B10" s="135" t="str">
        <f t="shared" si="0"/>
        <v>1000g Blueberry Muesli</v>
      </c>
      <c r="C10" s="135" t="str">
        <f t="shared" si="1"/>
        <v>Blueberry</v>
      </c>
      <c r="D10" s="136">
        <f t="shared" si="2"/>
        <v>1000</v>
      </c>
      <c r="E10" s="120">
        <v>50000</v>
      </c>
      <c r="F10" s="66">
        <v>5.26</v>
      </c>
      <c r="G10" s="117">
        <v>263000</v>
      </c>
      <c r="H10" s="118">
        <v>78000</v>
      </c>
      <c r="I10" s="119">
        <v>410280</v>
      </c>
      <c r="J10" s="120">
        <v>50000</v>
      </c>
      <c r="K10" s="66">
        <v>5.26</v>
      </c>
      <c r="L10" s="117">
        <v>263000</v>
      </c>
      <c r="M10" s="118">
        <v>86000</v>
      </c>
      <c r="N10" s="119">
        <v>452360</v>
      </c>
      <c r="O10" s="120">
        <v>55000</v>
      </c>
      <c r="P10" s="66">
        <v>5.26</v>
      </c>
      <c r="Q10" s="117">
        <v>289300</v>
      </c>
      <c r="R10" s="118">
        <v>0</v>
      </c>
      <c r="S10" s="119">
        <v>0</v>
      </c>
      <c r="T10" s="120">
        <v>90000</v>
      </c>
      <c r="U10" s="66">
        <v>5.26</v>
      </c>
      <c r="V10" s="117">
        <v>473400</v>
      </c>
      <c r="W10" s="118">
        <v>64000</v>
      </c>
      <c r="X10" s="119">
        <v>336640</v>
      </c>
      <c r="Y10" s="120">
        <v>60000</v>
      </c>
      <c r="Z10" s="66">
        <v>5.26</v>
      </c>
      <c r="AA10" s="117">
        <v>315600</v>
      </c>
      <c r="AB10" s="118">
        <v>24000</v>
      </c>
      <c r="AC10" s="119">
        <v>126240</v>
      </c>
      <c r="AD10" s="120">
        <v>48000</v>
      </c>
      <c r="AE10" s="66">
        <v>5.26</v>
      </c>
      <c r="AF10" s="117">
        <v>252480</v>
      </c>
      <c r="AG10" s="118">
        <v>24000</v>
      </c>
      <c r="AH10" s="119">
        <v>126240</v>
      </c>
    </row>
    <row r="11" spans="1:54" x14ac:dyDescent="0.25">
      <c r="A11" s="135" t="str">
        <f>MaterialMaster!A13</f>
        <v>F13</v>
      </c>
      <c r="B11" s="135" t="str">
        <f t="shared" si="0"/>
        <v>1000g Strawberry Muesli</v>
      </c>
      <c r="C11" s="135" t="str">
        <f t="shared" si="1"/>
        <v>Strawberry</v>
      </c>
      <c r="D11" s="136">
        <f t="shared" si="2"/>
        <v>1000</v>
      </c>
      <c r="E11" s="120">
        <v>50000</v>
      </c>
      <c r="F11" s="66">
        <v>5.27</v>
      </c>
      <c r="G11" s="117">
        <v>263500</v>
      </c>
      <c r="H11" s="118">
        <v>44750</v>
      </c>
      <c r="I11" s="119">
        <v>235832.49999999997</v>
      </c>
      <c r="J11" s="120">
        <v>50000</v>
      </c>
      <c r="K11" s="66">
        <v>5.27</v>
      </c>
      <c r="L11" s="117">
        <v>263500</v>
      </c>
      <c r="M11" s="118">
        <v>101250</v>
      </c>
      <c r="N11" s="119">
        <v>533587.5</v>
      </c>
      <c r="O11" s="120">
        <v>55000</v>
      </c>
      <c r="P11" s="66">
        <v>5.27</v>
      </c>
      <c r="Q11" s="117">
        <v>289850</v>
      </c>
      <c r="R11" s="118">
        <v>0</v>
      </c>
      <c r="S11" s="119">
        <v>0</v>
      </c>
      <c r="T11" s="120">
        <v>90000</v>
      </c>
      <c r="U11" s="66">
        <v>5.27</v>
      </c>
      <c r="V11" s="117">
        <v>474299.99999999994</v>
      </c>
      <c r="W11" s="118">
        <v>64000</v>
      </c>
      <c r="X11" s="119">
        <v>337280</v>
      </c>
      <c r="Y11" s="120">
        <v>60000</v>
      </c>
      <c r="Z11" s="66">
        <v>5.27</v>
      </c>
      <c r="AA11" s="117">
        <v>316200</v>
      </c>
      <c r="AB11" s="118">
        <v>24000</v>
      </c>
      <c r="AC11" s="119">
        <v>126479.99999999999</v>
      </c>
      <c r="AD11" s="120">
        <v>48000</v>
      </c>
      <c r="AE11" s="66">
        <v>5.27</v>
      </c>
      <c r="AF11" s="117">
        <v>252959.99999999997</v>
      </c>
      <c r="AG11" s="118">
        <v>24000</v>
      </c>
      <c r="AH11" s="119">
        <v>126479.99999999999</v>
      </c>
    </row>
    <row r="12" spans="1:54" x14ac:dyDescent="0.25">
      <c r="A12" s="135" t="str">
        <f>MaterialMaster!A14</f>
        <v>F14</v>
      </c>
      <c r="B12" s="135" t="str">
        <f t="shared" si="0"/>
        <v>1000g Raisin Muesli</v>
      </c>
      <c r="C12" s="135" t="str">
        <f t="shared" si="1"/>
        <v>Raisins</v>
      </c>
      <c r="D12" s="136">
        <f t="shared" si="2"/>
        <v>1000</v>
      </c>
      <c r="E12" s="120">
        <v>50000</v>
      </c>
      <c r="F12" s="66">
        <v>4.38</v>
      </c>
      <c r="G12" s="117">
        <v>219000</v>
      </c>
      <c r="H12" s="118">
        <v>78000</v>
      </c>
      <c r="I12" s="119">
        <v>341640</v>
      </c>
      <c r="J12" s="120">
        <v>50000</v>
      </c>
      <c r="K12" s="66">
        <v>4.38</v>
      </c>
      <c r="L12" s="117">
        <v>219000</v>
      </c>
      <c r="M12" s="118">
        <v>86000</v>
      </c>
      <c r="N12" s="119">
        <v>376680</v>
      </c>
      <c r="O12" s="120">
        <v>55000</v>
      </c>
      <c r="P12" s="66">
        <v>4.38</v>
      </c>
      <c r="Q12" s="117">
        <v>240900</v>
      </c>
      <c r="R12" s="118">
        <v>0</v>
      </c>
      <c r="S12" s="119">
        <v>0</v>
      </c>
      <c r="T12" s="120">
        <v>90000</v>
      </c>
      <c r="U12" s="66">
        <v>4.38</v>
      </c>
      <c r="V12" s="117">
        <v>394200</v>
      </c>
      <c r="W12" s="118">
        <v>64000</v>
      </c>
      <c r="X12" s="119">
        <v>280320</v>
      </c>
      <c r="Y12" s="120">
        <v>60000</v>
      </c>
      <c r="Z12" s="66">
        <v>4.38</v>
      </c>
      <c r="AA12" s="117">
        <v>262800</v>
      </c>
      <c r="AB12" s="118">
        <v>24000</v>
      </c>
      <c r="AC12" s="119">
        <v>105120</v>
      </c>
      <c r="AD12" s="120">
        <v>48000</v>
      </c>
      <c r="AE12" s="66">
        <v>4.38</v>
      </c>
      <c r="AF12" s="117">
        <v>210240</v>
      </c>
      <c r="AG12" s="118">
        <v>24000</v>
      </c>
      <c r="AH12" s="119">
        <v>105120</v>
      </c>
    </row>
    <row r="13" spans="1:54" x14ac:dyDescent="0.25">
      <c r="A13" s="135" t="str">
        <f>MaterialMaster!A15</f>
        <v>F15</v>
      </c>
      <c r="B13" s="135" t="str">
        <f t="shared" si="0"/>
        <v>1000g Original Muesli</v>
      </c>
      <c r="C13" s="135" t="str">
        <f t="shared" si="1"/>
        <v>Original</v>
      </c>
      <c r="D13" s="136">
        <f t="shared" si="2"/>
        <v>1000</v>
      </c>
      <c r="E13" s="120">
        <v>0</v>
      </c>
      <c r="F13" s="66">
        <v>4.3499999999999996</v>
      </c>
      <c r="G13" s="117">
        <v>0</v>
      </c>
      <c r="H13" s="118">
        <v>0</v>
      </c>
      <c r="I13" s="119">
        <v>0</v>
      </c>
      <c r="J13" s="120">
        <v>0</v>
      </c>
      <c r="K13" s="66">
        <v>4.3499999999999996</v>
      </c>
      <c r="L13" s="117">
        <v>0</v>
      </c>
      <c r="M13" s="118">
        <v>0</v>
      </c>
      <c r="N13" s="119">
        <v>0</v>
      </c>
      <c r="O13" s="120">
        <v>0</v>
      </c>
      <c r="P13" s="66">
        <v>4.3499999999999996</v>
      </c>
      <c r="Q13" s="117">
        <v>0</v>
      </c>
      <c r="R13" s="118">
        <v>0</v>
      </c>
      <c r="S13" s="119">
        <v>0</v>
      </c>
      <c r="T13" s="120">
        <v>0</v>
      </c>
      <c r="U13" s="66">
        <v>4.3499999999999996</v>
      </c>
      <c r="V13" s="117">
        <v>0</v>
      </c>
      <c r="W13" s="118">
        <v>0</v>
      </c>
      <c r="X13" s="119">
        <v>0</v>
      </c>
      <c r="Y13" s="120">
        <v>0</v>
      </c>
      <c r="Z13" s="66">
        <v>4.3499999999999996</v>
      </c>
      <c r="AA13" s="117">
        <v>0</v>
      </c>
      <c r="AB13" s="118">
        <v>0</v>
      </c>
      <c r="AC13" s="119">
        <v>0</v>
      </c>
      <c r="AD13" s="120">
        <v>0</v>
      </c>
      <c r="AE13" s="66">
        <v>4.3499999999999996</v>
      </c>
      <c r="AF13" s="117">
        <v>0</v>
      </c>
      <c r="AG13" s="118">
        <v>0</v>
      </c>
      <c r="AH13" s="119">
        <v>0</v>
      </c>
    </row>
    <row r="14" spans="1:54" ht="15.75" thickBot="1" x14ac:dyDescent="0.3">
      <c r="A14" s="135" t="str">
        <f>MaterialMaster!A16</f>
        <v>F16</v>
      </c>
      <c r="B14" s="135" t="str">
        <f t="shared" si="0"/>
        <v>1000g Mixed Fruits Muesli</v>
      </c>
      <c r="C14" s="135" t="str">
        <f t="shared" si="1"/>
        <v>Mixed</v>
      </c>
      <c r="D14" s="136">
        <f t="shared" si="2"/>
        <v>1000</v>
      </c>
      <c r="E14" s="121">
        <v>0</v>
      </c>
      <c r="F14" s="122">
        <v>5.0599999999999996</v>
      </c>
      <c r="G14" s="123">
        <v>0</v>
      </c>
      <c r="H14" s="124">
        <v>0</v>
      </c>
      <c r="I14" s="125">
        <v>0</v>
      </c>
      <c r="J14" s="121">
        <v>0</v>
      </c>
      <c r="K14" s="122">
        <v>5.0599999999999996</v>
      </c>
      <c r="L14" s="123">
        <v>0</v>
      </c>
      <c r="M14" s="124">
        <v>0</v>
      </c>
      <c r="N14" s="125">
        <v>0</v>
      </c>
      <c r="O14" s="121">
        <v>0</v>
      </c>
      <c r="P14" s="122">
        <v>5.0599999999999996</v>
      </c>
      <c r="Q14" s="123">
        <v>0</v>
      </c>
      <c r="R14" s="124">
        <v>0</v>
      </c>
      <c r="S14" s="125">
        <v>0</v>
      </c>
      <c r="T14" s="121">
        <v>0</v>
      </c>
      <c r="U14" s="122">
        <v>5.0599999999999996</v>
      </c>
      <c r="V14" s="123">
        <v>0</v>
      </c>
      <c r="W14" s="124">
        <v>0</v>
      </c>
      <c r="X14" s="125">
        <v>0</v>
      </c>
      <c r="Y14" s="121">
        <v>0</v>
      </c>
      <c r="Z14" s="122">
        <v>5.0599999999999996</v>
      </c>
      <c r="AA14" s="123">
        <v>0</v>
      </c>
      <c r="AB14" s="124">
        <v>0</v>
      </c>
      <c r="AC14" s="125">
        <v>0</v>
      </c>
      <c r="AD14" s="121">
        <v>0</v>
      </c>
      <c r="AE14" s="122">
        <v>5.0599999999999996</v>
      </c>
      <c r="AF14" s="123">
        <v>0</v>
      </c>
      <c r="AG14" s="124">
        <v>0</v>
      </c>
      <c r="AH14" s="125">
        <v>0</v>
      </c>
    </row>
    <row r="16" spans="1:54" ht="18.75" x14ac:dyDescent="0.25">
      <c r="B16" s="126" t="s">
        <v>2933</v>
      </c>
      <c r="D16" s="127" t="s">
        <v>396</v>
      </c>
      <c r="E16" s="128">
        <f>SUM(E3:E15)</f>
        <v>400000</v>
      </c>
      <c r="F16" s="129"/>
      <c r="G16" s="128">
        <f>SUM(G3:G15)</f>
        <v>1783500</v>
      </c>
      <c r="H16" s="128">
        <f t="shared" ref="H16:I16" si="3">SUM(H3:H15)</f>
        <v>440604</v>
      </c>
      <c r="I16" s="128">
        <f t="shared" si="3"/>
        <v>1990241.94</v>
      </c>
      <c r="J16" s="128">
        <f>SUM(J3:J15)</f>
        <v>400000</v>
      </c>
      <c r="K16" s="129"/>
      <c r="L16" s="128">
        <f>SUM(L3:L15)</f>
        <v>1783500</v>
      </c>
      <c r="M16" s="128">
        <f t="shared" ref="M16:N16" si="4">SUM(M3:M15)</f>
        <v>474143</v>
      </c>
      <c r="N16" s="128">
        <f t="shared" si="4"/>
        <v>2189110.31</v>
      </c>
      <c r="O16" s="128">
        <f>SUM(O3:O15)</f>
        <v>440000</v>
      </c>
      <c r="P16" s="129"/>
      <c r="Q16" s="128">
        <f>SUM(Q3:Q15)</f>
        <v>1961850</v>
      </c>
      <c r="R16" s="128">
        <f t="shared" ref="R16:S16" si="5">SUM(R3:R15)</f>
        <v>477360</v>
      </c>
      <c r="S16" s="128">
        <f t="shared" si="5"/>
        <v>1976177.86</v>
      </c>
      <c r="T16" s="128">
        <f>SUM(T3:T15)</f>
        <v>720000</v>
      </c>
      <c r="U16" s="129"/>
      <c r="V16" s="128">
        <f>SUM(V3:V15)</f>
        <v>3210300</v>
      </c>
      <c r="W16" s="128">
        <f t="shared" ref="W16:X16" si="6">SUM(W3:W15)</f>
        <v>417892</v>
      </c>
      <c r="X16" s="128">
        <f t="shared" si="6"/>
        <v>1904488.1</v>
      </c>
      <c r="Y16" s="128">
        <f>SUM(Y3:Y15)</f>
        <v>480000</v>
      </c>
      <c r="Z16" s="129"/>
      <c r="AA16" s="128">
        <f>SUM(AA3:AA15)</f>
        <v>2140200</v>
      </c>
      <c r="AB16" s="128">
        <f t="shared" ref="AB16:AC16" si="7">SUM(AB3:AB15)</f>
        <v>321485</v>
      </c>
      <c r="AC16" s="128">
        <f t="shared" si="7"/>
        <v>1381221.1500000001</v>
      </c>
      <c r="AD16" s="128">
        <f>SUM(AD3:AD15)</f>
        <v>456000</v>
      </c>
      <c r="AE16" s="129"/>
      <c r="AF16" s="128">
        <f>SUM(AF3:AF15)</f>
        <v>2008800</v>
      </c>
      <c r="AG16" s="128">
        <f t="shared" ref="AG16:AH16" si="8">SUM(AG3:AG15)</f>
        <v>303141</v>
      </c>
      <c r="AH16" s="128">
        <f t="shared" si="8"/>
        <v>1320744.3900000001</v>
      </c>
    </row>
  </sheetData>
  <sheetProtection selectLockedCells="1"/>
  <mergeCells count="11">
    <mergeCell ref="AX1:BB1"/>
    <mergeCell ref="Y1:AC1"/>
    <mergeCell ref="AD1:AH1"/>
    <mergeCell ref="AI1:AM1"/>
    <mergeCell ref="AN1:AR1"/>
    <mergeCell ref="AS1:AW1"/>
    <mergeCell ref="A1:D1"/>
    <mergeCell ref="J1:N1"/>
    <mergeCell ref="O1:S1"/>
    <mergeCell ref="T1:X1"/>
    <mergeCell ref="E1:I1"/>
  </mergeCells>
  <dataValidations count="2">
    <dataValidation allowBlank="1" showInputMessage="1" showErrorMessage="1" errorTitle="Invalid Size" error="See documentation sheet to create or modify sizes." sqref="D3:D14" xr:uid="{C0B4C7C9-34A6-4ACE-9A13-852A6DD5269D}"/>
    <dataValidation allowBlank="1" showInputMessage="1" showErrorMessage="1" errorTitle="Invalid Recipe" error="See documentation sheet to create or modify recipe." sqref="C3:C14" xr:uid="{713416C7-F9AD-4E37-9189-94CBA1B64F60}"/>
  </dataValidations>
  <hyperlinks>
    <hyperlink ref="B16" location="MainNavigation!A1" display="MainNavigation" xr:uid="{621DF8AF-D0D9-4D85-9B5E-3BECF24C670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5ED-3956-40D4-B5F2-EA53B09050AD}">
  <sheetPr codeName="Sheet12">
    <tabColor rgb="FF00B050"/>
  </sheetPr>
  <dimension ref="A1:R2663"/>
  <sheetViews>
    <sheetView topLeftCell="F1" workbookViewId="0">
      <selection activeCell="I1" sqref="I1"/>
    </sheetView>
  </sheetViews>
  <sheetFormatPr defaultRowHeight="15" x14ac:dyDescent="0.25"/>
  <cols>
    <col min="1" max="1" width="7.5703125" bestFit="1" customWidth="1"/>
    <col min="2" max="2" width="17" bestFit="1" customWidth="1"/>
    <col min="3" max="3" width="9" bestFit="1" customWidth="1"/>
    <col min="4" max="4" width="14.42578125" bestFit="1" customWidth="1"/>
    <col min="5" max="5" width="11.85546875" bestFit="1" customWidth="1"/>
    <col min="6" max="6" width="12.28515625" bestFit="1" customWidth="1"/>
    <col min="7" max="7" width="23" bestFit="1" customWidth="1"/>
    <col min="8" max="8" width="14.28515625" bestFit="1" customWidth="1"/>
    <col min="9" max="9" width="21.7109375" bestFit="1" customWidth="1"/>
    <col min="10" max="10" width="22" bestFit="1" customWidth="1"/>
    <col min="11" max="11" width="21.5703125" bestFit="1" customWidth="1"/>
    <col min="12" max="12" width="25.42578125" bestFit="1" customWidth="1"/>
    <col min="13" max="13" width="17.7109375" bestFit="1" customWidth="1"/>
    <col min="14" max="14" width="18.28515625" bestFit="1" customWidth="1"/>
    <col min="15" max="15" width="17" bestFit="1" customWidth="1"/>
    <col min="16" max="16" width="18.5703125" bestFit="1" customWidth="1"/>
    <col min="17" max="17" width="33" bestFit="1" customWidth="1"/>
    <col min="18" max="18" width="7.7109375" bestFit="1" customWidth="1"/>
  </cols>
  <sheetData>
    <row r="1" spans="1:18" x14ac:dyDescent="0.25">
      <c r="A1" t="s">
        <v>194</v>
      </c>
      <c r="B1" t="s">
        <v>195</v>
      </c>
      <c r="C1" t="s">
        <v>430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205</v>
      </c>
      <c r="K1" t="s">
        <v>213</v>
      </c>
      <c r="L1" t="s">
        <v>214</v>
      </c>
      <c r="M1" t="s">
        <v>215</v>
      </c>
      <c r="N1" t="s">
        <v>216</v>
      </c>
      <c r="O1" t="s">
        <v>217</v>
      </c>
      <c r="P1" t="s">
        <v>218</v>
      </c>
      <c r="Q1" t="s">
        <v>431</v>
      </c>
      <c r="R1" t="s">
        <v>221</v>
      </c>
    </row>
    <row r="2" spans="1:18" x14ac:dyDescent="0.25">
      <c r="A2" t="s">
        <v>3184</v>
      </c>
      <c r="B2">
        <v>2152</v>
      </c>
      <c r="C2" t="s">
        <v>487</v>
      </c>
      <c r="D2" t="s">
        <v>322</v>
      </c>
      <c r="E2" t="s">
        <v>552</v>
      </c>
      <c r="F2" t="s">
        <v>3045</v>
      </c>
      <c r="G2" s="25">
        <v>44294</v>
      </c>
      <c r="H2">
        <v>20</v>
      </c>
      <c r="I2">
        <v>98</v>
      </c>
      <c r="J2" t="s">
        <v>432</v>
      </c>
      <c r="K2" t="s">
        <v>488</v>
      </c>
      <c r="L2" t="s">
        <v>433</v>
      </c>
      <c r="M2" t="s">
        <v>434</v>
      </c>
      <c r="N2" t="s">
        <v>74</v>
      </c>
      <c r="O2" t="s">
        <v>435</v>
      </c>
      <c r="P2" t="s">
        <v>433</v>
      </c>
      <c r="Q2">
        <v>50700</v>
      </c>
      <c r="R2" t="s">
        <v>436</v>
      </c>
    </row>
    <row r="3" spans="1:18" x14ac:dyDescent="0.25">
      <c r="A3" t="s">
        <v>3185</v>
      </c>
      <c r="B3">
        <v>1910</v>
      </c>
      <c r="C3" t="s">
        <v>487</v>
      </c>
      <c r="D3" t="s">
        <v>322</v>
      </c>
      <c r="E3" t="s">
        <v>326</v>
      </c>
      <c r="F3" t="s">
        <v>2967</v>
      </c>
      <c r="G3" s="25">
        <v>44283</v>
      </c>
      <c r="H3">
        <v>18</v>
      </c>
      <c r="I3">
        <v>87</v>
      </c>
      <c r="J3" t="s">
        <v>432</v>
      </c>
      <c r="K3" t="s">
        <v>488</v>
      </c>
      <c r="L3" t="s">
        <v>433</v>
      </c>
      <c r="M3" t="s">
        <v>434</v>
      </c>
      <c r="N3" t="s">
        <v>74</v>
      </c>
      <c r="O3" t="s">
        <v>435</v>
      </c>
      <c r="P3" t="s">
        <v>433</v>
      </c>
      <c r="Q3">
        <v>65287.5</v>
      </c>
      <c r="R3" t="s">
        <v>436</v>
      </c>
    </row>
    <row r="4" spans="1:18" x14ac:dyDescent="0.25">
      <c r="A4" t="s">
        <v>2377</v>
      </c>
      <c r="B4">
        <v>1492</v>
      </c>
      <c r="C4" t="s">
        <v>487</v>
      </c>
      <c r="D4" t="s">
        <v>261</v>
      </c>
      <c r="E4" t="s">
        <v>381</v>
      </c>
      <c r="F4" t="s">
        <v>1458</v>
      </c>
      <c r="G4" s="25">
        <v>44264</v>
      </c>
      <c r="H4">
        <v>14</v>
      </c>
      <c r="I4">
        <v>68</v>
      </c>
      <c r="J4" t="s">
        <v>432</v>
      </c>
      <c r="K4" t="s">
        <v>488</v>
      </c>
      <c r="L4" t="s">
        <v>433</v>
      </c>
      <c r="M4" t="s">
        <v>434</v>
      </c>
      <c r="N4" t="s">
        <v>74</v>
      </c>
      <c r="O4" t="s">
        <v>435</v>
      </c>
      <c r="P4" t="s">
        <v>433</v>
      </c>
      <c r="Q4">
        <v>30431.25</v>
      </c>
      <c r="R4" t="s">
        <v>436</v>
      </c>
    </row>
    <row r="5" spans="1:18" x14ac:dyDescent="0.25">
      <c r="A5" t="s">
        <v>2427</v>
      </c>
      <c r="B5">
        <v>1250</v>
      </c>
      <c r="C5" t="s">
        <v>487</v>
      </c>
      <c r="D5" t="s">
        <v>256</v>
      </c>
      <c r="E5" t="s">
        <v>534</v>
      </c>
      <c r="F5" t="s">
        <v>1357</v>
      </c>
      <c r="G5" s="25">
        <v>44253</v>
      </c>
      <c r="H5">
        <v>12</v>
      </c>
      <c r="I5">
        <v>57</v>
      </c>
      <c r="J5" t="s">
        <v>432</v>
      </c>
      <c r="K5" t="s">
        <v>488</v>
      </c>
      <c r="L5" t="s">
        <v>433</v>
      </c>
      <c r="M5" t="s">
        <v>434</v>
      </c>
      <c r="N5" t="s">
        <v>74</v>
      </c>
      <c r="O5" t="s">
        <v>435</v>
      </c>
      <c r="P5" t="s">
        <v>433</v>
      </c>
      <c r="Q5">
        <v>45000</v>
      </c>
      <c r="R5" t="s">
        <v>436</v>
      </c>
    </row>
    <row r="6" spans="1:18" x14ac:dyDescent="0.25">
      <c r="A6" t="s">
        <v>1903</v>
      </c>
      <c r="B6">
        <v>1096</v>
      </c>
      <c r="C6" t="s">
        <v>487</v>
      </c>
      <c r="D6" t="s">
        <v>256</v>
      </c>
      <c r="E6" t="s">
        <v>239</v>
      </c>
      <c r="F6" t="s">
        <v>1322</v>
      </c>
      <c r="G6" s="25">
        <v>44246</v>
      </c>
      <c r="H6">
        <v>10</v>
      </c>
      <c r="I6">
        <v>50</v>
      </c>
      <c r="J6" t="s">
        <v>432</v>
      </c>
      <c r="K6" t="s">
        <v>488</v>
      </c>
      <c r="L6" t="s">
        <v>433</v>
      </c>
      <c r="M6" t="s">
        <v>434</v>
      </c>
      <c r="N6" t="s">
        <v>74</v>
      </c>
      <c r="O6" t="s">
        <v>435</v>
      </c>
      <c r="P6" t="s">
        <v>433</v>
      </c>
      <c r="Q6">
        <v>48000</v>
      </c>
      <c r="R6" t="s">
        <v>436</v>
      </c>
    </row>
    <row r="7" spans="1:18" x14ac:dyDescent="0.25">
      <c r="A7" t="s">
        <v>1968</v>
      </c>
      <c r="B7">
        <v>722</v>
      </c>
      <c r="C7" t="s">
        <v>487</v>
      </c>
      <c r="D7" t="s">
        <v>231</v>
      </c>
      <c r="E7" t="s">
        <v>512</v>
      </c>
      <c r="F7" t="s">
        <v>1174</v>
      </c>
      <c r="G7" s="25">
        <v>44229</v>
      </c>
      <c r="H7">
        <v>7</v>
      </c>
      <c r="I7">
        <v>33</v>
      </c>
      <c r="J7" t="s">
        <v>432</v>
      </c>
      <c r="K7" t="s">
        <v>488</v>
      </c>
      <c r="L7" t="s">
        <v>433</v>
      </c>
      <c r="M7" t="s">
        <v>434</v>
      </c>
      <c r="N7" t="s">
        <v>74</v>
      </c>
      <c r="O7" t="s">
        <v>435</v>
      </c>
      <c r="P7" t="s">
        <v>433</v>
      </c>
      <c r="Q7">
        <v>28687.5</v>
      </c>
      <c r="R7" t="s">
        <v>436</v>
      </c>
    </row>
    <row r="8" spans="1:18" x14ac:dyDescent="0.25">
      <c r="A8" t="s">
        <v>2641</v>
      </c>
      <c r="B8">
        <v>634</v>
      </c>
      <c r="C8" t="s">
        <v>487</v>
      </c>
      <c r="D8" t="s">
        <v>231</v>
      </c>
      <c r="E8" t="s">
        <v>371</v>
      </c>
      <c r="F8" t="s">
        <v>1124</v>
      </c>
      <c r="G8" s="25">
        <v>44225</v>
      </c>
      <c r="H8">
        <v>6</v>
      </c>
      <c r="I8">
        <v>29</v>
      </c>
      <c r="J8" t="s">
        <v>432</v>
      </c>
      <c r="K8" t="s">
        <v>488</v>
      </c>
      <c r="L8" t="s">
        <v>433</v>
      </c>
      <c r="M8" t="s">
        <v>434</v>
      </c>
      <c r="N8" t="s">
        <v>74</v>
      </c>
      <c r="O8" t="s">
        <v>435</v>
      </c>
      <c r="P8" t="s">
        <v>433</v>
      </c>
      <c r="Q8">
        <v>32400</v>
      </c>
      <c r="R8" t="s">
        <v>436</v>
      </c>
    </row>
    <row r="9" spans="1:18" x14ac:dyDescent="0.25">
      <c r="A9" t="s">
        <v>511</v>
      </c>
      <c r="B9">
        <v>282</v>
      </c>
      <c r="C9" t="s">
        <v>487</v>
      </c>
      <c r="D9" t="s">
        <v>229</v>
      </c>
      <c r="E9" t="s">
        <v>512</v>
      </c>
      <c r="F9" t="s">
        <v>513</v>
      </c>
      <c r="G9" s="25">
        <v>44209</v>
      </c>
      <c r="H9">
        <v>3</v>
      </c>
      <c r="I9">
        <v>13</v>
      </c>
      <c r="J9" t="s">
        <v>432</v>
      </c>
      <c r="K9" t="s">
        <v>488</v>
      </c>
      <c r="L9" t="s">
        <v>433</v>
      </c>
      <c r="M9" t="s">
        <v>434</v>
      </c>
      <c r="N9" t="s">
        <v>74</v>
      </c>
      <c r="O9" t="s">
        <v>435</v>
      </c>
      <c r="P9" t="s">
        <v>433</v>
      </c>
      <c r="Q9">
        <v>3600</v>
      </c>
      <c r="R9" t="s">
        <v>436</v>
      </c>
    </row>
    <row r="10" spans="1:18" x14ac:dyDescent="0.25">
      <c r="A10" t="s">
        <v>3186</v>
      </c>
      <c r="B10">
        <v>2588</v>
      </c>
      <c r="C10" t="s">
        <v>487</v>
      </c>
      <c r="D10" t="s">
        <v>247</v>
      </c>
      <c r="E10" t="s">
        <v>552</v>
      </c>
      <c r="F10" t="s">
        <v>3170</v>
      </c>
      <c r="G10" s="25">
        <v>44314</v>
      </c>
      <c r="H10">
        <v>24</v>
      </c>
      <c r="I10">
        <v>118</v>
      </c>
      <c r="J10" t="s">
        <v>432</v>
      </c>
      <c r="K10" t="s">
        <v>489</v>
      </c>
      <c r="L10" t="s">
        <v>134</v>
      </c>
      <c r="M10" t="s">
        <v>434</v>
      </c>
      <c r="N10" t="s">
        <v>67</v>
      </c>
      <c r="O10" t="s">
        <v>235</v>
      </c>
      <c r="P10" t="s">
        <v>437</v>
      </c>
      <c r="Q10">
        <v>186500</v>
      </c>
      <c r="R10" t="s">
        <v>237</v>
      </c>
    </row>
    <row r="11" spans="1:18" x14ac:dyDescent="0.25">
      <c r="A11" t="s">
        <v>3187</v>
      </c>
      <c r="B11">
        <v>1818</v>
      </c>
      <c r="C11" t="s">
        <v>487</v>
      </c>
      <c r="D11" t="s">
        <v>322</v>
      </c>
      <c r="E11" t="s">
        <v>256</v>
      </c>
      <c r="F11" t="s">
        <v>2952</v>
      </c>
      <c r="G11" s="25">
        <v>44279</v>
      </c>
      <c r="H11">
        <v>17</v>
      </c>
      <c r="I11">
        <v>83</v>
      </c>
      <c r="J11" t="s">
        <v>432</v>
      </c>
      <c r="K11" t="s">
        <v>489</v>
      </c>
      <c r="L11" t="s">
        <v>134</v>
      </c>
      <c r="M11" t="s">
        <v>434</v>
      </c>
      <c r="N11" t="s">
        <v>67</v>
      </c>
      <c r="O11" t="s">
        <v>235</v>
      </c>
      <c r="P11" t="s">
        <v>437</v>
      </c>
      <c r="Q11">
        <v>207875</v>
      </c>
      <c r="R11" t="s">
        <v>237</v>
      </c>
    </row>
    <row r="12" spans="1:18" x14ac:dyDescent="0.25">
      <c r="A12" t="s">
        <v>2702</v>
      </c>
      <c r="B12">
        <v>1620</v>
      </c>
      <c r="C12" t="s">
        <v>487</v>
      </c>
      <c r="D12" t="s">
        <v>261</v>
      </c>
      <c r="E12" t="s">
        <v>537</v>
      </c>
      <c r="F12" t="s">
        <v>1530</v>
      </c>
      <c r="G12" s="25">
        <v>44270</v>
      </c>
      <c r="H12">
        <v>15</v>
      </c>
      <c r="I12">
        <v>74</v>
      </c>
      <c r="J12" t="s">
        <v>432</v>
      </c>
      <c r="K12" t="s">
        <v>489</v>
      </c>
      <c r="L12" t="s">
        <v>134</v>
      </c>
      <c r="M12" t="s">
        <v>434</v>
      </c>
      <c r="N12" t="s">
        <v>67</v>
      </c>
      <c r="O12" t="s">
        <v>235</v>
      </c>
      <c r="P12" t="s">
        <v>437</v>
      </c>
      <c r="Q12">
        <v>344000</v>
      </c>
      <c r="R12" t="s">
        <v>237</v>
      </c>
    </row>
    <row r="13" spans="1:18" x14ac:dyDescent="0.25">
      <c r="A13" t="s">
        <v>2328</v>
      </c>
      <c r="B13">
        <v>872</v>
      </c>
      <c r="C13" t="s">
        <v>487</v>
      </c>
      <c r="D13" t="s">
        <v>231</v>
      </c>
      <c r="E13" t="s">
        <v>408</v>
      </c>
      <c r="F13" t="s">
        <v>1234</v>
      </c>
      <c r="G13" s="25">
        <v>44236</v>
      </c>
      <c r="H13">
        <v>8</v>
      </c>
      <c r="I13">
        <v>40</v>
      </c>
      <c r="J13" t="s">
        <v>432</v>
      </c>
      <c r="K13" t="s">
        <v>489</v>
      </c>
      <c r="L13" t="s">
        <v>134</v>
      </c>
      <c r="M13" t="s">
        <v>434</v>
      </c>
      <c r="N13" t="s">
        <v>67</v>
      </c>
      <c r="O13" t="s">
        <v>235</v>
      </c>
      <c r="P13" t="s">
        <v>437</v>
      </c>
      <c r="Q13">
        <v>240000</v>
      </c>
      <c r="R13" t="s">
        <v>237</v>
      </c>
    </row>
    <row r="14" spans="1:18" x14ac:dyDescent="0.25">
      <c r="A14" t="s">
        <v>770</v>
      </c>
      <c r="B14">
        <v>454</v>
      </c>
      <c r="C14" t="s">
        <v>487</v>
      </c>
      <c r="D14" t="s">
        <v>231</v>
      </c>
      <c r="E14" t="s">
        <v>229</v>
      </c>
      <c r="F14" t="s">
        <v>541</v>
      </c>
      <c r="G14" s="25">
        <v>44217</v>
      </c>
      <c r="H14">
        <v>5</v>
      </c>
      <c r="I14">
        <v>21</v>
      </c>
      <c r="J14" t="s">
        <v>432</v>
      </c>
      <c r="K14" t="s">
        <v>489</v>
      </c>
      <c r="L14" t="s">
        <v>134</v>
      </c>
      <c r="M14" t="s">
        <v>434</v>
      </c>
      <c r="N14" t="s">
        <v>67</v>
      </c>
      <c r="O14" t="s">
        <v>235</v>
      </c>
      <c r="P14" t="s">
        <v>437</v>
      </c>
      <c r="Q14">
        <v>28250</v>
      </c>
      <c r="R14" t="s">
        <v>237</v>
      </c>
    </row>
    <row r="15" spans="1:18" x14ac:dyDescent="0.25">
      <c r="A15" t="s">
        <v>663</v>
      </c>
      <c r="B15">
        <v>410</v>
      </c>
      <c r="C15" t="s">
        <v>487</v>
      </c>
      <c r="D15" t="s">
        <v>229</v>
      </c>
      <c r="E15" t="s">
        <v>531</v>
      </c>
      <c r="F15" t="s">
        <v>532</v>
      </c>
      <c r="G15" s="25">
        <v>44215</v>
      </c>
      <c r="H15">
        <v>4</v>
      </c>
      <c r="I15">
        <v>19</v>
      </c>
      <c r="J15" t="s">
        <v>432</v>
      </c>
      <c r="K15" t="s">
        <v>489</v>
      </c>
      <c r="L15" t="s">
        <v>134</v>
      </c>
      <c r="M15" t="s">
        <v>434</v>
      </c>
      <c r="N15" t="s">
        <v>67</v>
      </c>
      <c r="O15" t="s">
        <v>235</v>
      </c>
      <c r="P15" t="s">
        <v>437</v>
      </c>
      <c r="Q15">
        <v>48000</v>
      </c>
      <c r="R15" t="s">
        <v>237</v>
      </c>
    </row>
    <row r="16" spans="1:18" x14ac:dyDescent="0.25">
      <c r="A16" t="s">
        <v>1914</v>
      </c>
      <c r="B16">
        <v>1719</v>
      </c>
      <c r="C16" t="s">
        <v>487</v>
      </c>
      <c r="D16" t="s">
        <v>261</v>
      </c>
      <c r="E16" t="s">
        <v>531</v>
      </c>
      <c r="F16" t="s">
        <v>1588</v>
      </c>
      <c r="G16" s="25">
        <v>44275</v>
      </c>
      <c r="H16">
        <v>16</v>
      </c>
      <c r="I16">
        <v>79</v>
      </c>
      <c r="J16" t="s">
        <v>231</v>
      </c>
      <c r="K16" t="s">
        <v>509</v>
      </c>
      <c r="L16" t="s">
        <v>45</v>
      </c>
      <c r="M16" t="s">
        <v>234</v>
      </c>
      <c r="N16" t="s">
        <v>44</v>
      </c>
      <c r="O16" t="s">
        <v>21</v>
      </c>
      <c r="P16" t="s">
        <v>304</v>
      </c>
      <c r="Q16">
        <v>167</v>
      </c>
      <c r="R16" t="s">
        <v>237</v>
      </c>
    </row>
    <row r="17" spans="1:18" x14ac:dyDescent="0.25">
      <c r="A17" t="s">
        <v>2820</v>
      </c>
      <c r="B17">
        <v>1433</v>
      </c>
      <c r="C17" t="s">
        <v>487</v>
      </c>
      <c r="D17" t="s">
        <v>261</v>
      </c>
      <c r="E17" t="s">
        <v>247</v>
      </c>
      <c r="F17" t="s">
        <v>1425</v>
      </c>
      <c r="G17" s="25">
        <v>44262</v>
      </c>
      <c r="H17">
        <v>14</v>
      </c>
      <c r="I17">
        <v>66</v>
      </c>
      <c r="J17" t="s">
        <v>231</v>
      </c>
      <c r="K17" t="s">
        <v>509</v>
      </c>
      <c r="L17" t="s">
        <v>45</v>
      </c>
      <c r="M17" t="s">
        <v>234</v>
      </c>
      <c r="N17" t="s">
        <v>44</v>
      </c>
      <c r="O17" t="s">
        <v>21</v>
      </c>
      <c r="P17" t="s">
        <v>304</v>
      </c>
      <c r="Q17">
        <v>36240</v>
      </c>
      <c r="R17" t="s">
        <v>237</v>
      </c>
    </row>
    <row r="18" spans="1:18" x14ac:dyDescent="0.25">
      <c r="A18" t="s">
        <v>2710</v>
      </c>
      <c r="B18">
        <v>884</v>
      </c>
      <c r="C18" t="s">
        <v>487</v>
      </c>
      <c r="D18" t="s">
        <v>256</v>
      </c>
      <c r="E18" t="s">
        <v>229</v>
      </c>
      <c r="F18" t="s">
        <v>1241</v>
      </c>
      <c r="G18" s="25">
        <v>44237</v>
      </c>
      <c r="H18">
        <v>9</v>
      </c>
      <c r="I18">
        <v>41</v>
      </c>
      <c r="J18" t="s">
        <v>231</v>
      </c>
      <c r="K18" t="s">
        <v>508</v>
      </c>
      <c r="L18" t="s">
        <v>47</v>
      </c>
      <c r="M18" t="s">
        <v>234</v>
      </c>
      <c r="N18" t="s">
        <v>46</v>
      </c>
      <c r="O18" t="s">
        <v>21</v>
      </c>
      <c r="P18" t="s">
        <v>288</v>
      </c>
      <c r="Q18">
        <v>36449</v>
      </c>
      <c r="R18" t="s">
        <v>237</v>
      </c>
    </row>
    <row r="19" spans="1:18" x14ac:dyDescent="0.25">
      <c r="A19" t="s">
        <v>2282</v>
      </c>
      <c r="B19">
        <v>642</v>
      </c>
      <c r="C19" t="s">
        <v>487</v>
      </c>
      <c r="D19" t="s">
        <v>231</v>
      </c>
      <c r="E19" t="s">
        <v>239</v>
      </c>
      <c r="F19" t="s">
        <v>1139</v>
      </c>
      <c r="G19" s="25">
        <v>44226</v>
      </c>
      <c r="H19">
        <v>6</v>
      </c>
      <c r="I19">
        <v>30</v>
      </c>
      <c r="J19" t="s">
        <v>231</v>
      </c>
      <c r="K19" t="s">
        <v>508</v>
      </c>
      <c r="L19" t="s">
        <v>47</v>
      </c>
      <c r="M19" t="s">
        <v>234</v>
      </c>
      <c r="N19" t="s">
        <v>46</v>
      </c>
      <c r="O19" t="s">
        <v>21</v>
      </c>
      <c r="P19" t="s">
        <v>288</v>
      </c>
      <c r="Q19">
        <v>0</v>
      </c>
      <c r="R19" t="s">
        <v>237</v>
      </c>
    </row>
    <row r="20" spans="1:18" x14ac:dyDescent="0.25">
      <c r="A20" t="s">
        <v>2593</v>
      </c>
      <c r="B20">
        <v>1325</v>
      </c>
      <c r="C20" t="s">
        <v>487</v>
      </c>
      <c r="D20" t="s">
        <v>261</v>
      </c>
      <c r="E20" t="s">
        <v>229</v>
      </c>
      <c r="F20" t="s">
        <v>1388</v>
      </c>
      <c r="G20" s="25">
        <v>44257</v>
      </c>
      <c r="H20">
        <v>13</v>
      </c>
      <c r="I20">
        <v>61</v>
      </c>
      <c r="J20" t="s">
        <v>231</v>
      </c>
      <c r="K20" t="s">
        <v>507</v>
      </c>
      <c r="L20" t="s">
        <v>49</v>
      </c>
      <c r="M20" t="s">
        <v>234</v>
      </c>
      <c r="N20" t="s">
        <v>48</v>
      </c>
      <c r="O20" t="s">
        <v>21</v>
      </c>
      <c r="P20" t="s">
        <v>413</v>
      </c>
      <c r="Q20">
        <v>0</v>
      </c>
      <c r="R20" t="s">
        <v>237</v>
      </c>
    </row>
    <row r="21" spans="1:18" x14ac:dyDescent="0.25">
      <c r="A21" t="s">
        <v>278</v>
      </c>
      <c r="B21">
        <v>115</v>
      </c>
      <c r="C21" t="s">
        <v>487</v>
      </c>
      <c r="D21" t="s">
        <v>229</v>
      </c>
      <c r="E21" t="s">
        <v>247</v>
      </c>
      <c r="F21" t="s">
        <v>524</v>
      </c>
      <c r="G21" s="25">
        <v>44202</v>
      </c>
      <c r="H21">
        <v>2</v>
      </c>
      <c r="I21">
        <v>6</v>
      </c>
      <c r="J21" t="s">
        <v>231</v>
      </c>
      <c r="K21" t="s">
        <v>507</v>
      </c>
      <c r="L21" t="s">
        <v>49</v>
      </c>
      <c r="M21" t="s">
        <v>234</v>
      </c>
      <c r="N21" t="s">
        <v>48</v>
      </c>
      <c r="O21" t="s">
        <v>21</v>
      </c>
      <c r="P21" t="s">
        <v>413</v>
      </c>
      <c r="Q21">
        <v>0</v>
      </c>
      <c r="R21" t="s">
        <v>237</v>
      </c>
    </row>
    <row r="22" spans="1:18" x14ac:dyDescent="0.25">
      <c r="A22" t="s">
        <v>1809</v>
      </c>
      <c r="B22">
        <v>666</v>
      </c>
      <c r="C22" t="s">
        <v>487</v>
      </c>
      <c r="D22" t="s">
        <v>231</v>
      </c>
      <c r="E22" t="s">
        <v>515</v>
      </c>
      <c r="F22" t="s">
        <v>1150</v>
      </c>
      <c r="G22" s="25">
        <v>44227</v>
      </c>
      <c r="H22">
        <v>7</v>
      </c>
      <c r="I22">
        <v>31</v>
      </c>
      <c r="J22" t="s">
        <v>231</v>
      </c>
      <c r="K22" t="s">
        <v>506</v>
      </c>
      <c r="L22" t="s">
        <v>414</v>
      </c>
      <c r="M22" t="s">
        <v>234</v>
      </c>
      <c r="N22" t="s">
        <v>50</v>
      </c>
      <c r="O22" t="s">
        <v>21</v>
      </c>
      <c r="P22" t="s">
        <v>411</v>
      </c>
      <c r="Q22">
        <v>0</v>
      </c>
      <c r="R22" t="s">
        <v>237</v>
      </c>
    </row>
    <row r="23" spans="1:18" x14ac:dyDescent="0.25">
      <c r="A23" t="s">
        <v>673</v>
      </c>
      <c r="B23">
        <v>358</v>
      </c>
      <c r="C23" t="s">
        <v>487</v>
      </c>
      <c r="D23" t="s">
        <v>229</v>
      </c>
      <c r="E23" t="s">
        <v>534</v>
      </c>
      <c r="F23" t="s">
        <v>535</v>
      </c>
      <c r="G23" s="25">
        <v>44213</v>
      </c>
      <c r="H23">
        <v>4</v>
      </c>
      <c r="I23">
        <v>17</v>
      </c>
      <c r="J23" t="s">
        <v>231</v>
      </c>
      <c r="K23" t="s">
        <v>506</v>
      </c>
      <c r="L23" t="s">
        <v>414</v>
      </c>
      <c r="M23" t="s">
        <v>234</v>
      </c>
      <c r="N23" t="s">
        <v>50</v>
      </c>
      <c r="O23" t="s">
        <v>21</v>
      </c>
      <c r="P23" t="s">
        <v>411</v>
      </c>
      <c r="Q23">
        <v>0</v>
      </c>
      <c r="R23" t="s">
        <v>237</v>
      </c>
    </row>
    <row r="24" spans="1:18" x14ac:dyDescent="0.25">
      <c r="A24" t="s">
        <v>3188</v>
      </c>
      <c r="B24">
        <v>2536</v>
      </c>
      <c r="C24" t="s">
        <v>487</v>
      </c>
      <c r="D24" t="s">
        <v>247</v>
      </c>
      <c r="E24" t="s">
        <v>620</v>
      </c>
      <c r="F24" t="s">
        <v>3162</v>
      </c>
      <c r="G24" s="25">
        <v>44312</v>
      </c>
      <c r="H24">
        <v>24</v>
      </c>
      <c r="I24">
        <v>116</v>
      </c>
      <c r="J24" t="s">
        <v>231</v>
      </c>
      <c r="K24" t="s">
        <v>506</v>
      </c>
      <c r="L24" t="s">
        <v>414</v>
      </c>
      <c r="M24" t="s">
        <v>234</v>
      </c>
      <c r="N24" t="s">
        <v>50</v>
      </c>
      <c r="O24" t="s">
        <v>21</v>
      </c>
      <c r="P24" t="s">
        <v>411</v>
      </c>
      <c r="Q24">
        <v>0</v>
      </c>
      <c r="R24" t="s">
        <v>237</v>
      </c>
    </row>
    <row r="25" spans="1:18" x14ac:dyDescent="0.25">
      <c r="A25" t="s">
        <v>3189</v>
      </c>
      <c r="B25">
        <v>2294</v>
      </c>
      <c r="C25" t="s">
        <v>487</v>
      </c>
      <c r="D25" t="s">
        <v>247</v>
      </c>
      <c r="E25" t="s">
        <v>322</v>
      </c>
      <c r="F25" t="s">
        <v>3083</v>
      </c>
      <c r="G25" s="25">
        <v>44301</v>
      </c>
      <c r="H25">
        <v>21</v>
      </c>
      <c r="I25">
        <v>105</v>
      </c>
      <c r="J25" t="s">
        <v>231</v>
      </c>
      <c r="K25" t="s">
        <v>506</v>
      </c>
      <c r="L25" t="s">
        <v>414</v>
      </c>
      <c r="M25" t="s">
        <v>234</v>
      </c>
      <c r="N25" t="s">
        <v>50</v>
      </c>
      <c r="O25" t="s">
        <v>21</v>
      </c>
      <c r="P25" t="s">
        <v>411</v>
      </c>
      <c r="Q25">
        <v>0</v>
      </c>
      <c r="R25" t="s">
        <v>237</v>
      </c>
    </row>
    <row r="26" spans="1:18" x14ac:dyDescent="0.25">
      <c r="A26" t="s">
        <v>3190</v>
      </c>
      <c r="B26">
        <v>1920</v>
      </c>
      <c r="C26" t="s">
        <v>487</v>
      </c>
      <c r="D26" t="s">
        <v>322</v>
      </c>
      <c r="E26" t="s">
        <v>381</v>
      </c>
      <c r="F26" t="s">
        <v>2971</v>
      </c>
      <c r="G26" s="25">
        <v>44284</v>
      </c>
      <c r="H26">
        <v>18</v>
      </c>
      <c r="I26">
        <v>88</v>
      </c>
      <c r="J26" t="s">
        <v>231</v>
      </c>
      <c r="K26" t="s">
        <v>506</v>
      </c>
      <c r="L26" t="s">
        <v>414</v>
      </c>
      <c r="M26" t="s">
        <v>234</v>
      </c>
      <c r="N26" t="s">
        <v>50</v>
      </c>
      <c r="O26" t="s">
        <v>21</v>
      </c>
      <c r="P26" t="s">
        <v>411</v>
      </c>
      <c r="Q26">
        <v>0</v>
      </c>
      <c r="R26" t="s">
        <v>237</v>
      </c>
    </row>
    <row r="27" spans="1:18" x14ac:dyDescent="0.25">
      <c r="A27" t="s">
        <v>2387</v>
      </c>
      <c r="B27">
        <v>1568</v>
      </c>
      <c r="C27" t="s">
        <v>487</v>
      </c>
      <c r="D27" t="s">
        <v>261</v>
      </c>
      <c r="E27" t="s">
        <v>232</v>
      </c>
      <c r="F27" t="s">
        <v>1500</v>
      </c>
      <c r="G27" s="25">
        <v>44268</v>
      </c>
      <c r="H27">
        <v>15</v>
      </c>
      <c r="I27">
        <v>72</v>
      </c>
      <c r="J27" t="s">
        <v>231</v>
      </c>
      <c r="K27" t="s">
        <v>506</v>
      </c>
      <c r="L27" t="s">
        <v>414</v>
      </c>
      <c r="M27" t="s">
        <v>234</v>
      </c>
      <c r="N27" t="s">
        <v>50</v>
      </c>
      <c r="O27" t="s">
        <v>21</v>
      </c>
      <c r="P27" t="s">
        <v>411</v>
      </c>
      <c r="Q27">
        <v>0</v>
      </c>
      <c r="R27" t="s">
        <v>237</v>
      </c>
    </row>
    <row r="28" spans="1:18" x14ac:dyDescent="0.25">
      <c r="A28" t="s">
        <v>2223</v>
      </c>
      <c r="B28">
        <v>732</v>
      </c>
      <c r="C28" t="s">
        <v>487</v>
      </c>
      <c r="D28" t="s">
        <v>231</v>
      </c>
      <c r="E28" t="s">
        <v>537</v>
      </c>
      <c r="F28" t="s">
        <v>1192</v>
      </c>
      <c r="G28" s="25">
        <v>44230</v>
      </c>
      <c r="H28">
        <v>7</v>
      </c>
      <c r="I28">
        <v>34</v>
      </c>
      <c r="J28" t="s">
        <v>231</v>
      </c>
      <c r="K28" t="s">
        <v>506</v>
      </c>
      <c r="L28" t="s">
        <v>414</v>
      </c>
      <c r="M28" t="s">
        <v>234</v>
      </c>
      <c r="N28" t="s">
        <v>50</v>
      </c>
      <c r="O28" t="s">
        <v>21</v>
      </c>
      <c r="P28" t="s">
        <v>411</v>
      </c>
      <c r="Q28">
        <v>0</v>
      </c>
      <c r="R28" t="s">
        <v>237</v>
      </c>
    </row>
    <row r="29" spans="1:18" x14ac:dyDescent="0.25">
      <c r="A29" t="s">
        <v>330</v>
      </c>
      <c r="B29">
        <v>67</v>
      </c>
      <c r="C29" t="s">
        <v>487</v>
      </c>
      <c r="D29" t="s">
        <v>229</v>
      </c>
      <c r="E29" t="s">
        <v>261</v>
      </c>
      <c r="F29" t="s">
        <v>549</v>
      </c>
      <c r="G29" s="25">
        <v>44200</v>
      </c>
      <c r="H29">
        <v>1</v>
      </c>
      <c r="I29">
        <v>4</v>
      </c>
      <c r="J29" t="s">
        <v>231</v>
      </c>
      <c r="K29" t="s">
        <v>505</v>
      </c>
      <c r="L29" t="s">
        <v>41</v>
      </c>
      <c r="M29" t="s">
        <v>234</v>
      </c>
      <c r="N29" t="s">
        <v>40</v>
      </c>
      <c r="O29" t="s">
        <v>21</v>
      </c>
      <c r="P29" t="s">
        <v>266</v>
      </c>
      <c r="Q29">
        <v>0</v>
      </c>
      <c r="R29" t="s">
        <v>237</v>
      </c>
    </row>
    <row r="30" spans="1:18" x14ac:dyDescent="0.25">
      <c r="A30" t="s">
        <v>3191</v>
      </c>
      <c r="B30">
        <v>2245</v>
      </c>
      <c r="C30" t="s">
        <v>487</v>
      </c>
      <c r="D30" t="s">
        <v>247</v>
      </c>
      <c r="E30" t="s">
        <v>256</v>
      </c>
      <c r="F30" t="s">
        <v>3073</v>
      </c>
      <c r="G30" s="25">
        <v>44299</v>
      </c>
      <c r="H30">
        <v>21</v>
      </c>
      <c r="I30">
        <v>103</v>
      </c>
      <c r="J30" t="s">
        <v>231</v>
      </c>
      <c r="K30" t="s">
        <v>505</v>
      </c>
      <c r="L30" t="s">
        <v>41</v>
      </c>
      <c r="M30" t="s">
        <v>234</v>
      </c>
      <c r="N30" t="s">
        <v>40</v>
      </c>
      <c r="O30" t="s">
        <v>21</v>
      </c>
      <c r="P30" t="s">
        <v>266</v>
      </c>
      <c r="Q30">
        <v>0</v>
      </c>
      <c r="R30" t="s">
        <v>237</v>
      </c>
    </row>
    <row r="31" spans="1:18" x14ac:dyDescent="0.25">
      <c r="A31" t="s">
        <v>3192</v>
      </c>
      <c r="B31">
        <v>2047</v>
      </c>
      <c r="C31" t="s">
        <v>487</v>
      </c>
      <c r="D31" t="s">
        <v>322</v>
      </c>
      <c r="E31" t="s">
        <v>537</v>
      </c>
      <c r="F31" t="s">
        <v>2999</v>
      </c>
      <c r="G31" s="25">
        <v>44290</v>
      </c>
      <c r="H31">
        <v>19</v>
      </c>
      <c r="I31">
        <v>94</v>
      </c>
      <c r="J31" t="s">
        <v>231</v>
      </c>
      <c r="K31" t="s">
        <v>505</v>
      </c>
      <c r="L31" t="s">
        <v>41</v>
      </c>
      <c r="M31" t="s">
        <v>234</v>
      </c>
      <c r="N31" t="s">
        <v>40</v>
      </c>
      <c r="O31" t="s">
        <v>21</v>
      </c>
      <c r="P31" t="s">
        <v>266</v>
      </c>
      <c r="Q31">
        <v>24185</v>
      </c>
      <c r="R31" t="s">
        <v>237</v>
      </c>
    </row>
    <row r="32" spans="1:18" x14ac:dyDescent="0.25">
      <c r="A32" t="s">
        <v>3193</v>
      </c>
      <c r="B32">
        <v>1871</v>
      </c>
      <c r="C32" t="s">
        <v>487</v>
      </c>
      <c r="D32" t="s">
        <v>322</v>
      </c>
      <c r="E32" t="s">
        <v>247</v>
      </c>
      <c r="F32" t="s">
        <v>2963</v>
      </c>
      <c r="G32" s="25">
        <v>44282</v>
      </c>
      <c r="H32">
        <v>18</v>
      </c>
      <c r="I32">
        <v>86</v>
      </c>
      <c r="J32" t="s">
        <v>231</v>
      </c>
      <c r="K32" t="s">
        <v>505</v>
      </c>
      <c r="L32" t="s">
        <v>41</v>
      </c>
      <c r="M32" t="s">
        <v>234</v>
      </c>
      <c r="N32" t="s">
        <v>40</v>
      </c>
      <c r="O32" t="s">
        <v>21</v>
      </c>
      <c r="P32" t="s">
        <v>266</v>
      </c>
      <c r="Q32">
        <v>0</v>
      </c>
      <c r="R32" t="s">
        <v>237</v>
      </c>
    </row>
    <row r="33" spans="1:18" x14ac:dyDescent="0.25">
      <c r="A33" t="s">
        <v>2442</v>
      </c>
      <c r="B33">
        <v>1145</v>
      </c>
      <c r="C33" t="s">
        <v>487</v>
      </c>
      <c r="D33" t="s">
        <v>256</v>
      </c>
      <c r="E33" t="s">
        <v>512</v>
      </c>
      <c r="F33" t="s">
        <v>1342</v>
      </c>
      <c r="G33" s="25">
        <v>44249</v>
      </c>
      <c r="H33">
        <v>11</v>
      </c>
      <c r="I33">
        <v>53</v>
      </c>
      <c r="J33" t="s">
        <v>231</v>
      </c>
      <c r="K33" t="s">
        <v>505</v>
      </c>
      <c r="L33" t="s">
        <v>41</v>
      </c>
      <c r="M33" t="s">
        <v>234</v>
      </c>
      <c r="N33" t="s">
        <v>40</v>
      </c>
      <c r="O33" t="s">
        <v>21</v>
      </c>
      <c r="P33" t="s">
        <v>266</v>
      </c>
      <c r="Q33">
        <v>6125</v>
      </c>
      <c r="R33" t="s">
        <v>237</v>
      </c>
    </row>
    <row r="34" spans="1:18" x14ac:dyDescent="0.25">
      <c r="A34" t="s">
        <v>2094</v>
      </c>
      <c r="B34">
        <v>1035</v>
      </c>
      <c r="C34" t="s">
        <v>487</v>
      </c>
      <c r="D34" t="s">
        <v>256</v>
      </c>
      <c r="E34" t="s">
        <v>381</v>
      </c>
      <c r="F34" t="s">
        <v>1311</v>
      </c>
      <c r="G34" s="25">
        <v>44244</v>
      </c>
      <c r="H34">
        <v>10</v>
      </c>
      <c r="I34">
        <v>48</v>
      </c>
      <c r="J34" t="s">
        <v>231</v>
      </c>
      <c r="K34" t="s">
        <v>505</v>
      </c>
      <c r="L34" t="s">
        <v>41</v>
      </c>
      <c r="M34" t="s">
        <v>234</v>
      </c>
      <c r="N34" t="s">
        <v>40</v>
      </c>
      <c r="O34" t="s">
        <v>21</v>
      </c>
      <c r="P34" t="s">
        <v>266</v>
      </c>
      <c r="Q34">
        <v>0</v>
      </c>
      <c r="R34" t="s">
        <v>237</v>
      </c>
    </row>
    <row r="35" spans="1:18" x14ac:dyDescent="0.25">
      <c r="A35" t="s">
        <v>2226</v>
      </c>
      <c r="B35">
        <v>683</v>
      </c>
      <c r="C35" t="s">
        <v>487</v>
      </c>
      <c r="D35" t="s">
        <v>231</v>
      </c>
      <c r="E35" t="s">
        <v>232</v>
      </c>
      <c r="F35" t="s">
        <v>1162</v>
      </c>
      <c r="G35" s="25">
        <v>44228</v>
      </c>
      <c r="H35">
        <v>7</v>
      </c>
      <c r="I35">
        <v>32</v>
      </c>
      <c r="J35" t="s">
        <v>231</v>
      </c>
      <c r="K35" t="s">
        <v>505</v>
      </c>
      <c r="L35" t="s">
        <v>41</v>
      </c>
      <c r="M35" t="s">
        <v>234</v>
      </c>
      <c r="N35" t="s">
        <v>40</v>
      </c>
      <c r="O35" t="s">
        <v>21</v>
      </c>
      <c r="P35" t="s">
        <v>266</v>
      </c>
      <c r="Q35">
        <v>0</v>
      </c>
      <c r="R35" t="s">
        <v>237</v>
      </c>
    </row>
    <row r="36" spans="1:18" x14ac:dyDescent="0.25">
      <c r="A36" t="s">
        <v>2546</v>
      </c>
      <c r="B36">
        <v>639</v>
      </c>
      <c r="C36" t="s">
        <v>487</v>
      </c>
      <c r="D36" t="s">
        <v>231</v>
      </c>
      <c r="E36" t="s">
        <v>239</v>
      </c>
      <c r="F36" t="s">
        <v>1139</v>
      </c>
      <c r="G36" s="25">
        <v>44226</v>
      </c>
      <c r="H36">
        <v>6</v>
      </c>
      <c r="I36">
        <v>30</v>
      </c>
      <c r="J36" t="s">
        <v>231</v>
      </c>
      <c r="K36" t="s">
        <v>505</v>
      </c>
      <c r="L36" t="s">
        <v>41</v>
      </c>
      <c r="M36" t="s">
        <v>234</v>
      </c>
      <c r="N36" t="s">
        <v>40</v>
      </c>
      <c r="O36" t="s">
        <v>21</v>
      </c>
      <c r="P36" t="s">
        <v>266</v>
      </c>
      <c r="Q36">
        <v>28742</v>
      </c>
      <c r="R36" t="s">
        <v>237</v>
      </c>
    </row>
    <row r="37" spans="1:18" x14ac:dyDescent="0.25">
      <c r="A37" t="s">
        <v>3194</v>
      </c>
      <c r="B37">
        <v>2312</v>
      </c>
      <c r="C37" t="s">
        <v>487</v>
      </c>
      <c r="D37" t="s">
        <v>247</v>
      </c>
      <c r="E37" t="s">
        <v>247</v>
      </c>
      <c r="F37" t="s">
        <v>3085</v>
      </c>
      <c r="G37" s="25">
        <v>44302</v>
      </c>
      <c r="H37">
        <v>22</v>
      </c>
      <c r="I37">
        <v>106</v>
      </c>
      <c r="J37" t="s">
        <v>231</v>
      </c>
      <c r="K37" t="s">
        <v>504</v>
      </c>
      <c r="L37" t="s">
        <v>43</v>
      </c>
      <c r="M37" t="s">
        <v>234</v>
      </c>
      <c r="N37" t="s">
        <v>42</v>
      </c>
      <c r="O37" t="s">
        <v>21</v>
      </c>
      <c r="P37" t="s">
        <v>236</v>
      </c>
      <c r="Q37">
        <v>0</v>
      </c>
      <c r="R37" t="s">
        <v>237</v>
      </c>
    </row>
    <row r="38" spans="1:18" x14ac:dyDescent="0.25">
      <c r="A38" t="s">
        <v>2548</v>
      </c>
      <c r="B38">
        <v>1608</v>
      </c>
      <c r="C38" t="s">
        <v>487</v>
      </c>
      <c r="D38" t="s">
        <v>261</v>
      </c>
      <c r="E38" t="s">
        <v>537</v>
      </c>
      <c r="F38" t="s">
        <v>1530</v>
      </c>
      <c r="G38" s="25">
        <v>44270</v>
      </c>
      <c r="H38">
        <v>15</v>
      </c>
      <c r="I38">
        <v>74</v>
      </c>
      <c r="J38" t="s">
        <v>231</v>
      </c>
      <c r="K38" t="s">
        <v>504</v>
      </c>
      <c r="L38" t="s">
        <v>43</v>
      </c>
      <c r="M38" t="s">
        <v>234</v>
      </c>
      <c r="N38" t="s">
        <v>42</v>
      </c>
      <c r="O38" t="s">
        <v>21</v>
      </c>
      <c r="P38" t="s">
        <v>236</v>
      </c>
      <c r="Q38">
        <v>16470</v>
      </c>
      <c r="R38" t="s">
        <v>237</v>
      </c>
    </row>
    <row r="39" spans="1:18" x14ac:dyDescent="0.25">
      <c r="A39" t="s">
        <v>681</v>
      </c>
      <c r="B39">
        <v>442</v>
      </c>
      <c r="C39" t="s">
        <v>487</v>
      </c>
      <c r="D39" t="s">
        <v>231</v>
      </c>
      <c r="E39" t="s">
        <v>229</v>
      </c>
      <c r="F39" t="s">
        <v>541</v>
      </c>
      <c r="G39" s="25">
        <v>44217</v>
      </c>
      <c r="H39">
        <v>5</v>
      </c>
      <c r="I39">
        <v>21</v>
      </c>
      <c r="J39" t="s">
        <v>231</v>
      </c>
      <c r="K39" t="s">
        <v>504</v>
      </c>
      <c r="L39" t="s">
        <v>43</v>
      </c>
      <c r="M39" t="s">
        <v>234</v>
      </c>
      <c r="N39" t="s">
        <v>42</v>
      </c>
      <c r="O39" t="s">
        <v>21</v>
      </c>
      <c r="P39" t="s">
        <v>236</v>
      </c>
      <c r="Q39">
        <v>0</v>
      </c>
      <c r="R39" t="s">
        <v>237</v>
      </c>
    </row>
    <row r="40" spans="1:18" x14ac:dyDescent="0.25">
      <c r="A40" t="s">
        <v>300</v>
      </c>
      <c r="B40">
        <v>134</v>
      </c>
      <c r="C40" t="s">
        <v>487</v>
      </c>
      <c r="D40" t="s">
        <v>229</v>
      </c>
      <c r="E40" t="s">
        <v>326</v>
      </c>
      <c r="F40" t="s">
        <v>522</v>
      </c>
      <c r="G40" s="25">
        <v>44203</v>
      </c>
      <c r="H40">
        <v>2</v>
      </c>
      <c r="I40">
        <v>7</v>
      </c>
      <c r="J40" t="s">
        <v>231</v>
      </c>
      <c r="K40" t="s">
        <v>504</v>
      </c>
      <c r="L40" t="s">
        <v>43</v>
      </c>
      <c r="M40" t="s">
        <v>234</v>
      </c>
      <c r="N40" t="s">
        <v>42</v>
      </c>
      <c r="O40" t="s">
        <v>21</v>
      </c>
      <c r="P40" t="s">
        <v>236</v>
      </c>
      <c r="Q40">
        <v>8000</v>
      </c>
      <c r="R40" t="s">
        <v>237</v>
      </c>
    </row>
    <row r="41" spans="1:18" x14ac:dyDescent="0.25">
      <c r="A41" t="s">
        <v>3195</v>
      </c>
      <c r="B41">
        <v>1923</v>
      </c>
      <c r="C41" t="s">
        <v>487</v>
      </c>
      <c r="D41" t="s">
        <v>322</v>
      </c>
      <c r="E41" t="s">
        <v>381</v>
      </c>
      <c r="F41" t="s">
        <v>2971</v>
      </c>
      <c r="G41" s="25">
        <v>44284</v>
      </c>
      <c r="H41">
        <v>18</v>
      </c>
      <c r="I41">
        <v>88</v>
      </c>
      <c r="J41" t="s">
        <v>231</v>
      </c>
      <c r="K41" t="s">
        <v>503</v>
      </c>
      <c r="L41" t="s">
        <v>303</v>
      </c>
      <c r="M41" t="s">
        <v>234</v>
      </c>
      <c r="N41" t="s">
        <v>56</v>
      </c>
      <c r="O41" t="s">
        <v>235</v>
      </c>
      <c r="P41" t="s">
        <v>304</v>
      </c>
      <c r="Q41">
        <v>0</v>
      </c>
      <c r="R41" t="s">
        <v>237</v>
      </c>
    </row>
    <row r="42" spans="1:18" x14ac:dyDescent="0.25">
      <c r="A42" t="s">
        <v>1988</v>
      </c>
      <c r="B42">
        <v>1571</v>
      </c>
      <c r="C42" t="s">
        <v>487</v>
      </c>
      <c r="D42" t="s">
        <v>261</v>
      </c>
      <c r="E42" t="s">
        <v>232</v>
      </c>
      <c r="F42" t="s">
        <v>1500</v>
      </c>
      <c r="G42" s="25">
        <v>44268</v>
      </c>
      <c r="H42">
        <v>15</v>
      </c>
      <c r="I42">
        <v>72</v>
      </c>
      <c r="J42" t="s">
        <v>231</v>
      </c>
      <c r="K42" t="s">
        <v>503</v>
      </c>
      <c r="L42" t="s">
        <v>303</v>
      </c>
      <c r="M42" t="s">
        <v>234</v>
      </c>
      <c r="N42" t="s">
        <v>56</v>
      </c>
      <c r="O42" t="s">
        <v>235</v>
      </c>
      <c r="P42" t="s">
        <v>304</v>
      </c>
      <c r="Q42">
        <v>0</v>
      </c>
      <c r="R42" t="s">
        <v>237</v>
      </c>
    </row>
    <row r="43" spans="1:18" x14ac:dyDescent="0.25">
      <c r="A43" t="s">
        <v>1824</v>
      </c>
      <c r="B43">
        <v>735</v>
      </c>
      <c r="C43" t="s">
        <v>487</v>
      </c>
      <c r="D43" t="s">
        <v>231</v>
      </c>
      <c r="E43" t="s">
        <v>537</v>
      </c>
      <c r="F43" t="s">
        <v>1192</v>
      </c>
      <c r="G43" s="25">
        <v>44230</v>
      </c>
      <c r="H43">
        <v>7</v>
      </c>
      <c r="I43">
        <v>34</v>
      </c>
      <c r="J43" t="s">
        <v>231</v>
      </c>
      <c r="K43" t="s">
        <v>503</v>
      </c>
      <c r="L43" t="s">
        <v>303</v>
      </c>
      <c r="M43" t="s">
        <v>234</v>
      </c>
      <c r="N43" t="s">
        <v>56</v>
      </c>
      <c r="O43" t="s">
        <v>235</v>
      </c>
      <c r="P43" t="s">
        <v>304</v>
      </c>
      <c r="Q43">
        <v>0</v>
      </c>
      <c r="R43" t="s">
        <v>237</v>
      </c>
    </row>
    <row r="44" spans="1:18" x14ac:dyDescent="0.25">
      <c r="A44" t="s">
        <v>2717</v>
      </c>
      <c r="B44">
        <v>669</v>
      </c>
      <c r="C44" t="s">
        <v>487</v>
      </c>
      <c r="D44" t="s">
        <v>231</v>
      </c>
      <c r="E44" t="s">
        <v>515</v>
      </c>
      <c r="F44" t="s">
        <v>1150</v>
      </c>
      <c r="G44" s="25">
        <v>44227</v>
      </c>
      <c r="H44">
        <v>7</v>
      </c>
      <c r="I44">
        <v>31</v>
      </c>
      <c r="J44" t="s">
        <v>231</v>
      </c>
      <c r="K44" t="s">
        <v>503</v>
      </c>
      <c r="L44" t="s">
        <v>303</v>
      </c>
      <c r="M44" t="s">
        <v>234</v>
      </c>
      <c r="N44" t="s">
        <v>56</v>
      </c>
      <c r="O44" t="s">
        <v>235</v>
      </c>
      <c r="P44" t="s">
        <v>304</v>
      </c>
      <c r="Q44">
        <v>0</v>
      </c>
      <c r="R44" t="s">
        <v>237</v>
      </c>
    </row>
    <row r="45" spans="1:18" x14ac:dyDescent="0.25">
      <c r="A45" t="s">
        <v>2166</v>
      </c>
      <c r="B45">
        <v>559</v>
      </c>
      <c r="C45" t="s">
        <v>487</v>
      </c>
      <c r="D45" t="s">
        <v>231</v>
      </c>
      <c r="E45" t="s">
        <v>247</v>
      </c>
      <c r="F45" t="s">
        <v>1088</v>
      </c>
      <c r="G45" s="25">
        <v>44222</v>
      </c>
      <c r="H45">
        <v>6</v>
      </c>
      <c r="I45">
        <v>26</v>
      </c>
      <c r="J45" t="s">
        <v>231</v>
      </c>
      <c r="K45" t="s">
        <v>503</v>
      </c>
      <c r="L45" t="s">
        <v>303</v>
      </c>
      <c r="M45" t="s">
        <v>234</v>
      </c>
      <c r="N45" t="s">
        <v>56</v>
      </c>
      <c r="O45" t="s">
        <v>235</v>
      </c>
      <c r="P45" t="s">
        <v>304</v>
      </c>
      <c r="Q45">
        <v>3875</v>
      </c>
      <c r="R45" t="s">
        <v>237</v>
      </c>
    </row>
    <row r="46" spans="1:18" x14ac:dyDescent="0.25">
      <c r="A46" t="s">
        <v>680</v>
      </c>
      <c r="B46">
        <v>361</v>
      </c>
      <c r="C46" t="s">
        <v>487</v>
      </c>
      <c r="D46" t="s">
        <v>229</v>
      </c>
      <c r="E46" t="s">
        <v>534</v>
      </c>
      <c r="F46" t="s">
        <v>535</v>
      </c>
      <c r="G46" s="25">
        <v>44213</v>
      </c>
      <c r="H46">
        <v>4</v>
      </c>
      <c r="I46">
        <v>17</v>
      </c>
      <c r="J46" t="s">
        <v>231</v>
      </c>
      <c r="K46" t="s">
        <v>503</v>
      </c>
      <c r="L46" t="s">
        <v>303</v>
      </c>
      <c r="M46" t="s">
        <v>234</v>
      </c>
      <c r="N46" t="s">
        <v>56</v>
      </c>
      <c r="O46" t="s">
        <v>235</v>
      </c>
      <c r="P46" t="s">
        <v>304</v>
      </c>
      <c r="Q46">
        <v>0</v>
      </c>
      <c r="R46" t="s">
        <v>237</v>
      </c>
    </row>
    <row r="47" spans="1:18" x14ac:dyDescent="0.25">
      <c r="A47" t="s">
        <v>2832</v>
      </c>
      <c r="B47">
        <v>1198</v>
      </c>
      <c r="C47" t="s">
        <v>487</v>
      </c>
      <c r="D47" t="s">
        <v>256</v>
      </c>
      <c r="E47" t="s">
        <v>575</v>
      </c>
      <c r="F47" t="s">
        <v>1668</v>
      </c>
      <c r="G47" s="25">
        <v>44251</v>
      </c>
      <c r="H47">
        <v>11</v>
      </c>
      <c r="I47">
        <v>55</v>
      </c>
      <c r="J47" t="s">
        <v>231</v>
      </c>
      <c r="K47" t="s">
        <v>502</v>
      </c>
      <c r="L47" t="s">
        <v>287</v>
      </c>
      <c r="M47" t="s">
        <v>234</v>
      </c>
      <c r="N47" t="s">
        <v>58</v>
      </c>
      <c r="O47" t="s">
        <v>235</v>
      </c>
      <c r="P47" t="s">
        <v>288</v>
      </c>
      <c r="Q47">
        <v>0</v>
      </c>
      <c r="R47" t="s">
        <v>237</v>
      </c>
    </row>
    <row r="48" spans="1:18" x14ac:dyDescent="0.25">
      <c r="A48" t="s">
        <v>3196</v>
      </c>
      <c r="B48">
        <v>2408</v>
      </c>
      <c r="C48" t="s">
        <v>487</v>
      </c>
      <c r="D48" t="s">
        <v>247</v>
      </c>
      <c r="E48" t="s">
        <v>239</v>
      </c>
      <c r="F48" t="s">
        <v>3118</v>
      </c>
      <c r="G48" s="25">
        <v>44306</v>
      </c>
      <c r="H48">
        <v>22</v>
      </c>
      <c r="I48">
        <v>110</v>
      </c>
      <c r="J48" t="s">
        <v>231</v>
      </c>
      <c r="K48" t="s">
        <v>502</v>
      </c>
      <c r="L48" t="s">
        <v>287</v>
      </c>
      <c r="M48" t="s">
        <v>234</v>
      </c>
      <c r="N48" t="s">
        <v>58</v>
      </c>
      <c r="O48" t="s">
        <v>235</v>
      </c>
      <c r="P48" t="s">
        <v>288</v>
      </c>
      <c r="Q48">
        <v>0</v>
      </c>
      <c r="R48" t="s">
        <v>237</v>
      </c>
    </row>
    <row r="49" spans="1:18" x14ac:dyDescent="0.25">
      <c r="A49" t="s">
        <v>3197</v>
      </c>
      <c r="B49">
        <v>1946</v>
      </c>
      <c r="C49" t="s">
        <v>487</v>
      </c>
      <c r="D49" t="s">
        <v>322</v>
      </c>
      <c r="E49" t="s">
        <v>371</v>
      </c>
      <c r="F49" t="s">
        <v>2976</v>
      </c>
      <c r="G49" s="25">
        <v>44285</v>
      </c>
      <c r="H49">
        <v>18</v>
      </c>
      <c r="I49">
        <v>89</v>
      </c>
      <c r="J49" t="s">
        <v>231</v>
      </c>
      <c r="K49" t="s">
        <v>502</v>
      </c>
      <c r="L49" t="s">
        <v>287</v>
      </c>
      <c r="M49" t="s">
        <v>234</v>
      </c>
      <c r="N49" t="s">
        <v>58</v>
      </c>
      <c r="O49" t="s">
        <v>235</v>
      </c>
      <c r="P49" t="s">
        <v>288</v>
      </c>
      <c r="Q49">
        <v>10500</v>
      </c>
      <c r="R49" t="s">
        <v>237</v>
      </c>
    </row>
    <row r="50" spans="1:18" x14ac:dyDescent="0.25">
      <c r="A50" t="s">
        <v>2888</v>
      </c>
      <c r="B50">
        <v>667</v>
      </c>
      <c r="C50" t="s">
        <v>487</v>
      </c>
      <c r="D50" t="s">
        <v>231</v>
      </c>
      <c r="E50" t="s">
        <v>515</v>
      </c>
      <c r="F50" t="s">
        <v>1150</v>
      </c>
      <c r="G50" s="25">
        <v>44227</v>
      </c>
      <c r="H50">
        <v>7</v>
      </c>
      <c r="I50">
        <v>31</v>
      </c>
      <c r="J50" t="s">
        <v>231</v>
      </c>
      <c r="K50" t="s">
        <v>500</v>
      </c>
      <c r="L50" t="s">
        <v>265</v>
      </c>
      <c r="M50" t="s">
        <v>234</v>
      </c>
      <c r="N50" t="s">
        <v>52</v>
      </c>
      <c r="O50" t="s">
        <v>235</v>
      </c>
      <c r="P50" t="s">
        <v>266</v>
      </c>
      <c r="Q50">
        <v>0</v>
      </c>
      <c r="R50" t="s">
        <v>237</v>
      </c>
    </row>
    <row r="51" spans="1:18" x14ac:dyDescent="0.25">
      <c r="A51" t="s">
        <v>567</v>
      </c>
      <c r="B51">
        <v>359</v>
      </c>
      <c r="C51" t="s">
        <v>487</v>
      </c>
      <c r="D51" t="s">
        <v>229</v>
      </c>
      <c r="E51" t="s">
        <v>534</v>
      </c>
      <c r="F51" t="s">
        <v>535</v>
      </c>
      <c r="G51" s="25">
        <v>44213</v>
      </c>
      <c r="H51">
        <v>4</v>
      </c>
      <c r="I51">
        <v>17</v>
      </c>
      <c r="J51" t="s">
        <v>231</v>
      </c>
      <c r="K51" t="s">
        <v>500</v>
      </c>
      <c r="L51" t="s">
        <v>265</v>
      </c>
      <c r="M51" t="s">
        <v>234</v>
      </c>
      <c r="N51" t="s">
        <v>52</v>
      </c>
      <c r="O51" t="s">
        <v>235</v>
      </c>
      <c r="P51" t="s">
        <v>266</v>
      </c>
      <c r="Q51">
        <v>0</v>
      </c>
      <c r="R51" t="s">
        <v>237</v>
      </c>
    </row>
    <row r="52" spans="1:18" x14ac:dyDescent="0.25">
      <c r="A52" t="s">
        <v>3198</v>
      </c>
      <c r="B52">
        <v>2295</v>
      </c>
      <c r="C52" t="s">
        <v>487</v>
      </c>
      <c r="D52" t="s">
        <v>247</v>
      </c>
      <c r="E52" t="s">
        <v>322</v>
      </c>
      <c r="F52" t="s">
        <v>3083</v>
      </c>
      <c r="G52" s="25">
        <v>44301</v>
      </c>
      <c r="H52">
        <v>21</v>
      </c>
      <c r="I52">
        <v>105</v>
      </c>
      <c r="J52" t="s">
        <v>231</v>
      </c>
      <c r="K52" t="s">
        <v>500</v>
      </c>
      <c r="L52" t="s">
        <v>265</v>
      </c>
      <c r="M52" t="s">
        <v>234</v>
      </c>
      <c r="N52" t="s">
        <v>52</v>
      </c>
      <c r="O52" t="s">
        <v>235</v>
      </c>
      <c r="P52" t="s">
        <v>266</v>
      </c>
      <c r="Q52">
        <v>0</v>
      </c>
      <c r="R52" t="s">
        <v>237</v>
      </c>
    </row>
    <row r="53" spans="1:18" x14ac:dyDescent="0.25">
      <c r="A53" t="s">
        <v>3199</v>
      </c>
      <c r="B53">
        <v>1921</v>
      </c>
      <c r="C53" t="s">
        <v>487</v>
      </c>
      <c r="D53" t="s">
        <v>322</v>
      </c>
      <c r="E53" t="s">
        <v>381</v>
      </c>
      <c r="F53" t="s">
        <v>2971</v>
      </c>
      <c r="G53" s="25">
        <v>44284</v>
      </c>
      <c r="H53">
        <v>18</v>
      </c>
      <c r="I53">
        <v>88</v>
      </c>
      <c r="J53" t="s">
        <v>231</v>
      </c>
      <c r="K53" t="s">
        <v>500</v>
      </c>
      <c r="L53" t="s">
        <v>265</v>
      </c>
      <c r="M53" t="s">
        <v>234</v>
      </c>
      <c r="N53" t="s">
        <v>52</v>
      </c>
      <c r="O53" t="s">
        <v>235</v>
      </c>
      <c r="P53" t="s">
        <v>266</v>
      </c>
      <c r="Q53">
        <v>0</v>
      </c>
      <c r="R53" t="s">
        <v>237</v>
      </c>
    </row>
    <row r="54" spans="1:18" x14ac:dyDescent="0.25">
      <c r="A54" t="s">
        <v>2177</v>
      </c>
      <c r="B54">
        <v>1569</v>
      </c>
      <c r="C54" t="s">
        <v>487</v>
      </c>
      <c r="D54" t="s">
        <v>261</v>
      </c>
      <c r="E54" t="s">
        <v>232</v>
      </c>
      <c r="F54" t="s">
        <v>1500</v>
      </c>
      <c r="G54" s="25">
        <v>44268</v>
      </c>
      <c r="H54">
        <v>15</v>
      </c>
      <c r="I54">
        <v>72</v>
      </c>
      <c r="J54" t="s">
        <v>231</v>
      </c>
      <c r="K54" t="s">
        <v>500</v>
      </c>
      <c r="L54" t="s">
        <v>265</v>
      </c>
      <c r="M54" t="s">
        <v>234</v>
      </c>
      <c r="N54" t="s">
        <v>52</v>
      </c>
      <c r="O54" t="s">
        <v>235</v>
      </c>
      <c r="P54" t="s">
        <v>266</v>
      </c>
      <c r="Q54">
        <v>0</v>
      </c>
      <c r="R54" t="s">
        <v>237</v>
      </c>
    </row>
    <row r="55" spans="1:18" x14ac:dyDescent="0.25">
      <c r="A55" t="s">
        <v>1995</v>
      </c>
      <c r="B55">
        <v>733</v>
      </c>
      <c r="C55" t="s">
        <v>487</v>
      </c>
      <c r="D55" t="s">
        <v>231</v>
      </c>
      <c r="E55" t="s">
        <v>537</v>
      </c>
      <c r="F55" t="s">
        <v>1192</v>
      </c>
      <c r="G55" s="25">
        <v>44230</v>
      </c>
      <c r="H55">
        <v>7</v>
      </c>
      <c r="I55">
        <v>34</v>
      </c>
      <c r="J55" t="s">
        <v>231</v>
      </c>
      <c r="K55" t="s">
        <v>500</v>
      </c>
      <c r="L55" t="s">
        <v>265</v>
      </c>
      <c r="M55" t="s">
        <v>234</v>
      </c>
      <c r="N55" t="s">
        <v>52</v>
      </c>
      <c r="O55" t="s">
        <v>235</v>
      </c>
      <c r="P55" t="s">
        <v>266</v>
      </c>
      <c r="Q55">
        <v>0</v>
      </c>
      <c r="R55" t="s">
        <v>237</v>
      </c>
    </row>
    <row r="56" spans="1:18" x14ac:dyDescent="0.25">
      <c r="A56" t="s">
        <v>3200</v>
      </c>
      <c r="B56">
        <v>2520</v>
      </c>
      <c r="C56" t="s">
        <v>487</v>
      </c>
      <c r="D56" t="s">
        <v>247</v>
      </c>
      <c r="E56" t="s">
        <v>575</v>
      </c>
      <c r="F56" t="s">
        <v>3158</v>
      </c>
      <c r="G56" s="25">
        <v>44311</v>
      </c>
      <c r="H56">
        <v>23</v>
      </c>
      <c r="I56">
        <v>115</v>
      </c>
      <c r="J56" t="s">
        <v>231</v>
      </c>
      <c r="K56" t="s">
        <v>499</v>
      </c>
      <c r="L56" t="s">
        <v>410</v>
      </c>
      <c r="M56" t="s">
        <v>234</v>
      </c>
      <c r="N56" t="s">
        <v>62</v>
      </c>
      <c r="O56" t="s">
        <v>235</v>
      </c>
      <c r="P56" t="s">
        <v>411</v>
      </c>
      <c r="Q56">
        <v>0</v>
      </c>
      <c r="R56" t="s">
        <v>237</v>
      </c>
    </row>
    <row r="57" spans="1:18" x14ac:dyDescent="0.25">
      <c r="A57" t="s">
        <v>2179</v>
      </c>
      <c r="B57">
        <v>650</v>
      </c>
      <c r="C57" t="s">
        <v>487</v>
      </c>
      <c r="D57" t="s">
        <v>231</v>
      </c>
      <c r="E57" t="s">
        <v>239</v>
      </c>
      <c r="F57" t="s">
        <v>1139</v>
      </c>
      <c r="G57" s="25">
        <v>44226</v>
      </c>
      <c r="H57">
        <v>6</v>
      </c>
      <c r="I57">
        <v>30</v>
      </c>
      <c r="J57" t="s">
        <v>231</v>
      </c>
      <c r="K57" t="s">
        <v>499</v>
      </c>
      <c r="L57" t="s">
        <v>410</v>
      </c>
      <c r="M57" t="s">
        <v>234</v>
      </c>
      <c r="N57" t="s">
        <v>62</v>
      </c>
      <c r="O57" t="s">
        <v>235</v>
      </c>
      <c r="P57" t="s">
        <v>411</v>
      </c>
      <c r="Q57">
        <v>0</v>
      </c>
      <c r="R57" t="s">
        <v>237</v>
      </c>
    </row>
    <row r="58" spans="1:18" x14ac:dyDescent="0.25">
      <c r="A58" t="s">
        <v>3201</v>
      </c>
      <c r="B58">
        <v>2045</v>
      </c>
      <c r="C58" t="s">
        <v>487</v>
      </c>
      <c r="D58" t="s">
        <v>322</v>
      </c>
      <c r="E58" t="s">
        <v>512</v>
      </c>
      <c r="F58" t="s">
        <v>2991</v>
      </c>
      <c r="G58" s="25">
        <v>44289</v>
      </c>
      <c r="H58">
        <v>19</v>
      </c>
      <c r="I58">
        <v>93</v>
      </c>
      <c r="J58" t="s">
        <v>432</v>
      </c>
      <c r="K58" t="s">
        <v>498</v>
      </c>
      <c r="L58" t="s">
        <v>26</v>
      </c>
      <c r="M58" t="s">
        <v>434</v>
      </c>
      <c r="N58" t="s">
        <v>77</v>
      </c>
      <c r="O58" t="s">
        <v>435</v>
      </c>
      <c r="P58" t="s">
        <v>26</v>
      </c>
      <c r="Q58">
        <v>273070.625</v>
      </c>
      <c r="R58" t="s">
        <v>436</v>
      </c>
    </row>
    <row r="59" spans="1:18" x14ac:dyDescent="0.25">
      <c r="A59" t="s">
        <v>2521</v>
      </c>
      <c r="B59">
        <v>1627</v>
      </c>
      <c r="C59" t="s">
        <v>487</v>
      </c>
      <c r="D59" t="s">
        <v>261</v>
      </c>
      <c r="E59" t="s">
        <v>537</v>
      </c>
      <c r="F59" t="s">
        <v>1530</v>
      </c>
      <c r="G59" s="25">
        <v>44270</v>
      </c>
      <c r="H59">
        <v>15</v>
      </c>
      <c r="I59">
        <v>74</v>
      </c>
      <c r="J59" t="s">
        <v>432</v>
      </c>
      <c r="K59" t="s">
        <v>498</v>
      </c>
      <c r="L59" t="s">
        <v>26</v>
      </c>
      <c r="M59" t="s">
        <v>434</v>
      </c>
      <c r="N59" t="s">
        <v>77</v>
      </c>
      <c r="O59" t="s">
        <v>435</v>
      </c>
      <c r="P59" t="s">
        <v>26</v>
      </c>
      <c r="Q59">
        <v>130987.5</v>
      </c>
      <c r="R59" t="s">
        <v>436</v>
      </c>
    </row>
    <row r="60" spans="1:18" x14ac:dyDescent="0.25">
      <c r="A60" t="s">
        <v>3202</v>
      </c>
      <c r="B60">
        <v>2485</v>
      </c>
      <c r="C60" t="s">
        <v>487</v>
      </c>
      <c r="D60" t="s">
        <v>247</v>
      </c>
      <c r="E60" t="s">
        <v>512</v>
      </c>
      <c r="F60" t="s">
        <v>3146</v>
      </c>
      <c r="G60" s="25">
        <v>44309</v>
      </c>
      <c r="H60">
        <v>23</v>
      </c>
      <c r="I60">
        <v>113</v>
      </c>
      <c r="J60" t="s">
        <v>432</v>
      </c>
      <c r="K60" t="s">
        <v>498</v>
      </c>
      <c r="L60" t="s">
        <v>26</v>
      </c>
      <c r="M60" t="s">
        <v>434</v>
      </c>
      <c r="N60" t="s">
        <v>77</v>
      </c>
      <c r="O60" t="s">
        <v>435</v>
      </c>
      <c r="P60" t="s">
        <v>26</v>
      </c>
      <c r="Q60">
        <v>170411.25</v>
      </c>
      <c r="R60" t="s">
        <v>436</v>
      </c>
    </row>
    <row r="61" spans="1:18" x14ac:dyDescent="0.25">
      <c r="A61" t="s">
        <v>3203</v>
      </c>
      <c r="B61">
        <v>2527</v>
      </c>
      <c r="C61" t="s">
        <v>487</v>
      </c>
      <c r="D61" t="s">
        <v>247</v>
      </c>
      <c r="E61" t="s">
        <v>575</v>
      </c>
      <c r="F61" t="s">
        <v>3158</v>
      </c>
      <c r="G61" s="25">
        <v>44311</v>
      </c>
      <c r="H61">
        <v>23</v>
      </c>
      <c r="I61">
        <v>115</v>
      </c>
      <c r="J61" t="s">
        <v>432</v>
      </c>
      <c r="K61" t="s">
        <v>497</v>
      </c>
      <c r="L61" t="s">
        <v>438</v>
      </c>
      <c r="M61" t="s">
        <v>434</v>
      </c>
      <c r="N61" t="s">
        <v>75</v>
      </c>
      <c r="O61" t="s">
        <v>435</v>
      </c>
      <c r="P61" t="s">
        <v>438</v>
      </c>
      <c r="Q61">
        <v>34500</v>
      </c>
      <c r="R61" t="s">
        <v>436</v>
      </c>
    </row>
    <row r="62" spans="1:18" x14ac:dyDescent="0.25">
      <c r="A62" t="s">
        <v>3204</v>
      </c>
      <c r="B62">
        <v>2329</v>
      </c>
      <c r="C62" t="s">
        <v>487</v>
      </c>
      <c r="D62" t="s">
        <v>247</v>
      </c>
      <c r="E62" t="s">
        <v>247</v>
      </c>
      <c r="F62" t="s">
        <v>3085</v>
      </c>
      <c r="G62" s="25">
        <v>44302</v>
      </c>
      <c r="H62">
        <v>22</v>
      </c>
      <c r="I62">
        <v>106</v>
      </c>
      <c r="J62" t="s">
        <v>432</v>
      </c>
      <c r="K62" t="s">
        <v>497</v>
      </c>
      <c r="L62" t="s">
        <v>438</v>
      </c>
      <c r="M62" t="s">
        <v>434</v>
      </c>
      <c r="N62" t="s">
        <v>75</v>
      </c>
      <c r="O62" t="s">
        <v>435</v>
      </c>
      <c r="P62" t="s">
        <v>438</v>
      </c>
      <c r="Q62">
        <v>40237.5</v>
      </c>
      <c r="R62" t="s">
        <v>436</v>
      </c>
    </row>
    <row r="63" spans="1:18" x14ac:dyDescent="0.25">
      <c r="A63" t="s">
        <v>2846</v>
      </c>
      <c r="B63">
        <v>1357</v>
      </c>
      <c r="C63" t="s">
        <v>487</v>
      </c>
      <c r="D63" t="s">
        <v>261</v>
      </c>
      <c r="E63" t="s">
        <v>231</v>
      </c>
      <c r="F63" t="s">
        <v>1400</v>
      </c>
      <c r="G63" s="25">
        <v>44258</v>
      </c>
      <c r="H63">
        <v>13</v>
      </c>
      <c r="I63">
        <v>62</v>
      </c>
      <c r="J63" t="s">
        <v>432</v>
      </c>
      <c r="K63" t="s">
        <v>496</v>
      </c>
      <c r="L63" t="s">
        <v>69</v>
      </c>
      <c r="M63" t="s">
        <v>434</v>
      </c>
      <c r="N63" t="s">
        <v>68</v>
      </c>
      <c r="O63" t="s">
        <v>21</v>
      </c>
      <c r="P63" t="s">
        <v>439</v>
      </c>
      <c r="Q63">
        <v>329125</v>
      </c>
      <c r="R63" t="s">
        <v>237</v>
      </c>
    </row>
    <row r="64" spans="1:18" x14ac:dyDescent="0.25">
      <c r="A64" t="s">
        <v>2678</v>
      </c>
      <c r="B64">
        <v>1225</v>
      </c>
      <c r="C64" t="s">
        <v>487</v>
      </c>
      <c r="D64" t="s">
        <v>256</v>
      </c>
      <c r="E64" t="s">
        <v>620</v>
      </c>
      <c r="F64" t="s">
        <v>1350</v>
      </c>
      <c r="G64" s="25">
        <v>44252</v>
      </c>
      <c r="H64">
        <v>12</v>
      </c>
      <c r="I64">
        <v>56</v>
      </c>
      <c r="J64" t="s">
        <v>432</v>
      </c>
      <c r="K64" t="s">
        <v>496</v>
      </c>
      <c r="L64" t="s">
        <v>69</v>
      </c>
      <c r="M64" t="s">
        <v>434</v>
      </c>
      <c r="N64" t="s">
        <v>68</v>
      </c>
      <c r="O64" t="s">
        <v>21</v>
      </c>
      <c r="P64" t="s">
        <v>439</v>
      </c>
      <c r="Q64">
        <v>437750</v>
      </c>
      <c r="R64" t="s">
        <v>237</v>
      </c>
    </row>
    <row r="65" spans="1:18" x14ac:dyDescent="0.25">
      <c r="A65" t="s">
        <v>2469</v>
      </c>
      <c r="B65">
        <v>873</v>
      </c>
      <c r="C65" t="s">
        <v>487</v>
      </c>
      <c r="D65" t="s">
        <v>231</v>
      </c>
      <c r="E65" t="s">
        <v>408</v>
      </c>
      <c r="F65" t="s">
        <v>1234</v>
      </c>
      <c r="G65" s="25">
        <v>44236</v>
      </c>
      <c r="H65">
        <v>8</v>
      </c>
      <c r="I65">
        <v>40</v>
      </c>
      <c r="J65" t="s">
        <v>432</v>
      </c>
      <c r="K65" t="s">
        <v>496</v>
      </c>
      <c r="L65" t="s">
        <v>69</v>
      </c>
      <c r="M65" t="s">
        <v>434</v>
      </c>
      <c r="N65" t="s">
        <v>68</v>
      </c>
      <c r="O65" t="s">
        <v>21</v>
      </c>
      <c r="P65" t="s">
        <v>439</v>
      </c>
      <c r="Q65">
        <v>34875</v>
      </c>
      <c r="R65" t="s">
        <v>237</v>
      </c>
    </row>
    <row r="66" spans="1:18" x14ac:dyDescent="0.25">
      <c r="A66" t="s">
        <v>809</v>
      </c>
      <c r="B66">
        <v>236</v>
      </c>
      <c r="C66" t="s">
        <v>487</v>
      </c>
      <c r="D66" t="s">
        <v>229</v>
      </c>
      <c r="E66" t="s">
        <v>515</v>
      </c>
      <c r="F66" t="s">
        <v>516</v>
      </c>
      <c r="G66" s="25">
        <v>44207</v>
      </c>
      <c r="H66">
        <v>3</v>
      </c>
      <c r="I66">
        <v>11</v>
      </c>
      <c r="J66" t="s">
        <v>432</v>
      </c>
      <c r="K66" t="s">
        <v>495</v>
      </c>
      <c r="L66" t="s">
        <v>135</v>
      </c>
      <c r="M66" t="s">
        <v>434</v>
      </c>
      <c r="N66" t="s">
        <v>70</v>
      </c>
      <c r="O66" t="s">
        <v>21</v>
      </c>
      <c r="P66" t="s">
        <v>440</v>
      </c>
      <c r="Q66">
        <v>24000</v>
      </c>
      <c r="R66" t="s">
        <v>237</v>
      </c>
    </row>
    <row r="67" spans="1:18" x14ac:dyDescent="0.25">
      <c r="A67" t="s">
        <v>3205</v>
      </c>
      <c r="B67">
        <v>1798</v>
      </c>
      <c r="C67" t="s">
        <v>487</v>
      </c>
      <c r="D67" t="s">
        <v>322</v>
      </c>
      <c r="E67" t="s">
        <v>231</v>
      </c>
      <c r="F67" t="s">
        <v>2945</v>
      </c>
      <c r="G67" s="25">
        <v>44278</v>
      </c>
      <c r="H67">
        <v>17</v>
      </c>
      <c r="I67">
        <v>82</v>
      </c>
      <c r="J67" t="s">
        <v>432</v>
      </c>
      <c r="K67" t="s">
        <v>495</v>
      </c>
      <c r="L67" t="s">
        <v>135</v>
      </c>
      <c r="M67" t="s">
        <v>434</v>
      </c>
      <c r="N67" t="s">
        <v>70</v>
      </c>
      <c r="O67" t="s">
        <v>21</v>
      </c>
      <c r="P67" t="s">
        <v>440</v>
      </c>
      <c r="Q67">
        <v>0</v>
      </c>
      <c r="R67" t="s">
        <v>237</v>
      </c>
    </row>
    <row r="68" spans="1:18" x14ac:dyDescent="0.25">
      <c r="A68" t="s">
        <v>2847</v>
      </c>
      <c r="B68">
        <v>962</v>
      </c>
      <c r="C68" t="s">
        <v>487</v>
      </c>
      <c r="D68" t="s">
        <v>256</v>
      </c>
      <c r="E68" t="s">
        <v>261</v>
      </c>
      <c r="F68" t="s">
        <v>1276</v>
      </c>
      <c r="G68" s="25">
        <v>44240</v>
      </c>
      <c r="H68">
        <v>9</v>
      </c>
      <c r="I68">
        <v>44</v>
      </c>
      <c r="J68" t="s">
        <v>432</v>
      </c>
      <c r="K68" t="s">
        <v>495</v>
      </c>
      <c r="L68" t="s">
        <v>135</v>
      </c>
      <c r="M68" t="s">
        <v>434</v>
      </c>
      <c r="N68" t="s">
        <v>70</v>
      </c>
      <c r="O68" t="s">
        <v>21</v>
      </c>
      <c r="P68" t="s">
        <v>440</v>
      </c>
      <c r="Q68">
        <v>100000</v>
      </c>
      <c r="R68" t="s">
        <v>237</v>
      </c>
    </row>
    <row r="69" spans="1:18" x14ac:dyDescent="0.25">
      <c r="A69" t="s">
        <v>3206</v>
      </c>
      <c r="B69">
        <v>2440</v>
      </c>
      <c r="C69" t="s">
        <v>487</v>
      </c>
      <c r="D69" t="s">
        <v>247</v>
      </c>
      <c r="E69" t="s">
        <v>515</v>
      </c>
      <c r="F69" t="s">
        <v>3134</v>
      </c>
      <c r="G69" s="25">
        <v>44307</v>
      </c>
      <c r="H69">
        <v>23</v>
      </c>
      <c r="I69">
        <v>111</v>
      </c>
      <c r="J69" t="s">
        <v>432</v>
      </c>
      <c r="K69" t="s">
        <v>494</v>
      </c>
      <c r="L69" t="s">
        <v>25</v>
      </c>
      <c r="M69" t="s">
        <v>434</v>
      </c>
      <c r="N69" t="s">
        <v>76</v>
      </c>
      <c r="O69" t="s">
        <v>435</v>
      </c>
      <c r="P69" t="s">
        <v>25</v>
      </c>
      <c r="Q69">
        <v>34350</v>
      </c>
      <c r="R69" t="s">
        <v>436</v>
      </c>
    </row>
    <row r="70" spans="1:18" x14ac:dyDescent="0.25">
      <c r="A70" t="s">
        <v>3207</v>
      </c>
      <c r="B70">
        <v>2132</v>
      </c>
      <c r="C70" t="s">
        <v>487</v>
      </c>
      <c r="D70" t="s">
        <v>322</v>
      </c>
      <c r="E70" t="s">
        <v>534</v>
      </c>
      <c r="F70" t="s">
        <v>3031</v>
      </c>
      <c r="G70" s="25">
        <v>44293</v>
      </c>
      <c r="H70">
        <v>20</v>
      </c>
      <c r="I70">
        <v>97</v>
      </c>
      <c r="J70" t="s">
        <v>432</v>
      </c>
      <c r="K70" t="s">
        <v>494</v>
      </c>
      <c r="L70" t="s">
        <v>25</v>
      </c>
      <c r="M70" t="s">
        <v>434</v>
      </c>
      <c r="N70" t="s">
        <v>76</v>
      </c>
      <c r="O70" t="s">
        <v>435</v>
      </c>
      <c r="P70" t="s">
        <v>25</v>
      </c>
      <c r="Q70">
        <v>47250</v>
      </c>
      <c r="R70" t="s">
        <v>436</v>
      </c>
    </row>
    <row r="71" spans="1:18" x14ac:dyDescent="0.25">
      <c r="A71" t="s">
        <v>2747</v>
      </c>
      <c r="B71">
        <v>1626</v>
      </c>
      <c r="C71" t="s">
        <v>487</v>
      </c>
      <c r="D71" t="s">
        <v>261</v>
      </c>
      <c r="E71" t="s">
        <v>537</v>
      </c>
      <c r="F71" t="s">
        <v>1530</v>
      </c>
      <c r="G71" s="25">
        <v>44270</v>
      </c>
      <c r="H71">
        <v>15</v>
      </c>
      <c r="I71">
        <v>74</v>
      </c>
      <c r="J71" t="s">
        <v>432</v>
      </c>
      <c r="K71" t="s">
        <v>494</v>
      </c>
      <c r="L71" t="s">
        <v>25</v>
      </c>
      <c r="M71" t="s">
        <v>434</v>
      </c>
      <c r="N71" t="s">
        <v>76</v>
      </c>
      <c r="O71" t="s">
        <v>435</v>
      </c>
      <c r="P71" t="s">
        <v>25</v>
      </c>
      <c r="Q71">
        <v>34875</v>
      </c>
      <c r="R71" t="s">
        <v>436</v>
      </c>
    </row>
    <row r="72" spans="1:18" x14ac:dyDescent="0.25">
      <c r="A72" t="s">
        <v>1956</v>
      </c>
      <c r="B72">
        <v>660</v>
      </c>
      <c r="C72" t="s">
        <v>487</v>
      </c>
      <c r="D72" t="s">
        <v>231</v>
      </c>
      <c r="E72" t="s">
        <v>239</v>
      </c>
      <c r="F72" t="s">
        <v>1139</v>
      </c>
      <c r="G72" s="25">
        <v>44226</v>
      </c>
      <c r="H72">
        <v>6</v>
      </c>
      <c r="I72">
        <v>30</v>
      </c>
      <c r="J72" t="s">
        <v>432</v>
      </c>
      <c r="K72" t="s">
        <v>493</v>
      </c>
      <c r="L72" t="s">
        <v>441</v>
      </c>
      <c r="M72" t="s">
        <v>434</v>
      </c>
      <c r="N72" t="s">
        <v>78</v>
      </c>
      <c r="O72" t="s">
        <v>435</v>
      </c>
      <c r="P72" t="s">
        <v>441</v>
      </c>
      <c r="Q72">
        <v>132912.5</v>
      </c>
      <c r="R72" t="s">
        <v>436</v>
      </c>
    </row>
    <row r="73" spans="1:18" x14ac:dyDescent="0.25">
      <c r="A73" t="s">
        <v>588</v>
      </c>
      <c r="B73">
        <v>418</v>
      </c>
      <c r="C73" t="s">
        <v>487</v>
      </c>
      <c r="D73" t="s">
        <v>229</v>
      </c>
      <c r="E73" t="s">
        <v>531</v>
      </c>
      <c r="F73" t="s">
        <v>532</v>
      </c>
      <c r="G73" s="25">
        <v>44215</v>
      </c>
      <c r="H73">
        <v>4</v>
      </c>
      <c r="I73">
        <v>19</v>
      </c>
      <c r="J73" t="s">
        <v>432</v>
      </c>
      <c r="K73" t="s">
        <v>493</v>
      </c>
      <c r="L73" t="s">
        <v>441</v>
      </c>
      <c r="M73" t="s">
        <v>434</v>
      </c>
      <c r="N73" t="s">
        <v>78</v>
      </c>
      <c r="O73" t="s">
        <v>435</v>
      </c>
      <c r="P73" t="s">
        <v>441</v>
      </c>
      <c r="Q73">
        <v>21000</v>
      </c>
      <c r="R73" t="s">
        <v>436</v>
      </c>
    </row>
    <row r="74" spans="1:18" x14ac:dyDescent="0.25">
      <c r="A74" t="s">
        <v>3208</v>
      </c>
      <c r="B74">
        <v>2596</v>
      </c>
      <c r="C74" t="s">
        <v>487</v>
      </c>
      <c r="D74" t="s">
        <v>247</v>
      </c>
      <c r="E74" t="s">
        <v>552</v>
      </c>
      <c r="F74" t="s">
        <v>3170</v>
      </c>
      <c r="G74" s="25">
        <v>44314</v>
      </c>
      <c r="H74">
        <v>24</v>
      </c>
      <c r="I74">
        <v>118</v>
      </c>
      <c r="J74" t="s">
        <v>432</v>
      </c>
      <c r="K74" t="s">
        <v>493</v>
      </c>
      <c r="L74" t="s">
        <v>441</v>
      </c>
      <c r="M74" t="s">
        <v>434</v>
      </c>
      <c r="N74" t="s">
        <v>78</v>
      </c>
      <c r="O74" t="s">
        <v>435</v>
      </c>
      <c r="P74" t="s">
        <v>441</v>
      </c>
      <c r="Q74">
        <v>132480</v>
      </c>
      <c r="R74" t="s">
        <v>436</v>
      </c>
    </row>
    <row r="75" spans="1:18" x14ac:dyDescent="0.25">
      <c r="A75" t="s">
        <v>2807</v>
      </c>
      <c r="B75">
        <v>655</v>
      </c>
      <c r="C75" t="s">
        <v>487</v>
      </c>
      <c r="D75" t="s">
        <v>231</v>
      </c>
      <c r="E75" t="s">
        <v>239</v>
      </c>
      <c r="F75" t="s">
        <v>1139</v>
      </c>
      <c r="G75" s="25">
        <v>44226</v>
      </c>
      <c r="H75">
        <v>6</v>
      </c>
      <c r="I75">
        <v>30</v>
      </c>
      <c r="J75" t="s">
        <v>432</v>
      </c>
      <c r="K75" t="s">
        <v>492</v>
      </c>
      <c r="L75" t="s">
        <v>24</v>
      </c>
      <c r="M75" t="s">
        <v>434</v>
      </c>
      <c r="N75" t="s">
        <v>71</v>
      </c>
      <c r="O75" t="s">
        <v>435</v>
      </c>
      <c r="P75" t="s">
        <v>24</v>
      </c>
      <c r="Q75">
        <v>14400</v>
      </c>
      <c r="R75" t="s">
        <v>436</v>
      </c>
    </row>
    <row r="76" spans="1:18" x14ac:dyDescent="0.25">
      <c r="A76" t="s">
        <v>2693</v>
      </c>
      <c r="B76">
        <v>1724</v>
      </c>
      <c r="C76" t="s">
        <v>487</v>
      </c>
      <c r="D76" t="s">
        <v>261</v>
      </c>
      <c r="E76" t="s">
        <v>531</v>
      </c>
      <c r="F76" t="s">
        <v>1588</v>
      </c>
      <c r="G76" s="25">
        <v>44275</v>
      </c>
      <c r="H76">
        <v>16</v>
      </c>
      <c r="I76">
        <v>79</v>
      </c>
      <c r="J76" t="s">
        <v>231</v>
      </c>
      <c r="K76" t="s">
        <v>491</v>
      </c>
      <c r="L76" t="s">
        <v>233</v>
      </c>
      <c r="M76" t="s">
        <v>234</v>
      </c>
      <c r="N76" t="s">
        <v>54</v>
      </c>
      <c r="O76" t="s">
        <v>235</v>
      </c>
      <c r="P76" t="s">
        <v>236</v>
      </c>
      <c r="Q76">
        <v>0</v>
      </c>
      <c r="R76" t="s">
        <v>237</v>
      </c>
    </row>
    <row r="77" spans="1:18" x14ac:dyDescent="0.25">
      <c r="A77" t="s">
        <v>3209</v>
      </c>
      <c r="B77">
        <v>2186</v>
      </c>
      <c r="C77" t="s">
        <v>487</v>
      </c>
      <c r="D77" t="s">
        <v>322</v>
      </c>
      <c r="E77" t="s">
        <v>408</v>
      </c>
      <c r="F77" t="s">
        <v>3059</v>
      </c>
      <c r="G77" s="25">
        <v>44296</v>
      </c>
      <c r="H77">
        <v>20</v>
      </c>
      <c r="I77">
        <v>100</v>
      </c>
      <c r="J77" t="s">
        <v>231</v>
      </c>
      <c r="K77" t="s">
        <v>491</v>
      </c>
      <c r="L77" t="s">
        <v>233</v>
      </c>
      <c r="M77" t="s">
        <v>234</v>
      </c>
      <c r="N77" t="s">
        <v>54</v>
      </c>
      <c r="O77" t="s">
        <v>235</v>
      </c>
      <c r="P77" t="s">
        <v>236</v>
      </c>
      <c r="Q77">
        <v>0</v>
      </c>
      <c r="R77" t="s">
        <v>237</v>
      </c>
    </row>
    <row r="78" spans="1:18" x14ac:dyDescent="0.25">
      <c r="A78" t="s">
        <v>2147</v>
      </c>
      <c r="B78">
        <v>915</v>
      </c>
      <c r="C78" t="s">
        <v>487</v>
      </c>
      <c r="D78" t="s">
        <v>256</v>
      </c>
      <c r="E78" t="s">
        <v>231</v>
      </c>
      <c r="F78" t="s">
        <v>1249</v>
      </c>
      <c r="G78" s="25">
        <v>44238</v>
      </c>
      <c r="H78">
        <v>9</v>
      </c>
      <c r="I78">
        <v>42</v>
      </c>
      <c r="J78" t="s">
        <v>432</v>
      </c>
      <c r="K78" t="s">
        <v>490</v>
      </c>
      <c r="L78" t="s">
        <v>65</v>
      </c>
      <c r="M78" t="s">
        <v>434</v>
      </c>
      <c r="N78" t="s">
        <v>64</v>
      </c>
      <c r="O78" t="s">
        <v>235</v>
      </c>
      <c r="P78" t="s">
        <v>442</v>
      </c>
      <c r="Q78">
        <v>230750</v>
      </c>
      <c r="R78" t="s">
        <v>237</v>
      </c>
    </row>
    <row r="79" spans="1:18" x14ac:dyDescent="0.25">
      <c r="A79" t="s">
        <v>775</v>
      </c>
      <c r="B79">
        <v>211</v>
      </c>
      <c r="C79" t="s">
        <v>487</v>
      </c>
      <c r="D79" t="s">
        <v>229</v>
      </c>
      <c r="E79" t="s">
        <v>239</v>
      </c>
      <c r="F79" t="s">
        <v>578</v>
      </c>
      <c r="G79" s="25">
        <v>44206</v>
      </c>
      <c r="H79">
        <v>2</v>
      </c>
      <c r="I79">
        <v>10</v>
      </c>
      <c r="J79" t="s">
        <v>432</v>
      </c>
      <c r="K79" t="s">
        <v>490</v>
      </c>
      <c r="L79" t="s">
        <v>65</v>
      </c>
      <c r="M79" t="s">
        <v>434</v>
      </c>
      <c r="N79" t="s">
        <v>64</v>
      </c>
      <c r="O79" t="s">
        <v>235</v>
      </c>
      <c r="P79" t="s">
        <v>442</v>
      </c>
      <c r="Q79">
        <v>72000</v>
      </c>
      <c r="R79" t="s">
        <v>237</v>
      </c>
    </row>
    <row r="80" spans="1:18" x14ac:dyDescent="0.25">
      <c r="A80" t="s">
        <v>3210</v>
      </c>
      <c r="B80">
        <v>2081</v>
      </c>
      <c r="C80" t="s">
        <v>487</v>
      </c>
      <c r="D80" t="s">
        <v>322</v>
      </c>
      <c r="E80" t="s">
        <v>575</v>
      </c>
      <c r="F80" t="s">
        <v>3014</v>
      </c>
      <c r="G80" s="25">
        <v>44291</v>
      </c>
      <c r="H80">
        <v>19</v>
      </c>
      <c r="I80">
        <v>95</v>
      </c>
      <c r="J80" t="s">
        <v>432</v>
      </c>
      <c r="K80" t="s">
        <v>490</v>
      </c>
      <c r="L80" t="s">
        <v>65</v>
      </c>
      <c r="M80" t="s">
        <v>434</v>
      </c>
      <c r="N80" t="s">
        <v>64</v>
      </c>
      <c r="O80" t="s">
        <v>235</v>
      </c>
      <c r="P80" t="s">
        <v>442</v>
      </c>
      <c r="Q80">
        <v>448000</v>
      </c>
      <c r="R80" t="s">
        <v>237</v>
      </c>
    </row>
    <row r="81" spans="1:18" x14ac:dyDescent="0.25">
      <c r="A81" t="s">
        <v>2375</v>
      </c>
      <c r="B81">
        <v>1707</v>
      </c>
      <c r="C81" t="s">
        <v>487</v>
      </c>
      <c r="D81" t="s">
        <v>261</v>
      </c>
      <c r="E81" t="s">
        <v>552</v>
      </c>
      <c r="F81" t="s">
        <v>1585</v>
      </c>
      <c r="G81" s="25">
        <v>44274</v>
      </c>
      <c r="H81">
        <v>16</v>
      </c>
      <c r="I81">
        <v>78</v>
      </c>
      <c r="J81" t="s">
        <v>432</v>
      </c>
      <c r="K81" t="s">
        <v>490</v>
      </c>
      <c r="L81" t="s">
        <v>65</v>
      </c>
      <c r="M81" t="s">
        <v>434</v>
      </c>
      <c r="N81" t="s">
        <v>64</v>
      </c>
      <c r="O81" t="s">
        <v>235</v>
      </c>
      <c r="P81" t="s">
        <v>442</v>
      </c>
      <c r="Q81">
        <v>296000</v>
      </c>
      <c r="R81" t="s">
        <v>237</v>
      </c>
    </row>
    <row r="82" spans="1:18" x14ac:dyDescent="0.25">
      <c r="A82" t="s">
        <v>1963</v>
      </c>
      <c r="B82">
        <v>1179</v>
      </c>
      <c r="C82" t="s">
        <v>487</v>
      </c>
      <c r="D82" t="s">
        <v>256</v>
      </c>
      <c r="E82" t="s">
        <v>537</v>
      </c>
      <c r="F82" t="s">
        <v>1348</v>
      </c>
      <c r="G82" s="25">
        <v>44250</v>
      </c>
      <c r="H82">
        <v>11</v>
      </c>
      <c r="I82">
        <v>54</v>
      </c>
      <c r="J82" t="s">
        <v>432</v>
      </c>
      <c r="K82" t="s">
        <v>490</v>
      </c>
      <c r="L82" t="s">
        <v>65</v>
      </c>
      <c r="M82" t="s">
        <v>434</v>
      </c>
      <c r="N82" t="s">
        <v>64</v>
      </c>
      <c r="O82" t="s">
        <v>235</v>
      </c>
      <c r="P82" t="s">
        <v>442</v>
      </c>
      <c r="Q82">
        <v>360000</v>
      </c>
      <c r="R82" t="s">
        <v>237</v>
      </c>
    </row>
    <row r="83" spans="1:18" x14ac:dyDescent="0.25">
      <c r="A83" t="s">
        <v>3211</v>
      </c>
      <c r="B83">
        <v>2174</v>
      </c>
      <c r="C83" t="s">
        <v>487</v>
      </c>
      <c r="D83" t="s">
        <v>322</v>
      </c>
      <c r="E83" t="s">
        <v>531</v>
      </c>
      <c r="F83" t="s">
        <v>3056</v>
      </c>
      <c r="G83" s="25">
        <v>44295</v>
      </c>
      <c r="H83">
        <v>20</v>
      </c>
      <c r="I83">
        <v>99</v>
      </c>
      <c r="J83" t="s">
        <v>432</v>
      </c>
      <c r="K83" t="s">
        <v>488</v>
      </c>
      <c r="L83" t="s">
        <v>433</v>
      </c>
      <c r="M83" t="s">
        <v>434</v>
      </c>
      <c r="N83" t="s">
        <v>74</v>
      </c>
      <c r="O83" t="s">
        <v>435</v>
      </c>
      <c r="P83" t="s">
        <v>433</v>
      </c>
      <c r="Q83">
        <v>50700</v>
      </c>
      <c r="R83" t="s">
        <v>436</v>
      </c>
    </row>
    <row r="84" spans="1:18" x14ac:dyDescent="0.25">
      <c r="A84" t="s">
        <v>3212</v>
      </c>
      <c r="B84">
        <v>1932</v>
      </c>
      <c r="C84" t="s">
        <v>487</v>
      </c>
      <c r="D84" t="s">
        <v>322</v>
      </c>
      <c r="E84" t="s">
        <v>381</v>
      </c>
      <c r="F84" t="s">
        <v>2971</v>
      </c>
      <c r="G84" s="25">
        <v>44284</v>
      </c>
      <c r="H84">
        <v>18</v>
      </c>
      <c r="I84">
        <v>88</v>
      </c>
      <c r="J84" t="s">
        <v>432</v>
      </c>
      <c r="K84" t="s">
        <v>488</v>
      </c>
      <c r="L84" t="s">
        <v>433</v>
      </c>
      <c r="M84" t="s">
        <v>434</v>
      </c>
      <c r="N84" t="s">
        <v>74</v>
      </c>
      <c r="O84" t="s">
        <v>435</v>
      </c>
      <c r="P84" t="s">
        <v>433</v>
      </c>
      <c r="Q84">
        <v>58087.5</v>
      </c>
      <c r="R84" t="s">
        <v>436</v>
      </c>
    </row>
    <row r="85" spans="1:18" x14ac:dyDescent="0.25">
      <c r="A85" t="s">
        <v>3213</v>
      </c>
      <c r="B85">
        <v>1866</v>
      </c>
      <c r="C85" t="s">
        <v>487</v>
      </c>
      <c r="D85" t="s">
        <v>322</v>
      </c>
      <c r="E85" t="s">
        <v>322</v>
      </c>
      <c r="F85" t="s">
        <v>2960</v>
      </c>
      <c r="G85" s="25">
        <v>44281</v>
      </c>
      <c r="H85">
        <v>17</v>
      </c>
      <c r="I85">
        <v>85</v>
      </c>
      <c r="J85" t="s">
        <v>432</v>
      </c>
      <c r="K85" t="s">
        <v>488</v>
      </c>
      <c r="L85" t="s">
        <v>433</v>
      </c>
      <c r="M85" t="s">
        <v>434</v>
      </c>
      <c r="N85" t="s">
        <v>74</v>
      </c>
      <c r="O85" t="s">
        <v>435</v>
      </c>
      <c r="P85" t="s">
        <v>433</v>
      </c>
      <c r="Q85">
        <v>69600</v>
      </c>
      <c r="R85" t="s">
        <v>436</v>
      </c>
    </row>
    <row r="86" spans="1:18" x14ac:dyDescent="0.25">
      <c r="A86" t="s">
        <v>1851</v>
      </c>
      <c r="B86">
        <v>744</v>
      </c>
      <c r="C86" t="s">
        <v>487</v>
      </c>
      <c r="D86" t="s">
        <v>231</v>
      </c>
      <c r="E86" t="s">
        <v>537</v>
      </c>
      <c r="F86" t="s">
        <v>1192</v>
      </c>
      <c r="G86" s="25">
        <v>44230</v>
      </c>
      <c r="H86">
        <v>7</v>
      </c>
      <c r="I86">
        <v>34</v>
      </c>
      <c r="J86" t="s">
        <v>432</v>
      </c>
      <c r="K86" t="s">
        <v>488</v>
      </c>
      <c r="L86" t="s">
        <v>433</v>
      </c>
      <c r="M86" t="s">
        <v>434</v>
      </c>
      <c r="N86" t="s">
        <v>74</v>
      </c>
      <c r="O86" t="s">
        <v>435</v>
      </c>
      <c r="P86" t="s">
        <v>433</v>
      </c>
      <c r="Q86">
        <v>25087.5</v>
      </c>
      <c r="R86" t="s">
        <v>436</v>
      </c>
    </row>
    <row r="87" spans="1:18" x14ac:dyDescent="0.25">
      <c r="A87" t="s">
        <v>594</v>
      </c>
      <c r="B87">
        <v>304</v>
      </c>
      <c r="C87" t="s">
        <v>487</v>
      </c>
      <c r="D87" t="s">
        <v>229</v>
      </c>
      <c r="E87" t="s">
        <v>537</v>
      </c>
      <c r="F87" t="s">
        <v>538</v>
      </c>
      <c r="G87" s="25">
        <v>44210</v>
      </c>
      <c r="H87">
        <v>3</v>
      </c>
      <c r="I87">
        <v>14</v>
      </c>
      <c r="J87" t="s">
        <v>432</v>
      </c>
      <c r="K87" t="s">
        <v>488</v>
      </c>
      <c r="L87" t="s">
        <v>433</v>
      </c>
      <c r="M87" t="s">
        <v>434</v>
      </c>
      <c r="N87" t="s">
        <v>74</v>
      </c>
      <c r="O87" t="s">
        <v>435</v>
      </c>
      <c r="P87" t="s">
        <v>433</v>
      </c>
      <c r="Q87">
        <v>3600</v>
      </c>
      <c r="R87" t="s">
        <v>436</v>
      </c>
    </row>
    <row r="88" spans="1:18" x14ac:dyDescent="0.25">
      <c r="A88" t="s">
        <v>3214</v>
      </c>
      <c r="B88">
        <v>2610</v>
      </c>
      <c r="C88" t="s">
        <v>487</v>
      </c>
      <c r="D88" t="s">
        <v>247</v>
      </c>
      <c r="E88" t="s">
        <v>531</v>
      </c>
      <c r="F88" t="s">
        <v>3173</v>
      </c>
      <c r="G88" s="25">
        <v>44315</v>
      </c>
      <c r="H88">
        <v>24</v>
      </c>
      <c r="I88">
        <v>119</v>
      </c>
      <c r="J88" t="s">
        <v>432</v>
      </c>
      <c r="K88" t="s">
        <v>489</v>
      </c>
      <c r="L88" t="s">
        <v>134</v>
      </c>
      <c r="M88" t="s">
        <v>434</v>
      </c>
      <c r="N88" t="s">
        <v>67</v>
      </c>
      <c r="O88" t="s">
        <v>235</v>
      </c>
      <c r="P88" t="s">
        <v>437</v>
      </c>
      <c r="Q88">
        <v>162500</v>
      </c>
      <c r="R88" t="s">
        <v>237</v>
      </c>
    </row>
    <row r="89" spans="1:18" x14ac:dyDescent="0.25">
      <c r="A89" t="s">
        <v>3215</v>
      </c>
      <c r="B89">
        <v>2456</v>
      </c>
      <c r="C89" t="s">
        <v>487</v>
      </c>
      <c r="D89" t="s">
        <v>247</v>
      </c>
      <c r="E89" t="s">
        <v>232</v>
      </c>
      <c r="F89" t="s">
        <v>3140</v>
      </c>
      <c r="G89" s="25">
        <v>44308</v>
      </c>
      <c r="H89">
        <v>23</v>
      </c>
      <c r="I89">
        <v>112</v>
      </c>
      <c r="J89" t="s">
        <v>432</v>
      </c>
      <c r="K89" t="s">
        <v>489</v>
      </c>
      <c r="L89" t="s">
        <v>134</v>
      </c>
      <c r="M89" t="s">
        <v>434</v>
      </c>
      <c r="N89" t="s">
        <v>67</v>
      </c>
      <c r="O89" t="s">
        <v>235</v>
      </c>
      <c r="P89" t="s">
        <v>437</v>
      </c>
      <c r="Q89">
        <v>318875</v>
      </c>
      <c r="R89" t="s">
        <v>237</v>
      </c>
    </row>
    <row r="90" spans="1:18" x14ac:dyDescent="0.25">
      <c r="A90" t="s">
        <v>3216</v>
      </c>
      <c r="B90">
        <v>2148</v>
      </c>
      <c r="C90" t="s">
        <v>487</v>
      </c>
      <c r="D90" t="s">
        <v>322</v>
      </c>
      <c r="E90" t="s">
        <v>552</v>
      </c>
      <c r="F90" t="s">
        <v>3045</v>
      </c>
      <c r="G90" s="25">
        <v>44294</v>
      </c>
      <c r="H90">
        <v>20</v>
      </c>
      <c r="I90">
        <v>98</v>
      </c>
      <c r="J90" t="s">
        <v>432</v>
      </c>
      <c r="K90" t="s">
        <v>489</v>
      </c>
      <c r="L90" t="s">
        <v>134</v>
      </c>
      <c r="M90" t="s">
        <v>434</v>
      </c>
      <c r="N90" t="s">
        <v>67</v>
      </c>
      <c r="O90" t="s">
        <v>235</v>
      </c>
      <c r="P90" t="s">
        <v>437</v>
      </c>
      <c r="Q90">
        <v>446875</v>
      </c>
      <c r="R90" t="s">
        <v>237</v>
      </c>
    </row>
    <row r="91" spans="1:18" x14ac:dyDescent="0.25">
      <c r="A91" t="s">
        <v>3217</v>
      </c>
      <c r="B91">
        <v>1840</v>
      </c>
      <c r="C91" t="s">
        <v>487</v>
      </c>
      <c r="D91" t="s">
        <v>322</v>
      </c>
      <c r="E91" t="s">
        <v>261</v>
      </c>
      <c r="F91" t="s">
        <v>2956</v>
      </c>
      <c r="G91" s="25">
        <v>44280</v>
      </c>
      <c r="H91">
        <v>17</v>
      </c>
      <c r="I91">
        <v>84</v>
      </c>
      <c r="J91" t="s">
        <v>432</v>
      </c>
      <c r="K91" t="s">
        <v>489</v>
      </c>
      <c r="L91" t="s">
        <v>134</v>
      </c>
      <c r="M91" t="s">
        <v>434</v>
      </c>
      <c r="N91" t="s">
        <v>67</v>
      </c>
      <c r="O91" t="s">
        <v>235</v>
      </c>
      <c r="P91" t="s">
        <v>437</v>
      </c>
      <c r="Q91">
        <v>631875</v>
      </c>
      <c r="R91" t="s">
        <v>237</v>
      </c>
    </row>
    <row r="92" spans="1:18" x14ac:dyDescent="0.25">
      <c r="A92" t="s">
        <v>2326</v>
      </c>
      <c r="B92">
        <v>1752</v>
      </c>
      <c r="C92" t="s">
        <v>487</v>
      </c>
      <c r="D92" t="s">
        <v>261</v>
      </c>
      <c r="E92" t="s">
        <v>408</v>
      </c>
      <c r="F92" t="s">
        <v>1595</v>
      </c>
      <c r="G92" s="25">
        <v>44276</v>
      </c>
      <c r="H92">
        <v>16</v>
      </c>
      <c r="I92">
        <v>80</v>
      </c>
      <c r="J92" t="s">
        <v>432</v>
      </c>
      <c r="K92" t="s">
        <v>489</v>
      </c>
      <c r="L92" t="s">
        <v>134</v>
      </c>
      <c r="M92" t="s">
        <v>434</v>
      </c>
      <c r="N92" t="s">
        <v>67</v>
      </c>
      <c r="O92" t="s">
        <v>235</v>
      </c>
      <c r="P92" t="s">
        <v>437</v>
      </c>
      <c r="Q92">
        <v>272125</v>
      </c>
      <c r="R92" t="s">
        <v>237</v>
      </c>
    </row>
    <row r="93" spans="1:18" x14ac:dyDescent="0.25">
      <c r="A93" t="s">
        <v>2537</v>
      </c>
      <c r="B93">
        <v>553</v>
      </c>
      <c r="C93" t="s">
        <v>487</v>
      </c>
      <c r="D93" t="s">
        <v>231</v>
      </c>
      <c r="E93" t="s">
        <v>247</v>
      </c>
      <c r="F93" t="s">
        <v>1088</v>
      </c>
      <c r="G93" s="25">
        <v>44222</v>
      </c>
      <c r="H93">
        <v>6</v>
      </c>
      <c r="I93">
        <v>26</v>
      </c>
      <c r="J93" t="s">
        <v>231</v>
      </c>
      <c r="K93" t="s">
        <v>509</v>
      </c>
      <c r="L93" t="s">
        <v>45</v>
      </c>
      <c r="M93" t="s">
        <v>234</v>
      </c>
      <c r="N93" t="s">
        <v>44</v>
      </c>
      <c r="O93" t="s">
        <v>21</v>
      </c>
      <c r="P93" t="s">
        <v>304</v>
      </c>
      <c r="Q93">
        <v>0</v>
      </c>
      <c r="R93" t="s">
        <v>237</v>
      </c>
    </row>
    <row r="94" spans="1:18" x14ac:dyDescent="0.25">
      <c r="A94" t="s">
        <v>1916</v>
      </c>
      <c r="B94">
        <v>906</v>
      </c>
      <c r="C94" t="s">
        <v>487</v>
      </c>
      <c r="D94" t="s">
        <v>256</v>
      </c>
      <c r="E94" t="s">
        <v>231</v>
      </c>
      <c r="F94" t="s">
        <v>1249</v>
      </c>
      <c r="G94" s="25">
        <v>44238</v>
      </c>
      <c r="H94">
        <v>9</v>
      </c>
      <c r="I94">
        <v>42</v>
      </c>
      <c r="J94" t="s">
        <v>231</v>
      </c>
      <c r="K94" t="s">
        <v>508</v>
      </c>
      <c r="L94" t="s">
        <v>47</v>
      </c>
      <c r="M94" t="s">
        <v>234</v>
      </c>
      <c r="N94" t="s">
        <v>46</v>
      </c>
      <c r="O94" t="s">
        <v>21</v>
      </c>
      <c r="P94" t="s">
        <v>288</v>
      </c>
      <c r="Q94">
        <v>36449</v>
      </c>
      <c r="R94" t="s">
        <v>237</v>
      </c>
    </row>
    <row r="95" spans="1:18" x14ac:dyDescent="0.25">
      <c r="A95" t="s">
        <v>3218</v>
      </c>
      <c r="B95">
        <v>2182</v>
      </c>
      <c r="C95" t="s">
        <v>487</v>
      </c>
      <c r="D95" t="s">
        <v>322</v>
      </c>
      <c r="E95" t="s">
        <v>408</v>
      </c>
      <c r="F95" t="s">
        <v>3059</v>
      </c>
      <c r="G95" s="25">
        <v>44296</v>
      </c>
      <c r="H95">
        <v>20</v>
      </c>
      <c r="I95">
        <v>100</v>
      </c>
      <c r="J95" t="s">
        <v>231</v>
      </c>
      <c r="K95" t="s">
        <v>508</v>
      </c>
      <c r="L95" t="s">
        <v>47</v>
      </c>
      <c r="M95" t="s">
        <v>234</v>
      </c>
      <c r="N95" t="s">
        <v>46</v>
      </c>
      <c r="O95" t="s">
        <v>21</v>
      </c>
      <c r="P95" t="s">
        <v>288</v>
      </c>
      <c r="Q95">
        <v>0</v>
      </c>
      <c r="R95" t="s">
        <v>237</v>
      </c>
    </row>
    <row r="96" spans="1:18" x14ac:dyDescent="0.25">
      <c r="A96" t="s">
        <v>1807</v>
      </c>
      <c r="B96">
        <v>1347</v>
      </c>
      <c r="C96" t="s">
        <v>487</v>
      </c>
      <c r="D96" t="s">
        <v>261</v>
      </c>
      <c r="E96" t="s">
        <v>231</v>
      </c>
      <c r="F96" t="s">
        <v>1400</v>
      </c>
      <c r="G96" s="25">
        <v>44258</v>
      </c>
      <c r="H96">
        <v>13</v>
      </c>
      <c r="I96">
        <v>62</v>
      </c>
      <c r="J96" t="s">
        <v>231</v>
      </c>
      <c r="K96" t="s">
        <v>507</v>
      </c>
      <c r="L96" t="s">
        <v>49</v>
      </c>
      <c r="M96" t="s">
        <v>234</v>
      </c>
      <c r="N96" t="s">
        <v>48</v>
      </c>
      <c r="O96" t="s">
        <v>21</v>
      </c>
      <c r="P96" t="s">
        <v>413</v>
      </c>
      <c r="Q96">
        <v>0</v>
      </c>
      <c r="R96" t="s">
        <v>237</v>
      </c>
    </row>
    <row r="97" spans="1:18" x14ac:dyDescent="0.25">
      <c r="A97" t="s">
        <v>731</v>
      </c>
      <c r="B97">
        <v>445</v>
      </c>
      <c r="C97" t="s">
        <v>487</v>
      </c>
      <c r="D97" t="s">
        <v>231</v>
      </c>
      <c r="E97" t="s">
        <v>229</v>
      </c>
      <c r="F97" t="s">
        <v>541</v>
      </c>
      <c r="G97" s="25">
        <v>44217</v>
      </c>
      <c r="H97">
        <v>5</v>
      </c>
      <c r="I97">
        <v>21</v>
      </c>
      <c r="J97" t="s">
        <v>231</v>
      </c>
      <c r="K97" t="s">
        <v>507</v>
      </c>
      <c r="L97" t="s">
        <v>49</v>
      </c>
      <c r="M97" t="s">
        <v>234</v>
      </c>
      <c r="N97" t="s">
        <v>48</v>
      </c>
      <c r="O97" t="s">
        <v>21</v>
      </c>
      <c r="P97" t="s">
        <v>413</v>
      </c>
      <c r="Q97">
        <v>0</v>
      </c>
      <c r="R97" t="s">
        <v>237</v>
      </c>
    </row>
    <row r="98" spans="1:18" x14ac:dyDescent="0.25">
      <c r="A98" t="s">
        <v>308</v>
      </c>
      <c r="B98">
        <v>137</v>
      </c>
      <c r="C98" t="s">
        <v>487</v>
      </c>
      <c r="D98" t="s">
        <v>229</v>
      </c>
      <c r="E98" t="s">
        <v>326</v>
      </c>
      <c r="F98" t="s">
        <v>522</v>
      </c>
      <c r="G98" s="25">
        <v>44203</v>
      </c>
      <c r="H98">
        <v>2</v>
      </c>
      <c r="I98">
        <v>7</v>
      </c>
      <c r="J98" t="s">
        <v>231</v>
      </c>
      <c r="K98" t="s">
        <v>507</v>
      </c>
      <c r="L98" t="s">
        <v>49</v>
      </c>
      <c r="M98" t="s">
        <v>234</v>
      </c>
      <c r="N98" t="s">
        <v>48</v>
      </c>
      <c r="O98" t="s">
        <v>21</v>
      </c>
      <c r="P98" t="s">
        <v>413</v>
      </c>
      <c r="Q98">
        <v>0</v>
      </c>
      <c r="R98" t="s">
        <v>237</v>
      </c>
    </row>
    <row r="99" spans="1:18" x14ac:dyDescent="0.25">
      <c r="A99" t="s">
        <v>3219</v>
      </c>
      <c r="B99">
        <v>2315</v>
      </c>
      <c r="C99" t="s">
        <v>487</v>
      </c>
      <c r="D99" t="s">
        <v>247</v>
      </c>
      <c r="E99" t="s">
        <v>247</v>
      </c>
      <c r="F99" t="s">
        <v>3085</v>
      </c>
      <c r="G99" s="25">
        <v>44302</v>
      </c>
      <c r="H99">
        <v>22</v>
      </c>
      <c r="I99">
        <v>106</v>
      </c>
      <c r="J99" t="s">
        <v>231</v>
      </c>
      <c r="K99" t="s">
        <v>507</v>
      </c>
      <c r="L99" t="s">
        <v>49</v>
      </c>
      <c r="M99" t="s">
        <v>234</v>
      </c>
      <c r="N99" t="s">
        <v>48</v>
      </c>
      <c r="O99" t="s">
        <v>21</v>
      </c>
      <c r="P99" t="s">
        <v>413</v>
      </c>
      <c r="Q99">
        <v>0</v>
      </c>
      <c r="R99" t="s">
        <v>237</v>
      </c>
    </row>
    <row r="100" spans="1:18" x14ac:dyDescent="0.25">
      <c r="A100" t="s">
        <v>727</v>
      </c>
      <c r="B100">
        <v>380</v>
      </c>
      <c r="C100" t="s">
        <v>487</v>
      </c>
      <c r="D100" t="s">
        <v>229</v>
      </c>
      <c r="E100" t="s">
        <v>552</v>
      </c>
      <c r="F100" t="s">
        <v>553</v>
      </c>
      <c r="G100" s="25">
        <v>44214</v>
      </c>
      <c r="H100">
        <v>4</v>
      </c>
      <c r="I100">
        <v>18</v>
      </c>
      <c r="J100" t="s">
        <v>231</v>
      </c>
      <c r="K100" t="s">
        <v>506</v>
      </c>
      <c r="L100" t="s">
        <v>414</v>
      </c>
      <c r="M100" t="s">
        <v>234</v>
      </c>
      <c r="N100" t="s">
        <v>50</v>
      </c>
      <c r="O100" t="s">
        <v>21</v>
      </c>
      <c r="P100" t="s">
        <v>411</v>
      </c>
      <c r="Q100">
        <v>0</v>
      </c>
      <c r="R100" t="s">
        <v>237</v>
      </c>
    </row>
    <row r="101" spans="1:18" x14ac:dyDescent="0.25">
      <c r="A101" t="s">
        <v>3220</v>
      </c>
      <c r="B101">
        <v>2558</v>
      </c>
      <c r="C101" t="s">
        <v>487</v>
      </c>
      <c r="D101" t="s">
        <v>247</v>
      </c>
      <c r="E101" t="s">
        <v>534</v>
      </c>
      <c r="F101" t="s">
        <v>3166</v>
      </c>
      <c r="G101" s="25">
        <v>44313</v>
      </c>
      <c r="H101">
        <v>24</v>
      </c>
      <c r="I101">
        <v>117</v>
      </c>
      <c r="J101" t="s">
        <v>231</v>
      </c>
      <c r="K101" t="s">
        <v>506</v>
      </c>
      <c r="L101" t="s">
        <v>414</v>
      </c>
      <c r="M101" t="s">
        <v>234</v>
      </c>
      <c r="N101" t="s">
        <v>50</v>
      </c>
      <c r="O101" t="s">
        <v>21</v>
      </c>
      <c r="P101" t="s">
        <v>411</v>
      </c>
      <c r="Q101">
        <v>0</v>
      </c>
      <c r="R101" t="s">
        <v>237</v>
      </c>
    </row>
    <row r="102" spans="1:18" x14ac:dyDescent="0.25">
      <c r="A102" t="s">
        <v>2866</v>
      </c>
      <c r="B102">
        <v>1590</v>
      </c>
      <c r="C102" t="s">
        <v>487</v>
      </c>
      <c r="D102" t="s">
        <v>261</v>
      </c>
      <c r="E102" t="s">
        <v>512</v>
      </c>
      <c r="F102" t="s">
        <v>1518</v>
      </c>
      <c r="G102" s="25">
        <v>44269</v>
      </c>
      <c r="H102">
        <v>15</v>
      </c>
      <c r="I102">
        <v>73</v>
      </c>
      <c r="J102" t="s">
        <v>231</v>
      </c>
      <c r="K102" t="s">
        <v>506</v>
      </c>
      <c r="L102" t="s">
        <v>414</v>
      </c>
      <c r="M102" t="s">
        <v>234</v>
      </c>
      <c r="N102" t="s">
        <v>50</v>
      </c>
      <c r="O102" t="s">
        <v>21</v>
      </c>
      <c r="P102" t="s">
        <v>411</v>
      </c>
      <c r="Q102">
        <v>0</v>
      </c>
      <c r="R102" t="s">
        <v>237</v>
      </c>
    </row>
    <row r="103" spans="1:18" x14ac:dyDescent="0.25">
      <c r="A103" t="s">
        <v>1858</v>
      </c>
      <c r="B103">
        <v>1502</v>
      </c>
      <c r="C103" t="s">
        <v>487</v>
      </c>
      <c r="D103" t="s">
        <v>261</v>
      </c>
      <c r="E103" t="s">
        <v>371</v>
      </c>
      <c r="F103" t="s">
        <v>1478</v>
      </c>
      <c r="G103" s="25">
        <v>44265</v>
      </c>
      <c r="H103">
        <v>14</v>
      </c>
      <c r="I103">
        <v>69</v>
      </c>
      <c r="J103" t="s">
        <v>231</v>
      </c>
      <c r="K103" t="s">
        <v>506</v>
      </c>
      <c r="L103" t="s">
        <v>414</v>
      </c>
      <c r="M103" t="s">
        <v>234</v>
      </c>
      <c r="N103" t="s">
        <v>50</v>
      </c>
      <c r="O103" t="s">
        <v>21</v>
      </c>
      <c r="P103" t="s">
        <v>411</v>
      </c>
      <c r="Q103">
        <v>0</v>
      </c>
      <c r="R103" t="s">
        <v>237</v>
      </c>
    </row>
    <row r="104" spans="1:18" x14ac:dyDescent="0.25">
      <c r="A104" t="s">
        <v>2712</v>
      </c>
      <c r="B104">
        <v>754</v>
      </c>
      <c r="C104" t="s">
        <v>487</v>
      </c>
      <c r="D104" t="s">
        <v>231</v>
      </c>
      <c r="E104" t="s">
        <v>575</v>
      </c>
      <c r="F104" t="s">
        <v>1210</v>
      </c>
      <c r="G104" s="25">
        <v>44231</v>
      </c>
      <c r="H104">
        <v>7</v>
      </c>
      <c r="I104">
        <v>35</v>
      </c>
      <c r="J104" t="s">
        <v>231</v>
      </c>
      <c r="K104" t="s">
        <v>506</v>
      </c>
      <c r="L104" t="s">
        <v>414</v>
      </c>
      <c r="M104" t="s">
        <v>234</v>
      </c>
      <c r="N104" t="s">
        <v>50</v>
      </c>
      <c r="O104" t="s">
        <v>21</v>
      </c>
      <c r="P104" t="s">
        <v>411</v>
      </c>
      <c r="Q104">
        <v>0</v>
      </c>
      <c r="R104" t="s">
        <v>237</v>
      </c>
    </row>
    <row r="105" spans="1:18" x14ac:dyDescent="0.25">
      <c r="A105" t="s">
        <v>742</v>
      </c>
      <c r="B105">
        <v>331</v>
      </c>
      <c r="C105" t="s">
        <v>487</v>
      </c>
      <c r="D105" t="s">
        <v>229</v>
      </c>
      <c r="E105" t="s">
        <v>620</v>
      </c>
      <c r="F105" t="s">
        <v>621</v>
      </c>
      <c r="G105" s="25">
        <v>44212</v>
      </c>
      <c r="H105">
        <v>4</v>
      </c>
      <c r="I105">
        <v>16</v>
      </c>
      <c r="J105" t="s">
        <v>231</v>
      </c>
      <c r="K105" t="s">
        <v>505</v>
      </c>
      <c r="L105" t="s">
        <v>41</v>
      </c>
      <c r="M105" t="s">
        <v>234</v>
      </c>
      <c r="N105" t="s">
        <v>40</v>
      </c>
      <c r="O105" t="s">
        <v>21</v>
      </c>
      <c r="P105" t="s">
        <v>266</v>
      </c>
      <c r="Q105">
        <v>10472</v>
      </c>
      <c r="R105" t="s">
        <v>237</v>
      </c>
    </row>
    <row r="106" spans="1:18" x14ac:dyDescent="0.25">
      <c r="A106" t="s">
        <v>329</v>
      </c>
      <c r="B106">
        <v>89</v>
      </c>
      <c r="C106" t="s">
        <v>487</v>
      </c>
      <c r="D106" t="s">
        <v>229</v>
      </c>
      <c r="E106" t="s">
        <v>322</v>
      </c>
      <c r="F106" t="s">
        <v>529</v>
      </c>
      <c r="G106" s="25">
        <v>44201</v>
      </c>
      <c r="H106">
        <v>1</v>
      </c>
      <c r="I106">
        <v>5</v>
      </c>
      <c r="J106" t="s">
        <v>231</v>
      </c>
      <c r="K106" t="s">
        <v>505</v>
      </c>
      <c r="L106" t="s">
        <v>41</v>
      </c>
      <c r="M106" t="s">
        <v>234</v>
      </c>
      <c r="N106" t="s">
        <v>40</v>
      </c>
      <c r="O106" t="s">
        <v>21</v>
      </c>
      <c r="P106" t="s">
        <v>266</v>
      </c>
      <c r="Q106">
        <v>24000</v>
      </c>
      <c r="R106" t="s">
        <v>237</v>
      </c>
    </row>
    <row r="107" spans="1:18" x14ac:dyDescent="0.25">
      <c r="A107" t="s">
        <v>3221</v>
      </c>
      <c r="B107">
        <v>1893</v>
      </c>
      <c r="C107" t="s">
        <v>487</v>
      </c>
      <c r="D107" t="s">
        <v>322</v>
      </c>
      <c r="E107" t="s">
        <v>326</v>
      </c>
      <c r="F107" t="s">
        <v>2967</v>
      </c>
      <c r="G107" s="25">
        <v>44283</v>
      </c>
      <c r="H107">
        <v>18</v>
      </c>
      <c r="I107">
        <v>87</v>
      </c>
      <c r="J107" t="s">
        <v>231</v>
      </c>
      <c r="K107" t="s">
        <v>505</v>
      </c>
      <c r="L107" t="s">
        <v>41</v>
      </c>
      <c r="M107" t="s">
        <v>234</v>
      </c>
      <c r="N107" t="s">
        <v>40</v>
      </c>
      <c r="O107" t="s">
        <v>21</v>
      </c>
      <c r="P107" t="s">
        <v>266</v>
      </c>
      <c r="Q107">
        <v>0</v>
      </c>
      <c r="R107" t="s">
        <v>237</v>
      </c>
    </row>
    <row r="108" spans="1:18" x14ac:dyDescent="0.25">
      <c r="A108" t="s">
        <v>2092</v>
      </c>
      <c r="B108">
        <v>1717</v>
      </c>
      <c r="C108" t="s">
        <v>487</v>
      </c>
      <c r="D108" t="s">
        <v>261</v>
      </c>
      <c r="E108" t="s">
        <v>531</v>
      </c>
      <c r="F108" t="s">
        <v>1588</v>
      </c>
      <c r="G108" s="25">
        <v>44275</v>
      </c>
      <c r="H108">
        <v>16</v>
      </c>
      <c r="I108">
        <v>79</v>
      </c>
      <c r="J108" t="s">
        <v>231</v>
      </c>
      <c r="K108" t="s">
        <v>505</v>
      </c>
      <c r="L108" t="s">
        <v>41</v>
      </c>
      <c r="M108" t="s">
        <v>234</v>
      </c>
      <c r="N108" t="s">
        <v>40</v>
      </c>
      <c r="O108" t="s">
        <v>21</v>
      </c>
      <c r="P108" t="s">
        <v>266</v>
      </c>
      <c r="Q108">
        <v>34434</v>
      </c>
      <c r="R108" t="s">
        <v>237</v>
      </c>
    </row>
    <row r="109" spans="1:18" x14ac:dyDescent="0.25">
      <c r="A109" t="s">
        <v>2288</v>
      </c>
      <c r="B109">
        <v>1541</v>
      </c>
      <c r="C109" t="s">
        <v>487</v>
      </c>
      <c r="D109" t="s">
        <v>261</v>
      </c>
      <c r="E109" t="s">
        <v>515</v>
      </c>
      <c r="F109" t="s">
        <v>1493</v>
      </c>
      <c r="G109" s="25">
        <v>44267</v>
      </c>
      <c r="H109">
        <v>15</v>
      </c>
      <c r="I109">
        <v>71</v>
      </c>
      <c r="J109" t="s">
        <v>231</v>
      </c>
      <c r="K109" t="s">
        <v>505</v>
      </c>
      <c r="L109" t="s">
        <v>41</v>
      </c>
      <c r="M109" t="s">
        <v>234</v>
      </c>
      <c r="N109" t="s">
        <v>40</v>
      </c>
      <c r="O109" t="s">
        <v>21</v>
      </c>
      <c r="P109" t="s">
        <v>266</v>
      </c>
      <c r="Q109">
        <v>76576</v>
      </c>
      <c r="R109" t="s">
        <v>237</v>
      </c>
    </row>
    <row r="110" spans="1:18" x14ac:dyDescent="0.25">
      <c r="A110" t="s">
        <v>2603</v>
      </c>
      <c r="B110">
        <v>1057</v>
      </c>
      <c r="C110" t="s">
        <v>487</v>
      </c>
      <c r="D110" t="s">
        <v>256</v>
      </c>
      <c r="E110" t="s">
        <v>371</v>
      </c>
      <c r="F110" t="s">
        <v>1318</v>
      </c>
      <c r="G110" s="25">
        <v>44245</v>
      </c>
      <c r="H110">
        <v>10</v>
      </c>
      <c r="I110">
        <v>49</v>
      </c>
      <c r="J110" t="s">
        <v>231</v>
      </c>
      <c r="K110" t="s">
        <v>505</v>
      </c>
      <c r="L110" t="s">
        <v>41</v>
      </c>
      <c r="M110" t="s">
        <v>234</v>
      </c>
      <c r="N110" t="s">
        <v>40</v>
      </c>
      <c r="O110" t="s">
        <v>21</v>
      </c>
      <c r="P110" t="s">
        <v>266</v>
      </c>
      <c r="Q110">
        <v>0</v>
      </c>
      <c r="R110" t="s">
        <v>237</v>
      </c>
    </row>
    <row r="111" spans="1:18" x14ac:dyDescent="0.25">
      <c r="A111" t="s">
        <v>2095</v>
      </c>
      <c r="B111">
        <v>705</v>
      </c>
      <c r="C111" t="s">
        <v>487</v>
      </c>
      <c r="D111" t="s">
        <v>231</v>
      </c>
      <c r="E111" t="s">
        <v>512</v>
      </c>
      <c r="F111" t="s">
        <v>1174</v>
      </c>
      <c r="G111" s="25">
        <v>44229</v>
      </c>
      <c r="H111">
        <v>7</v>
      </c>
      <c r="I111">
        <v>33</v>
      </c>
      <c r="J111" t="s">
        <v>231</v>
      </c>
      <c r="K111" t="s">
        <v>505</v>
      </c>
      <c r="L111" t="s">
        <v>41</v>
      </c>
      <c r="M111" t="s">
        <v>234</v>
      </c>
      <c r="N111" t="s">
        <v>40</v>
      </c>
      <c r="O111" t="s">
        <v>21</v>
      </c>
      <c r="P111" t="s">
        <v>266</v>
      </c>
      <c r="Q111">
        <v>0</v>
      </c>
      <c r="R111" t="s">
        <v>237</v>
      </c>
    </row>
    <row r="112" spans="1:18" x14ac:dyDescent="0.25">
      <c r="A112" t="s">
        <v>3222</v>
      </c>
      <c r="B112">
        <v>2334</v>
      </c>
      <c r="C112" t="s">
        <v>487</v>
      </c>
      <c r="D112" t="s">
        <v>247</v>
      </c>
      <c r="E112" t="s">
        <v>326</v>
      </c>
      <c r="F112" t="s">
        <v>3091</v>
      </c>
      <c r="G112" s="25">
        <v>44303</v>
      </c>
      <c r="H112">
        <v>22</v>
      </c>
      <c r="I112">
        <v>107</v>
      </c>
      <c r="J112" t="s">
        <v>231</v>
      </c>
      <c r="K112" t="s">
        <v>504</v>
      </c>
      <c r="L112" t="s">
        <v>43</v>
      </c>
      <c r="M112" t="s">
        <v>234</v>
      </c>
      <c r="N112" t="s">
        <v>42</v>
      </c>
      <c r="O112" t="s">
        <v>21</v>
      </c>
      <c r="P112" t="s">
        <v>236</v>
      </c>
      <c r="Q112">
        <v>0</v>
      </c>
      <c r="R112" t="s">
        <v>237</v>
      </c>
    </row>
    <row r="113" spans="1:18" x14ac:dyDescent="0.25">
      <c r="A113" t="s">
        <v>3223</v>
      </c>
      <c r="B113">
        <v>1982</v>
      </c>
      <c r="C113" t="s">
        <v>487</v>
      </c>
      <c r="D113" t="s">
        <v>322</v>
      </c>
      <c r="E113" t="s">
        <v>515</v>
      </c>
      <c r="F113" t="s">
        <v>2983</v>
      </c>
      <c r="G113" s="25">
        <v>44287</v>
      </c>
      <c r="H113">
        <v>19</v>
      </c>
      <c r="I113">
        <v>91</v>
      </c>
      <c r="J113" t="s">
        <v>231</v>
      </c>
      <c r="K113" t="s">
        <v>504</v>
      </c>
      <c r="L113" t="s">
        <v>43</v>
      </c>
      <c r="M113" t="s">
        <v>234</v>
      </c>
      <c r="N113" t="s">
        <v>42</v>
      </c>
      <c r="O113" t="s">
        <v>21</v>
      </c>
      <c r="P113" t="s">
        <v>236</v>
      </c>
      <c r="Q113">
        <v>0</v>
      </c>
      <c r="R113" t="s">
        <v>237</v>
      </c>
    </row>
    <row r="114" spans="1:18" x14ac:dyDescent="0.25">
      <c r="A114" t="s">
        <v>2780</v>
      </c>
      <c r="B114">
        <v>772</v>
      </c>
      <c r="C114" t="s">
        <v>487</v>
      </c>
      <c r="D114" t="s">
        <v>231</v>
      </c>
      <c r="E114" t="s">
        <v>620</v>
      </c>
      <c r="F114" t="s">
        <v>1215</v>
      </c>
      <c r="G114" s="25">
        <v>44232</v>
      </c>
      <c r="H114">
        <v>8</v>
      </c>
      <c r="I114">
        <v>36</v>
      </c>
      <c r="J114" t="s">
        <v>231</v>
      </c>
      <c r="K114" t="s">
        <v>504</v>
      </c>
      <c r="L114" t="s">
        <v>43</v>
      </c>
      <c r="M114" t="s">
        <v>234</v>
      </c>
      <c r="N114" t="s">
        <v>42</v>
      </c>
      <c r="O114" t="s">
        <v>21</v>
      </c>
      <c r="P114" t="s">
        <v>236</v>
      </c>
      <c r="Q114">
        <v>17696</v>
      </c>
      <c r="R114" t="s">
        <v>237</v>
      </c>
    </row>
    <row r="115" spans="1:18" x14ac:dyDescent="0.25">
      <c r="A115" t="s">
        <v>1553</v>
      </c>
      <c r="B115">
        <v>464</v>
      </c>
      <c r="C115" t="s">
        <v>487</v>
      </c>
      <c r="D115" t="s">
        <v>231</v>
      </c>
      <c r="E115" t="s">
        <v>231</v>
      </c>
      <c r="F115" t="s">
        <v>1080</v>
      </c>
      <c r="G115" s="25">
        <v>44218</v>
      </c>
      <c r="H115">
        <v>5</v>
      </c>
      <c r="I115">
        <v>22</v>
      </c>
      <c r="J115" t="s">
        <v>231</v>
      </c>
      <c r="K115" t="s">
        <v>504</v>
      </c>
      <c r="L115" t="s">
        <v>43</v>
      </c>
      <c r="M115" t="s">
        <v>234</v>
      </c>
      <c r="N115" t="s">
        <v>42</v>
      </c>
      <c r="O115" t="s">
        <v>21</v>
      </c>
      <c r="P115" t="s">
        <v>236</v>
      </c>
      <c r="Q115">
        <v>0</v>
      </c>
      <c r="R115" t="s">
        <v>237</v>
      </c>
    </row>
    <row r="116" spans="1:18" x14ac:dyDescent="0.25">
      <c r="A116" t="s">
        <v>1865</v>
      </c>
      <c r="B116">
        <v>1593</v>
      </c>
      <c r="C116" t="s">
        <v>487</v>
      </c>
      <c r="D116" t="s">
        <v>261</v>
      </c>
      <c r="E116" t="s">
        <v>512</v>
      </c>
      <c r="F116" t="s">
        <v>1518</v>
      </c>
      <c r="G116" s="25">
        <v>44269</v>
      </c>
      <c r="H116">
        <v>15</v>
      </c>
      <c r="I116">
        <v>73</v>
      </c>
      <c r="J116" t="s">
        <v>231</v>
      </c>
      <c r="K116" t="s">
        <v>503</v>
      </c>
      <c r="L116" t="s">
        <v>303</v>
      </c>
      <c r="M116" t="s">
        <v>234</v>
      </c>
      <c r="N116" t="s">
        <v>56</v>
      </c>
      <c r="O116" t="s">
        <v>235</v>
      </c>
      <c r="P116" t="s">
        <v>304</v>
      </c>
      <c r="Q116">
        <v>0</v>
      </c>
      <c r="R116" t="s">
        <v>237</v>
      </c>
    </row>
    <row r="117" spans="1:18" x14ac:dyDescent="0.25">
      <c r="A117" t="s">
        <v>2164</v>
      </c>
      <c r="B117">
        <v>1505</v>
      </c>
      <c r="C117" t="s">
        <v>487</v>
      </c>
      <c r="D117" t="s">
        <v>261</v>
      </c>
      <c r="E117" t="s">
        <v>371</v>
      </c>
      <c r="F117" t="s">
        <v>1478</v>
      </c>
      <c r="G117" s="25">
        <v>44265</v>
      </c>
      <c r="H117">
        <v>14</v>
      </c>
      <c r="I117">
        <v>69</v>
      </c>
      <c r="J117" t="s">
        <v>231</v>
      </c>
      <c r="K117" t="s">
        <v>503</v>
      </c>
      <c r="L117" t="s">
        <v>303</v>
      </c>
      <c r="M117" t="s">
        <v>234</v>
      </c>
      <c r="N117" t="s">
        <v>56</v>
      </c>
      <c r="O117" t="s">
        <v>235</v>
      </c>
      <c r="P117" t="s">
        <v>304</v>
      </c>
      <c r="Q117">
        <v>0</v>
      </c>
      <c r="R117" t="s">
        <v>237</v>
      </c>
    </row>
    <row r="118" spans="1:18" x14ac:dyDescent="0.25">
      <c r="A118" t="s">
        <v>2344</v>
      </c>
      <c r="B118">
        <v>757</v>
      </c>
      <c r="C118" t="s">
        <v>487</v>
      </c>
      <c r="D118" t="s">
        <v>231</v>
      </c>
      <c r="E118" t="s">
        <v>575</v>
      </c>
      <c r="F118" t="s">
        <v>1210</v>
      </c>
      <c r="G118" s="25">
        <v>44231</v>
      </c>
      <c r="H118">
        <v>7</v>
      </c>
      <c r="I118">
        <v>35</v>
      </c>
      <c r="J118" t="s">
        <v>231</v>
      </c>
      <c r="K118" t="s">
        <v>503</v>
      </c>
      <c r="L118" t="s">
        <v>303</v>
      </c>
      <c r="M118" t="s">
        <v>234</v>
      </c>
      <c r="N118" t="s">
        <v>56</v>
      </c>
      <c r="O118" t="s">
        <v>235</v>
      </c>
      <c r="P118" t="s">
        <v>304</v>
      </c>
      <c r="Q118">
        <v>0</v>
      </c>
      <c r="R118" t="s">
        <v>237</v>
      </c>
    </row>
    <row r="119" spans="1:18" x14ac:dyDescent="0.25">
      <c r="A119" t="s">
        <v>739</v>
      </c>
      <c r="B119">
        <v>383</v>
      </c>
      <c r="C119" t="s">
        <v>487</v>
      </c>
      <c r="D119" t="s">
        <v>229</v>
      </c>
      <c r="E119" t="s">
        <v>552</v>
      </c>
      <c r="F119" t="s">
        <v>553</v>
      </c>
      <c r="G119" s="25">
        <v>44214</v>
      </c>
      <c r="H119">
        <v>4</v>
      </c>
      <c r="I119">
        <v>18</v>
      </c>
      <c r="J119" t="s">
        <v>231</v>
      </c>
      <c r="K119" t="s">
        <v>503</v>
      </c>
      <c r="L119" t="s">
        <v>303</v>
      </c>
      <c r="M119" t="s">
        <v>234</v>
      </c>
      <c r="N119" t="s">
        <v>56</v>
      </c>
      <c r="O119" t="s">
        <v>235</v>
      </c>
      <c r="P119" t="s">
        <v>304</v>
      </c>
      <c r="Q119">
        <v>0</v>
      </c>
      <c r="R119" t="s">
        <v>237</v>
      </c>
    </row>
    <row r="120" spans="1:18" x14ac:dyDescent="0.25">
      <c r="A120" t="s">
        <v>3224</v>
      </c>
      <c r="B120">
        <v>2561</v>
      </c>
      <c r="C120" t="s">
        <v>487</v>
      </c>
      <c r="D120" t="s">
        <v>247</v>
      </c>
      <c r="E120" t="s">
        <v>534</v>
      </c>
      <c r="F120" t="s">
        <v>3166</v>
      </c>
      <c r="G120" s="25">
        <v>44313</v>
      </c>
      <c r="H120">
        <v>24</v>
      </c>
      <c r="I120">
        <v>117</v>
      </c>
      <c r="J120" t="s">
        <v>231</v>
      </c>
      <c r="K120" t="s">
        <v>503</v>
      </c>
      <c r="L120" t="s">
        <v>303</v>
      </c>
      <c r="M120" t="s">
        <v>234</v>
      </c>
      <c r="N120" t="s">
        <v>56</v>
      </c>
      <c r="O120" t="s">
        <v>235</v>
      </c>
      <c r="P120" t="s">
        <v>304</v>
      </c>
      <c r="Q120">
        <v>24716</v>
      </c>
      <c r="R120" t="s">
        <v>237</v>
      </c>
    </row>
    <row r="121" spans="1:18" x14ac:dyDescent="0.25">
      <c r="A121" t="s">
        <v>281</v>
      </c>
      <c r="B121">
        <v>121</v>
      </c>
      <c r="C121" t="s">
        <v>487</v>
      </c>
      <c r="D121" t="s">
        <v>229</v>
      </c>
      <c r="E121" t="s">
        <v>247</v>
      </c>
      <c r="F121" t="s">
        <v>524</v>
      </c>
      <c r="G121" s="25">
        <v>44202</v>
      </c>
      <c r="H121">
        <v>2</v>
      </c>
      <c r="I121">
        <v>6</v>
      </c>
      <c r="J121" t="s">
        <v>231</v>
      </c>
      <c r="K121" t="s">
        <v>501</v>
      </c>
      <c r="L121" t="s">
        <v>412</v>
      </c>
      <c r="M121" t="s">
        <v>234</v>
      </c>
      <c r="N121" t="s">
        <v>60</v>
      </c>
      <c r="O121" t="s">
        <v>235</v>
      </c>
      <c r="P121" t="s">
        <v>413</v>
      </c>
      <c r="Q121">
        <v>0</v>
      </c>
      <c r="R121" t="s">
        <v>237</v>
      </c>
    </row>
    <row r="122" spans="1:18" x14ac:dyDescent="0.25">
      <c r="A122" t="s">
        <v>1735</v>
      </c>
      <c r="B122">
        <v>1331</v>
      </c>
      <c r="C122" t="s">
        <v>487</v>
      </c>
      <c r="D122" t="s">
        <v>261</v>
      </c>
      <c r="E122" t="s">
        <v>229</v>
      </c>
      <c r="F122" t="s">
        <v>1388</v>
      </c>
      <c r="G122" s="25">
        <v>44257</v>
      </c>
      <c r="H122">
        <v>13</v>
      </c>
      <c r="I122">
        <v>61</v>
      </c>
      <c r="J122" t="s">
        <v>231</v>
      </c>
      <c r="K122" t="s">
        <v>501</v>
      </c>
      <c r="L122" t="s">
        <v>412</v>
      </c>
      <c r="M122" t="s">
        <v>234</v>
      </c>
      <c r="N122" t="s">
        <v>60</v>
      </c>
      <c r="O122" t="s">
        <v>235</v>
      </c>
      <c r="P122" t="s">
        <v>413</v>
      </c>
      <c r="Q122">
        <v>0</v>
      </c>
      <c r="R122" t="s">
        <v>237</v>
      </c>
    </row>
    <row r="123" spans="1:18" x14ac:dyDescent="0.25">
      <c r="A123" t="s">
        <v>747</v>
      </c>
      <c r="B123">
        <v>381</v>
      </c>
      <c r="C123" t="s">
        <v>487</v>
      </c>
      <c r="D123" t="s">
        <v>229</v>
      </c>
      <c r="E123" t="s">
        <v>552</v>
      </c>
      <c r="F123" t="s">
        <v>553</v>
      </c>
      <c r="G123" s="25">
        <v>44214</v>
      </c>
      <c r="H123">
        <v>4</v>
      </c>
      <c r="I123">
        <v>18</v>
      </c>
      <c r="J123" t="s">
        <v>231</v>
      </c>
      <c r="K123" t="s">
        <v>500</v>
      </c>
      <c r="L123" t="s">
        <v>265</v>
      </c>
      <c r="M123" t="s">
        <v>234</v>
      </c>
      <c r="N123" t="s">
        <v>52</v>
      </c>
      <c r="O123" t="s">
        <v>235</v>
      </c>
      <c r="P123" t="s">
        <v>266</v>
      </c>
      <c r="Q123">
        <v>3500</v>
      </c>
      <c r="R123" t="s">
        <v>237</v>
      </c>
    </row>
    <row r="124" spans="1:18" x14ac:dyDescent="0.25">
      <c r="A124" t="s">
        <v>2050</v>
      </c>
      <c r="B124">
        <v>1591</v>
      </c>
      <c r="C124" t="s">
        <v>487</v>
      </c>
      <c r="D124" t="s">
        <v>261</v>
      </c>
      <c r="E124" t="s">
        <v>512</v>
      </c>
      <c r="F124" t="s">
        <v>1518</v>
      </c>
      <c r="G124" s="25">
        <v>44269</v>
      </c>
      <c r="H124">
        <v>15</v>
      </c>
      <c r="I124">
        <v>73</v>
      </c>
      <c r="J124" t="s">
        <v>231</v>
      </c>
      <c r="K124" t="s">
        <v>500</v>
      </c>
      <c r="L124" t="s">
        <v>265</v>
      </c>
      <c r="M124" t="s">
        <v>234</v>
      </c>
      <c r="N124" t="s">
        <v>52</v>
      </c>
      <c r="O124" t="s">
        <v>235</v>
      </c>
      <c r="P124" t="s">
        <v>266</v>
      </c>
      <c r="Q124">
        <v>0</v>
      </c>
      <c r="R124" t="s">
        <v>237</v>
      </c>
    </row>
    <row r="125" spans="1:18" x14ac:dyDescent="0.25">
      <c r="A125" t="s">
        <v>2356</v>
      </c>
      <c r="B125">
        <v>1503</v>
      </c>
      <c r="C125" t="s">
        <v>487</v>
      </c>
      <c r="D125" t="s">
        <v>261</v>
      </c>
      <c r="E125" t="s">
        <v>371</v>
      </c>
      <c r="F125" t="s">
        <v>1478</v>
      </c>
      <c r="G125" s="25">
        <v>44265</v>
      </c>
      <c r="H125">
        <v>14</v>
      </c>
      <c r="I125">
        <v>69</v>
      </c>
      <c r="J125" t="s">
        <v>231</v>
      </c>
      <c r="K125" t="s">
        <v>500</v>
      </c>
      <c r="L125" t="s">
        <v>265</v>
      </c>
      <c r="M125" t="s">
        <v>234</v>
      </c>
      <c r="N125" t="s">
        <v>52</v>
      </c>
      <c r="O125" t="s">
        <v>235</v>
      </c>
      <c r="P125" t="s">
        <v>266</v>
      </c>
      <c r="Q125">
        <v>0</v>
      </c>
      <c r="R125" t="s">
        <v>237</v>
      </c>
    </row>
    <row r="126" spans="1:18" x14ac:dyDescent="0.25">
      <c r="A126" t="s">
        <v>2726</v>
      </c>
      <c r="B126">
        <v>953</v>
      </c>
      <c r="C126" t="s">
        <v>487</v>
      </c>
      <c r="D126" t="s">
        <v>256</v>
      </c>
      <c r="E126" t="s">
        <v>261</v>
      </c>
      <c r="F126" t="s">
        <v>1276</v>
      </c>
      <c r="G126" s="25">
        <v>44240</v>
      </c>
      <c r="H126">
        <v>9</v>
      </c>
      <c r="I126">
        <v>44</v>
      </c>
      <c r="J126" t="s">
        <v>231</v>
      </c>
      <c r="K126" t="s">
        <v>500</v>
      </c>
      <c r="L126" t="s">
        <v>265</v>
      </c>
      <c r="M126" t="s">
        <v>234</v>
      </c>
      <c r="N126" t="s">
        <v>52</v>
      </c>
      <c r="O126" t="s">
        <v>235</v>
      </c>
      <c r="P126" t="s">
        <v>266</v>
      </c>
      <c r="Q126">
        <v>21375</v>
      </c>
      <c r="R126" t="s">
        <v>237</v>
      </c>
    </row>
    <row r="127" spans="1:18" x14ac:dyDescent="0.25">
      <c r="A127" t="s">
        <v>2517</v>
      </c>
      <c r="B127">
        <v>755</v>
      </c>
      <c r="C127" t="s">
        <v>487</v>
      </c>
      <c r="D127" t="s">
        <v>231</v>
      </c>
      <c r="E127" t="s">
        <v>575</v>
      </c>
      <c r="F127" t="s">
        <v>1210</v>
      </c>
      <c r="G127" s="25">
        <v>44231</v>
      </c>
      <c r="H127">
        <v>7</v>
      </c>
      <c r="I127">
        <v>35</v>
      </c>
      <c r="J127" t="s">
        <v>231</v>
      </c>
      <c r="K127" t="s">
        <v>500</v>
      </c>
      <c r="L127" t="s">
        <v>265</v>
      </c>
      <c r="M127" t="s">
        <v>234</v>
      </c>
      <c r="N127" t="s">
        <v>52</v>
      </c>
      <c r="O127" t="s">
        <v>235</v>
      </c>
      <c r="P127" t="s">
        <v>266</v>
      </c>
      <c r="Q127">
        <v>0</v>
      </c>
      <c r="R127" t="s">
        <v>237</v>
      </c>
    </row>
    <row r="128" spans="1:18" x14ac:dyDescent="0.25">
      <c r="A128" t="s">
        <v>3225</v>
      </c>
      <c r="B128">
        <v>2190</v>
      </c>
      <c r="C128" t="s">
        <v>487</v>
      </c>
      <c r="D128" t="s">
        <v>322</v>
      </c>
      <c r="E128" t="s">
        <v>408</v>
      </c>
      <c r="F128" t="s">
        <v>3059</v>
      </c>
      <c r="G128" s="25">
        <v>44296</v>
      </c>
      <c r="H128">
        <v>20</v>
      </c>
      <c r="I128">
        <v>100</v>
      </c>
      <c r="J128" t="s">
        <v>231</v>
      </c>
      <c r="K128" t="s">
        <v>499</v>
      </c>
      <c r="L128" t="s">
        <v>410</v>
      </c>
      <c r="M128" t="s">
        <v>234</v>
      </c>
      <c r="N128" t="s">
        <v>62</v>
      </c>
      <c r="O128" t="s">
        <v>235</v>
      </c>
      <c r="P128" t="s">
        <v>411</v>
      </c>
      <c r="Q128">
        <v>0</v>
      </c>
      <c r="R128" t="s">
        <v>237</v>
      </c>
    </row>
    <row r="129" spans="1:18" x14ac:dyDescent="0.25">
      <c r="A129" t="s">
        <v>1740</v>
      </c>
      <c r="B129">
        <v>1728</v>
      </c>
      <c r="C129" t="s">
        <v>487</v>
      </c>
      <c r="D129" t="s">
        <v>261</v>
      </c>
      <c r="E129" t="s">
        <v>531</v>
      </c>
      <c r="F129" t="s">
        <v>1588</v>
      </c>
      <c r="G129" s="25">
        <v>44275</v>
      </c>
      <c r="H129">
        <v>16</v>
      </c>
      <c r="I129">
        <v>79</v>
      </c>
      <c r="J129" t="s">
        <v>231</v>
      </c>
      <c r="K129" t="s">
        <v>499</v>
      </c>
      <c r="L129" t="s">
        <v>410</v>
      </c>
      <c r="M129" t="s">
        <v>234</v>
      </c>
      <c r="N129" t="s">
        <v>62</v>
      </c>
      <c r="O129" t="s">
        <v>235</v>
      </c>
      <c r="P129" t="s">
        <v>411</v>
      </c>
      <c r="Q129">
        <v>0</v>
      </c>
      <c r="R129" t="s">
        <v>237</v>
      </c>
    </row>
    <row r="130" spans="1:18" x14ac:dyDescent="0.25">
      <c r="A130" t="s">
        <v>2791</v>
      </c>
      <c r="B130">
        <v>1737</v>
      </c>
      <c r="C130" t="s">
        <v>487</v>
      </c>
      <c r="D130" t="s">
        <v>261</v>
      </c>
      <c r="E130" t="s">
        <v>531</v>
      </c>
      <c r="F130" t="s">
        <v>1588</v>
      </c>
      <c r="G130" s="25">
        <v>44275</v>
      </c>
      <c r="H130">
        <v>16</v>
      </c>
      <c r="I130">
        <v>79</v>
      </c>
      <c r="J130" t="s">
        <v>432</v>
      </c>
      <c r="K130" t="s">
        <v>498</v>
      </c>
      <c r="L130" t="s">
        <v>26</v>
      </c>
      <c r="M130" t="s">
        <v>434</v>
      </c>
      <c r="N130" t="s">
        <v>77</v>
      </c>
      <c r="O130" t="s">
        <v>435</v>
      </c>
      <c r="P130" t="s">
        <v>26</v>
      </c>
      <c r="Q130">
        <v>103600</v>
      </c>
      <c r="R130" t="s">
        <v>436</v>
      </c>
    </row>
    <row r="131" spans="1:18" x14ac:dyDescent="0.25">
      <c r="A131" t="s">
        <v>2839</v>
      </c>
      <c r="B131">
        <v>1539</v>
      </c>
      <c r="C131" t="s">
        <v>487</v>
      </c>
      <c r="D131" t="s">
        <v>261</v>
      </c>
      <c r="E131" t="s">
        <v>239</v>
      </c>
      <c r="F131" t="s">
        <v>1703</v>
      </c>
      <c r="G131" s="25">
        <v>44266</v>
      </c>
      <c r="H131">
        <v>14</v>
      </c>
      <c r="I131">
        <v>70</v>
      </c>
      <c r="J131" t="s">
        <v>432</v>
      </c>
      <c r="K131" t="s">
        <v>498</v>
      </c>
      <c r="L131" t="s">
        <v>26</v>
      </c>
      <c r="M131" t="s">
        <v>434</v>
      </c>
      <c r="N131" t="s">
        <v>77</v>
      </c>
      <c r="O131" t="s">
        <v>435</v>
      </c>
      <c r="P131" t="s">
        <v>26</v>
      </c>
      <c r="Q131">
        <v>146431.25</v>
      </c>
      <c r="R131" t="s">
        <v>436</v>
      </c>
    </row>
    <row r="132" spans="1:18" x14ac:dyDescent="0.25">
      <c r="A132" t="s">
        <v>2620</v>
      </c>
      <c r="B132">
        <v>879</v>
      </c>
      <c r="C132" t="s">
        <v>487</v>
      </c>
      <c r="D132" t="s">
        <v>231</v>
      </c>
      <c r="E132" t="s">
        <v>408</v>
      </c>
      <c r="F132" t="s">
        <v>1234</v>
      </c>
      <c r="G132" s="25">
        <v>44236</v>
      </c>
      <c r="H132">
        <v>8</v>
      </c>
      <c r="I132">
        <v>40</v>
      </c>
      <c r="J132" t="s">
        <v>432</v>
      </c>
      <c r="K132" t="s">
        <v>498</v>
      </c>
      <c r="L132" t="s">
        <v>26</v>
      </c>
      <c r="M132" t="s">
        <v>434</v>
      </c>
      <c r="N132" t="s">
        <v>77</v>
      </c>
      <c r="O132" t="s">
        <v>435</v>
      </c>
      <c r="P132" t="s">
        <v>26</v>
      </c>
      <c r="Q132">
        <v>110403.125</v>
      </c>
      <c r="R132" t="s">
        <v>436</v>
      </c>
    </row>
    <row r="133" spans="1:18" x14ac:dyDescent="0.25">
      <c r="A133" t="s">
        <v>3226</v>
      </c>
      <c r="B133">
        <v>2639</v>
      </c>
      <c r="C133" t="s">
        <v>487</v>
      </c>
      <c r="D133" t="s">
        <v>247</v>
      </c>
      <c r="E133" t="s">
        <v>408</v>
      </c>
      <c r="F133" t="s">
        <v>3178</v>
      </c>
      <c r="G133" s="25">
        <v>44316</v>
      </c>
      <c r="H133">
        <v>24</v>
      </c>
      <c r="I133">
        <v>120</v>
      </c>
      <c r="J133" t="s">
        <v>432</v>
      </c>
      <c r="K133" t="s">
        <v>498</v>
      </c>
      <c r="L133" t="s">
        <v>26</v>
      </c>
      <c r="M133" t="s">
        <v>434</v>
      </c>
      <c r="N133" t="s">
        <v>77</v>
      </c>
      <c r="O133" t="s">
        <v>435</v>
      </c>
      <c r="P133" t="s">
        <v>26</v>
      </c>
      <c r="Q133">
        <v>119420.625</v>
      </c>
      <c r="R133" t="s">
        <v>436</v>
      </c>
    </row>
    <row r="134" spans="1:18" x14ac:dyDescent="0.25">
      <c r="A134" t="s">
        <v>2523</v>
      </c>
      <c r="B134">
        <v>1735</v>
      </c>
      <c r="C134" t="s">
        <v>487</v>
      </c>
      <c r="D134" t="s">
        <v>261</v>
      </c>
      <c r="E134" t="s">
        <v>531</v>
      </c>
      <c r="F134" t="s">
        <v>1588</v>
      </c>
      <c r="G134" s="25">
        <v>44275</v>
      </c>
      <c r="H134">
        <v>16</v>
      </c>
      <c r="I134">
        <v>79</v>
      </c>
      <c r="J134" t="s">
        <v>432</v>
      </c>
      <c r="K134" t="s">
        <v>497</v>
      </c>
      <c r="L134" t="s">
        <v>438</v>
      </c>
      <c r="M134" t="s">
        <v>434</v>
      </c>
      <c r="N134" t="s">
        <v>75</v>
      </c>
      <c r="O134" t="s">
        <v>435</v>
      </c>
      <c r="P134" t="s">
        <v>438</v>
      </c>
      <c r="Q134">
        <v>25800</v>
      </c>
      <c r="R134" t="s">
        <v>436</v>
      </c>
    </row>
    <row r="135" spans="1:18" x14ac:dyDescent="0.25">
      <c r="A135" t="s">
        <v>3227</v>
      </c>
      <c r="B135">
        <v>2351</v>
      </c>
      <c r="C135" t="s">
        <v>487</v>
      </c>
      <c r="D135" t="s">
        <v>247</v>
      </c>
      <c r="E135" t="s">
        <v>326</v>
      </c>
      <c r="F135" t="s">
        <v>3091</v>
      </c>
      <c r="G135" s="25">
        <v>44303</v>
      </c>
      <c r="H135">
        <v>22</v>
      </c>
      <c r="I135">
        <v>107</v>
      </c>
      <c r="J135" t="s">
        <v>432</v>
      </c>
      <c r="K135" t="s">
        <v>497</v>
      </c>
      <c r="L135" t="s">
        <v>438</v>
      </c>
      <c r="M135" t="s">
        <v>434</v>
      </c>
      <c r="N135" t="s">
        <v>75</v>
      </c>
      <c r="O135" t="s">
        <v>435</v>
      </c>
      <c r="P135" t="s">
        <v>438</v>
      </c>
      <c r="Q135">
        <v>36637.5</v>
      </c>
      <c r="R135" t="s">
        <v>436</v>
      </c>
    </row>
    <row r="136" spans="1:18" x14ac:dyDescent="0.25">
      <c r="A136" t="s">
        <v>1787</v>
      </c>
      <c r="B136">
        <v>1379</v>
      </c>
      <c r="C136" t="s">
        <v>487</v>
      </c>
      <c r="D136" t="s">
        <v>261</v>
      </c>
      <c r="E136" t="s">
        <v>256</v>
      </c>
      <c r="F136" t="s">
        <v>1402</v>
      </c>
      <c r="G136" s="25">
        <v>44259</v>
      </c>
      <c r="H136">
        <v>13</v>
      </c>
      <c r="I136">
        <v>63</v>
      </c>
      <c r="J136" t="s">
        <v>432</v>
      </c>
      <c r="K136" t="s">
        <v>496</v>
      </c>
      <c r="L136" t="s">
        <v>69</v>
      </c>
      <c r="M136" t="s">
        <v>434</v>
      </c>
      <c r="N136" t="s">
        <v>68</v>
      </c>
      <c r="O136" t="s">
        <v>21</v>
      </c>
      <c r="P136" t="s">
        <v>439</v>
      </c>
      <c r="Q136">
        <v>305125</v>
      </c>
      <c r="R136" t="s">
        <v>237</v>
      </c>
    </row>
    <row r="137" spans="1:18" x14ac:dyDescent="0.25">
      <c r="A137" t="s">
        <v>2470</v>
      </c>
      <c r="B137">
        <v>785</v>
      </c>
      <c r="C137" t="s">
        <v>487</v>
      </c>
      <c r="D137" t="s">
        <v>231</v>
      </c>
      <c r="E137" t="s">
        <v>620</v>
      </c>
      <c r="F137" t="s">
        <v>1215</v>
      </c>
      <c r="G137" s="25">
        <v>44232</v>
      </c>
      <c r="H137">
        <v>8</v>
      </c>
      <c r="I137">
        <v>36</v>
      </c>
      <c r="J137" t="s">
        <v>432</v>
      </c>
      <c r="K137" t="s">
        <v>496</v>
      </c>
      <c r="L137" t="s">
        <v>69</v>
      </c>
      <c r="M137" t="s">
        <v>434</v>
      </c>
      <c r="N137" t="s">
        <v>68</v>
      </c>
      <c r="O137" t="s">
        <v>21</v>
      </c>
      <c r="P137" t="s">
        <v>439</v>
      </c>
      <c r="Q137">
        <v>123125</v>
      </c>
      <c r="R137" t="s">
        <v>237</v>
      </c>
    </row>
    <row r="138" spans="1:18" x14ac:dyDescent="0.25">
      <c r="A138" t="s">
        <v>319</v>
      </c>
      <c r="B138">
        <v>15</v>
      </c>
      <c r="C138" t="s">
        <v>487</v>
      </c>
      <c r="D138" t="s">
        <v>229</v>
      </c>
      <c r="E138" t="s">
        <v>229</v>
      </c>
      <c r="F138" t="s">
        <v>230</v>
      </c>
      <c r="G138" s="25">
        <v>44197</v>
      </c>
      <c r="H138">
        <v>1</v>
      </c>
      <c r="I138">
        <v>1</v>
      </c>
      <c r="J138" t="s">
        <v>432</v>
      </c>
      <c r="K138" t="s">
        <v>496</v>
      </c>
      <c r="L138" t="s">
        <v>69</v>
      </c>
      <c r="M138" t="s">
        <v>434</v>
      </c>
      <c r="N138" t="s">
        <v>68</v>
      </c>
      <c r="O138" t="s">
        <v>21</v>
      </c>
      <c r="P138" t="s">
        <v>439</v>
      </c>
      <c r="Q138">
        <v>0</v>
      </c>
      <c r="R138" t="s">
        <v>237</v>
      </c>
    </row>
    <row r="139" spans="1:18" x14ac:dyDescent="0.25">
      <c r="A139" t="s">
        <v>1831</v>
      </c>
      <c r="B139">
        <v>1753</v>
      </c>
      <c r="C139" t="s">
        <v>487</v>
      </c>
      <c r="D139" t="s">
        <v>261</v>
      </c>
      <c r="E139" t="s">
        <v>408</v>
      </c>
      <c r="F139" t="s">
        <v>1595</v>
      </c>
      <c r="G139" s="25">
        <v>44276</v>
      </c>
      <c r="H139">
        <v>16</v>
      </c>
      <c r="I139">
        <v>80</v>
      </c>
      <c r="J139" t="s">
        <v>432</v>
      </c>
      <c r="K139" t="s">
        <v>496</v>
      </c>
      <c r="L139" t="s">
        <v>69</v>
      </c>
      <c r="M139" t="s">
        <v>434</v>
      </c>
      <c r="N139" t="s">
        <v>68</v>
      </c>
      <c r="O139" t="s">
        <v>21</v>
      </c>
      <c r="P139" t="s">
        <v>439</v>
      </c>
      <c r="Q139">
        <v>0</v>
      </c>
      <c r="R139" t="s">
        <v>237</v>
      </c>
    </row>
    <row r="140" spans="1:18" x14ac:dyDescent="0.25">
      <c r="A140" t="s">
        <v>643</v>
      </c>
      <c r="B140">
        <v>258</v>
      </c>
      <c r="C140" t="s">
        <v>487</v>
      </c>
      <c r="D140" t="s">
        <v>229</v>
      </c>
      <c r="E140" t="s">
        <v>232</v>
      </c>
      <c r="F140" t="s">
        <v>520</v>
      </c>
      <c r="G140" s="25">
        <v>44208</v>
      </c>
      <c r="H140">
        <v>3</v>
      </c>
      <c r="I140">
        <v>12</v>
      </c>
      <c r="J140" t="s">
        <v>432</v>
      </c>
      <c r="K140" t="s">
        <v>495</v>
      </c>
      <c r="L140" t="s">
        <v>135</v>
      </c>
      <c r="M140" t="s">
        <v>434</v>
      </c>
      <c r="N140" t="s">
        <v>70</v>
      </c>
      <c r="O140" t="s">
        <v>21</v>
      </c>
      <c r="P140" t="s">
        <v>440</v>
      </c>
      <c r="Q140">
        <v>72000</v>
      </c>
      <c r="R140" t="s">
        <v>237</v>
      </c>
    </row>
    <row r="141" spans="1:18" x14ac:dyDescent="0.25">
      <c r="A141" t="s">
        <v>3228</v>
      </c>
      <c r="B141">
        <v>2436</v>
      </c>
      <c r="C141" t="s">
        <v>487</v>
      </c>
      <c r="D141" t="s">
        <v>247</v>
      </c>
      <c r="E141" t="s">
        <v>515</v>
      </c>
      <c r="F141" t="s">
        <v>3134</v>
      </c>
      <c r="G141" s="25">
        <v>44307</v>
      </c>
      <c r="H141">
        <v>23</v>
      </c>
      <c r="I141">
        <v>111</v>
      </c>
      <c r="J141" t="s">
        <v>432</v>
      </c>
      <c r="K141" t="s">
        <v>495</v>
      </c>
      <c r="L141" t="s">
        <v>135</v>
      </c>
      <c r="M141" t="s">
        <v>434</v>
      </c>
      <c r="N141" t="s">
        <v>70</v>
      </c>
      <c r="O141" t="s">
        <v>21</v>
      </c>
      <c r="P141" t="s">
        <v>440</v>
      </c>
      <c r="Q141">
        <v>395000</v>
      </c>
      <c r="R141" t="s">
        <v>237</v>
      </c>
    </row>
    <row r="142" spans="1:18" x14ac:dyDescent="0.25">
      <c r="A142" t="s">
        <v>3229</v>
      </c>
      <c r="B142">
        <v>2128</v>
      </c>
      <c r="C142" t="s">
        <v>487</v>
      </c>
      <c r="D142" t="s">
        <v>322</v>
      </c>
      <c r="E142" t="s">
        <v>534</v>
      </c>
      <c r="F142" t="s">
        <v>3031</v>
      </c>
      <c r="G142" s="25">
        <v>44293</v>
      </c>
      <c r="H142">
        <v>20</v>
      </c>
      <c r="I142">
        <v>97</v>
      </c>
      <c r="J142" t="s">
        <v>432</v>
      </c>
      <c r="K142" t="s">
        <v>495</v>
      </c>
      <c r="L142" t="s">
        <v>135</v>
      </c>
      <c r="M142" t="s">
        <v>434</v>
      </c>
      <c r="N142" t="s">
        <v>70</v>
      </c>
      <c r="O142" t="s">
        <v>21</v>
      </c>
      <c r="P142" t="s">
        <v>440</v>
      </c>
      <c r="Q142">
        <v>580000</v>
      </c>
      <c r="R142" t="s">
        <v>237</v>
      </c>
    </row>
    <row r="143" spans="1:18" x14ac:dyDescent="0.25">
      <c r="A143" t="s">
        <v>3230</v>
      </c>
      <c r="B143">
        <v>1820</v>
      </c>
      <c r="C143" t="s">
        <v>487</v>
      </c>
      <c r="D143" t="s">
        <v>322</v>
      </c>
      <c r="E143" t="s">
        <v>256</v>
      </c>
      <c r="F143" t="s">
        <v>2952</v>
      </c>
      <c r="G143" s="25">
        <v>44279</v>
      </c>
      <c r="H143">
        <v>17</v>
      </c>
      <c r="I143">
        <v>83</v>
      </c>
      <c r="J143" t="s">
        <v>432</v>
      </c>
      <c r="K143" t="s">
        <v>495</v>
      </c>
      <c r="L143" t="s">
        <v>135</v>
      </c>
      <c r="M143" t="s">
        <v>434</v>
      </c>
      <c r="N143" t="s">
        <v>70</v>
      </c>
      <c r="O143" t="s">
        <v>21</v>
      </c>
      <c r="P143" t="s">
        <v>440</v>
      </c>
      <c r="Q143">
        <v>0</v>
      </c>
      <c r="R143" t="s">
        <v>237</v>
      </c>
    </row>
    <row r="144" spans="1:18" x14ac:dyDescent="0.25">
      <c r="A144" t="s">
        <v>2059</v>
      </c>
      <c r="B144">
        <v>984</v>
      </c>
      <c r="C144" t="s">
        <v>487</v>
      </c>
      <c r="D144" t="s">
        <v>256</v>
      </c>
      <c r="E144" t="s">
        <v>322</v>
      </c>
      <c r="F144" t="s">
        <v>1288</v>
      </c>
      <c r="G144" s="25">
        <v>44241</v>
      </c>
      <c r="H144">
        <v>9</v>
      </c>
      <c r="I144">
        <v>45</v>
      </c>
      <c r="J144" t="s">
        <v>432</v>
      </c>
      <c r="K144" t="s">
        <v>495</v>
      </c>
      <c r="L144" t="s">
        <v>135</v>
      </c>
      <c r="M144" t="s">
        <v>434</v>
      </c>
      <c r="N144" t="s">
        <v>70</v>
      </c>
      <c r="O144" t="s">
        <v>21</v>
      </c>
      <c r="P144" t="s">
        <v>440</v>
      </c>
      <c r="Q144">
        <v>100000</v>
      </c>
      <c r="R144" t="s">
        <v>237</v>
      </c>
    </row>
    <row r="145" spans="1:18" x14ac:dyDescent="0.25">
      <c r="A145" t="s">
        <v>269</v>
      </c>
      <c r="B145">
        <v>20</v>
      </c>
      <c r="C145" t="s">
        <v>487</v>
      </c>
      <c r="D145" t="s">
        <v>229</v>
      </c>
      <c r="E145" t="s">
        <v>229</v>
      </c>
      <c r="F145" t="s">
        <v>230</v>
      </c>
      <c r="G145" s="25">
        <v>44197</v>
      </c>
      <c r="H145">
        <v>1</v>
      </c>
      <c r="I145">
        <v>1</v>
      </c>
      <c r="J145" t="s">
        <v>432</v>
      </c>
      <c r="K145" t="s">
        <v>494</v>
      </c>
      <c r="L145" t="s">
        <v>25</v>
      </c>
      <c r="M145" t="s">
        <v>434</v>
      </c>
      <c r="N145" t="s">
        <v>76</v>
      </c>
      <c r="O145" t="s">
        <v>435</v>
      </c>
      <c r="P145" t="s">
        <v>25</v>
      </c>
      <c r="Q145">
        <v>0</v>
      </c>
      <c r="R145" t="s">
        <v>436</v>
      </c>
    </row>
    <row r="146" spans="1:18" x14ac:dyDescent="0.25">
      <c r="A146" t="s">
        <v>3231</v>
      </c>
      <c r="B146">
        <v>2154</v>
      </c>
      <c r="C146" t="s">
        <v>487</v>
      </c>
      <c r="D146" t="s">
        <v>322</v>
      </c>
      <c r="E146" t="s">
        <v>552</v>
      </c>
      <c r="F146" t="s">
        <v>3045</v>
      </c>
      <c r="G146" s="25">
        <v>44294</v>
      </c>
      <c r="H146">
        <v>20</v>
      </c>
      <c r="I146">
        <v>98</v>
      </c>
      <c r="J146" t="s">
        <v>432</v>
      </c>
      <c r="K146" t="s">
        <v>494</v>
      </c>
      <c r="L146" t="s">
        <v>25</v>
      </c>
      <c r="M146" t="s">
        <v>434</v>
      </c>
      <c r="N146" t="s">
        <v>76</v>
      </c>
      <c r="O146" t="s">
        <v>435</v>
      </c>
      <c r="P146" t="s">
        <v>25</v>
      </c>
      <c r="Q146">
        <v>47250</v>
      </c>
      <c r="R146" t="s">
        <v>436</v>
      </c>
    </row>
    <row r="147" spans="1:18" x14ac:dyDescent="0.25">
      <c r="A147" t="s">
        <v>3232</v>
      </c>
      <c r="B147">
        <v>1846</v>
      </c>
      <c r="C147" t="s">
        <v>487</v>
      </c>
      <c r="D147" t="s">
        <v>322</v>
      </c>
      <c r="E147" t="s">
        <v>261</v>
      </c>
      <c r="F147" t="s">
        <v>2956</v>
      </c>
      <c r="G147" s="25">
        <v>44280</v>
      </c>
      <c r="H147">
        <v>17</v>
      </c>
      <c r="I147">
        <v>84</v>
      </c>
      <c r="J147" t="s">
        <v>432</v>
      </c>
      <c r="K147" t="s">
        <v>494</v>
      </c>
      <c r="L147" t="s">
        <v>25</v>
      </c>
      <c r="M147" t="s">
        <v>434</v>
      </c>
      <c r="N147" t="s">
        <v>76</v>
      </c>
      <c r="O147" t="s">
        <v>435</v>
      </c>
      <c r="P147" t="s">
        <v>25</v>
      </c>
      <c r="Q147">
        <v>77550</v>
      </c>
      <c r="R147" t="s">
        <v>436</v>
      </c>
    </row>
    <row r="148" spans="1:18" x14ac:dyDescent="0.25">
      <c r="A148" t="s">
        <v>2904</v>
      </c>
      <c r="B148">
        <v>1758</v>
      </c>
      <c r="C148" t="s">
        <v>487</v>
      </c>
      <c r="D148" t="s">
        <v>261</v>
      </c>
      <c r="E148" t="s">
        <v>408</v>
      </c>
      <c r="F148" t="s">
        <v>1595</v>
      </c>
      <c r="G148" s="25">
        <v>44276</v>
      </c>
      <c r="H148">
        <v>16</v>
      </c>
      <c r="I148">
        <v>80</v>
      </c>
      <c r="J148" t="s">
        <v>432</v>
      </c>
      <c r="K148" t="s">
        <v>494</v>
      </c>
      <c r="L148" t="s">
        <v>25</v>
      </c>
      <c r="M148" t="s">
        <v>434</v>
      </c>
      <c r="N148" t="s">
        <v>76</v>
      </c>
      <c r="O148" t="s">
        <v>435</v>
      </c>
      <c r="P148" t="s">
        <v>25</v>
      </c>
      <c r="Q148">
        <v>25800</v>
      </c>
      <c r="R148" t="s">
        <v>436</v>
      </c>
    </row>
    <row r="149" spans="1:18" x14ac:dyDescent="0.25">
      <c r="A149" t="s">
        <v>2851</v>
      </c>
      <c r="B149">
        <v>858</v>
      </c>
      <c r="C149" t="s">
        <v>487</v>
      </c>
      <c r="D149" t="s">
        <v>231</v>
      </c>
      <c r="E149" t="s">
        <v>531</v>
      </c>
      <c r="F149" t="s">
        <v>1230</v>
      </c>
      <c r="G149" s="25">
        <v>44235</v>
      </c>
      <c r="H149">
        <v>8</v>
      </c>
      <c r="I149">
        <v>39</v>
      </c>
      <c r="J149" t="s">
        <v>432</v>
      </c>
      <c r="K149" t="s">
        <v>493</v>
      </c>
      <c r="L149" t="s">
        <v>441</v>
      </c>
      <c r="M149" t="s">
        <v>434</v>
      </c>
      <c r="N149" t="s">
        <v>78</v>
      </c>
      <c r="O149" t="s">
        <v>435</v>
      </c>
      <c r="P149" t="s">
        <v>441</v>
      </c>
      <c r="Q149">
        <v>114603.125</v>
      </c>
      <c r="R149" t="s">
        <v>436</v>
      </c>
    </row>
    <row r="150" spans="1:18" x14ac:dyDescent="0.25">
      <c r="A150" t="s">
        <v>3233</v>
      </c>
      <c r="B150">
        <v>2618</v>
      </c>
      <c r="C150" t="s">
        <v>487</v>
      </c>
      <c r="D150" t="s">
        <v>247</v>
      </c>
      <c r="E150" t="s">
        <v>531</v>
      </c>
      <c r="F150" t="s">
        <v>3173</v>
      </c>
      <c r="G150" s="25">
        <v>44315</v>
      </c>
      <c r="H150">
        <v>24</v>
      </c>
      <c r="I150">
        <v>119</v>
      </c>
      <c r="J150" t="s">
        <v>432</v>
      </c>
      <c r="K150" t="s">
        <v>493</v>
      </c>
      <c r="L150" t="s">
        <v>441</v>
      </c>
      <c r="M150" t="s">
        <v>434</v>
      </c>
      <c r="N150" t="s">
        <v>78</v>
      </c>
      <c r="O150" t="s">
        <v>435</v>
      </c>
      <c r="P150" t="s">
        <v>441</v>
      </c>
      <c r="Q150">
        <v>124080</v>
      </c>
      <c r="R150" t="s">
        <v>436</v>
      </c>
    </row>
    <row r="151" spans="1:18" x14ac:dyDescent="0.25">
      <c r="A151" t="s">
        <v>3234</v>
      </c>
      <c r="B151">
        <v>2041</v>
      </c>
      <c r="C151" t="s">
        <v>487</v>
      </c>
      <c r="D151" t="s">
        <v>322</v>
      </c>
      <c r="E151" t="s">
        <v>512</v>
      </c>
      <c r="F151" t="s">
        <v>2991</v>
      </c>
      <c r="G151" s="25">
        <v>44289</v>
      </c>
      <c r="H151">
        <v>19</v>
      </c>
      <c r="I151">
        <v>93</v>
      </c>
      <c r="J151" t="s">
        <v>432</v>
      </c>
      <c r="K151" t="s">
        <v>492</v>
      </c>
      <c r="L151" t="s">
        <v>24</v>
      </c>
      <c r="M151" t="s">
        <v>434</v>
      </c>
      <c r="N151" t="s">
        <v>71</v>
      </c>
      <c r="O151" t="s">
        <v>435</v>
      </c>
      <c r="P151" t="s">
        <v>24</v>
      </c>
      <c r="Q151">
        <v>71906.25</v>
      </c>
      <c r="R151" t="s">
        <v>436</v>
      </c>
    </row>
    <row r="152" spans="1:18" x14ac:dyDescent="0.25">
      <c r="A152" t="s">
        <v>2483</v>
      </c>
      <c r="B152">
        <v>1733</v>
      </c>
      <c r="C152" t="s">
        <v>487</v>
      </c>
      <c r="D152" t="s">
        <v>261</v>
      </c>
      <c r="E152" t="s">
        <v>531</v>
      </c>
      <c r="F152" t="s">
        <v>1588</v>
      </c>
      <c r="G152" s="25">
        <v>44275</v>
      </c>
      <c r="H152">
        <v>16</v>
      </c>
      <c r="I152">
        <v>79</v>
      </c>
      <c r="J152" t="s">
        <v>432</v>
      </c>
      <c r="K152" t="s">
        <v>492</v>
      </c>
      <c r="L152" t="s">
        <v>24</v>
      </c>
      <c r="M152" t="s">
        <v>434</v>
      </c>
      <c r="N152" t="s">
        <v>71</v>
      </c>
      <c r="O152" t="s">
        <v>435</v>
      </c>
      <c r="P152" t="s">
        <v>24</v>
      </c>
      <c r="Q152">
        <v>11400</v>
      </c>
      <c r="R152" t="s">
        <v>436</v>
      </c>
    </row>
    <row r="153" spans="1:18" x14ac:dyDescent="0.25">
      <c r="A153" t="s">
        <v>604</v>
      </c>
      <c r="B153">
        <v>325</v>
      </c>
      <c r="C153" t="s">
        <v>487</v>
      </c>
      <c r="D153" t="s">
        <v>229</v>
      </c>
      <c r="E153" t="s">
        <v>575</v>
      </c>
      <c r="F153" t="s">
        <v>576</v>
      </c>
      <c r="G153" s="25">
        <v>44211</v>
      </c>
      <c r="H153">
        <v>3</v>
      </c>
      <c r="I153">
        <v>15</v>
      </c>
      <c r="J153" t="s">
        <v>432</v>
      </c>
      <c r="K153" t="s">
        <v>492</v>
      </c>
      <c r="L153" t="s">
        <v>24</v>
      </c>
      <c r="M153" t="s">
        <v>434</v>
      </c>
      <c r="N153" t="s">
        <v>71</v>
      </c>
      <c r="O153" t="s">
        <v>435</v>
      </c>
      <c r="P153" t="s">
        <v>24</v>
      </c>
      <c r="Q153">
        <v>8531.25</v>
      </c>
      <c r="R153" t="s">
        <v>436</v>
      </c>
    </row>
    <row r="154" spans="1:18" x14ac:dyDescent="0.25">
      <c r="A154" t="s">
        <v>3235</v>
      </c>
      <c r="B154">
        <v>2195</v>
      </c>
      <c r="C154" t="s">
        <v>487</v>
      </c>
      <c r="D154" t="s">
        <v>322</v>
      </c>
      <c r="E154" t="s">
        <v>408</v>
      </c>
      <c r="F154" t="s">
        <v>3059</v>
      </c>
      <c r="G154" s="25">
        <v>44296</v>
      </c>
      <c r="H154">
        <v>20</v>
      </c>
      <c r="I154">
        <v>100</v>
      </c>
      <c r="J154" t="s">
        <v>432</v>
      </c>
      <c r="K154" t="s">
        <v>492</v>
      </c>
      <c r="L154" t="s">
        <v>24</v>
      </c>
      <c r="M154" t="s">
        <v>434</v>
      </c>
      <c r="N154" t="s">
        <v>71</v>
      </c>
      <c r="O154" t="s">
        <v>435</v>
      </c>
      <c r="P154" t="s">
        <v>24</v>
      </c>
      <c r="Q154">
        <v>60900</v>
      </c>
      <c r="R154" t="s">
        <v>436</v>
      </c>
    </row>
    <row r="155" spans="1:18" x14ac:dyDescent="0.25">
      <c r="A155" t="s">
        <v>3236</v>
      </c>
      <c r="B155">
        <v>2151</v>
      </c>
      <c r="C155" t="s">
        <v>487</v>
      </c>
      <c r="D155" t="s">
        <v>322</v>
      </c>
      <c r="E155" t="s">
        <v>552</v>
      </c>
      <c r="F155" t="s">
        <v>3045</v>
      </c>
      <c r="G155" s="25">
        <v>44294</v>
      </c>
      <c r="H155">
        <v>20</v>
      </c>
      <c r="I155">
        <v>98</v>
      </c>
      <c r="J155" t="s">
        <v>432</v>
      </c>
      <c r="K155" t="s">
        <v>492</v>
      </c>
      <c r="L155" t="s">
        <v>24</v>
      </c>
      <c r="M155" t="s">
        <v>434</v>
      </c>
      <c r="N155" t="s">
        <v>71</v>
      </c>
      <c r="O155" t="s">
        <v>435</v>
      </c>
      <c r="P155" t="s">
        <v>24</v>
      </c>
      <c r="Q155">
        <v>69562.5</v>
      </c>
      <c r="R155" t="s">
        <v>436</v>
      </c>
    </row>
    <row r="156" spans="1:18" x14ac:dyDescent="0.25">
      <c r="A156" t="s">
        <v>3237</v>
      </c>
      <c r="B156">
        <v>2538</v>
      </c>
      <c r="C156" t="s">
        <v>487</v>
      </c>
      <c r="D156" t="s">
        <v>247</v>
      </c>
      <c r="E156" t="s">
        <v>620</v>
      </c>
      <c r="F156" t="s">
        <v>3162</v>
      </c>
      <c r="G156" s="25">
        <v>44312</v>
      </c>
      <c r="H156">
        <v>24</v>
      </c>
      <c r="I156">
        <v>116</v>
      </c>
      <c r="J156" t="s">
        <v>231</v>
      </c>
      <c r="K156" t="s">
        <v>491</v>
      </c>
      <c r="L156" t="s">
        <v>233</v>
      </c>
      <c r="M156" t="s">
        <v>234</v>
      </c>
      <c r="N156" t="s">
        <v>54</v>
      </c>
      <c r="O156" t="s">
        <v>235</v>
      </c>
      <c r="P156" t="s">
        <v>236</v>
      </c>
      <c r="Q156">
        <v>1158</v>
      </c>
      <c r="R156" t="s">
        <v>237</v>
      </c>
    </row>
    <row r="157" spans="1:18" x14ac:dyDescent="0.25">
      <c r="A157" t="s">
        <v>2321</v>
      </c>
      <c r="B157">
        <v>673</v>
      </c>
      <c r="C157" t="s">
        <v>487</v>
      </c>
      <c r="D157" t="s">
        <v>231</v>
      </c>
      <c r="E157" t="s">
        <v>515</v>
      </c>
      <c r="F157" t="s">
        <v>1150</v>
      </c>
      <c r="G157" s="25">
        <v>44227</v>
      </c>
      <c r="H157">
        <v>7</v>
      </c>
      <c r="I157">
        <v>31</v>
      </c>
      <c r="J157" t="s">
        <v>432</v>
      </c>
      <c r="K157" t="s">
        <v>490</v>
      </c>
      <c r="L157" t="s">
        <v>65</v>
      </c>
      <c r="M157" t="s">
        <v>434</v>
      </c>
      <c r="N157" t="s">
        <v>64</v>
      </c>
      <c r="O157" t="s">
        <v>235</v>
      </c>
      <c r="P157" t="s">
        <v>442</v>
      </c>
      <c r="Q157">
        <v>259375</v>
      </c>
      <c r="R157" t="s">
        <v>237</v>
      </c>
    </row>
    <row r="158" spans="1:18" x14ac:dyDescent="0.25">
      <c r="A158" t="s">
        <v>3238</v>
      </c>
      <c r="B158">
        <v>2411</v>
      </c>
      <c r="C158" t="s">
        <v>487</v>
      </c>
      <c r="D158" t="s">
        <v>247</v>
      </c>
      <c r="E158" t="s">
        <v>239</v>
      </c>
      <c r="F158" t="s">
        <v>3118</v>
      </c>
      <c r="G158" s="25">
        <v>44306</v>
      </c>
      <c r="H158">
        <v>22</v>
      </c>
      <c r="I158">
        <v>110</v>
      </c>
      <c r="J158" t="s">
        <v>432</v>
      </c>
      <c r="K158" t="s">
        <v>490</v>
      </c>
      <c r="L158" t="s">
        <v>65</v>
      </c>
      <c r="M158" t="s">
        <v>434</v>
      </c>
      <c r="N158" t="s">
        <v>64</v>
      </c>
      <c r="O158" t="s">
        <v>235</v>
      </c>
      <c r="P158" t="s">
        <v>442</v>
      </c>
      <c r="Q158">
        <v>328000</v>
      </c>
      <c r="R158" t="s">
        <v>237</v>
      </c>
    </row>
    <row r="159" spans="1:18" x14ac:dyDescent="0.25">
      <c r="A159" t="s">
        <v>3239</v>
      </c>
      <c r="B159">
        <v>1949</v>
      </c>
      <c r="C159" t="s">
        <v>487</v>
      </c>
      <c r="D159" t="s">
        <v>322</v>
      </c>
      <c r="E159" t="s">
        <v>371</v>
      </c>
      <c r="F159" t="s">
        <v>2976</v>
      </c>
      <c r="G159" s="25">
        <v>44285</v>
      </c>
      <c r="H159">
        <v>18</v>
      </c>
      <c r="I159">
        <v>89</v>
      </c>
      <c r="J159" t="s">
        <v>432</v>
      </c>
      <c r="K159" t="s">
        <v>490</v>
      </c>
      <c r="L159" t="s">
        <v>65</v>
      </c>
      <c r="M159" t="s">
        <v>434</v>
      </c>
      <c r="N159" t="s">
        <v>64</v>
      </c>
      <c r="O159" t="s">
        <v>235</v>
      </c>
      <c r="P159" t="s">
        <v>442</v>
      </c>
      <c r="Q159">
        <v>523500</v>
      </c>
      <c r="R159" t="s">
        <v>237</v>
      </c>
    </row>
    <row r="160" spans="1:18" x14ac:dyDescent="0.25">
      <c r="A160" t="s">
        <v>2487</v>
      </c>
      <c r="B160">
        <v>1201</v>
      </c>
      <c r="C160" t="s">
        <v>487</v>
      </c>
      <c r="D160" t="s">
        <v>256</v>
      </c>
      <c r="E160" t="s">
        <v>575</v>
      </c>
      <c r="F160" t="s">
        <v>1668</v>
      </c>
      <c r="G160" s="25">
        <v>44251</v>
      </c>
      <c r="H160">
        <v>11</v>
      </c>
      <c r="I160">
        <v>55</v>
      </c>
      <c r="J160" t="s">
        <v>432</v>
      </c>
      <c r="K160" t="s">
        <v>490</v>
      </c>
      <c r="L160" t="s">
        <v>65</v>
      </c>
      <c r="M160" t="s">
        <v>434</v>
      </c>
      <c r="N160" t="s">
        <v>64</v>
      </c>
      <c r="O160" t="s">
        <v>235</v>
      </c>
      <c r="P160" t="s">
        <v>442</v>
      </c>
      <c r="Q160">
        <v>360000</v>
      </c>
      <c r="R160" t="s">
        <v>237</v>
      </c>
    </row>
    <row r="161" spans="1:18" x14ac:dyDescent="0.25">
      <c r="A161" t="s">
        <v>3240</v>
      </c>
      <c r="B161">
        <v>2658</v>
      </c>
      <c r="C161" t="s">
        <v>487</v>
      </c>
      <c r="D161" t="s">
        <v>326</v>
      </c>
      <c r="E161" t="s">
        <v>229</v>
      </c>
      <c r="F161" t="s">
        <v>3241</v>
      </c>
      <c r="G161" s="25">
        <v>44317</v>
      </c>
      <c r="H161">
        <v>25</v>
      </c>
      <c r="I161">
        <v>121</v>
      </c>
      <c r="J161" t="s">
        <v>432</v>
      </c>
      <c r="K161" t="s">
        <v>488</v>
      </c>
      <c r="L161" t="s">
        <v>433</v>
      </c>
      <c r="M161" t="s">
        <v>434</v>
      </c>
      <c r="N161" t="s">
        <v>74</v>
      </c>
      <c r="O161" t="s">
        <v>435</v>
      </c>
      <c r="P161" t="s">
        <v>433</v>
      </c>
      <c r="Q161">
        <v>17700</v>
      </c>
      <c r="R161" t="s">
        <v>436</v>
      </c>
    </row>
    <row r="162" spans="1:18" x14ac:dyDescent="0.25">
      <c r="A162" t="s">
        <v>3242</v>
      </c>
      <c r="B162">
        <v>2504</v>
      </c>
      <c r="C162" t="s">
        <v>487</v>
      </c>
      <c r="D162" t="s">
        <v>247</v>
      </c>
      <c r="E162" t="s">
        <v>537</v>
      </c>
      <c r="F162" t="s">
        <v>3153</v>
      </c>
      <c r="G162" s="25">
        <v>44310</v>
      </c>
      <c r="H162">
        <v>23</v>
      </c>
      <c r="I162">
        <v>114</v>
      </c>
      <c r="J162" t="s">
        <v>432</v>
      </c>
      <c r="K162" t="s">
        <v>488</v>
      </c>
      <c r="L162" t="s">
        <v>433</v>
      </c>
      <c r="M162" t="s">
        <v>434</v>
      </c>
      <c r="N162" t="s">
        <v>74</v>
      </c>
      <c r="O162" t="s">
        <v>435</v>
      </c>
      <c r="P162" t="s">
        <v>433</v>
      </c>
      <c r="Q162">
        <v>20100</v>
      </c>
      <c r="R162" t="s">
        <v>436</v>
      </c>
    </row>
    <row r="163" spans="1:18" x14ac:dyDescent="0.25">
      <c r="A163" t="s">
        <v>2270</v>
      </c>
      <c r="B163">
        <v>1536</v>
      </c>
      <c r="C163" t="s">
        <v>487</v>
      </c>
      <c r="D163" t="s">
        <v>261</v>
      </c>
      <c r="E163" t="s">
        <v>239</v>
      </c>
      <c r="F163" t="s">
        <v>1703</v>
      </c>
      <c r="G163" s="25">
        <v>44266</v>
      </c>
      <c r="H163">
        <v>14</v>
      </c>
      <c r="I163">
        <v>70</v>
      </c>
      <c r="J163" t="s">
        <v>432</v>
      </c>
      <c r="K163" t="s">
        <v>488</v>
      </c>
      <c r="L163" t="s">
        <v>433</v>
      </c>
      <c r="M163" t="s">
        <v>434</v>
      </c>
      <c r="N163" t="s">
        <v>74</v>
      </c>
      <c r="O163" t="s">
        <v>435</v>
      </c>
      <c r="P163" t="s">
        <v>433</v>
      </c>
      <c r="Q163">
        <v>25800</v>
      </c>
      <c r="R163" t="s">
        <v>436</v>
      </c>
    </row>
    <row r="164" spans="1:18" x14ac:dyDescent="0.25">
      <c r="A164" t="s">
        <v>2491</v>
      </c>
      <c r="B164">
        <v>1294</v>
      </c>
      <c r="C164" t="s">
        <v>487</v>
      </c>
      <c r="D164" t="s">
        <v>256</v>
      </c>
      <c r="E164" t="s">
        <v>531</v>
      </c>
      <c r="F164" t="s">
        <v>1373</v>
      </c>
      <c r="G164" s="25">
        <v>44255</v>
      </c>
      <c r="H164">
        <v>12</v>
      </c>
      <c r="I164">
        <v>59</v>
      </c>
      <c r="J164" t="s">
        <v>432</v>
      </c>
      <c r="K164" t="s">
        <v>488</v>
      </c>
      <c r="L164" t="s">
        <v>433</v>
      </c>
      <c r="M164" t="s">
        <v>434</v>
      </c>
      <c r="N164" t="s">
        <v>74</v>
      </c>
      <c r="O164" t="s">
        <v>435</v>
      </c>
      <c r="P164" t="s">
        <v>433</v>
      </c>
      <c r="Q164">
        <v>39300</v>
      </c>
      <c r="R164" t="s">
        <v>436</v>
      </c>
    </row>
    <row r="165" spans="1:18" x14ac:dyDescent="0.25">
      <c r="A165" t="s">
        <v>661</v>
      </c>
      <c r="B165">
        <v>326</v>
      </c>
      <c r="C165" t="s">
        <v>487</v>
      </c>
      <c r="D165" t="s">
        <v>229</v>
      </c>
      <c r="E165" t="s">
        <v>575</v>
      </c>
      <c r="F165" t="s">
        <v>576</v>
      </c>
      <c r="G165" s="25">
        <v>44211</v>
      </c>
      <c r="H165">
        <v>3</v>
      </c>
      <c r="I165">
        <v>15</v>
      </c>
      <c r="J165" t="s">
        <v>432</v>
      </c>
      <c r="K165" t="s">
        <v>488</v>
      </c>
      <c r="L165" t="s">
        <v>433</v>
      </c>
      <c r="M165" t="s">
        <v>434</v>
      </c>
      <c r="N165" t="s">
        <v>74</v>
      </c>
      <c r="O165" t="s">
        <v>435</v>
      </c>
      <c r="P165" t="s">
        <v>433</v>
      </c>
      <c r="Q165">
        <v>3600</v>
      </c>
      <c r="R165" t="s">
        <v>436</v>
      </c>
    </row>
    <row r="166" spans="1:18" x14ac:dyDescent="0.25">
      <c r="A166" t="s">
        <v>3243</v>
      </c>
      <c r="B166">
        <v>2478</v>
      </c>
      <c r="C166" t="s">
        <v>487</v>
      </c>
      <c r="D166" t="s">
        <v>247</v>
      </c>
      <c r="E166" t="s">
        <v>512</v>
      </c>
      <c r="F166" t="s">
        <v>3146</v>
      </c>
      <c r="G166" s="25">
        <v>44309</v>
      </c>
      <c r="H166">
        <v>23</v>
      </c>
      <c r="I166">
        <v>113</v>
      </c>
      <c r="J166" t="s">
        <v>432</v>
      </c>
      <c r="K166" t="s">
        <v>489</v>
      </c>
      <c r="L166" t="s">
        <v>134</v>
      </c>
      <c r="M166" t="s">
        <v>434</v>
      </c>
      <c r="N166" t="s">
        <v>67</v>
      </c>
      <c r="O166" t="s">
        <v>235</v>
      </c>
      <c r="P166" t="s">
        <v>437</v>
      </c>
      <c r="Q166">
        <v>294875</v>
      </c>
      <c r="R166" t="s">
        <v>237</v>
      </c>
    </row>
    <row r="167" spans="1:18" x14ac:dyDescent="0.25">
      <c r="A167" t="s">
        <v>3244</v>
      </c>
      <c r="B167">
        <v>2214</v>
      </c>
      <c r="C167" t="s">
        <v>487</v>
      </c>
      <c r="D167" t="s">
        <v>247</v>
      </c>
      <c r="E167" t="s">
        <v>229</v>
      </c>
      <c r="F167" t="s">
        <v>3063</v>
      </c>
      <c r="G167" s="25">
        <v>44297</v>
      </c>
      <c r="H167">
        <v>21</v>
      </c>
      <c r="I167">
        <v>101</v>
      </c>
      <c r="J167" t="s">
        <v>432</v>
      </c>
      <c r="K167" t="s">
        <v>489</v>
      </c>
      <c r="L167" t="s">
        <v>134</v>
      </c>
      <c r="M167" t="s">
        <v>434</v>
      </c>
      <c r="N167" t="s">
        <v>67</v>
      </c>
      <c r="O167" t="s">
        <v>235</v>
      </c>
      <c r="P167" t="s">
        <v>437</v>
      </c>
      <c r="Q167">
        <v>382625</v>
      </c>
      <c r="R167" t="s">
        <v>237</v>
      </c>
    </row>
    <row r="168" spans="1:18" x14ac:dyDescent="0.25">
      <c r="A168" t="s">
        <v>3245</v>
      </c>
      <c r="B168">
        <v>2170</v>
      </c>
      <c r="C168" t="s">
        <v>487</v>
      </c>
      <c r="D168" t="s">
        <v>322</v>
      </c>
      <c r="E168" t="s">
        <v>531</v>
      </c>
      <c r="F168" t="s">
        <v>3056</v>
      </c>
      <c r="G168" s="25">
        <v>44295</v>
      </c>
      <c r="H168">
        <v>20</v>
      </c>
      <c r="I168">
        <v>99</v>
      </c>
      <c r="J168" t="s">
        <v>432</v>
      </c>
      <c r="K168" t="s">
        <v>489</v>
      </c>
      <c r="L168" t="s">
        <v>134</v>
      </c>
      <c r="M168" t="s">
        <v>434</v>
      </c>
      <c r="N168" t="s">
        <v>67</v>
      </c>
      <c r="O168" t="s">
        <v>235</v>
      </c>
      <c r="P168" t="s">
        <v>437</v>
      </c>
      <c r="Q168">
        <v>422875</v>
      </c>
      <c r="R168" t="s">
        <v>237</v>
      </c>
    </row>
    <row r="169" spans="1:18" x14ac:dyDescent="0.25">
      <c r="A169" t="s">
        <v>3246</v>
      </c>
      <c r="B169">
        <v>1972</v>
      </c>
      <c r="C169" t="s">
        <v>487</v>
      </c>
      <c r="D169" t="s">
        <v>322</v>
      </c>
      <c r="E169" t="s">
        <v>239</v>
      </c>
      <c r="F169" t="s">
        <v>2979</v>
      </c>
      <c r="G169" s="25">
        <v>44286</v>
      </c>
      <c r="H169">
        <v>18</v>
      </c>
      <c r="I169">
        <v>90</v>
      </c>
      <c r="J169" t="s">
        <v>432</v>
      </c>
      <c r="K169" t="s">
        <v>489</v>
      </c>
      <c r="L169" t="s">
        <v>134</v>
      </c>
      <c r="M169" t="s">
        <v>434</v>
      </c>
      <c r="N169" t="s">
        <v>67</v>
      </c>
      <c r="O169" t="s">
        <v>235</v>
      </c>
      <c r="P169" t="s">
        <v>437</v>
      </c>
      <c r="Q169">
        <v>499500</v>
      </c>
      <c r="R169" t="s">
        <v>237</v>
      </c>
    </row>
    <row r="170" spans="1:18" x14ac:dyDescent="0.25">
      <c r="A170" t="s">
        <v>1907</v>
      </c>
      <c r="B170">
        <v>1312</v>
      </c>
      <c r="C170" t="s">
        <v>487</v>
      </c>
      <c r="D170" t="s">
        <v>256</v>
      </c>
      <c r="E170" t="s">
        <v>408</v>
      </c>
      <c r="F170" t="s">
        <v>1383</v>
      </c>
      <c r="G170" s="25">
        <v>44256</v>
      </c>
      <c r="H170">
        <v>12</v>
      </c>
      <c r="I170">
        <v>60</v>
      </c>
      <c r="J170" t="s">
        <v>432</v>
      </c>
      <c r="K170" t="s">
        <v>489</v>
      </c>
      <c r="L170" t="s">
        <v>134</v>
      </c>
      <c r="M170" t="s">
        <v>434</v>
      </c>
      <c r="N170" t="s">
        <v>67</v>
      </c>
      <c r="O170" t="s">
        <v>235</v>
      </c>
      <c r="P170" t="s">
        <v>437</v>
      </c>
      <c r="Q170">
        <v>344000</v>
      </c>
      <c r="R170" t="s">
        <v>237</v>
      </c>
    </row>
    <row r="171" spans="1:18" x14ac:dyDescent="0.25">
      <c r="A171" t="s">
        <v>3247</v>
      </c>
      <c r="B171">
        <v>2093</v>
      </c>
      <c r="C171" t="s">
        <v>487</v>
      </c>
      <c r="D171" t="s">
        <v>322</v>
      </c>
      <c r="E171" t="s">
        <v>620</v>
      </c>
      <c r="F171" t="s">
        <v>3025</v>
      </c>
      <c r="G171" s="25">
        <v>44292</v>
      </c>
      <c r="H171">
        <v>20</v>
      </c>
      <c r="I171">
        <v>96</v>
      </c>
      <c r="J171" t="s">
        <v>231</v>
      </c>
      <c r="K171" t="s">
        <v>509</v>
      </c>
      <c r="L171" t="s">
        <v>45</v>
      </c>
      <c r="M171" t="s">
        <v>234</v>
      </c>
      <c r="N171" t="s">
        <v>44</v>
      </c>
      <c r="O171" t="s">
        <v>21</v>
      </c>
      <c r="P171" t="s">
        <v>304</v>
      </c>
      <c r="Q171">
        <v>0</v>
      </c>
      <c r="R171" t="s">
        <v>237</v>
      </c>
    </row>
    <row r="172" spans="1:18" x14ac:dyDescent="0.25">
      <c r="A172" t="s">
        <v>1759</v>
      </c>
      <c r="B172">
        <v>575</v>
      </c>
      <c r="C172" t="s">
        <v>487</v>
      </c>
      <c r="D172" t="s">
        <v>231</v>
      </c>
      <c r="E172" t="s">
        <v>326</v>
      </c>
      <c r="F172" t="s">
        <v>1095</v>
      </c>
      <c r="G172" s="25">
        <v>44223</v>
      </c>
      <c r="H172">
        <v>6</v>
      </c>
      <c r="I172">
        <v>27</v>
      </c>
      <c r="J172" t="s">
        <v>231</v>
      </c>
      <c r="K172" t="s">
        <v>509</v>
      </c>
      <c r="L172" t="s">
        <v>45</v>
      </c>
      <c r="M172" t="s">
        <v>234</v>
      </c>
      <c r="N172" t="s">
        <v>44</v>
      </c>
      <c r="O172" t="s">
        <v>21</v>
      </c>
      <c r="P172" t="s">
        <v>304</v>
      </c>
      <c r="Q172">
        <v>0</v>
      </c>
      <c r="R172" t="s">
        <v>237</v>
      </c>
    </row>
    <row r="173" spans="1:18" x14ac:dyDescent="0.25">
      <c r="A173" t="s">
        <v>551</v>
      </c>
      <c r="B173">
        <v>377</v>
      </c>
      <c r="C173" t="s">
        <v>487</v>
      </c>
      <c r="D173" t="s">
        <v>229</v>
      </c>
      <c r="E173" t="s">
        <v>552</v>
      </c>
      <c r="F173" t="s">
        <v>553</v>
      </c>
      <c r="G173" s="25">
        <v>44214</v>
      </c>
      <c r="H173">
        <v>4</v>
      </c>
      <c r="I173">
        <v>18</v>
      </c>
      <c r="J173" t="s">
        <v>231</v>
      </c>
      <c r="K173" t="s">
        <v>509</v>
      </c>
      <c r="L173" t="s">
        <v>45</v>
      </c>
      <c r="M173" t="s">
        <v>234</v>
      </c>
      <c r="N173" t="s">
        <v>44</v>
      </c>
      <c r="O173" t="s">
        <v>21</v>
      </c>
      <c r="P173" t="s">
        <v>304</v>
      </c>
      <c r="Q173">
        <v>16625</v>
      </c>
      <c r="R173" t="s">
        <v>237</v>
      </c>
    </row>
    <row r="174" spans="1:18" x14ac:dyDescent="0.25">
      <c r="A174" t="s">
        <v>554</v>
      </c>
      <c r="B174">
        <v>223</v>
      </c>
      <c r="C174" t="s">
        <v>487</v>
      </c>
      <c r="D174" t="s">
        <v>229</v>
      </c>
      <c r="E174" t="s">
        <v>515</v>
      </c>
      <c r="F174" t="s">
        <v>516</v>
      </c>
      <c r="G174" s="25">
        <v>44207</v>
      </c>
      <c r="H174">
        <v>3</v>
      </c>
      <c r="I174">
        <v>11</v>
      </c>
      <c r="J174" t="s">
        <v>231</v>
      </c>
      <c r="K174" t="s">
        <v>509</v>
      </c>
      <c r="L174" t="s">
        <v>45</v>
      </c>
      <c r="M174" t="s">
        <v>234</v>
      </c>
      <c r="N174" t="s">
        <v>44</v>
      </c>
      <c r="O174" t="s">
        <v>21</v>
      </c>
      <c r="P174" t="s">
        <v>304</v>
      </c>
      <c r="Q174">
        <v>0</v>
      </c>
      <c r="R174" t="s">
        <v>237</v>
      </c>
    </row>
    <row r="175" spans="1:18" x14ac:dyDescent="0.25">
      <c r="A175" t="s">
        <v>2284</v>
      </c>
      <c r="B175">
        <v>775</v>
      </c>
      <c r="C175" t="s">
        <v>487</v>
      </c>
      <c r="D175" t="s">
        <v>231</v>
      </c>
      <c r="E175" t="s">
        <v>620</v>
      </c>
      <c r="F175" t="s">
        <v>1215</v>
      </c>
      <c r="G175" s="25">
        <v>44232</v>
      </c>
      <c r="H175">
        <v>8</v>
      </c>
      <c r="I175">
        <v>36</v>
      </c>
      <c r="J175" t="s">
        <v>231</v>
      </c>
      <c r="K175" t="s">
        <v>507</v>
      </c>
      <c r="L175" t="s">
        <v>49</v>
      </c>
      <c r="M175" t="s">
        <v>234</v>
      </c>
      <c r="N175" t="s">
        <v>48</v>
      </c>
      <c r="O175" t="s">
        <v>21</v>
      </c>
      <c r="P175" t="s">
        <v>413</v>
      </c>
      <c r="Q175">
        <v>0</v>
      </c>
      <c r="R175" t="s">
        <v>237</v>
      </c>
    </row>
    <row r="176" spans="1:18" x14ac:dyDescent="0.25">
      <c r="A176" t="s">
        <v>1560</v>
      </c>
      <c r="B176">
        <v>467</v>
      </c>
      <c r="C176" t="s">
        <v>487</v>
      </c>
      <c r="D176" t="s">
        <v>231</v>
      </c>
      <c r="E176" t="s">
        <v>231</v>
      </c>
      <c r="F176" t="s">
        <v>1080</v>
      </c>
      <c r="G176" s="25">
        <v>44218</v>
      </c>
      <c r="H176">
        <v>5</v>
      </c>
      <c r="I176">
        <v>22</v>
      </c>
      <c r="J176" t="s">
        <v>231</v>
      </c>
      <c r="K176" t="s">
        <v>507</v>
      </c>
      <c r="L176" t="s">
        <v>49</v>
      </c>
      <c r="M176" t="s">
        <v>234</v>
      </c>
      <c r="N176" t="s">
        <v>48</v>
      </c>
      <c r="O176" t="s">
        <v>21</v>
      </c>
      <c r="P176" t="s">
        <v>413</v>
      </c>
      <c r="Q176">
        <v>0</v>
      </c>
      <c r="R176" t="s">
        <v>237</v>
      </c>
    </row>
    <row r="177" spans="1:18" x14ac:dyDescent="0.25">
      <c r="A177" t="s">
        <v>676</v>
      </c>
      <c r="B177">
        <v>159</v>
      </c>
      <c r="C177" t="s">
        <v>487</v>
      </c>
      <c r="D177" t="s">
        <v>229</v>
      </c>
      <c r="E177" t="s">
        <v>381</v>
      </c>
      <c r="F177" t="s">
        <v>518</v>
      </c>
      <c r="G177" s="25">
        <v>44204</v>
      </c>
      <c r="H177">
        <v>2</v>
      </c>
      <c r="I177">
        <v>8</v>
      </c>
      <c r="J177" t="s">
        <v>231</v>
      </c>
      <c r="K177" t="s">
        <v>507</v>
      </c>
      <c r="L177" t="s">
        <v>49</v>
      </c>
      <c r="M177" t="s">
        <v>234</v>
      </c>
      <c r="N177" t="s">
        <v>48</v>
      </c>
      <c r="O177" t="s">
        <v>21</v>
      </c>
      <c r="P177" t="s">
        <v>413</v>
      </c>
      <c r="Q177">
        <v>0</v>
      </c>
      <c r="R177" t="s">
        <v>237</v>
      </c>
    </row>
    <row r="178" spans="1:18" x14ac:dyDescent="0.25">
      <c r="A178" t="s">
        <v>3248</v>
      </c>
      <c r="B178">
        <v>2337</v>
      </c>
      <c r="C178" t="s">
        <v>487</v>
      </c>
      <c r="D178" t="s">
        <v>247</v>
      </c>
      <c r="E178" t="s">
        <v>326</v>
      </c>
      <c r="F178" t="s">
        <v>3091</v>
      </c>
      <c r="G178" s="25">
        <v>44303</v>
      </c>
      <c r="H178">
        <v>22</v>
      </c>
      <c r="I178">
        <v>107</v>
      </c>
      <c r="J178" t="s">
        <v>231</v>
      </c>
      <c r="K178" t="s">
        <v>507</v>
      </c>
      <c r="L178" t="s">
        <v>49</v>
      </c>
      <c r="M178" t="s">
        <v>234</v>
      </c>
      <c r="N178" t="s">
        <v>48</v>
      </c>
      <c r="O178" t="s">
        <v>21</v>
      </c>
      <c r="P178" t="s">
        <v>413</v>
      </c>
      <c r="Q178">
        <v>0</v>
      </c>
      <c r="R178" t="s">
        <v>237</v>
      </c>
    </row>
    <row r="179" spans="1:18" x14ac:dyDescent="0.25">
      <c r="A179" t="s">
        <v>3249</v>
      </c>
      <c r="B179">
        <v>1985</v>
      </c>
      <c r="C179" t="s">
        <v>487</v>
      </c>
      <c r="D179" t="s">
        <v>322</v>
      </c>
      <c r="E179" t="s">
        <v>515</v>
      </c>
      <c r="F179" t="s">
        <v>2983</v>
      </c>
      <c r="G179" s="25">
        <v>44287</v>
      </c>
      <c r="H179">
        <v>19</v>
      </c>
      <c r="I179">
        <v>91</v>
      </c>
      <c r="J179" t="s">
        <v>231</v>
      </c>
      <c r="K179" t="s">
        <v>507</v>
      </c>
      <c r="L179" t="s">
        <v>49</v>
      </c>
      <c r="M179" t="s">
        <v>234</v>
      </c>
      <c r="N179" t="s">
        <v>48</v>
      </c>
      <c r="O179" t="s">
        <v>21</v>
      </c>
      <c r="P179" t="s">
        <v>413</v>
      </c>
      <c r="Q179">
        <v>0</v>
      </c>
      <c r="R179" t="s">
        <v>237</v>
      </c>
    </row>
    <row r="180" spans="1:18" x14ac:dyDescent="0.25">
      <c r="A180" t="s">
        <v>2335</v>
      </c>
      <c r="B180">
        <v>1369</v>
      </c>
      <c r="C180" t="s">
        <v>487</v>
      </c>
      <c r="D180" t="s">
        <v>261</v>
      </c>
      <c r="E180" t="s">
        <v>256</v>
      </c>
      <c r="F180" t="s">
        <v>1402</v>
      </c>
      <c r="G180" s="25">
        <v>44259</v>
      </c>
      <c r="H180">
        <v>13</v>
      </c>
      <c r="I180">
        <v>63</v>
      </c>
      <c r="J180" t="s">
        <v>231</v>
      </c>
      <c r="K180" t="s">
        <v>507</v>
      </c>
      <c r="L180" t="s">
        <v>49</v>
      </c>
      <c r="M180" t="s">
        <v>234</v>
      </c>
      <c r="N180" t="s">
        <v>48</v>
      </c>
      <c r="O180" t="s">
        <v>21</v>
      </c>
      <c r="P180" t="s">
        <v>413</v>
      </c>
      <c r="Q180">
        <v>0</v>
      </c>
      <c r="R180" t="s">
        <v>237</v>
      </c>
    </row>
    <row r="181" spans="1:18" x14ac:dyDescent="0.25">
      <c r="A181" t="s">
        <v>782</v>
      </c>
      <c r="B181">
        <v>402</v>
      </c>
      <c r="C181" t="s">
        <v>487</v>
      </c>
      <c r="D181" t="s">
        <v>229</v>
      </c>
      <c r="E181" t="s">
        <v>531</v>
      </c>
      <c r="F181" t="s">
        <v>532</v>
      </c>
      <c r="G181" s="25">
        <v>44215</v>
      </c>
      <c r="H181">
        <v>4</v>
      </c>
      <c r="I181">
        <v>19</v>
      </c>
      <c r="J181" t="s">
        <v>231</v>
      </c>
      <c r="K181" t="s">
        <v>506</v>
      </c>
      <c r="L181" t="s">
        <v>414</v>
      </c>
      <c r="M181" t="s">
        <v>234</v>
      </c>
      <c r="N181" t="s">
        <v>50</v>
      </c>
      <c r="O181" t="s">
        <v>21</v>
      </c>
      <c r="P181" t="s">
        <v>411</v>
      </c>
      <c r="Q181">
        <v>0</v>
      </c>
      <c r="R181" t="s">
        <v>237</v>
      </c>
    </row>
    <row r="182" spans="1:18" x14ac:dyDescent="0.25">
      <c r="A182" t="s">
        <v>3250</v>
      </c>
      <c r="B182">
        <v>2580</v>
      </c>
      <c r="C182" t="s">
        <v>487</v>
      </c>
      <c r="D182" t="s">
        <v>247</v>
      </c>
      <c r="E182" t="s">
        <v>552</v>
      </c>
      <c r="F182" t="s">
        <v>3170</v>
      </c>
      <c r="G182" s="25">
        <v>44314</v>
      </c>
      <c r="H182">
        <v>24</v>
      </c>
      <c r="I182">
        <v>118</v>
      </c>
      <c r="J182" t="s">
        <v>231</v>
      </c>
      <c r="K182" t="s">
        <v>506</v>
      </c>
      <c r="L182" t="s">
        <v>414</v>
      </c>
      <c r="M182" t="s">
        <v>234</v>
      </c>
      <c r="N182" t="s">
        <v>50</v>
      </c>
      <c r="O182" t="s">
        <v>21</v>
      </c>
      <c r="P182" t="s">
        <v>411</v>
      </c>
      <c r="Q182">
        <v>0</v>
      </c>
      <c r="R182" t="s">
        <v>237</v>
      </c>
    </row>
    <row r="183" spans="1:18" x14ac:dyDescent="0.25">
      <c r="A183" t="s">
        <v>2088</v>
      </c>
      <c r="B183">
        <v>1612</v>
      </c>
      <c r="C183" t="s">
        <v>487</v>
      </c>
      <c r="D183" t="s">
        <v>261</v>
      </c>
      <c r="E183" t="s">
        <v>537</v>
      </c>
      <c r="F183" t="s">
        <v>1530</v>
      </c>
      <c r="G183" s="25">
        <v>44270</v>
      </c>
      <c r="H183">
        <v>15</v>
      </c>
      <c r="I183">
        <v>74</v>
      </c>
      <c r="J183" t="s">
        <v>231</v>
      </c>
      <c r="K183" t="s">
        <v>506</v>
      </c>
      <c r="L183" t="s">
        <v>414</v>
      </c>
      <c r="M183" t="s">
        <v>234</v>
      </c>
      <c r="N183" t="s">
        <v>50</v>
      </c>
      <c r="O183" t="s">
        <v>21</v>
      </c>
      <c r="P183" t="s">
        <v>411</v>
      </c>
      <c r="Q183">
        <v>0</v>
      </c>
      <c r="R183" t="s">
        <v>237</v>
      </c>
    </row>
    <row r="184" spans="1:18" x14ac:dyDescent="0.25">
      <c r="A184" t="s">
        <v>1641</v>
      </c>
      <c r="B184">
        <v>864</v>
      </c>
      <c r="C184" t="s">
        <v>487</v>
      </c>
      <c r="D184" t="s">
        <v>231</v>
      </c>
      <c r="E184" t="s">
        <v>408</v>
      </c>
      <c r="F184" t="s">
        <v>1234</v>
      </c>
      <c r="G184" s="25">
        <v>44236</v>
      </c>
      <c r="H184">
        <v>8</v>
      </c>
      <c r="I184">
        <v>40</v>
      </c>
      <c r="J184" t="s">
        <v>231</v>
      </c>
      <c r="K184" t="s">
        <v>506</v>
      </c>
      <c r="L184" t="s">
        <v>414</v>
      </c>
      <c r="M184" t="s">
        <v>234</v>
      </c>
      <c r="N184" t="s">
        <v>50</v>
      </c>
      <c r="O184" t="s">
        <v>21</v>
      </c>
      <c r="P184" t="s">
        <v>411</v>
      </c>
      <c r="Q184">
        <v>0</v>
      </c>
      <c r="R184" t="s">
        <v>237</v>
      </c>
    </row>
    <row r="185" spans="1:18" x14ac:dyDescent="0.25">
      <c r="A185" t="s">
        <v>684</v>
      </c>
      <c r="B185">
        <v>353</v>
      </c>
      <c r="C185" t="s">
        <v>487</v>
      </c>
      <c r="D185" t="s">
        <v>229</v>
      </c>
      <c r="E185" t="s">
        <v>534</v>
      </c>
      <c r="F185" t="s">
        <v>535</v>
      </c>
      <c r="G185" s="25">
        <v>44213</v>
      </c>
      <c r="H185">
        <v>4</v>
      </c>
      <c r="I185">
        <v>17</v>
      </c>
      <c r="J185" t="s">
        <v>231</v>
      </c>
      <c r="K185" t="s">
        <v>505</v>
      </c>
      <c r="L185" t="s">
        <v>41</v>
      </c>
      <c r="M185" t="s">
        <v>234</v>
      </c>
      <c r="N185" t="s">
        <v>40</v>
      </c>
      <c r="O185" t="s">
        <v>21</v>
      </c>
      <c r="P185" t="s">
        <v>266</v>
      </c>
      <c r="Q185">
        <v>0</v>
      </c>
      <c r="R185" t="s">
        <v>237</v>
      </c>
    </row>
    <row r="186" spans="1:18" x14ac:dyDescent="0.25">
      <c r="A186" t="s">
        <v>3251</v>
      </c>
      <c r="B186">
        <v>2531</v>
      </c>
      <c r="C186" t="s">
        <v>487</v>
      </c>
      <c r="D186" t="s">
        <v>247</v>
      </c>
      <c r="E186" t="s">
        <v>620</v>
      </c>
      <c r="F186" t="s">
        <v>3162</v>
      </c>
      <c r="G186" s="25">
        <v>44312</v>
      </c>
      <c r="H186">
        <v>24</v>
      </c>
      <c r="I186">
        <v>116</v>
      </c>
      <c r="J186" t="s">
        <v>231</v>
      </c>
      <c r="K186" t="s">
        <v>505</v>
      </c>
      <c r="L186" t="s">
        <v>41</v>
      </c>
      <c r="M186" t="s">
        <v>234</v>
      </c>
      <c r="N186" t="s">
        <v>40</v>
      </c>
      <c r="O186" t="s">
        <v>21</v>
      </c>
      <c r="P186" t="s">
        <v>266</v>
      </c>
      <c r="Q186">
        <v>0</v>
      </c>
      <c r="R186" t="s">
        <v>237</v>
      </c>
    </row>
    <row r="187" spans="1:18" x14ac:dyDescent="0.25">
      <c r="A187" t="s">
        <v>3252</v>
      </c>
      <c r="B187">
        <v>2289</v>
      </c>
      <c r="C187" t="s">
        <v>487</v>
      </c>
      <c r="D187" t="s">
        <v>247</v>
      </c>
      <c r="E187" t="s">
        <v>322</v>
      </c>
      <c r="F187" t="s">
        <v>3083</v>
      </c>
      <c r="G187" s="25">
        <v>44301</v>
      </c>
      <c r="H187">
        <v>21</v>
      </c>
      <c r="I187">
        <v>105</v>
      </c>
      <c r="J187" t="s">
        <v>231</v>
      </c>
      <c r="K187" t="s">
        <v>505</v>
      </c>
      <c r="L187" t="s">
        <v>41</v>
      </c>
      <c r="M187" t="s">
        <v>234</v>
      </c>
      <c r="N187" t="s">
        <v>40</v>
      </c>
      <c r="O187" t="s">
        <v>21</v>
      </c>
      <c r="P187" t="s">
        <v>266</v>
      </c>
      <c r="Q187">
        <v>24000</v>
      </c>
      <c r="R187" t="s">
        <v>237</v>
      </c>
    </row>
    <row r="188" spans="1:18" x14ac:dyDescent="0.25">
      <c r="A188" t="s">
        <v>3253</v>
      </c>
      <c r="B188">
        <v>1915</v>
      </c>
      <c r="C188" t="s">
        <v>487</v>
      </c>
      <c r="D188" t="s">
        <v>322</v>
      </c>
      <c r="E188" t="s">
        <v>381</v>
      </c>
      <c r="F188" t="s">
        <v>2971</v>
      </c>
      <c r="G188" s="25">
        <v>44284</v>
      </c>
      <c r="H188">
        <v>18</v>
      </c>
      <c r="I188">
        <v>88</v>
      </c>
      <c r="J188" t="s">
        <v>231</v>
      </c>
      <c r="K188" t="s">
        <v>505</v>
      </c>
      <c r="L188" t="s">
        <v>41</v>
      </c>
      <c r="M188" t="s">
        <v>234</v>
      </c>
      <c r="N188" t="s">
        <v>40</v>
      </c>
      <c r="O188" t="s">
        <v>21</v>
      </c>
      <c r="P188" t="s">
        <v>266</v>
      </c>
      <c r="Q188">
        <v>0</v>
      </c>
      <c r="R188" t="s">
        <v>237</v>
      </c>
    </row>
    <row r="189" spans="1:18" x14ac:dyDescent="0.25">
      <c r="A189" t="s">
        <v>2604</v>
      </c>
      <c r="B189">
        <v>727</v>
      </c>
      <c r="C189" t="s">
        <v>487</v>
      </c>
      <c r="D189" t="s">
        <v>231</v>
      </c>
      <c r="E189" t="s">
        <v>537</v>
      </c>
      <c r="F189" t="s">
        <v>1192</v>
      </c>
      <c r="G189" s="25">
        <v>44230</v>
      </c>
      <c r="H189">
        <v>7</v>
      </c>
      <c r="I189">
        <v>34</v>
      </c>
      <c r="J189" t="s">
        <v>231</v>
      </c>
      <c r="K189" t="s">
        <v>505</v>
      </c>
      <c r="L189" t="s">
        <v>41</v>
      </c>
      <c r="M189" t="s">
        <v>234</v>
      </c>
      <c r="N189" t="s">
        <v>40</v>
      </c>
      <c r="O189" t="s">
        <v>21</v>
      </c>
      <c r="P189" t="s">
        <v>266</v>
      </c>
      <c r="Q189">
        <v>0</v>
      </c>
      <c r="R189" t="s">
        <v>237</v>
      </c>
    </row>
    <row r="190" spans="1:18" x14ac:dyDescent="0.25">
      <c r="A190" t="s">
        <v>3254</v>
      </c>
      <c r="B190">
        <v>2004</v>
      </c>
      <c r="C190" t="s">
        <v>487</v>
      </c>
      <c r="D190" t="s">
        <v>322</v>
      </c>
      <c r="E190" t="s">
        <v>232</v>
      </c>
      <c r="F190" t="s">
        <v>2987</v>
      </c>
      <c r="G190" s="25">
        <v>44288</v>
      </c>
      <c r="H190">
        <v>19</v>
      </c>
      <c r="I190">
        <v>92</v>
      </c>
      <c r="J190" t="s">
        <v>231</v>
      </c>
      <c r="K190" t="s">
        <v>504</v>
      </c>
      <c r="L190" t="s">
        <v>43</v>
      </c>
      <c r="M190" t="s">
        <v>234</v>
      </c>
      <c r="N190" t="s">
        <v>42</v>
      </c>
      <c r="O190" t="s">
        <v>21</v>
      </c>
      <c r="P190" t="s">
        <v>236</v>
      </c>
      <c r="Q190">
        <v>0</v>
      </c>
      <c r="R190" t="s">
        <v>237</v>
      </c>
    </row>
    <row r="191" spans="1:18" x14ac:dyDescent="0.25">
      <c r="A191" t="s">
        <v>1729</v>
      </c>
      <c r="B191">
        <v>1102</v>
      </c>
      <c r="C191" t="s">
        <v>487</v>
      </c>
      <c r="D191" t="s">
        <v>256</v>
      </c>
      <c r="E191" t="s">
        <v>515</v>
      </c>
      <c r="F191" t="s">
        <v>1329</v>
      </c>
      <c r="G191" s="25">
        <v>44247</v>
      </c>
      <c r="H191">
        <v>11</v>
      </c>
      <c r="I191">
        <v>51</v>
      </c>
      <c r="J191" t="s">
        <v>231</v>
      </c>
      <c r="K191" t="s">
        <v>504</v>
      </c>
      <c r="L191" t="s">
        <v>43</v>
      </c>
      <c r="M191" t="s">
        <v>234</v>
      </c>
      <c r="N191" t="s">
        <v>42</v>
      </c>
      <c r="O191" t="s">
        <v>21</v>
      </c>
      <c r="P191" t="s">
        <v>236</v>
      </c>
      <c r="Q191">
        <v>0</v>
      </c>
      <c r="R191" t="s">
        <v>237</v>
      </c>
    </row>
    <row r="192" spans="1:18" x14ac:dyDescent="0.25">
      <c r="A192" t="s">
        <v>1730</v>
      </c>
      <c r="B192">
        <v>794</v>
      </c>
      <c r="C192" t="s">
        <v>487</v>
      </c>
      <c r="D192" t="s">
        <v>231</v>
      </c>
      <c r="E192" t="s">
        <v>534</v>
      </c>
      <c r="F192" t="s">
        <v>1731</v>
      </c>
      <c r="G192" s="25">
        <v>44233</v>
      </c>
      <c r="H192">
        <v>8</v>
      </c>
      <c r="I192">
        <v>37</v>
      </c>
      <c r="J192" t="s">
        <v>231</v>
      </c>
      <c r="K192" t="s">
        <v>504</v>
      </c>
      <c r="L192" t="s">
        <v>43</v>
      </c>
      <c r="M192" t="s">
        <v>234</v>
      </c>
      <c r="N192" t="s">
        <v>42</v>
      </c>
      <c r="O192" t="s">
        <v>21</v>
      </c>
      <c r="P192" t="s">
        <v>236</v>
      </c>
      <c r="Q192">
        <v>2184</v>
      </c>
      <c r="R192" t="s">
        <v>237</v>
      </c>
    </row>
    <row r="193" spans="1:18" x14ac:dyDescent="0.25">
      <c r="A193" t="s">
        <v>1603</v>
      </c>
      <c r="B193">
        <v>486</v>
      </c>
      <c r="C193" t="s">
        <v>487</v>
      </c>
      <c r="D193" t="s">
        <v>231</v>
      </c>
      <c r="E193" t="s">
        <v>256</v>
      </c>
      <c r="F193" t="s">
        <v>1064</v>
      </c>
      <c r="G193" s="25">
        <v>44219</v>
      </c>
      <c r="H193">
        <v>5</v>
      </c>
      <c r="I193">
        <v>23</v>
      </c>
      <c r="J193" t="s">
        <v>231</v>
      </c>
      <c r="K193" t="s">
        <v>504</v>
      </c>
      <c r="L193" t="s">
        <v>43</v>
      </c>
      <c r="M193" t="s">
        <v>234</v>
      </c>
      <c r="N193" t="s">
        <v>42</v>
      </c>
      <c r="O193" t="s">
        <v>21</v>
      </c>
      <c r="P193" t="s">
        <v>236</v>
      </c>
      <c r="Q193">
        <v>0</v>
      </c>
      <c r="R193" t="s">
        <v>237</v>
      </c>
    </row>
    <row r="194" spans="1:18" x14ac:dyDescent="0.25">
      <c r="A194" t="s">
        <v>794</v>
      </c>
      <c r="B194">
        <v>178</v>
      </c>
      <c r="C194" t="s">
        <v>487</v>
      </c>
      <c r="D194" t="s">
        <v>229</v>
      </c>
      <c r="E194" t="s">
        <v>371</v>
      </c>
      <c r="F194" t="s">
        <v>557</v>
      </c>
      <c r="G194" s="25">
        <v>44205</v>
      </c>
      <c r="H194">
        <v>2</v>
      </c>
      <c r="I194">
        <v>9</v>
      </c>
      <c r="J194" t="s">
        <v>231</v>
      </c>
      <c r="K194" t="s">
        <v>504</v>
      </c>
      <c r="L194" t="s">
        <v>43</v>
      </c>
      <c r="M194" t="s">
        <v>234</v>
      </c>
      <c r="N194" t="s">
        <v>42</v>
      </c>
      <c r="O194" t="s">
        <v>21</v>
      </c>
      <c r="P194" t="s">
        <v>236</v>
      </c>
      <c r="Q194">
        <v>0</v>
      </c>
      <c r="R194" t="s">
        <v>237</v>
      </c>
    </row>
    <row r="195" spans="1:18" x14ac:dyDescent="0.25">
      <c r="A195" t="s">
        <v>2392</v>
      </c>
      <c r="B195">
        <v>1615</v>
      </c>
      <c r="C195" t="s">
        <v>487</v>
      </c>
      <c r="D195" t="s">
        <v>261</v>
      </c>
      <c r="E195" t="s">
        <v>537</v>
      </c>
      <c r="F195" t="s">
        <v>1530</v>
      </c>
      <c r="G195" s="25">
        <v>44270</v>
      </c>
      <c r="H195">
        <v>15</v>
      </c>
      <c r="I195">
        <v>74</v>
      </c>
      <c r="J195" t="s">
        <v>231</v>
      </c>
      <c r="K195" t="s">
        <v>503</v>
      </c>
      <c r="L195" t="s">
        <v>303</v>
      </c>
      <c r="M195" t="s">
        <v>234</v>
      </c>
      <c r="N195" t="s">
        <v>56</v>
      </c>
      <c r="O195" t="s">
        <v>235</v>
      </c>
      <c r="P195" t="s">
        <v>304</v>
      </c>
      <c r="Q195">
        <v>0</v>
      </c>
      <c r="R195" t="s">
        <v>237</v>
      </c>
    </row>
    <row r="196" spans="1:18" x14ac:dyDescent="0.25">
      <c r="A196" t="s">
        <v>2551</v>
      </c>
      <c r="B196">
        <v>867</v>
      </c>
      <c r="C196" t="s">
        <v>487</v>
      </c>
      <c r="D196" t="s">
        <v>231</v>
      </c>
      <c r="E196" t="s">
        <v>408</v>
      </c>
      <c r="F196" t="s">
        <v>1234</v>
      </c>
      <c r="G196" s="25">
        <v>44236</v>
      </c>
      <c r="H196">
        <v>8</v>
      </c>
      <c r="I196">
        <v>40</v>
      </c>
      <c r="J196" t="s">
        <v>231</v>
      </c>
      <c r="K196" t="s">
        <v>503</v>
      </c>
      <c r="L196" t="s">
        <v>303</v>
      </c>
      <c r="M196" t="s">
        <v>234</v>
      </c>
      <c r="N196" t="s">
        <v>56</v>
      </c>
      <c r="O196" t="s">
        <v>235</v>
      </c>
      <c r="P196" t="s">
        <v>304</v>
      </c>
      <c r="Q196">
        <v>0</v>
      </c>
      <c r="R196" t="s">
        <v>237</v>
      </c>
    </row>
    <row r="197" spans="1:18" x14ac:dyDescent="0.25">
      <c r="A197" t="s">
        <v>793</v>
      </c>
      <c r="B197">
        <v>405</v>
      </c>
      <c r="C197" t="s">
        <v>487</v>
      </c>
      <c r="D197" t="s">
        <v>229</v>
      </c>
      <c r="E197" t="s">
        <v>531</v>
      </c>
      <c r="F197" t="s">
        <v>532</v>
      </c>
      <c r="G197" s="25">
        <v>44215</v>
      </c>
      <c r="H197">
        <v>4</v>
      </c>
      <c r="I197">
        <v>19</v>
      </c>
      <c r="J197" t="s">
        <v>231</v>
      </c>
      <c r="K197" t="s">
        <v>503</v>
      </c>
      <c r="L197" t="s">
        <v>303</v>
      </c>
      <c r="M197" t="s">
        <v>234</v>
      </c>
      <c r="N197" t="s">
        <v>56</v>
      </c>
      <c r="O197" t="s">
        <v>235</v>
      </c>
      <c r="P197" t="s">
        <v>304</v>
      </c>
      <c r="Q197">
        <v>0</v>
      </c>
      <c r="R197" t="s">
        <v>237</v>
      </c>
    </row>
    <row r="198" spans="1:18" x14ac:dyDescent="0.25">
      <c r="A198" t="s">
        <v>802</v>
      </c>
      <c r="B198">
        <v>451</v>
      </c>
      <c r="C198" t="s">
        <v>487</v>
      </c>
      <c r="D198" t="s">
        <v>231</v>
      </c>
      <c r="E198" t="s">
        <v>229</v>
      </c>
      <c r="F198" t="s">
        <v>541</v>
      </c>
      <c r="G198" s="25">
        <v>44217</v>
      </c>
      <c r="H198">
        <v>5</v>
      </c>
      <c r="I198">
        <v>21</v>
      </c>
      <c r="J198" t="s">
        <v>231</v>
      </c>
      <c r="K198" t="s">
        <v>501</v>
      </c>
      <c r="L198" t="s">
        <v>412</v>
      </c>
      <c r="M198" t="s">
        <v>234</v>
      </c>
      <c r="N198" t="s">
        <v>60</v>
      </c>
      <c r="O198" t="s">
        <v>235</v>
      </c>
      <c r="P198" t="s">
        <v>413</v>
      </c>
      <c r="Q198">
        <v>0</v>
      </c>
      <c r="R198" t="s">
        <v>237</v>
      </c>
    </row>
    <row r="199" spans="1:18" x14ac:dyDescent="0.25">
      <c r="A199" t="s">
        <v>570</v>
      </c>
      <c r="B199">
        <v>143</v>
      </c>
      <c r="C199" t="s">
        <v>487</v>
      </c>
      <c r="D199" t="s">
        <v>229</v>
      </c>
      <c r="E199" t="s">
        <v>326</v>
      </c>
      <c r="F199" t="s">
        <v>522</v>
      </c>
      <c r="G199" s="25">
        <v>44203</v>
      </c>
      <c r="H199">
        <v>2</v>
      </c>
      <c r="I199">
        <v>7</v>
      </c>
      <c r="J199" t="s">
        <v>231</v>
      </c>
      <c r="K199" t="s">
        <v>501</v>
      </c>
      <c r="L199" t="s">
        <v>412</v>
      </c>
      <c r="M199" t="s">
        <v>234</v>
      </c>
      <c r="N199" t="s">
        <v>60</v>
      </c>
      <c r="O199" t="s">
        <v>235</v>
      </c>
      <c r="P199" t="s">
        <v>413</v>
      </c>
      <c r="Q199">
        <v>0</v>
      </c>
      <c r="R199" t="s">
        <v>237</v>
      </c>
    </row>
    <row r="200" spans="1:18" x14ac:dyDescent="0.25">
      <c r="A200" t="s">
        <v>3255</v>
      </c>
      <c r="B200">
        <v>2321</v>
      </c>
      <c r="C200" t="s">
        <v>487</v>
      </c>
      <c r="D200" t="s">
        <v>247</v>
      </c>
      <c r="E200" t="s">
        <v>247</v>
      </c>
      <c r="F200" t="s">
        <v>3085</v>
      </c>
      <c r="G200" s="25">
        <v>44302</v>
      </c>
      <c r="H200">
        <v>22</v>
      </c>
      <c r="I200">
        <v>106</v>
      </c>
      <c r="J200" t="s">
        <v>231</v>
      </c>
      <c r="K200" t="s">
        <v>501</v>
      </c>
      <c r="L200" t="s">
        <v>412</v>
      </c>
      <c r="M200" t="s">
        <v>234</v>
      </c>
      <c r="N200" t="s">
        <v>60</v>
      </c>
      <c r="O200" t="s">
        <v>235</v>
      </c>
      <c r="P200" t="s">
        <v>413</v>
      </c>
      <c r="Q200">
        <v>0</v>
      </c>
      <c r="R200" t="s">
        <v>237</v>
      </c>
    </row>
    <row r="201" spans="1:18" x14ac:dyDescent="0.25">
      <c r="A201" t="s">
        <v>2236</v>
      </c>
      <c r="B201">
        <v>1353</v>
      </c>
      <c r="C201" t="s">
        <v>487</v>
      </c>
      <c r="D201" t="s">
        <v>261</v>
      </c>
      <c r="E201" t="s">
        <v>231</v>
      </c>
      <c r="F201" t="s">
        <v>1400</v>
      </c>
      <c r="G201" s="25">
        <v>44258</v>
      </c>
      <c r="H201">
        <v>13</v>
      </c>
      <c r="I201">
        <v>62</v>
      </c>
      <c r="J201" t="s">
        <v>231</v>
      </c>
      <c r="K201" t="s">
        <v>501</v>
      </c>
      <c r="L201" t="s">
        <v>412</v>
      </c>
      <c r="M201" t="s">
        <v>234</v>
      </c>
      <c r="N201" t="s">
        <v>60</v>
      </c>
      <c r="O201" t="s">
        <v>235</v>
      </c>
      <c r="P201" t="s">
        <v>413</v>
      </c>
      <c r="Q201">
        <v>0</v>
      </c>
      <c r="R201" t="s">
        <v>237</v>
      </c>
    </row>
    <row r="202" spans="1:18" x14ac:dyDescent="0.25">
      <c r="A202" t="s">
        <v>687</v>
      </c>
      <c r="B202">
        <v>403</v>
      </c>
      <c r="C202" t="s">
        <v>487</v>
      </c>
      <c r="D202" t="s">
        <v>229</v>
      </c>
      <c r="E202" t="s">
        <v>531</v>
      </c>
      <c r="F202" t="s">
        <v>532</v>
      </c>
      <c r="G202" s="25">
        <v>44215</v>
      </c>
      <c r="H202">
        <v>4</v>
      </c>
      <c r="I202">
        <v>19</v>
      </c>
      <c r="J202" t="s">
        <v>231</v>
      </c>
      <c r="K202" t="s">
        <v>500</v>
      </c>
      <c r="L202" t="s">
        <v>265</v>
      </c>
      <c r="M202" t="s">
        <v>234</v>
      </c>
      <c r="N202" t="s">
        <v>52</v>
      </c>
      <c r="O202" t="s">
        <v>235</v>
      </c>
      <c r="P202" t="s">
        <v>266</v>
      </c>
      <c r="Q202">
        <v>20500</v>
      </c>
      <c r="R202" t="s">
        <v>237</v>
      </c>
    </row>
    <row r="203" spans="1:18" x14ac:dyDescent="0.25">
      <c r="A203" t="s">
        <v>2560</v>
      </c>
      <c r="B203">
        <v>1613</v>
      </c>
      <c r="C203" t="s">
        <v>487</v>
      </c>
      <c r="D203" t="s">
        <v>261</v>
      </c>
      <c r="E203" t="s">
        <v>537</v>
      </c>
      <c r="F203" t="s">
        <v>1530</v>
      </c>
      <c r="G203" s="25">
        <v>44270</v>
      </c>
      <c r="H203">
        <v>15</v>
      </c>
      <c r="I203">
        <v>74</v>
      </c>
      <c r="J203" t="s">
        <v>231</v>
      </c>
      <c r="K203" t="s">
        <v>500</v>
      </c>
      <c r="L203" t="s">
        <v>265</v>
      </c>
      <c r="M203" t="s">
        <v>234</v>
      </c>
      <c r="N203" t="s">
        <v>52</v>
      </c>
      <c r="O203" t="s">
        <v>235</v>
      </c>
      <c r="P203" t="s">
        <v>266</v>
      </c>
      <c r="Q203">
        <v>0</v>
      </c>
      <c r="R203" t="s">
        <v>237</v>
      </c>
    </row>
    <row r="204" spans="1:18" x14ac:dyDescent="0.25">
      <c r="A204" t="s">
        <v>2727</v>
      </c>
      <c r="B204">
        <v>865</v>
      </c>
      <c r="C204" t="s">
        <v>487</v>
      </c>
      <c r="D204" t="s">
        <v>231</v>
      </c>
      <c r="E204" t="s">
        <v>408</v>
      </c>
      <c r="F204" t="s">
        <v>1234</v>
      </c>
      <c r="G204" s="25">
        <v>44236</v>
      </c>
      <c r="H204">
        <v>8</v>
      </c>
      <c r="I204">
        <v>40</v>
      </c>
      <c r="J204" t="s">
        <v>231</v>
      </c>
      <c r="K204" t="s">
        <v>500</v>
      </c>
      <c r="L204" t="s">
        <v>265</v>
      </c>
      <c r="M204" t="s">
        <v>234</v>
      </c>
      <c r="N204" t="s">
        <v>52</v>
      </c>
      <c r="O204" t="s">
        <v>235</v>
      </c>
      <c r="P204" t="s">
        <v>266</v>
      </c>
      <c r="Q204">
        <v>0</v>
      </c>
      <c r="R204" t="s">
        <v>237</v>
      </c>
    </row>
    <row r="205" spans="1:18" x14ac:dyDescent="0.25">
      <c r="A205" t="s">
        <v>1673</v>
      </c>
      <c r="B205">
        <v>1275</v>
      </c>
      <c r="C205" t="s">
        <v>487</v>
      </c>
      <c r="D205" t="s">
        <v>256</v>
      </c>
      <c r="E205" t="s">
        <v>552</v>
      </c>
      <c r="F205" t="s">
        <v>1365</v>
      </c>
      <c r="G205" s="25">
        <v>44254</v>
      </c>
      <c r="H205">
        <v>12</v>
      </c>
      <c r="I205">
        <v>58</v>
      </c>
      <c r="J205" t="s">
        <v>432</v>
      </c>
      <c r="K205" t="s">
        <v>498</v>
      </c>
      <c r="L205" t="s">
        <v>26</v>
      </c>
      <c r="M205" t="s">
        <v>434</v>
      </c>
      <c r="N205" t="s">
        <v>77</v>
      </c>
      <c r="O205" t="s">
        <v>435</v>
      </c>
      <c r="P205" t="s">
        <v>26</v>
      </c>
      <c r="Q205">
        <v>192762.5</v>
      </c>
      <c r="R205" t="s">
        <v>436</v>
      </c>
    </row>
    <row r="206" spans="1:18" x14ac:dyDescent="0.25">
      <c r="A206" t="s">
        <v>2893</v>
      </c>
      <c r="B206">
        <v>1317</v>
      </c>
      <c r="C206" t="s">
        <v>487</v>
      </c>
      <c r="D206" t="s">
        <v>256</v>
      </c>
      <c r="E206" t="s">
        <v>408</v>
      </c>
      <c r="F206" t="s">
        <v>1383</v>
      </c>
      <c r="G206" s="25">
        <v>44256</v>
      </c>
      <c r="H206">
        <v>12</v>
      </c>
      <c r="I206">
        <v>60</v>
      </c>
      <c r="J206" t="s">
        <v>432</v>
      </c>
      <c r="K206" t="s">
        <v>497</v>
      </c>
      <c r="L206" t="s">
        <v>438</v>
      </c>
      <c r="M206" t="s">
        <v>434</v>
      </c>
      <c r="N206" t="s">
        <v>75</v>
      </c>
      <c r="O206" t="s">
        <v>435</v>
      </c>
      <c r="P206" t="s">
        <v>438</v>
      </c>
      <c r="Q206">
        <v>43087.5</v>
      </c>
      <c r="R206" t="s">
        <v>436</v>
      </c>
    </row>
    <row r="207" spans="1:18" x14ac:dyDescent="0.25">
      <c r="A207" t="s">
        <v>2672</v>
      </c>
      <c r="B207">
        <v>1119</v>
      </c>
      <c r="C207" t="s">
        <v>487</v>
      </c>
      <c r="D207" t="s">
        <v>256</v>
      </c>
      <c r="E207" t="s">
        <v>515</v>
      </c>
      <c r="F207" t="s">
        <v>1329</v>
      </c>
      <c r="G207" s="25">
        <v>44247</v>
      </c>
      <c r="H207">
        <v>11</v>
      </c>
      <c r="I207">
        <v>51</v>
      </c>
      <c r="J207" t="s">
        <v>432</v>
      </c>
      <c r="K207" t="s">
        <v>497</v>
      </c>
      <c r="L207" t="s">
        <v>438</v>
      </c>
      <c r="M207" t="s">
        <v>434</v>
      </c>
      <c r="N207" t="s">
        <v>75</v>
      </c>
      <c r="O207" t="s">
        <v>435</v>
      </c>
      <c r="P207" t="s">
        <v>438</v>
      </c>
      <c r="Q207">
        <v>48637.5</v>
      </c>
      <c r="R207" t="s">
        <v>436</v>
      </c>
    </row>
    <row r="208" spans="1:18" x14ac:dyDescent="0.25">
      <c r="A208" t="s">
        <v>2409</v>
      </c>
      <c r="B208">
        <v>1005</v>
      </c>
      <c r="C208" t="s">
        <v>487</v>
      </c>
      <c r="D208" t="s">
        <v>256</v>
      </c>
      <c r="E208" t="s">
        <v>247</v>
      </c>
      <c r="F208" t="s">
        <v>1299</v>
      </c>
      <c r="G208" s="25">
        <v>44242</v>
      </c>
      <c r="H208">
        <v>10</v>
      </c>
      <c r="I208">
        <v>46</v>
      </c>
      <c r="J208" t="s">
        <v>432</v>
      </c>
      <c r="K208" t="s">
        <v>496</v>
      </c>
      <c r="L208" t="s">
        <v>69</v>
      </c>
      <c r="M208" t="s">
        <v>434</v>
      </c>
      <c r="N208" t="s">
        <v>68</v>
      </c>
      <c r="O208" t="s">
        <v>21</v>
      </c>
      <c r="P208" t="s">
        <v>439</v>
      </c>
      <c r="Q208">
        <v>84000</v>
      </c>
      <c r="R208" t="s">
        <v>237</v>
      </c>
    </row>
    <row r="209" spans="1:18" x14ac:dyDescent="0.25">
      <c r="A209" t="s">
        <v>2680</v>
      </c>
      <c r="B209">
        <v>807</v>
      </c>
      <c r="C209" t="s">
        <v>487</v>
      </c>
      <c r="D209" t="s">
        <v>231</v>
      </c>
      <c r="E209" t="s">
        <v>534</v>
      </c>
      <c r="F209" t="s">
        <v>1731</v>
      </c>
      <c r="G209" s="25">
        <v>44233</v>
      </c>
      <c r="H209">
        <v>8</v>
      </c>
      <c r="I209">
        <v>37</v>
      </c>
      <c r="J209" t="s">
        <v>432</v>
      </c>
      <c r="K209" t="s">
        <v>496</v>
      </c>
      <c r="L209" t="s">
        <v>69</v>
      </c>
      <c r="M209" t="s">
        <v>434</v>
      </c>
      <c r="N209" t="s">
        <v>68</v>
      </c>
      <c r="O209" t="s">
        <v>21</v>
      </c>
      <c r="P209" t="s">
        <v>439</v>
      </c>
      <c r="Q209">
        <v>99125</v>
      </c>
      <c r="R209" t="s">
        <v>237</v>
      </c>
    </row>
    <row r="210" spans="1:18" x14ac:dyDescent="0.25">
      <c r="A210" t="s">
        <v>331</v>
      </c>
      <c r="B210">
        <v>37</v>
      </c>
      <c r="C210" t="s">
        <v>487</v>
      </c>
      <c r="D210" t="s">
        <v>229</v>
      </c>
      <c r="E210" t="s">
        <v>231</v>
      </c>
      <c r="F210" t="s">
        <v>568</v>
      </c>
      <c r="G210" s="25">
        <v>44198</v>
      </c>
      <c r="H210">
        <v>1</v>
      </c>
      <c r="I210">
        <v>2</v>
      </c>
      <c r="J210" t="s">
        <v>432</v>
      </c>
      <c r="K210" t="s">
        <v>496</v>
      </c>
      <c r="L210" t="s">
        <v>69</v>
      </c>
      <c r="M210" t="s">
        <v>434</v>
      </c>
      <c r="N210" t="s">
        <v>68</v>
      </c>
      <c r="O210" t="s">
        <v>21</v>
      </c>
      <c r="P210" t="s">
        <v>439</v>
      </c>
      <c r="Q210">
        <v>0</v>
      </c>
      <c r="R210" t="s">
        <v>237</v>
      </c>
    </row>
    <row r="211" spans="1:18" x14ac:dyDescent="0.25">
      <c r="A211" t="s">
        <v>3256</v>
      </c>
      <c r="B211">
        <v>2369</v>
      </c>
      <c r="C211" t="s">
        <v>487</v>
      </c>
      <c r="D211" t="s">
        <v>247</v>
      </c>
      <c r="E211" t="s">
        <v>381</v>
      </c>
      <c r="F211" t="s">
        <v>3107</v>
      </c>
      <c r="G211" s="25">
        <v>44304</v>
      </c>
      <c r="H211">
        <v>22</v>
      </c>
      <c r="I211">
        <v>108</v>
      </c>
      <c r="J211" t="s">
        <v>432</v>
      </c>
      <c r="K211" t="s">
        <v>496</v>
      </c>
      <c r="L211" t="s">
        <v>69</v>
      </c>
      <c r="M211" t="s">
        <v>434</v>
      </c>
      <c r="N211" t="s">
        <v>68</v>
      </c>
      <c r="O211" t="s">
        <v>21</v>
      </c>
      <c r="P211" t="s">
        <v>439</v>
      </c>
      <c r="Q211">
        <v>463125</v>
      </c>
      <c r="R211" t="s">
        <v>237</v>
      </c>
    </row>
    <row r="212" spans="1:18" x14ac:dyDescent="0.25">
      <c r="A212" t="s">
        <v>3257</v>
      </c>
      <c r="B212">
        <v>2215</v>
      </c>
      <c r="C212" t="s">
        <v>487</v>
      </c>
      <c r="D212" t="s">
        <v>247</v>
      </c>
      <c r="E212" t="s">
        <v>229</v>
      </c>
      <c r="F212" t="s">
        <v>3063</v>
      </c>
      <c r="G212" s="25">
        <v>44297</v>
      </c>
      <c r="H212">
        <v>21</v>
      </c>
      <c r="I212">
        <v>101</v>
      </c>
      <c r="J212" t="s">
        <v>432</v>
      </c>
      <c r="K212" t="s">
        <v>496</v>
      </c>
      <c r="L212" t="s">
        <v>69</v>
      </c>
      <c r="M212" t="s">
        <v>434</v>
      </c>
      <c r="N212" t="s">
        <v>68</v>
      </c>
      <c r="O212" t="s">
        <v>21</v>
      </c>
      <c r="P212" t="s">
        <v>439</v>
      </c>
      <c r="Q212">
        <v>561000</v>
      </c>
      <c r="R212" t="s">
        <v>237</v>
      </c>
    </row>
    <row r="213" spans="1:18" x14ac:dyDescent="0.25">
      <c r="A213" t="s">
        <v>697</v>
      </c>
      <c r="B213">
        <v>280</v>
      </c>
      <c r="C213" t="s">
        <v>487</v>
      </c>
      <c r="D213" t="s">
        <v>229</v>
      </c>
      <c r="E213" t="s">
        <v>512</v>
      </c>
      <c r="F213" t="s">
        <v>513</v>
      </c>
      <c r="G213" s="25">
        <v>44209</v>
      </c>
      <c r="H213">
        <v>3</v>
      </c>
      <c r="I213">
        <v>13</v>
      </c>
      <c r="J213" t="s">
        <v>432</v>
      </c>
      <c r="K213" t="s">
        <v>495</v>
      </c>
      <c r="L213" t="s">
        <v>135</v>
      </c>
      <c r="M213" t="s">
        <v>434</v>
      </c>
      <c r="N213" t="s">
        <v>70</v>
      </c>
      <c r="O213" t="s">
        <v>21</v>
      </c>
      <c r="P213" t="s">
        <v>440</v>
      </c>
      <c r="Q213">
        <v>72000</v>
      </c>
      <c r="R213" t="s">
        <v>237</v>
      </c>
    </row>
    <row r="214" spans="1:18" x14ac:dyDescent="0.25">
      <c r="A214" t="s">
        <v>3258</v>
      </c>
      <c r="B214">
        <v>2458</v>
      </c>
      <c r="C214" t="s">
        <v>487</v>
      </c>
      <c r="D214" t="s">
        <v>247</v>
      </c>
      <c r="E214" t="s">
        <v>232</v>
      </c>
      <c r="F214" t="s">
        <v>3140</v>
      </c>
      <c r="G214" s="25">
        <v>44308</v>
      </c>
      <c r="H214">
        <v>23</v>
      </c>
      <c r="I214">
        <v>112</v>
      </c>
      <c r="J214" t="s">
        <v>432</v>
      </c>
      <c r="K214" t="s">
        <v>495</v>
      </c>
      <c r="L214" t="s">
        <v>135</v>
      </c>
      <c r="M214" t="s">
        <v>434</v>
      </c>
      <c r="N214" t="s">
        <v>70</v>
      </c>
      <c r="O214" t="s">
        <v>21</v>
      </c>
      <c r="P214" t="s">
        <v>440</v>
      </c>
      <c r="Q214">
        <v>384000</v>
      </c>
      <c r="R214" t="s">
        <v>237</v>
      </c>
    </row>
    <row r="215" spans="1:18" x14ac:dyDescent="0.25">
      <c r="A215" t="s">
        <v>3259</v>
      </c>
      <c r="B215">
        <v>2150</v>
      </c>
      <c r="C215" t="s">
        <v>487</v>
      </c>
      <c r="D215" t="s">
        <v>322</v>
      </c>
      <c r="E215" t="s">
        <v>552</v>
      </c>
      <c r="F215" t="s">
        <v>3045</v>
      </c>
      <c r="G215" s="25">
        <v>44294</v>
      </c>
      <c r="H215">
        <v>20</v>
      </c>
      <c r="I215">
        <v>98</v>
      </c>
      <c r="J215" t="s">
        <v>432</v>
      </c>
      <c r="K215" t="s">
        <v>495</v>
      </c>
      <c r="L215" t="s">
        <v>135</v>
      </c>
      <c r="M215" t="s">
        <v>434</v>
      </c>
      <c r="N215" t="s">
        <v>70</v>
      </c>
      <c r="O215" t="s">
        <v>21</v>
      </c>
      <c r="P215" t="s">
        <v>440</v>
      </c>
      <c r="Q215">
        <v>561000</v>
      </c>
      <c r="R215" t="s">
        <v>237</v>
      </c>
    </row>
    <row r="216" spans="1:18" x14ac:dyDescent="0.25">
      <c r="A216" t="s">
        <v>3260</v>
      </c>
      <c r="B216">
        <v>1842</v>
      </c>
      <c r="C216" t="s">
        <v>487</v>
      </c>
      <c r="D216" t="s">
        <v>322</v>
      </c>
      <c r="E216" t="s">
        <v>261</v>
      </c>
      <c r="F216" t="s">
        <v>2956</v>
      </c>
      <c r="G216" s="25">
        <v>44280</v>
      </c>
      <c r="H216">
        <v>17</v>
      </c>
      <c r="I216">
        <v>84</v>
      </c>
      <c r="J216" t="s">
        <v>432</v>
      </c>
      <c r="K216" t="s">
        <v>495</v>
      </c>
      <c r="L216" t="s">
        <v>135</v>
      </c>
      <c r="M216" t="s">
        <v>434</v>
      </c>
      <c r="N216" t="s">
        <v>70</v>
      </c>
      <c r="O216" t="s">
        <v>21</v>
      </c>
      <c r="P216" t="s">
        <v>440</v>
      </c>
      <c r="Q216">
        <v>681000</v>
      </c>
      <c r="R216" t="s">
        <v>237</v>
      </c>
    </row>
    <row r="217" spans="1:18" x14ac:dyDescent="0.25">
      <c r="A217" t="s">
        <v>2058</v>
      </c>
      <c r="B217">
        <v>1248</v>
      </c>
      <c r="C217" t="s">
        <v>487</v>
      </c>
      <c r="D217" t="s">
        <v>256</v>
      </c>
      <c r="E217" t="s">
        <v>534</v>
      </c>
      <c r="F217" t="s">
        <v>1357</v>
      </c>
      <c r="G217" s="25">
        <v>44253</v>
      </c>
      <c r="H217">
        <v>12</v>
      </c>
      <c r="I217">
        <v>57</v>
      </c>
      <c r="J217" t="s">
        <v>432</v>
      </c>
      <c r="K217" t="s">
        <v>495</v>
      </c>
      <c r="L217" t="s">
        <v>135</v>
      </c>
      <c r="M217" t="s">
        <v>434</v>
      </c>
      <c r="N217" t="s">
        <v>70</v>
      </c>
      <c r="O217" t="s">
        <v>21</v>
      </c>
      <c r="P217" t="s">
        <v>440</v>
      </c>
      <c r="Q217">
        <v>428000</v>
      </c>
      <c r="R217" t="s">
        <v>237</v>
      </c>
    </row>
    <row r="218" spans="1:18" x14ac:dyDescent="0.25">
      <c r="A218" t="s">
        <v>2006</v>
      </c>
      <c r="B218">
        <v>1094</v>
      </c>
      <c r="C218" t="s">
        <v>487</v>
      </c>
      <c r="D218" t="s">
        <v>256</v>
      </c>
      <c r="E218" t="s">
        <v>239</v>
      </c>
      <c r="F218" t="s">
        <v>1322</v>
      </c>
      <c r="G218" s="25">
        <v>44246</v>
      </c>
      <c r="H218">
        <v>10</v>
      </c>
      <c r="I218">
        <v>50</v>
      </c>
      <c r="J218" t="s">
        <v>432</v>
      </c>
      <c r="K218" t="s">
        <v>495</v>
      </c>
      <c r="L218" t="s">
        <v>135</v>
      </c>
      <c r="M218" t="s">
        <v>434</v>
      </c>
      <c r="N218" t="s">
        <v>70</v>
      </c>
      <c r="O218" t="s">
        <v>21</v>
      </c>
      <c r="P218" t="s">
        <v>440</v>
      </c>
      <c r="Q218">
        <v>512000</v>
      </c>
      <c r="R218" t="s">
        <v>237</v>
      </c>
    </row>
    <row r="219" spans="1:18" x14ac:dyDescent="0.25">
      <c r="A219" t="s">
        <v>368</v>
      </c>
      <c r="B219">
        <v>42</v>
      </c>
      <c r="C219" t="s">
        <v>487</v>
      </c>
      <c r="D219" t="s">
        <v>229</v>
      </c>
      <c r="E219" t="s">
        <v>231</v>
      </c>
      <c r="F219" t="s">
        <v>568</v>
      </c>
      <c r="G219" s="25">
        <v>44198</v>
      </c>
      <c r="H219">
        <v>1</v>
      </c>
      <c r="I219">
        <v>2</v>
      </c>
      <c r="J219" t="s">
        <v>432</v>
      </c>
      <c r="K219" t="s">
        <v>494</v>
      </c>
      <c r="L219" t="s">
        <v>25</v>
      </c>
      <c r="M219" t="s">
        <v>434</v>
      </c>
      <c r="N219" t="s">
        <v>76</v>
      </c>
      <c r="O219" t="s">
        <v>435</v>
      </c>
      <c r="P219" t="s">
        <v>25</v>
      </c>
      <c r="Q219">
        <v>0</v>
      </c>
      <c r="R219" t="s">
        <v>436</v>
      </c>
    </row>
    <row r="220" spans="1:18" x14ac:dyDescent="0.25">
      <c r="A220" t="s">
        <v>3261</v>
      </c>
      <c r="B220">
        <v>2176</v>
      </c>
      <c r="C220" t="s">
        <v>487</v>
      </c>
      <c r="D220" t="s">
        <v>322</v>
      </c>
      <c r="E220" t="s">
        <v>531</v>
      </c>
      <c r="F220" t="s">
        <v>3056</v>
      </c>
      <c r="G220" s="25">
        <v>44295</v>
      </c>
      <c r="H220">
        <v>20</v>
      </c>
      <c r="I220">
        <v>99</v>
      </c>
      <c r="J220" t="s">
        <v>432</v>
      </c>
      <c r="K220" t="s">
        <v>494</v>
      </c>
      <c r="L220" t="s">
        <v>25</v>
      </c>
      <c r="M220" t="s">
        <v>434</v>
      </c>
      <c r="N220" t="s">
        <v>76</v>
      </c>
      <c r="O220" t="s">
        <v>435</v>
      </c>
      <c r="P220" t="s">
        <v>25</v>
      </c>
      <c r="Q220">
        <v>47250</v>
      </c>
      <c r="R220" t="s">
        <v>436</v>
      </c>
    </row>
    <row r="221" spans="1:18" x14ac:dyDescent="0.25">
      <c r="A221" t="s">
        <v>3262</v>
      </c>
      <c r="B221">
        <v>1868</v>
      </c>
      <c r="C221" t="s">
        <v>487</v>
      </c>
      <c r="D221" t="s">
        <v>322</v>
      </c>
      <c r="E221" t="s">
        <v>322</v>
      </c>
      <c r="F221" t="s">
        <v>2960</v>
      </c>
      <c r="G221" s="25">
        <v>44281</v>
      </c>
      <c r="H221">
        <v>17</v>
      </c>
      <c r="I221">
        <v>85</v>
      </c>
      <c r="J221" t="s">
        <v>432</v>
      </c>
      <c r="K221" t="s">
        <v>494</v>
      </c>
      <c r="L221" t="s">
        <v>25</v>
      </c>
      <c r="M221" t="s">
        <v>434</v>
      </c>
      <c r="N221" t="s">
        <v>76</v>
      </c>
      <c r="O221" t="s">
        <v>435</v>
      </c>
      <c r="P221" t="s">
        <v>25</v>
      </c>
      <c r="Q221">
        <v>77550</v>
      </c>
      <c r="R221" t="s">
        <v>436</v>
      </c>
    </row>
    <row r="222" spans="1:18" x14ac:dyDescent="0.25">
      <c r="A222" t="s">
        <v>1886</v>
      </c>
      <c r="B222">
        <v>1010</v>
      </c>
      <c r="C222" t="s">
        <v>487</v>
      </c>
      <c r="D222" t="s">
        <v>256</v>
      </c>
      <c r="E222" t="s">
        <v>247</v>
      </c>
      <c r="F222" t="s">
        <v>1299</v>
      </c>
      <c r="G222" s="25">
        <v>44242</v>
      </c>
      <c r="H222">
        <v>10</v>
      </c>
      <c r="I222">
        <v>46</v>
      </c>
      <c r="J222" t="s">
        <v>432</v>
      </c>
      <c r="K222" t="s">
        <v>494</v>
      </c>
      <c r="L222" t="s">
        <v>25</v>
      </c>
      <c r="M222" t="s">
        <v>434</v>
      </c>
      <c r="N222" t="s">
        <v>76</v>
      </c>
      <c r="O222" t="s">
        <v>435</v>
      </c>
      <c r="P222" t="s">
        <v>25</v>
      </c>
      <c r="Q222">
        <v>59700</v>
      </c>
      <c r="R222" t="s">
        <v>436</v>
      </c>
    </row>
    <row r="223" spans="1:18" x14ac:dyDescent="0.25">
      <c r="A223" t="s">
        <v>2133</v>
      </c>
      <c r="B223">
        <v>1452</v>
      </c>
      <c r="C223" t="s">
        <v>487</v>
      </c>
      <c r="D223" t="s">
        <v>261</v>
      </c>
      <c r="E223" t="s">
        <v>247</v>
      </c>
      <c r="F223" t="s">
        <v>1425</v>
      </c>
      <c r="G223" s="25">
        <v>44262</v>
      </c>
      <c r="H223">
        <v>14</v>
      </c>
      <c r="I223">
        <v>66</v>
      </c>
      <c r="J223" t="s">
        <v>432</v>
      </c>
      <c r="K223" t="s">
        <v>493</v>
      </c>
      <c r="L223" t="s">
        <v>441</v>
      </c>
      <c r="M223" t="s">
        <v>434</v>
      </c>
      <c r="N223" t="s">
        <v>78</v>
      </c>
      <c r="O223" t="s">
        <v>435</v>
      </c>
      <c r="P223" t="s">
        <v>441</v>
      </c>
      <c r="Q223">
        <v>162553.125</v>
      </c>
      <c r="R223" t="s">
        <v>436</v>
      </c>
    </row>
    <row r="224" spans="1:18" x14ac:dyDescent="0.25">
      <c r="A224" t="s">
        <v>1696</v>
      </c>
      <c r="B224">
        <v>1232</v>
      </c>
      <c r="C224" t="s">
        <v>487</v>
      </c>
      <c r="D224" t="s">
        <v>256</v>
      </c>
      <c r="E224" t="s">
        <v>620</v>
      </c>
      <c r="F224" t="s">
        <v>1350</v>
      </c>
      <c r="G224" s="25">
        <v>44252</v>
      </c>
      <c r="H224">
        <v>12</v>
      </c>
      <c r="I224">
        <v>56</v>
      </c>
      <c r="J224" t="s">
        <v>432</v>
      </c>
      <c r="K224" t="s">
        <v>493</v>
      </c>
      <c r="L224" t="s">
        <v>441</v>
      </c>
      <c r="M224" t="s">
        <v>434</v>
      </c>
      <c r="N224" t="s">
        <v>78</v>
      </c>
      <c r="O224" t="s">
        <v>435</v>
      </c>
      <c r="P224" t="s">
        <v>441</v>
      </c>
      <c r="Q224">
        <v>202606.25</v>
      </c>
      <c r="R224" t="s">
        <v>436</v>
      </c>
    </row>
    <row r="225" spans="1:18" x14ac:dyDescent="0.25">
      <c r="A225" t="s">
        <v>2811</v>
      </c>
      <c r="B225">
        <v>1359</v>
      </c>
      <c r="C225" t="s">
        <v>487</v>
      </c>
      <c r="D225" t="s">
        <v>261</v>
      </c>
      <c r="E225" t="s">
        <v>231</v>
      </c>
      <c r="F225" t="s">
        <v>1400</v>
      </c>
      <c r="G225" s="25">
        <v>44258</v>
      </c>
      <c r="H225">
        <v>13</v>
      </c>
      <c r="I225">
        <v>62</v>
      </c>
      <c r="J225" t="s">
        <v>432</v>
      </c>
      <c r="K225" t="s">
        <v>492</v>
      </c>
      <c r="L225" t="s">
        <v>24</v>
      </c>
      <c r="M225" t="s">
        <v>434</v>
      </c>
      <c r="N225" t="s">
        <v>71</v>
      </c>
      <c r="O225" t="s">
        <v>435</v>
      </c>
      <c r="P225" t="s">
        <v>24</v>
      </c>
      <c r="Q225">
        <v>35868.75</v>
      </c>
      <c r="R225" t="s">
        <v>436</v>
      </c>
    </row>
    <row r="226" spans="1:18" x14ac:dyDescent="0.25">
      <c r="A226" t="s">
        <v>3263</v>
      </c>
      <c r="B226">
        <v>2173</v>
      </c>
      <c r="C226" t="s">
        <v>487</v>
      </c>
      <c r="D226" t="s">
        <v>322</v>
      </c>
      <c r="E226" t="s">
        <v>531</v>
      </c>
      <c r="F226" t="s">
        <v>3056</v>
      </c>
      <c r="G226" s="25">
        <v>44295</v>
      </c>
      <c r="H226">
        <v>20</v>
      </c>
      <c r="I226">
        <v>99</v>
      </c>
      <c r="J226" t="s">
        <v>432</v>
      </c>
      <c r="K226" t="s">
        <v>492</v>
      </c>
      <c r="L226" t="s">
        <v>24</v>
      </c>
      <c r="M226" t="s">
        <v>434</v>
      </c>
      <c r="N226" t="s">
        <v>71</v>
      </c>
      <c r="O226" t="s">
        <v>435</v>
      </c>
      <c r="P226" t="s">
        <v>24</v>
      </c>
      <c r="Q226">
        <v>62362.5</v>
      </c>
      <c r="R226" t="s">
        <v>436</v>
      </c>
    </row>
    <row r="227" spans="1:18" x14ac:dyDescent="0.25">
      <c r="A227" t="s">
        <v>2696</v>
      </c>
      <c r="B227">
        <v>1328</v>
      </c>
      <c r="C227" t="s">
        <v>487</v>
      </c>
      <c r="D227" t="s">
        <v>261</v>
      </c>
      <c r="E227" t="s">
        <v>229</v>
      </c>
      <c r="F227" t="s">
        <v>1388</v>
      </c>
      <c r="G227" s="25">
        <v>44257</v>
      </c>
      <c r="H227">
        <v>13</v>
      </c>
      <c r="I227">
        <v>61</v>
      </c>
      <c r="J227" t="s">
        <v>231</v>
      </c>
      <c r="K227" t="s">
        <v>491</v>
      </c>
      <c r="L227" t="s">
        <v>233</v>
      </c>
      <c r="M227" t="s">
        <v>234</v>
      </c>
      <c r="N227" t="s">
        <v>54</v>
      </c>
      <c r="O227" t="s">
        <v>235</v>
      </c>
      <c r="P227" t="s">
        <v>236</v>
      </c>
      <c r="Q227">
        <v>0</v>
      </c>
      <c r="R227" t="s">
        <v>237</v>
      </c>
    </row>
    <row r="228" spans="1:18" x14ac:dyDescent="0.25">
      <c r="A228" t="s">
        <v>372</v>
      </c>
      <c r="B228">
        <v>118</v>
      </c>
      <c r="C228" t="s">
        <v>487</v>
      </c>
      <c r="D228" t="s">
        <v>229</v>
      </c>
      <c r="E228" t="s">
        <v>247</v>
      </c>
      <c r="F228" t="s">
        <v>524</v>
      </c>
      <c r="G228" s="25">
        <v>44202</v>
      </c>
      <c r="H228">
        <v>2</v>
      </c>
      <c r="I228">
        <v>6</v>
      </c>
      <c r="J228" t="s">
        <v>231</v>
      </c>
      <c r="K228" t="s">
        <v>491</v>
      </c>
      <c r="L228" t="s">
        <v>233</v>
      </c>
      <c r="M228" t="s">
        <v>234</v>
      </c>
      <c r="N228" t="s">
        <v>54</v>
      </c>
      <c r="O228" t="s">
        <v>235</v>
      </c>
      <c r="P228" t="s">
        <v>236</v>
      </c>
      <c r="Q228">
        <v>0</v>
      </c>
      <c r="R228" t="s">
        <v>237</v>
      </c>
    </row>
    <row r="229" spans="1:18" x14ac:dyDescent="0.25">
      <c r="A229" t="s">
        <v>3264</v>
      </c>
      <c r="B229">
        <v>2560</v>
      </c>
      <c r="C229" t="s">
        <v>487</v>
      </c>
      <c r="D229" t="s">
        <v>247</v>
      </c>
      <c r="E229" t="s">
        <v>534</v>
      </c>
      <c r="F229" t="s">
        <v>3166</v>
      </c>
      <c r="G229" s="25">
        <v>44313</v>
      </c>
      <c r="H229">
        <v>24</v>
      </c>
      <c r="I229">
        <v>117</v>
      </c>
      <c r="J229" t="s">
        <v>231</v>
      </c>
      <c r="K229" t="s">
        <v>491</v>
      </c>
      <c r="L229" t="s">
        <v>233</v>
      </c>
      <c r="M229" t="s">
        <v>234</v>
      </c>
      <c r="N229" t="s">
        <v>54</v>
      </c>
      <c r="O229" t="s">
        <v>235</v>
      </c>
      <c r="P229" t="s">
        <v>236</v>
      </c>
      <c r="Q229">
        <v>1158</v>
      </c>
      <c r="R229" t="s">
        <v>237</v>
      </c>
    </row>
    <row r="230" spans="1:18" x14ac:dyDescent="0.25">
      <c r="A230" t="s">
        <v>3265</v>
      </c>
      <c r="B230">
        <v>2526</v>
      </c>
      <c r="C230" t="s">
        <v>487</v>
      </c>
      <c r="D230" t="s">
        <v>247</v>
      </c>
      <c r="E230" t="s">
        <v>575</v>
      </c>
      <c r="F230" t="s">
        <v>3158</v>
      </c>
      <c r="G230" s="25">
        <v>44311</v>
      </c>
      <c r="H230">
        <v>23</v>
      </c>
      <c r="I230">
        <v>115</v>
      </c>
      <c r="J230" t="s">
        <v>432</v>
      </c>
      <c r="K230" t="s">
        <v>488</v>
      </c>
      <c r="L230" t="s">
        <v>433</v>
      </c>
      <c r="M230" t="s">
        <v>434</v>
      </c>
      <c r="N230" t="s">
        <v>74</v>
      </c>
      <c r="O230" t="s">
        <v>435</v>
      </c>
      <c r="P230" t="s">
        <v>433</v>
      </c>
      <c r="Q230">
        <v>20100</v>
      </c>
      <c r="R230" t="s">
        <v>436</v>
      </c>
    </row>
    <row r="231" spans="1:18" x14ac:dyDescent="0.25">
      <c r="A231" t="s">
        <v>3266</v>
      </c>
      <c r="B231">
        <v>1822</v>
      </c>
      <c r="C231" t="s">
        <v>487</v>
      </c>
      <c r="D231" t="s">
        <v>322</v>
      </c>
      <c r="E231" t="s">
        <v>256</v>
      </c>
      <c r="F231" t="s">
        <v>2952</v>
      </c>
      <c r="G231" s="25">
        <v>44279</v>
      </c>
      <c r="H231">
        <v>17</v>
      </c>
      <c r="I231">
        <v>83</v>
      </c>
      <c r="J231" t="s">
        <v>432</v>
      </c>
      <c r="K231" t="s">
        <v>488</v>
      </c>
      <c r="L231" t="s">
        <v>433</v>
      </c>
      <c r="M231" t="s">
        <v>434</v>
      </c>
      <c r="N231" t="s">
        <v>74</v>
      </c>
      <c r="O231" t="s">
        <v>435</v>
      </c>
      <c r="P231" t="s">
        <v>433</v>
      </c>
      <c r="Q231">
        <v>22162.5</v>
      </c>
      <c r="R231" t="s">
        <v>436</v>
      </c>
    </row>
    <row r="232" spans="1:18" x14ac:dyDescent="0.25">
      <c r="A232" t="s">
        <v>2585</v>
      </c>
      <c r="B232">
        <v>1228</v>
      </c>
      <c r="C232" t="s">
        <v>487</v>
      </c>
      <c r="D232" t="s">
        <v>256</v>
      </c>
      <c r="E232" t="s">
        <v>620</v>
      </c>
      <c r="F232" t="s">
        <v>1350</v>
      </c>
      <c r="G232" s="25">
        <v>44252</v>
      </c>
      <c r="H232">
        <v>12</v>
      </c>
      <c r="I232">
        <v>56</v>
      </c>
      <c r="J232" t="s">
        <v>432</v>
      </c>
      <c r="K232" t="s">
        <v>488</v>
      </c>
      <c r="L232" t="s">
        <v>433</v>
      </c>
      <c r="M232" t="s">
        <v>434</v>
      </c>
      <c r="N232" t="s">
        <v>74</v>
      </c>
      <c r="O232" t="s">
        <v>435</v>
      </c>
      <c r="P232" t="s">
        <v>433</v>
      </c>
      <c r="Q232">
        <v>46462.5</v>
      </c>
      <c r="R232" t="s">
        <v>436</v>
      </c>
    </row>
    <row r="233" spans="1:18" x14ac:dyDescent="0.25">
      <c r="A233" t="s">
        <v>2379</v>
      </c>
      <c r="B233">
        <v>898</v>
      </c>
      <c r="C233" t="s">
        <v>487</v>
      </c>
      <c r="D233" t="s">
        <v>256</v>
      </c>
      <c r="E233" t="s">
        <v>229</v>
      </c>
      <c r="F233" t="s">
        <v>1241</v>
      </c>
      <c r="G233" s="25">
        <v>44237</v>
      </c>
      <c r="H233">
        <v>9</v>
      </c>
      <c r="I233">
        <v>41</v>
      </c>
      <c r="J233" t="s">
        <v>432</v>
      </c>
      <c r="K233" t="s">
        <v>488</v>
      </c>
      <c r="L233" t="s">
        <v>433</v>
      </c>
      <c r="M233" t="s">
        <v>434</v>
      </c>
      <c r="N233" t="s">
        <v>74</v>
      </c>
      <c r="O233" t="s">
        <v>435</v>
      </c>
      <c r="P233" t="s">
        <v>433</v>
      </c>
      <c r="Q233">
        <v>21825</v>
      </c>
      <c r="R233" t="s">
        <v>436</v>
      </c>
    </row>
    <row r="234" spans="1:18" x14ac:dyDescent="0.25">
      <c r="A234" t="s">
        <v>2701</v>
      </c>
      <c r="B234">
        <v>656</v>
      </c>
      <c r="C234" t="s">
        <v>487</v>
      </c>
      <c r="D234" t="s">
        <v>231</v>
      </c>
      <c r="E234" t="s">
        <v>239</v>
      </c>
      <c r="F234" t="s">
        <v>1139</v>
      </c>
      <c r="G234" s="25">
        <v>44226</v>
      </c>
      <c r="H234">
        <v>6</v>
      </c>
      <c r="I234">
        <v>30</v>
      </c>
      <c r="J234" t="s">
        <v>432</v>
      </c>
      <c r="K234" t="s">
        <v>488</v>
      </c>
      <c r="L234" t="s">
        <v>433</v>
      </c>
      <c r="M234" t="s">
        <v>434</v>
      </c>
      <c r="N234" t="s">
        <v>74</v>
      </c>
      <c r="O234" t="s">
        <v>435</v>
      </c>
      <c r="P234" t="s">
        <v>433</v>
      </c>
      <c r="Q234">
        <v>32400</v>
      </c>
      <c r="R234" t="s">
        <v>436</v>
      </c>
    </row>
    <row r="235" spans="1:18" x14ac:dyDescent="0.25">
      <c r="A235" t="s">
        <v>3267</v>
      </c>
      <c r="B235">
        <v>2236</v>
      </c>
      <c r="C235" t="s">
        <v>487</v>
      </c>
      <c r="D235" t="s">
        <v>247</v>
      </c>
      <c r="E235" t="s">
        <v>231</v>
      </c>
      <c r="F235" t="s">
        <v>3070</v>
      </c>
      <c r="G235" s="25">
        <v>44298</v>
      </c>
      <c r="H235">
        <v>21</v>
      </c>
      <c r="I235">
        <v>102</v>
      </c>
      <c r="J235" t="s">
        <v>432</v>
      </c>
      <c r="K235" t="s">
        <v>489</v>
      </c>
      <c r="L235" t="s">
        <v>134</v>
      </c>
      <c r="M235" t="s">
        <v>434</v>
      </c>
      <c r="N235" t="s">
        <v>67</v>
      </c>
      <c r="O235" t="s">
        <v>235</v>
      </c>
      <c r="P235" t="s">
        <v>437</v>
      </c>
      <c r="Q235">
        <v>358625</v>
      </c>
      <c r="R235" t="s">
        <v>237</v>
      </c>
    </row>
    <row r="236" spans="1:18" x14ac:dyDescent="0.25">
      <c r="A236" t="s">
        <v>713</v>
      </c>
      <c r="B236">
        <v>432</v>
      </c>
      <c r="C236" t="s">
        <v>487</v>
      </c>
      <c r="D236" t="s">
        <v>229</v>
      </c>
      <c r="E236" t="s">
        <v>408</v>
      </c>
      <c r="F236" t="s">
        <v>527</v>
      </c>
      <c r="G236" s="25">
        <v>44216</v>
      </c>
      <c r="H236">
        <v>4</v>
      </c>
      <c r="I236">
        <v>20</v>
      </c>
      <c r="J236" t="s">
        <v>432</v>
      </c>
      <c r="K236" t="s">
        <v>489</v>
      </c>
      <c r="L236" t="s">
        <v>134</v>
      </c>
      <c r="M236" t="s">
        <v>434</v>
      </c>
      <c r="N236" t="s">
        <v>67</v>
      </c>
      <c r="O236" t="s">
        <v>235</v>
      </c>
      <c r="P236" t="s">
        <v>437</v>
      </c>
      <c r="Q236">
        <v>48000</v>
      </c>
      <c r="R236" t="s">
        <v>237</v>
      </c>
    </row>
    <row r="237" spans="1:18" x14ac:dyDescent="0.25">
      <c r="A237" t="s">
        <v>3268</v>
      </c>
      <c r="B237">
        <v>2115</v>
      </c>
      <c r="C237" t="s">
        <v>487</v>
      </c>
      <c r="D237" t="s">
        <v>322</v>
      </c>
      <c r="E237" t="s">
        <v>534</v>
      </c>
      <c r="F237" t="s">
        <v>3031</v>
      </c>
      <c r="G237" s="25">
        <v>44293</v>
      </c>
      <c r="H237">
        <v>20</v>
      </c>
      <c r="I237">
        <v>97</v>
      </c>
      <c r="J237" t="s">
        <v>231</v>
      </c>
      <c r="K237" t="s">
        <v>509</v>
      </c>
      <c r="L237" t="s">
        <v>45</v>
      </c>
      <c r="M237" t="s">
        <v>234</v>
      </c>
      <c r="N237" t="s">
        <v>44</v>
      </c>
      <c r="O237" t="s">
        <v>21</v>
      </c>
      <c r="P237" t="s">
        <v>304</v>
      </c>
      <c r="Q237">
        <v>11000</v>
      </c>
      <c r="R237" t="s">
        <v>237</v>
      </c>
    </row>
    <row r="238" spans="1:18" x14ac:dyDescent="0.25">
      <c r="A238" t="s">
        <v>3269</v>
      </c>
      <c r="B238">
        <v>1807</v>
      </c>
      <c r="C238" t="s">
        <v>487</v>
      </c>
      <c r="D238" t="s">
        <v>322</v>
      </c>
      <c r="E238" t="s">
        <v>256</v>
      </c>
      <c r="F238" t="s">
        <v>2952</v>
      </c>
      <c r="G238" s="25">
        <v>44279</v>
      </c>
      <c r="H238">
        <v>17</v>
      </c>
      <c r="I238">
        <v>83</v>
      </c>
      <c r="J238" t="s">
        <v>231</v>
      </c>
      <c r="K238" t="s">
        <v>509</v>
      </c>
      <c r="L238" t="s">
        <v>45</v>
      </c>
      <c r="M238" t="s">
        <v>234</v>
      </c>
      <c r="N238" t="s">
        <v>44</v>
      </c>
      <c r="O238" t="s">
        <v>21</v>
      </c>
      <c r="P238" t="s">
        <v>304</v>
      </c>
      <c r="Q238">
        <v>0</v>
      </c>
      <c r="R238" t="s">
        <v>237</v>
      </c>
    </row>
    <row r="239" spans="1:18" x14ac:dyDescent="0.25">
      <c r="A239" t="s">
        <v>2329</v>
      </c>
      <c r="B239">
        <v>1345</v>
      </c>
      <c r="C239" t="s">
        <v>487</v>
      </c>
      <c r="D239" t="s">
        <v>261</v>
      </c>
      <c r="E239" t="s">
        <v>231</v>
      </c>
      <c r="F239" t="s">
        <v>1400</v>
      </c>
      <c r="G239" s="25">
        <v>44258</v>
      </c>
      <c r="H239">
        <v>13</v>
      </c>
      <c r="I239">
        <v>62</v>
      </c>
      <c r="J239" t="s">
        <v>231</v>
      </c>
      <c r="K239" t="s">
        <v>509</v>
      </c>
      <c r="L239" t="s">
        <v>45</v>
      </c>
      <c r="M239" t="s">
        <v>234</v>
      </c>
      <c r="N239" t="s">
        <v>44</v>
      </c>
      <c r="O239" t="s">
        <v>21</v>
      </c>
      <c r="P239" t="s">
        <v>304</v>
      </c>
      <c r="Q239">
        <v>10767</v>
      </c>
      <c r="R239" t="s">
        <v>237</v>
      </c>
    </row>
    <row r="240" spans="1:18" x14ac:dyDescent="0.25">
      <c r="A240" t="s">
        <v>2500</v>
      </c>
      <c r="B240">
        <v>1213</v>
      </c>
      <c r="C240" t="s">
        <v>487</v>
      </c>
      <c r="D240" t="s">
        <v>256</v>
      </c>
      <c r="E240" t="s">
        <v>620</v>
      </c>
      <c r="F240" t="s">
        <v>1350</v>
      </c>
      <c r="G240" s="25">
        <v>44252</v>
      </c>
      <c r="H240">
        <v>12</v>
      </c>
      <c r="I240">
        <v>56</v>
      </c>
      <c r="J240" t="s">
        <v>231</v>
      </c>
      <c r="K240" t="s">
        <v>509</v>
      </c>
      <c r="L240" t="s">
        <v>45</v>
      </c>
      <c r="M240" t="s">
        <v>234</v>
      </c>
      <c r="N240" t="s">
        <v>44</v>
      </c>
      <c r="O240" t="s">
        <v>21</v>
      </c>
      <c r="P240" t="s">
        <v>304</v>
      </c>
      <c r="Q240">
        <v>0</v>
      </c>
      <c r="R240" t="s">
        <v>237</v>
      </c>
    </row>
    <row r="241" spans="1:18" x14ac:dyDescent="0.25">
      <c r="A241" t="s">
        <v>1719</v>
      </c>
      <c r="B241">
        <v>971</v>
      </c>
      <c r="C241" t="s">
        <v>487</v>
      </c>
      <c r="D241" t="s">
        <v>256</v>
      </c>
      <c r="E241" t="s">
        <v>322</v>
      </c>
      <c r="F241" t="s">
        <v>1288</v>
      </c>
      <c r="G241" s="25">
        <v>44241</v>
      </c>
      <c r="H241">
        <v>9</v>
      </c>
      <c r="I241">
        <v>45</v>
      </c>
      <c r="J241" t="s">
        <v>231</v>
      </c>
      <c r="K241" t="s">
        <v>509</v>
      </c>
      <c r="L241" t="s">
        <v>45</v>
      </c>
      <c r="M241" t="s">
        <v>234</v>
      </c>
      <c r="N241" t="s">
        <v>44</v>
      </c>
      <c r="O241" t="s">
        <v>21</v>
      </c>
      <c r="P241" t="s">
        <v>304</v>
      </c>
      <c r="Q241">
        <v>0</v>
      </c>
      <c r="R241" t="s">
        <v>237</v>
      </c>
    </row>
    <row r="242" spans="1:18" x14ac:dyDescent="0.25">
      <c r="A242" t="s">
        <v>1640</v>
      </c>
      <c r="B242">
        <v>597</v>
      </c>
      <c r="C242" t="s">
        <v>487</v>
      </c>
      <c r="D242" t="s">
        <v>231</v>
      </c>
      <c r="E242" t="s">
        <v>381</v>
      </c>
      <c r="F242" t="s">
        <v>1099</v>
      </c>
      <c r="G242" s="25">
        <v>44224</v>
      </c>
      <c r="H242">
        <v>6</v>
      </c>
      <c r="I242">
        <v>28</v>
      </c>
      <c r="J242" t="s">
        <v>231</v>
      </c>
      <c r="K242" t="s">
        <v>509</v>
      </c>
      <c r="L242" t="s">
        <v>45</v>
      </c>
      <c r="M242" t="s">
        <v>234</v>
      </c>
      <c r="N242" t="s">
        <v>44</v>
      </c>
      <c r="O242" t="s">
        <v>21</v>
      </c>
      <c r="P242" t="s">
        <v>304</v>
      </c>
      <c r="Q242">
        <v>0</v>
      </c>
      <c r="R242" t="s">
        <v>237</v>
      </c>
    </row>
    <row r="243" spans="1:18" x14ac:dyDescent="0.25">
      <c r="A243" t="s">
        <v>615</v>
      </c>
      <c r="B243">
        <v>245</v>
      </c>
      <c r="C243" t="s">
        <v>487</v>
      </c>
      <c r="D243" t="s">
        <v>229</v>
      </c>
      <c r="E243" t="s">
        <v>232</v>
      </c>
      <c r="F243" t="s">
        <v>520</v>
      </c>
      <c r="G243" s="25">
        <v>44208</v>
      </c>
      <c r="H243">
        <v>3</v>
      </c>
      <c r="I243">
        <v>12</v>
      </c>
      <c r="J243" t="s">
        <v>231</v>
      </c>
      <c r="K243" t="s">
        <v>509</v>
      </c>
      <c r="L243" t="s">
        <v>45</v>
      </c>
      <c r="M243" t="s">
        <v>234</v>
      </c>
      <c r="N243" t="s">
        <v>44</v>
      </c>
      <c r="O243" t="s">
        <v>21</v>
      </c>
      <c r="P243" t="s">
        <v>304</v>
      </c>
      <c r="Q243">
        <v>0</v>
      </c>
      <c r="R243" t="s">
        <v>237</v>
      </c>
    </row>
    <row r="244" spans="1:18" x14ac:dyDescent="0.25">
      <c r="A244" t="s">
        <v>1973</v>
      </c>
      <c r="B244">
        <v>1324</v>
      </c>
      <c r="C244" t="s">
        <v>487</v>
      </c>
      <c r="D244" t="s">
        <v>261</v>
      </c>
      <c r="E244" t="s">
        <v>229</v>
      </c>
      <c r="F244" t="s">
        <v>1388</v>
      </c>
      <c r="G244" s="25">
        <v>44257</v>
      </c>
      <c r="H244">
        <v>13</v>
      </c>
      <c r="I244">
        <v>61</v>
      </c>
      <c r="J244" t="s">
        <v>231</v>
      </c>
      <c r="K244" t="s">
        <v>508</v>
      </c>
      <c r="L244" t="s">
        <v>47</v>
      </c>
      <c r="M244" t="s">
        <v>234</v>
      </c>
      <c r="N244" t="s">
        <v>46</v>
      </c>
      <c r="O244" t="s">
        <v>21</v>
      </c>
      <c r="P244" t="s">
        <v>288</v>
      </c>
      <c r="Q244">
        <v>16000</v>
      </c>
      <c r="R244" t="s">
        <v>237</v>
      </c>
    </row>
    <row r="245" spans="1:18" x14ac:dyDescent="0.25">
      <c r="A245" t="s">
        <v>277</v>
      </c>
      <c r="B245">
        <v>114</v>
      </c>
      <c r="C245" t="s">
        <v>487</v>
      </c>
      <c r="D245" t="s">
        <v>229</v>
      </c>
      <c r="E245" t="s">
        <v>247</v>
      </c>
      <c r="F245" t="s">
        <v>524</v>
      </c>
      <c r="G245" s="25">
        <v>44202</v>
      </c>
      <c r="H245">
        <v>2</v>
      </c>
      <c r="I245">
        <v>6</v>
      </c>
      <c r="J245" t="s">
        <v>231</v>
      </c>
      <c r="K245" t="s">
        <v>508</v>
      </c>
      <c r="L245" t="s">
        <v>47</v>
      </c>
      <c r="M245" t="s">
        <v>234</v>
      </c>
      <c r="N245" t="s">
        <v>46</v>
      </c>
      <c r="O245" t="s">
        <v>21</v>
      </c>
      <c r="P245" t="s">
        <v>288</v>
      </c>
      <c r="Q245">
        <v>0</v>
      </c>
      <c r="R245" t="s">
        <v>237</v>
      </c>
    </row>
    <row r="246" spans="1:18" x14ac:dyDescent="0.25">
      <c r="A246" t="s">
        <v>1802</v>
      </c>
      <c r="B246">
        <v>1105</v>
      </c>
      <c r="C246" t="s">
        <v>487</v>
      </c>
      <c r="D246" t="s">
        <v>256</v>
      </c>
      <c r="E246" t="s">
        <v>515</v>
      </c>
      <c r="F246" t="s">
        <v>1329</v>
      </c>
      <c r="G246" s="25">
        <v>44247</v>
      </c>
      <c r="H246">
        <v>11</v>
      </c>
      <c r="I246">
        <v>51</v>
      </c>
      <c r="J246" t="s">
        <v>231</v>
      </c>
      <c r="K246" t="s">
        <v>507</v>
      </c>
      <c r="L246" t="s">
        <v>49</v>
      </c>
      <c r="M246" t="s">
        <v>234</v>
      </c>
      <c r="N246" t="s">
        <v>48</v>
      </c>
      <c r="O246" t="s">
        <v>21</v>
      </c>
      <c r="P246" t="s">
        <v>413</v>
      </c>
      <c r="Q246">
        <v>0</v>
      </c>
      <c r="R246" t="s">
        <v>237</v>
      </c>
    </row>
    <row r="247" spans="1:18" x14ac:dyDescent="0.25">
      <c r="A247" t="s">
        <v>2770</v>
      </c>
      <c r="B247">
        <v>797</v>
      </c>
      <c r="C247" t="s">
        <v>487</v>
      </c>
      <c r="D247" t="s">
        <v>231</v>
      </c>
      <c r="E247" t="s">
        <v>534</v>
      </c>
      <c r="F247" t="s">
        <v>1731</v>
      </c>
      <c r="G247" s="25">
        <v>44233</v>
      </c>
      <c r="H247">
        <v>8</v>
      </c>
      <c r="I247">
        <v>37</v>
      </c>
      <c r="J247" t="s">
        <v>231</v>
      </c>
      <c r="K247" t="s">
        <v>507</v>
      </c>
      <c r="L247" t="s">
        <v>49</v>
      </c>
      <c r="M247" t="s">
        <v>234</v>
      </c>
      <c r="N247" t="s">
        <v>48</v>
      </c>
      <c r="O247" t="s">
        <v>21</v>
      </c>
      <c r="P247" t="s">
        <v>413</v>
      </c>
      <c r="Q247">
        <v>0</v>
      </c>
      <c r="R247" t="s">
        <v>237</v>
      </c>
    </row>
    <row r="248" spans="1:18" x14ac:dyDescent="0.25">
      <c r="A248" t="s">
        <v>1608</v>
      </c>
      <c r="B248">
        <v>489</v>
      </c>
      <c r="C248" t="s">
        <v>487</v>
      </c>
      <c r="D248" t="s">
        <v>231</v>
      </c>
      <c r="E248" t="s">
        <v>256</v>
      </c>
      <c r="F248" t="s">
        <v>1064</v>
      </c>
      <c r="G248" s="25">
        <v>44219</v>
      </c>
      <c r="H248">
        <v>5</v>
      </c>
      <c r="I248">
        <v>23</v>
      </c>
      <c r="J248" t="s">
        <v>231</v>
      </c>
      <c r="K248" t="s">
        <v>507</v>
      </c>
      <c r="L248" t="s">
        <v>49</v>
      </c>
      <c r="M248" t="s">
        <v>234</v>
      </c>
      <c r="N248" t="s">
        <v>48</v>
      </c>
      <c r="O248" t="s">
        <v>21</v>
      </c>
      <c r="P248" t="s">
        <v>413</v>
      </c>
      <c r="Q248">
        <v>0</v>
      </c>
      <c r="R248" t="s">
        <v>237</v>
      </c>
    </row>
    <row r="249" spans="1:18" x14ac:dyDescent="0.25">
      <c r="A249" t="s">
        <v>732</v>
      </c>
      <c r="B249">
        <v>181</v>
      </c>
      <c r="C249" t="s">
        <v>487</v>
      </c>
      <c r="D249" t="s">
        <v>229</v>
      </c>
      <c r="E249" t="s">
        <v>371</v>
      </c>
      <c r="F249" t="s">
        <v>557</v>
      </c>
      <c r="G249" s="25">
        <v>44205</v>
      </c>
      <c r="H249">
        <v>2</v>
      </c>
      <c r="I249">
        <v>9</v>
      </c>
      <c r="J249" t="s">
        <v>231</v>
      </c>
      <c r="K249" t="s">
        <v>507</v>
      </c>
      <c r="L249" t="s">
        <v>49</v>
      </c>
      <c r="M249" t="s">
        <v>234</v>
      </c>
      <c r="N249" t="s">
        <v>48</v>
      </c>
      <c r="O249" t="s">
        <v>21</v>
      </c>
      <c r="P249" t="s">
        <v>413</v>
      </c>
      <c r="Q249">
        <v>0</v>
      </c>
      <c r="R249" t="s">
        <v>237</v>
      </c>
    </row>
    <row r="250" spans="1:18" x14ac:dyDescent="0.25">
      <c r="A250" t="s">
        <v>3270</v>
      </c>
      <c r="B250">
        <v>2359</v>
      </c>
      <c r="C250" t="s">
        <v>487</v>
      </c>
      <c r="D250" t="s">
        <v>247</v>
      </c>
      <c r="E250" t="s">
        <v>381</v>
      </c>
      <c r="F250" t="s">
        <v>3107</v>
      </c>
      <c r="G250" s="25">
        <v>44304</v>
      </c>
      <c r="H250">
        <v>22</v>
      </c>
      <c r="I250">
        <v>108</v>
      </c>
      <c r="J250" t="s">
        <v>231</v>
      </c>
      <c r="K250" t="s">
        <v>507</v>
      </c>
      <c r="L250" t="s">
        <v>49</v>
      </c>
      <c r="M250" t="s">
        <v>234</v>
      </c>
      <c r="N250" t="s">
        <v>48</v>
      </c>
      <c r="O250" t="s">
        <v>21</v>
      </c>
      <c r="P250" t="s">
        <v>413</v>
      </c>
      <c r="Q250">
        <v>0</v>
      </c>
      <c r="R250" t="s">
        <v>237</v>
      </c>
    </row>
    <row r="251" spans="1:18" x14ac:dyDescent="0.25">
      <c r="A251" t="s">
        <v>3271</v>
      </c>
      <c r="B251">
        <v>2007</v>
      </c>
      <c r="C251" t="s">
        <v>487</v>
      </c>
      <c r="D251" t="s">
        <v>322</v>
      </c>
      <c r="E251" t="s">
        <v>232</v>
      </c>
      <c r="F251" t="s">
        <v>2987</v>
      </c>
      <c r="G251" s="25">
        <v>44288</v>
      </c>
      <c r="H251">
        <v>19</v>
      </c>
      <c r="I251">
        <v>92</v>
      </c>
      <c r="J251" t="s">
        <v>231</v>
      </c>
      <c r="K251" t="s">
        <v>507</v>
      </c>
      <c r="L251" t="s">
        <v>49</v>
      </c>
      <c r="M251" t="s">
        <v>234</v>
      </c>
      <c r="N251" t="s">
        <v>48</v>
      </c>
      <c r="O251" t="s">
        <v>21</v>
      </c>
      <c r="P251" t="s">
        <v>413</v>
      </c>
      <c r="Q251">
        <v>0</v>
      </c>
      <c r="R251" t="s">
        <v>237</v>
      </c>
    </row>
    <row r="252" spans="1:18" x14ac:dyDescent="0.25">
      <c r="A252" t="s">
        <v>2826</v>
      </c>
      <c r="B252">
        <v>1391</v>
      </c>
      <c r="C252" t="s">
        <v>487</v>
      </c>
      <c r="D252" t="s">
        <v>261</v>
      </c>
      <c r="E252" t="s">
        <v>261</v>
      </c>
      <c r="F252" t="s">
        <v>1410</v>
      </c>
      <c r="G252" s="25">
        <v>44260</v>
      </c>
      <c r="H252">
        <v>13</v>
      </c>
      <c r="I252">
        <v>64</v>
      </c>
      <c r="J252" t="s">
        <v>231</v>
      </c>
      <c r="K252" t="s">
        <v>507</v>
      </c>
      <c r="L252" t="s">
        <v>49</v>
      </c>
      <c r="M252" t="s">
        <v>234</v>
      </c>
      <c r="N252" t="s">
        <v>48</v>
      </c>
      <c r="O252" t="s">
        <v>21</v>
      </c>
      <c r="P252" t="s">
        <v>413</v>
      </c>
      <c r="Q252">
        <v>0</v>
      </c>
      <c r="R252" t="s">
        <v>237</v>
      </c>
    </row>
    <row r="253" spans="1:18" x14ac:dyDescent="0.25">
      <c r="A253" t="s">
        <v>3272</v>
      </c>
      <c r="B253">
        <v>2602</v>
      </c>
      <c r="C253" t="s">
        <v>487</v>
      </c>
      <c r="D253" t="s">
        <v>247</v>
      </c>
      <c r="E253" t="s">
        <v>531</v>
      </c>
      <c r="F253" t="s">
        <v>3173</v>
      </c>
      <c r="G253" s="25">
        <v>44315</v>
      </c>
      <c r="H253">
        <v>24</v>
      </c>
      <c r="I253">
        <v>119</v>
      </c>
      <c r="J253" t="s">
        <v>231</v>
      </c>
      <c r="K253" t="s">
        <v>506</v>
      </c>
      <c r="L253" t="s">
        <v>414</v>
      </c>
      <c r="M253" t="s">
        <v>234</v>
      </c>
      <c r="N253" t="s">
        <v>50</v>
      </c>
      <c r="O253" t="s">
        <v>21</v>
      </c>
      <c r="P253" t="s">
        <v>411</v>
      </c>
      <c r="Q253">
        <v>0</v>
      </c>
      <c r="R253" t="s">
        <v>237</v>
      </c>
    </row>
    <row r="254" spans="1:18" x14ac:dyDescent="0.25">
      <c r="A254" t="s">
        <v>2595</v>
      </c>
      <c r="B254">
        <v>1634</v>
      </c>
      <c r="C254" t="s">
        <v>487</v>
      </c>
      <c r="D254" t="s">
        <v>261</v>
      </c>
      <c r="E254" t="s">
        <v>575</v>
      </c>
      <c r="F254" t="s">
        <v>1537</v>
      </c>
      <c r="G254" s="25">
        <v>44271</v>
      </c>
      <c r="H254">
        <v>15</v>
      </c>
      <c r="I254">
        <v>75</v>
      </c>
      <c r="J254" t="s">
        <v>231</v>
      </c>
      <c r="K254" t="s">
        <v>506</v>
      </c>
      <c r="L254" t="s">
        <v>414</v>
      </c>
      <c r="M254" t="s">
        <v>234</v>
      </c>
      <c r="N254" t="s">
        <v>50</v>
      </c>
      <c r="O254" t="s">
        <v>21</v>
      </c>
      <c r="P254" t="s">
        <v>411</v>
      </c>
      <c r="Q254">
        <v>0</v>
      </c>
      <c r="R254" t="s">
        <v>237</v>
      </c>
    </row>
    <row r="255" spans="1:18" x14ac:dyDescent="0.25">
      <c r="A255" t="s">
        <v>3273</v>
      </c>
      <c r="B255">
        <v>2553</v>
      </c>
      <c r="C255" t="s">
        <v>487</v>
      </c>
      <c r="D255" t="s">
        <v>247</v>
      </c>
      <c r="E255" t="s">
        <v>534</v>
      </c>
      <c r="F255" t="s">
        <v>3166</v>
      </c>
      <c r="G255" s="25">
        <v>44313</v>
      </c>
      <c r="H255">
        <v>24</v>
      </c>
      <c r="I255">
        <v>117</v>
      </c>
      <c r="J255" t="s">
        <v>231</v>
      </c>
      <c r="K255" t="s">
        <v>505</v>
      </c>
      <c r="L255" t="s">
        <v>41</v>
      </c>
      <c r="M255" t="s">
        <v>234</v>
      </c>
      <c r="N255" t="s">
        <v>40</v>
      </c>
      <c r="O255" t="s">
        <v>21</v>
      </c>
      <c r="P255" t="s">
        <v>266</v>
      </c>
      <c r="Q255">
        <v>0</v>
      </c>
      <c r="R255" t="s">
        <v>237</v>
      </c>
    </row>
    <row r="256" spans="1:18" x14ac:dyDescent="0.25">
      <c r="A256" t="s">
        <v>1984</v>
      </c>
      <c r="B256">
        <v>1497</v>
      </c>
      <c r="C256" t="s">
        <v>487</v>
      </c>
      <c r="D256" t="s">
        <v>261</v>
      </c>
      <c r="E256" t="s">
        <v>371</v>
      </c>
      <c r="F256" t="s">
        <v>1478</v>
      </c>
      <c r="G256" s="25">
        <v>44265</v>
      </c>
      <c r="H256">
        <v>14</v>
      </c>
      <c r="I256">
        <v>69</v>
      </c>
      <c r="J256" t="s">
        <v>231</v>
      </c>
      <c r="K256" t="s">
        <v>505</v>
      </c>
      <c r="L256" t="s">
        <v>41</v>
      </c>
      <c r="M256" t="s">
        <v>234</v>
      </c>
      <c r="N256" t="s">
        <v>40</v>
      </c>
      <c r="O256" t="s">
        <v>21</v>
      </c>
      <c r="P256" t="s">
        <v>266</v>
      </c>
      <c r="Q256">
        <v>51756</v>
      </c>
      <c r="R256" t="s">
        <v>237</v>
      </c>
    </row>
    <row r="257" spans="1:18" x14ac:dyDescent="0.25">
      <c r="A257" t="s">
        <v>1860</v>
      </c>
      <c r="B257">
        <v>1321</v>
      </c>
      <c r="C257" t="s">
        <v>487</v>
      </c>
      <c r="D257" t="s">
        <v>261</v>
      </c>
      <c r="E257" t="s">
        <v>229</v>
      </c>
      <c r="F257" t="s">
        <v>1388</v>
      </c>
      <c r="G257" s="25">
        <v>44257</v>
      </c>
      <c r="H257">
        <v>13</v>
      </c>
      <c r="I257">
        <v>61</v>
      </c>
      <c r="J257" t="s">
        <v>231</v>
      </c>
      <c r="K257" t="s">
        <v>505</v>
      </c>
      <c r="L257" t="s">
        <v>41</v>
      </c>
      <c r="M257" t="s">
        <v>234</v>
      </c>
      <c r="N257" t="s">
        <v>40</v>
      </c>
      <c r="O257" t="s">
        <v>21</v>
      </c>
      <c r="P257" t="s">
        <v>266</v>
      </c>
      <c r="Q257">
        <v>44250</v>
      </c>
      <c r="R257" t="s">
        <v>237</v>
      </c>
    </row>
    <row r="258" spans="1:18" x14ac:dyDescent="0.25">
      <c r="A258" t="s">
        <v>1818</v>
      </c>
      <c r="B258">
        <v>749</v>
      </c>
      <c r="C258" t="s">
        <v>487</v>
      </c>
      <c r="D258" t="s">
        <v>231</v>
      </c>
      <c r="E258" t="s">
        <v>575</v>
      </c>
      <c r="F258" t="s">
        <v>1210</v>
      </c>
      <c r="G258" s="25">
        <v>44231</v>
      </c>
      <c r="H258">
        <v>7</v>
      </c>
      <c r="I258">
        <v>35</v>
      </c>
      <c r="J258" t="s">
        <v>231</v>
      </c>
      <c r="K258" t="s">
        <v>505</v>
      </c>
      <c r="L258" t="s">
        <v>41</v>
      </c>
      <c r="M258" t="s">
        <v>234</v>
      </c>
      <c r="N258" t="s">
        <v>40</v>
      </c>
      <c r="O258" t="s">
        <v>21</v>
      </c>
      <c r="P258" t="s">
        <v>266</v>
      </c>
      <c r="Q258">
        <v>0</v>
      </c>
      <c r="R258" t="s">
        <v>237</v>
      </c>
    </row>
    <row r="259" spans="1:18" x14ac:dyDescent="0.25">
      <c r="A259" t="s">
        <v>2440</v>
      </c>
      <c r="B259">
        <v>573</v>
      </c>
      <c r="C259" t="s">
        <v>487</v>
      </c>
      <c r="D259" t="s">
        <v>231</v>
      </c>
      <c r="E259" t="s">
        <v>326</v>
      </c>
      <c r="F259" t="s">
        <v>1095</v>
      </c>
      <c r="G259" s="25">
        <v>44223</v>
      </c>
      <c r="H259">
        <v>6</v>
      </c>
      <c r="I259">
        <v>27</v>
      </c>
      <c r="J259" t="s">
        <v>231</v>
      </c>
      <c r="K259" t="s">
        <v>505</v>
      </c>
      <c r="L259" t="s">
        <v>41</v>
      </c>
      <c r="M259" t="s">
        <v>234</v>
      </c>
      <c r="N259" t="s">
        <v>40</v>
      </c>
      <c r="O259" t="s">
        <v>21</v>
      </c>
      <c r="P259" t="s">
        <v>266</v>
      </c>
      <c r="Q259">
        <v>20375</v>
      </c>
      <c r="R259" t="s">
        <v>237</v>
      </c>
    </row>
    <row r="260" spans="1:18" x14ac:dyDescent="0.25">
      <c r="A260" t="s">
        <v>741</v>
      </c>
      <c r="B260">
        <v>375</v>
      </c>
      <c r="C260" t="s">
        <v>487</v>
      </c>
      <c r="D260" t="s">
        <v>229</v>
      </c>
      <c r="E260" t="s">
        <v>552</v>
      </c>
      <c r="F260" t="s">
        <v>553</v>
      </c>
      <c r="G260" s="25">
        <v>44214</v>
      </c>
      <c r="H260">
        <v>4</v>
      </c>
      <c r="I260">
        <v>18</v>
      </c>
      <c r="J260" t="s">
        <v>231</v>
      </c>
      <c r="K260" t="s">
        <v>505</v>
      </c>
      <c r="L260" t="s">
        <v>41</v>
      </c>
      <c r="M260" t="s">
        <v>234</v>
      </c>
      <c r="N260" t="s">
        <v>40</v>
      </c>
      <c r="O260" t="s">
        <v>21</v>
      </c>
      <c r="P260" t="s">
        <v>266</v>
      </c>
      <c r="Q260">
        <v>0</v>
      </c>
      <c r="R260" t="s">
        <v>237</v>
      </c>
    </row>
    <row r="261" spans="1:18" x14ac:dyDescent="0.25">
      <c r="A261" t="s">
        <v>3274</v>
      </c>
      <c r="B261">
        <v>2026</v>
      </c>
      <c r="C261" t="s">
        <v>487</v>
      </c>
      <c r="D261" t="s">
        <v>322</v>
      </c>
      <c r="E261" t="s">
        <v>512</v>
      </c>
      <c r="F261" t="s">
        <v>2991</v>
      </c>
      <c r="G261" s="25">
        <v>44289</v>
      </c>
      <c r="H261">
        <v>19</v>
      </c>
      <c r="I261">
        <v>93</v>
      </c>
      <c r="J261" t="s">
        <v>231</v>
      </c>
      <c r="K261" t="s">
        <v>504</v>
      </c>
      <c r="L261" t="s">
        <v>43</v>
      </c>
      <c r="M261" t="s">
        <v>234</v>
      </c>
      <c r="N261" t="s">
        <v>42</v>
      </c>
      <c r="O261" t="s">
        <v>21</v>
      </c>
      <c r="P261" t="s">
        <v>236</v>
      </c>
      <c r="Q261">
        <v>0</v>
      </c>
      <c r="R261" t="s">
        <v>237</v>
      </c>
    </row>
    <row r="262" spans="1:18" x14ac:dyDescent="0.25">
      <c r="A262" t="s">
        <v>2228</v>
      </c>
      <c r="B262">
        <v>1124</v>
      </c>
      <c r="C262" t="s">
        <v>487</v>
      </c>
      <c r="D262" t="s">
        <v>256</v>
      </c>
      <c r="E262" t="s">
        <v>232</v>
      </c>
      <c r="F262" t="s">
        <v>1337</v>
      </c>
      <c r="G262" s="25">
        <v>44248</v>
      </c>
      <c r="H262">
        <v>11</v>
      </c>
      <c r="I262">
        <v>52</v>
      </c>
      <c r="J262" t="s">
        <v>231</v>
      </c>
      <c r="K262" t="s">
        <v>504</v>
      </c>
      <c r="L262" t="s">
        <v>43</v>
      </c>
      <c r="M262" t="s">
        <v>234</v>
      </c>
      <c r="N262" t="s">
        <v>42</v>
      </c>
      <c r="O262" t="s">
        <v>21</v>
      </c>
      <c r="P262" t="s">
        <v>236</v>
      </c>
      <c r="Q262">
        <v>0</v>
      </c>
      <c r="R262" t="s">
        <v>237</v>
      </c>
    </row>
    <row r="263" spans="1:18" x14ac:dyDescent="0.25">
      <c r="A263" t="s">
        <v>1773</v>
      </c>
      <c r="B263">
        <v>816</v>
      </c>
      <c r="C263" t="s">
        <v>487</v>
      </c>
      <c r="D263" t="s">
        <v>231</v>
      </c>
      <c r="E263" t="s">
        <v>552</v>
      </c>
      <c r="F263" t="s">
        <v>1222</v>
      </c>
      <c r="G263" s="25">
        <v>44234</v>
      </c>
      <c r="H263">
        <v>8</v>
      </c>
      <c r="I263">
        <v>38</v>
      </c>
      <c r="J263" t="s">
        <v>231</v>
      </c>
      <c r="K263" t="s">
        <v>504</v>
      </c>
      <c r="L263" t="s">
        <v>43</v>
      </c>
      <c r="M263" t="s">
        <v>234</v>
      </c>
      <c r="N263" t="s">
        <v>42</v>
      </c>
      <c r="O263" t="s">
        <v>21</v>
      </c>
      <c r="P263" t="s">
        <v>236</v>
      </c>
      <c r="Q263">
        <v>3184</v>
      </c>
      <c r="R263" t="s">
        <v>237</v>
      </c>
    </row>
    <row r="264" spans="1:18" x14ac:dyDescent="0.25">
      <c r="A264" t="s">
        <v>2659</v>
      </c>
      <c r="B264">
        <v>508</v>
      </c>
      <c r="C264" t="s">
        <v>487</v>
      </c>
      <c r="D264" t="s">
        <v>231</v>
      </c>
      <c r="E264" t="s">
        <v>261</v>
      </c>
      <c r="F264" t="s">
        <v>1065</v>
      </c>
      <c r="G264" s="25">
        <v>44220</v>
      </c>
      <c r="H264">
        <v>5</v>
      </c>
      <c r="I264">
        <v>24</v>
      </c>
      <c r="J264" t="s">
        <v>231</v>
      </c>
      <c r="K264" t="s">
        <v>504</v>
      </c>
      <c r="L264" t="s">
        <v>43</v>
      </c>
      <c r="M264" t="s">
        <v>234</v>
      </c>
      <c r="N264" t="s">
        <v>42</v>
      </c>
      <c r="O264" t="s">
        <v>21</v>
      </c>
      <c r="P264" t="s">
        <v>236</v>
      </c>
      <c r="Q264">
        <v>0</v>
      </c>
      <c r="R264" t="s">
        <v>237</v>
      </c>
    </row>
    <row r="265" spans="1:18" x14ac:dyDescent="0.25">
      <c r="A265" t="s">
        <v>3275</v>
      </c>
      <c r="B265">
        <v>2378</v>
      </c>
      <c r="C265" t="s">
        <v>487</v>
      </c>
      <c r="D265" t="s">
        <v>247</v>
      </c>
      <c r="E265" t="s">
        <v>371</v>
      </c>
      <c r="F265" t="s">
        <v>3112</v>
      </c>
      <c r="G265" s="25">
        <v>44305</v>
      </c>
      <c r="H265">
        <v>22</v>
      </c>
      <c r="I265">
        <v>109</v>
      </c>
      <c r="J265" t="s">
        <v>231</v>
      </c>
      <c r="K265" t="s">
        <v>504</v>
      </c>
      <c r="L265" t="s">
        <v>43</v>
      </c>
      <c r="M265" t="s">
        <v>234</v>
      </c>
      <c r="N265" t="s">
        <v>42</v>
      </c>
      <c r="O265" t="s">
        <v>21</v>
      </c>
      <c r="P265" t="s">
        <v>236</v>
      </c>
      <c r="Q265">
        <v>24000</v>
      </c>
      <c r="R265" t="s">
        <v>237</v>
      </c>
    </row>
    <row r="266" spans="1:18" x14ac:dyDescent="0.25">
      <c r="A266" t="s">
        <v>2876</v>
      </c>
      <c r="B266">
        <v>1637</v>
      </c>
      <c r="C266" t="s">
        <v>487</v>
      </c>
      <c r="D266" t="s">
        <v>261</v>
      </c>
      <c r="E266" t="s">
        <v>575</v>
      </c>
      <c r="F266" t="s">
        <v>1537</v>
      </c>
      <c r="G266" s="25">
        <v>44271</v>
      </c>
      <c r="H266">
        <v>15</v>
      </c>
      <c r="I266">
        <v>75</v>
      </c>
      <c r="J266" t="s">
        <v>231</v>
      </c>
      <c r="K266" t="s">
        <v>503</v>
      </c>
      <c r="L266" t="s">
        <v>303</v>
      </c>
      <c r="M266" t="s">
        <v>234</v>
      </c>
      <c r="N266" t="s">
        <v>56</v>
      </c>
      <c r="O266" t="s">
        <v>235</v>
      </c>
      <c r="P266" t="s">
        <v>304</v>
      </c>
      <c r="Q266">
        <v>0</v>
      </c>
      <c r="R266" t="s">
        <v>237</v>
      </c>
    </row>
    <row r="267" spans="1:18" x14ac:dyDescent="0.25">
      <c r="A267" t="s">
        <v>2101</v>
      </c>
      <c r="B267">
        <v>1087</v>
      </c>
      <c r="C267" t="s">
        <v>487</v>
      </c>
      <c r="D267" t="s">
        <v>256</v>
      </c>
      <c r="E267" t="s">
        <v>239</v>
      </c>
      <c r="F267" t="s">
        <v>1322</v>
      </c>
      <c r="G267" s="25">
        <v>44246</v>
      </c>
      <c r="H267">
        <v>10</v>
      </c>
      <c r="I267">
        <v>50</v>
      </c>
      <c r="J267" t="s">
        <v>231</v>
      </c>
      <c r="K267" t="s">
        <v>503</v>
      </c>
      <c r="L267" t="s">
        <v>303</v>
      </c>
      <c r="M267" t="s">
        <v>234</v>
      </c>
      <c r="N267" t="s">
        <v>56</v>
      </c>
      <c r="O267" t="s">
        <v>235</v>
      </c>
      <c r="P267" t="s">
        <v>304</v>
      </c>
      <c r="Q267">
        <v>21875</v>
      </c>
      <c r="R267" t="s">
        <v>237</v>
      </c>
    </row>
    <row r="268" spans="1:18" x14ac:dyDescent="0.25">
      <c r="A268" t="s">
        <v>3276</v>
      </c>
      <c r="B268">
        <v>2605</v>
      </c>
      <c r="C268" t="s">
        <v>487</v>
      </c>
      <c r="D268" t="s">
        <v>247</v>
      </c>
      <c r="E268" t="s">
        <v>531</v>
      </c>
      <c r="F268" t="s">
        <v>3173</v>
      </c>
      <c r="G268" s="25">
        <v>44315</v>
      </c>
      <c r="H268">
        <v>24</v>
      </c>
      <c r="I268">
        <v>119</v>
      </c>
      <c r="J268" t="s">
        <v>231</v>
      </c>
      <c r="K268" t="s">
        <v>503</v>
      </c>
      <c r="L268" t="s">
        <v>303</v>
      </c>
      <c r="M268" t="s">
        <v>234</v>
      </c>
      <c r="N268" t="s">
        <v>56</v>
      </c>
      <c r="O268" t="s">
        <v>235</v>
      </c>
      <c r="P268" t="s">
        <v>304</v>
      </c>
      <c r="Q268">
        <v>0</v>
      </c>
      <c r="R268" t="s">
        <v>237</v>
      </c>
    </row>
    <row r="269" spans="1:18" x14ac:dyDescent="0.25">
      <c r="A269" t="s">
        <v>249</v>
      </c>
      <c r="B269">
        <v>10</v>
      </c>
      <c r="C269" t="s">
        <v>487</v>
      </c>
      <c r="D269" t="s">
        <v>229</v>
      </c>
      <c r="E269" t="s">
        <v>229</v>
      </c>
      <c r="F269" t="s">
        <v>230</v>
      </c>
      <c r="G269" s="25">
        <v>44197</v>
      </c>
      <c r="H269">
        <v>1</v>
      </c>
      <c r="I269">
        <v>1</v>
      </c>
      <c r="J269" t="s">
        <v>231</v>
      </c>
      <c r="K269" t="s">
        <v>502</v>
      </c>
      <c r="L269" t="s">
        <v>287</v>
      </c>
      <c r="M269" t="s">
        <v>234</v>
      </c>
      <c r="N269" t="s">
        <v>58</v>
      </c>
      <c r="O269" t="s">
        <v>235</v>
      </c>
      <c r="P269" t="s">
        <v>288</v>
      </c>
      <c r="Q269">
        <v>0</v>
      </c>
      <c r="R269" t="s">
        <v>237</v>
      </c>
    </row>
    <row r="270" spans="1:18" x14ac:dyDescent="0.25">
      <c r="A270" t="s">
        <v>3277</v>
      </c>
      <c r="B270">
        <v>2606</v>
      </c>
      <c r="C270" t="s">
        <v>487</v>
      </c>
      <c r="D270" t="s">
        <v>247</v>
      </c>
      <c r="E270" t="s">
        <v>531</v>
      </c>
      <c r="F270" t="s">
        <v>3173</v>
      </c>
      <c r="G270" s="25">
        <v>44315</v>
      </c>
      <c r="H270">
        <v>24</v>
      </c>
      <c r="I270">
        <v>119</v>
      </c>
      <c r="J270" t="s">
        <v>231</v>
      </c>
      <c r="K270" t="s">
        <v>502</v>
      </c>
      <c r="L270" t="s">
        <v>287</v>
      </c>
      <c r="M270" t="s">
        <v>234</v>
      </c>
      <c r="N270" t="s">
        <v>58</v>
      </c>
      <c r="O270" t="s">
        <v>235</v>
      </c>
      <c r="P270" t="s">
        <v>288</v>
      </c>
      <c r="Q270">
        <v>30591</v>
      </c>
      <c r="R270" t="s">
        <v>237</v>
      </c>
    </row>
    <row r="271" spans="1:18" x14ac:dyDescent="0.25">
      <c r="A271" t="s">
        <v>2105</v>
      </c>
      <c r="B271">
        <v>1748</v>
      </c>
      <c r="C271" t="s">
        <v>487</v>
      </c>
      <c r="D271" t="s">
        <v>261</v>
      </c>
      <c r="E271" t="s">
        <v>408</v>
      </c>
      <c r="F271" t="s">
        <v>1595</v>
      </c>
      <c r="G271" s="25">
        <v>44276</v>
      </c>
      <c r="H271">
        <v>16</v>
      </c>
      <c r="I271">
        <v>80</v>
      </c>
      <c r="J271" t="s">
        <v>231</v>
      </c>
      <c r="K271" t="s">
        <v>502</v>
      </c>
      <c r="L271" t="s">
        <v>287</v>
      </c>
      <c r="M271" t="s">
        <v>234</v>
      </c>
      <c r="N271" t="s">
        <v>58</v>
      </c>
      <c r="O271" t="s">
        <v>235</v>
      </c>
      <c r="P271" t="s">
        <v>288</v>
      </c>
      <c r="Q271">
        <v>0</v>
      </c>
      <c r="R271" t="s">
        <v>237</v>
      </c>
    </row>
    <row r="272" spans="1:18" x14ac:dyDescent="0.25">
      <c r="A272" t="s">
        <v>2665</v>
      </c>
      <c r="B272">
        <v>781</v>
      </c>
      <c r="C272" t="s">
        <v>487</v>
      </c>
      <c r="D272" t="s">
        <v>231</v>
      </c>
      <c r="E272" t="s">
        <v>620</v>
      </c>
      <c r="F272" t="s">
        <v>1215</v>
      </c>
      <c r="G272" s="25">
        <v>44232</v>
      </c>
      <c r="H272">
        <v>8</v>
      </c>
      <c r="I272">
        <v>36</v>
      </c>
      <c r="J272" t="s">
        <v>231</v>
      </c>
      <c r="K272" t="s">
        <v>501</v>
      </c>
      <c r="L272" t="s">
        <v>412</v>
      </c>
      <c r="M272" t="s">
        <v>234</v>
      </c>
      <c r="N272" t="s">
        <v>60</v>
      </c>
      <c r="O272" t="s">
        <v>235</v>
      </c>
      <c r="P272" t="s">
        <v>413</v>
      </c>
      <c r="Q272">
        <v>0</v>
      </c>
      <c r="R272" t="s">
        <v>237</v>
      </c>
    </row>
    <row r="273" spans="1:18" x14ac:dyDescent="0.25">
      <c r="A273" t="s">
        <v>1570</v>
      </c>
      <c r="B273">
        <v>473</v>
      </c>
      <c r="C273" t="s">
        <v>487</v>
      </c>
      <c r="D273" t="s">
        <v>231</v>
      </c>
      <c r="E273" t="s">
        <v>231</v>
      </c>
      <c r="F273" t="s">
        <v>1080</v>
      </c>
      <c r="G273" s="25">
        <v>44218</v>
      </c>
      <c r="H273">
        <v>5</v>
      </c>
      <c r="I273">
        <v>22</v>
      </c>
      <c r="J273" t="s">
        <v>231</v>
      </c>
      <c r="K273" t="s">
        <v>501</v>
      </c>
      <c r="L273" t="s">
        <v>412</v>
      </c>
      <c r="M273" t="s">
        <v>234</v>
      </c>
      <c r="N273" t="s">
        <v>60</v>
      </c>
      <c r="O273" t="s">
        <v>235</v>
      </c>
      <c r="P273" t="s">
        <v>413</v>
      </c>
      <c r="Q273">
        <v>0</v>
      </c>
      <c r="R273" t="s">
        <v>237</v>
      </c>
    </row>
    <row r="274" spans="1:18" x14ac:dyDescent="0.25">
      <c r="A274" t="s">
        <v>847</v>
      </c>
      <c r="B274">
        <v>165</v>
      </c>
      <c r="C274" t="s">
        <v>487</v>
      </c>
      <c r="D274" t="s">
        <v>229</v>
      </c>
      <c r="E274" t="s">
        <v>381</v>
      </c>
      <c r="F274" t="s">
        <v>518</v>
      </c>
      <c r="G274" s="25">
        <v>44204</v>
      </c>
      <c r="H274">
        <v>2</v>
      </c>
      <c r="I274">
        <v>8</v>
      </c>
      <c r="J274" t="s">
        <v>231</v>
      </c>
      <c r="K274" t="s">
        <v>501</v>
      </c>
      <c r="L274" t="s">
        <v>412</v>
      </c>
      <c r="M274" t="s">
        <v>234</v>
      </c>
      <c r="N274" t="s">
        <v>60</v>
      </c>
      <c r="O274" t="s">
        <v>235</v>
      </c>
      <c r="P274" t="s">
        <v>413</v>
      </c>
      <c r="Q274">
        <v>0</v>
      </c>
      <c r="R274" t="s">
        <v>237</v>
      </c>
    </row>
    <row r="275" spans="1:18" x14ac:dyDescent="0.25">
      <c r="A275" t="s">
        <v>3278</v>
      </c>
      <c r="B275">
        <v>2343</v>
      </c>
      <c r="C275" t="s">
        <v>487</v>
      </c>
      <c r="D275" t="s">
        <v>247</v>
      </c>
      <c r="E275" t="s">
        <v>326</v>
      </c>
      <c r="F275" t="s">
        <v>3091</v>
      </c>
      <c r="G275" s="25">
        <v>44303</v>
      </c>
      <c r="H275">
        <v>22</v>
      </c>
      <c r="I275">
        <v>107</v>
      </c>
      <c r="J275" t="s">
        <v>231</v>
      </c>
      <c r="K275" t="s">
        <v>501</v>
      </c>
      <c r="L275" t="s">
        <v>412</v>
      </c>
      <c r="M275" t="s">
        <v>234</v>
      </c>
      <c r="N275" t="s">
        <v>60</v>
      </c>
      <c r="O275" t="s">
        <v>235</v>
      </c>
      <c r="P275" t="s">
        <v>413</v>
      </c>
      <c r="Q275">
        <v>0</v>
      </c>
      <c r="R275" t="s">
        <v>237</v>
      </c>
    </row>
    <row r="276" spans="1:18" x14ac:dyDescent="0.25">
      <c r="A276" t="s">
        <v>3279</v>
      </c>
      <c r="B276">
        <v>1991</v>
      </c>
      <c r="C276" t="s">
        <v>487</v>
      </c>
      <c r="D276" t="s">
        <v>322</v>
      </c>
      <c r="E276" t="s">
        <v>515</v>
      </c>
      <c r="F276" t="s">
        <v>2983</v>
      </c>
      <c r="G276" s="25">
        <v>44287</v>
      </c>
      <c r="H276">
        <v>19</v>
      </c>
      <c r="I276">
        <v>91</v>
      </c>
      <c r="J276" t="s">
        <v>231</v>
      </c>
      <c r="K276" t="s">
        <v>501</v>
      </c>
      <c r="L276" t="s">
        <v>412</v>
      </c>
      <c r="M276" t="s">
        <v>234</v>
      </c>
      <c r="N276" t="s">
        <v>60</v>
      </c>
      <c r="O276" t="s">
        <v>235</v>
      </c>
      <c r="P276" t="s">
        <v>413</v>
      </c>
      <c r="Q276">
        <v>0</v>
      </c>
      <c r="R276" t="s">
        <v>237</v>
      </c>
    </row>
    <row r="277" spans="1:18" x14ac:dyDescent="0.25">
      <c r="A277" t="s">
        <v>2723</v>
      </c>
      <c r="B277">
        <v>1375</v>
      </c>
      <c r="C277" t="s">
        <v>487</v>
      </c>
      <c r="D277" t="s">
        <v>261</v>
      </c>
      <c r="E277" t="s">
        <v>256</v>
      </c>
      <c r="F277" t="s">
        <v>1402</v>
      </c>
      <c r="G277" s="25">
        <v>44259</v>
      </c>
      <c r="H277">
        <v>13</v>
      </c>
      <c r="I277">
        <v>63</v>
      </c>
      <c r="J277" t="s">
        <v>231</v>
      </c>
      <c r="K277" t="s">
        <v>501</v>
      </c>
      <c r="L277" t="s">
        <v>412</v>
      </c>
      <c r="M277" t="s">
        <v>234</v>
      </c>
      <c r="N277" t="s">
        <v>60</v>
      </c>
      <c r="O277" t="s">
        <v>235</v>
      </c>
      <c r="P277" t="s">
        <v>413</v>
      </c>
      <c r="Q277">
        <v>0</v>
      </c>
      <c r="R277" t="s">
        <v>237</v>
      </c>
    </row>
    <row r="278" spans="1:18" x14ac:dyDescent="0.25">
      <c r="A278" t="s">
        <v>2615</v>
      </c>
      <c r="B278">
        <v>1239</v>
      </c>
      <c r="C278" t="s">
        <v>487</v>
      </c>
      <c r="D278" t="s">
        <v>256</v>
      </c>
      <c r="E278" t="s">
        <v>534</v>
      </c>
      <c r="F278" t="s">
        <v>1357</v>
      </c>
      <c r="G278" s="25">
        <v>44253</v>
      </c>
      <c r="H278">
        <v>12</v>
      </c>
      <c r="I278">
        <v>57</v>
      </c>
      <c r="J278" t="s">
        <v>231</v>
      </c>
      <c r="K278" t="s">
        <v>500</v>
      </c>
      <c r="L278" t="s">
        <v>265</v>
      </c>
      <c r="M278" t="s">
        <v>234</v>
      </c>
      <c r="N278" t="s">
        <v>52</v>
      </c>
      <c r="O278" t="s">
        <v>235</v>
      </c>
      <c r="P278" t="s">
        <v>266</v>
      </c>
      <c r="Q278">
        <v>10375</v>
      </c>
      <c r="R278" t="s">
        <v>237</v>
      </c>
    </row>
    <row r="279" spans="1:18" x14ac:dyDescent="0.25">
      <c r="A279" t="s">
        <v>2358</v>
      </c>
      <c r="B279">
        <v>1332</v>
      </c>
      <c r="C279" t="s">
        <v>487</v>
      </c>
      <c r="D279" t="s">
        <v>261</v>
      </c>
      <c r="E279" t="s">
        <v>229</v>
      </c>
      <c r="F279" t="s">
        <v>1388</v>
      </c>
      <c r="G279" s="25">
        <v>44257</v>
      </c>
      <c r="H279">
        <v>13</v>
      </c>
      <c r="I279">
        <v>61</v>
      </c>
      <c r="J279" t="s">
        <v>231</v>
      </c>
      <c r="K279" t="s">
        <v>499</v>
      </c>
      <c r="L279" t="s">
        <v>410</v>
      </c>
      <c r="M279" t="s">
        <v>234</v>
      </c>
      <c r="N279" t="s">
        <v>62</v>
      </c>
      <c r="O279" t="s">
        <v>235</v>
      </c>
      <c r="P279" t="s">
        <v>411</v>
      </c>
      <c r="Q279">
        <v>0</v>
      </c>
      <c r="R279" t="s">
        <v>237</v>
      </c>
    </row>
    <row r="280" spans="1:18" x14ac:dyDescent="0.25">
      <c r="A280" t="s">
        <v>240</v>
      </c>
      <c r="B280">
        <v>122</v>
      </c>
      <c r="C280" t="s">
        <v>487</v>
      </c>
      <c r="D280" t="s">
        <v>229</v>
      </c>
      <c r="E280" t="s">
        <v>247</v>
      </c>
      <c r="F280" t="s">
        <v>524</v>
      </c>
      <c r="G280" s="25">
        <v>44202</v>
      </c>
      <c r="H280">
        <v>2</v>
      </c>
      <c r="I280">
        <v>6</v>
      </c>
      <c r="J280" t="s">
        <v>231</v>
      </c>
      <c r="K280" t="s">
        <v>499</v>
      </c>
      <c r="L280" t="s">
        <v>410</v>
      </c>
      <c r="M280" t="s">
        <v>234</v>
      </c>
      <c r="N280" t="s">
        <v>62</v>
      </c>
      <c r="O280" t="s">
        <v>235</v>
      </c>
      <c r="P280" t="s">
        <v>411</v>
      </c>
      <c r="Q280">
        <v>0</v>
      </c>
      <c r="R280" t="s">
        <v>237</v>
      </c>
    </row>
    <row r="281" spans="1:18" x14ac:dyDescent="0.25">
      <c r="A281" t="s">
        <v>2465</v>
      </c>
      <c r="B281">
        <v>1759</v>
      </c>
      <c r="C281" t="s">
        <v>487</v>
      </c>
      <c r="D281" t="s">
        <v>261</v>
      </c>
      <c r="E281" t="s">
        <v>408</v>
      </c>
      <c r="F281" t="s">
        <v>1595</v>
      </c>
      <c r="G281" s="25">
        <v>44276</v>
      </c>
      <c r="H281">
        <v>16</v>
      </c>
      <c r="I281">
        <v>80</v>
      </c>
      <c r="J281" t="s">
        <v>432</v>
      </c>
      <c r="K281" t="s">
        <v>498</v>
      </c>
      <c r="L281" t="s">
        <v>26</v>
      </c>
      <c r="M281" t="s">
        <v>434</v>
      </c>
      <c r="N281" t="s">
        <v>77</v>
      </c>
      <c r="O281" t="s">
        <v>435</v>
      </c>
      <c r="P281" t="s">
        <v>26</v>
      </c>
      <c r="Q281">
        <v>95243.75</v>
      </c>
      <c r="R281" t="s">
        <v>436</v>
      </c>
    </row>
    <row r="282" spans="1:18" x14ac:dyDescent="0.25">
      <c r="A282" t="s">
        <v>1783</v>
      </c>
      <c r="B282">
        <v>1605</v>
      </c>
      <c r="C282" t="s">
        <v>487</v>
      </c>
      <c r="D282" t="s">
        <v>261</v>
      </c>
      <c r="E282" t="s">
        <v>512</v>
      </c>
      <c r="F282" t="s">
        <v>1518</v>
      </c>
      <c r="G282" s="25">
        <v>44269</v>
      </c>
      <c r="H282">
        <v>15</v>
      </c>
      <c r="I282">
        <v>73</v>
      </c>
      <c r="J282" t="s">
        <v>432</v>
      </c>
      <c r="K282" t="s">
        <v>498</v>
      </c>
      <c r="L282" t="s">
        <v>26</v>
      </c>
      <c r="M282" t="s">
        <v>434</v>
      </c>
      <c r="N282" t="s">
        <v>77</v>
      </c>
      <c r="O282" t="s">
        <v>435</v>
      </c>
      <c r="P282" t="s">
        <v>26</v>
      </c>
      <c r="Q282">
        <v>134750</v>
      </c>
      <c r="R282" t="s">
        <v>436</v>
      </c>
    </row>
    <row r="283" spans="1:18" x14ac:dyDescent="0.25">
      <c r="A283" t="s">
        <v>365</v>
      </c>
      <c r="B283">
        <v>131</v>
      </c>
      <c r="C283" t="s">
        <v>487</v>
      </c>
      <c r="D283" t="s">
        <v>229</v>
      </c>
      <c r="E283" t="s">
        <v>247</v>
      </c>
      <c r="F283" t="s">
        <v>524</v>
      </c>
      <c r="G283" s="25">
        <v>44202</v>
      </c>
      <c r="H283">
        <v>2</v>
      </c>
      <c r="I283">
        <v>6</v>
      </c>
      <c r="J283" t="s">
        <v>432</v>
      </c>
      <c r="K283" t="s">
        <v>498</v>
      </c>
      <c r="L283" t="s">
        <v>26</v>
      </c>
      <c r="M283" t="s">
        <v>434</v>
      </c>
      <c r="N283" t="s">
        <v>77</v>
      </c>
      <c r="O283" t="s">
        <v>435</v>
      </c>
      <c r="P283" t="s">
        <v>26</v>
      </c>
      <c r="Q283">
        <v>43400</v>
      </c>
      <c r="R283" t="s">
        <v>436</v>
      </c>
    </row>
    <row r="284" spans="1:18" x14ac:dyDescent="0.25">
      <c r="A284" t="s">
        <v>2895</v>
      </c>
      <c r="B284">
        <v>789</v>
      </c>
      <c r="C284" t="s">
        <v>487</v>
      </c>
      <c r="D284" t="s">
        <v>231</v>
      </c>
      <c r="E284" t="s">
        <v>620</v>
      </c>
      <c r="F284" t="s">
        <v>1215</v>
      </c>
      <c r="G284" s="25">
        <v>44232</v>
      </c>
      <c r="H284">
        <v>8</v>
      </c>
      <c r="I284">
        <v>36</v>
      </c>
      <c r="J284" t="s">
        <v>432</v>
      </c>
      <c r="K284" t="s">
        <v>497</v>
      </c>
      <c r="L284" t="s">
        <v>438</v>
      </c>
      <c r="M284" t="s">
        <v>434</v>
      </c>
      <c r="N284" t="s">
        <v>75</v>
      </c>
      <c r="O284" t="s">
        <v>435</v>
      </c>
      <c r="P284" t="s">
        <v>438</v>
      </c>
      <c r="Q284">
        <v>25668.75</v>
      </c>
      <c r="R284" t="s">
        <v>436</v>
      </c>
    </row>
    <row r="285" spans="1:18" x14ac:dyDescent="0.25">
      <c r="A285" t="s">
        <v>339</v>
      </c>
      <c r="B285">
        <v>129</v>
      </c>
      <c r="C285" t="s">
        <v>487</v>
      </c>
      <c r="D285" t="s">
        <v>229</v>
      </c>
      <c r="E285" t="s">
        <v>247</v>
      </c>
      <c r="F285" t="s">
        <v>524</v>
      </c>
      <c r="G285" s="25">
        <v>44202</v>
      </c>
      <c r="H285">
        <v>2</v>
      </c>
      <c r="I285">
        <v>6</v>
      </c>
      <c r="J285" t="s">
        <v>432</v>
      </c>
      <c r="K285" t="s">
        <v>497</v>
      </c>
      <c r="L285" t="s">
        <v>438</v>
      </c>
      <c r="M285" t="s">
        <v>434</v>
      </c>
      <c r="N285" t="s">
        <v>75</v>
      </c>
      <c r="O285" t="s">
        <v>435</v>
      </c>
      <c r="P285" t="s">
        <v>438</v>
      </c>
      <c r="Q285">
        <v>10800</v>
      </c>
      <c r="R285" t="s">
        <v>436</v>
      </c>
    </row>
    <row r="286" spans="1:18" x14ac:dyDescent="0.25">
      <c r="A286" t="s">
        <v>2187</v>
      </c>
      <c r="B286">
        <v>1027</v>
      </c>
      <c r="C286" t="s">
        <v>487</v>
      </c>
      <c r="D286" t="s">
        <v>256</v>
      </c>
      <c r="E286" t="s">
        <v>326</v>
      </c>
      <c r="F286" t="s">
        <v>1305</v>
      </c>
      <c r="G286" s="25">
        <v>44243</v>
      </c>
      <c r="H286">
        <v>10</v>
      </c>
      <c r="I286">
        <v>47</v>
      </c>
      <c r="J286" t="s">
        <v>432</v>
      </c>
      <c r="K286" t="s">
        <v>496</v>
      </c>
      <c r="L286" t="s">
        <v>69</v>
      </c>
      <c r="M286" t="s">
        <v>434</v>
      </c>
      <c r="N286" t="s">
        <v>68</v>
      </c>
      <c r="O286" t="s">
        <v>21</v>
      </c>
      <c r="P286" t="s">
        <v>439</v>
      </c>
      <c r="Q286">
        <v>512000</v>
      </c>
      <c r="R286" t="s">
        <v>237</v>
      </c>
    </row>
    <row r="287" spans="1:18" x14ac:dyDescent="0.25">
      <c r="A287" t="s">
        <v>644</v>
      </c>
      <c r="B287">
        <v>433</v>
      </c>
      <c r="C287" t="s">
        <v>487</v>
      </c>
      <c r="D287" t="s">
        <v>229</v>
      </c>
      <c r="E287" t="s">
        <v>408</v>
      </c>
      <c r="F287" t="s">
        <v>527</v>
      </c>
      <c r="G287" s="25">
        <v>44216</v>
      </c>
      <c r="H287">
        <v>4</v>
      </c>
      <c r="I287">
        <v>20</v>
      </c>
      <c r="J287" t="s">
        <v>432</v>
      </c>
      <c r="K287" t="s">
        <v>496</v>
      </c>
      <c r="L287" t="s">
        <v>69</v>
      </c>
      <c r="M287" t="s">
        <v>434</v>
      </c>
      <c r="N287" t="s">
        <v>68</v>
      </c>
      <c r="O287" t="s">
        <v>21</v>
      </c>
      <c r="P287" t="s">
        <v>439</v>
      </c>
      <c r="Q287">
        <v>375</v>
      </c>
      <c r="R287" t="s">
        <v>237</v>
      </c>
    </row>
    <row r="288" spans="1:18" x14ac:dyDescent="0.25">
      <c r="A288" t="s">
        <v>302</v>
      </c>
      <c r="B288">
        <v>59</v>
      </c>
      <c r="C288" t="s">
        <v>487</v>
      </c>
      <c r="D288" t="s">
        <v>229</v>
      </c>
      <c r="E288" t="s">
        <v>256</v>
      </c>
      <c r="F288" t="s">
        <v>525</v>
      </c>
      <c r="G288" s="25">
        <v>44199</v>
      </c>
      <c r="H288">
        <v>1</v>
      </c>
      <c r="I288">
        <v>3</v>
      </c>
      <c r="J288" t="s">
        <v>432</v>
      </c>
      <c r="K288" t="s">
        <v>496</v>
      </c>
      <c r="L288" t="s">
        <v>69</v>
      </c>
      <c r="M288" t="s">
        <v>434</v>
      </c>
      <c r="N288" t="s">
        <v>68</v>
      </c>
      <c r="O288" t="s">
        <v>21</v>
      </c>
      <c r="P288" t="s">
        <v>439</v>
      </c>
      <c r="Q288">
        <v>0</v>
      </c>
      <c r="R288" t="s">
        <v>237</v>
      </c>
    </row>
    <row r="289" spans="1:18" x14ac:dyDescent="0.25">
      <c r="A289" t="s">
        <v>3280</v>
      </c>
      <c r="B289">
        <v>2391</v>
      </c>
      <c r="C289" t="s">
        <v>487</v>
      </c>
      <c r="D289" t="s">
        <v>247</v>
      </c>
      <c r="E289" t="s">
        <v>371</v>
      </c>
      <c r="F289" t="s">
        <v>3112</v>
      </c>
      <c r="G289" s="25">
        <v>44305</v>
      </c>
      <c r="H289">
        <v>22</v>
      </c>
      <c r="I289">
        <v>109</v>
      </c>
      <c r="J289" t="s">
        <v>432</v>
      </c>
      <c r="K289" t="s">
        <v>496</v>
      </c>
      <c r="L289" t="s">
        <v>69</v>
      </c>
      <c r="M289" t="s">
        <v>434</v>
      </c>
      <c r="N289" t="s">
        <v>68</v>
      </c>
      <c r="O289" t="s">
        <v>21</v>
      </c>
      <c r="P289" t="s">
        <v>439</v>
      </c>
      <c r="Q289">
        <v>439125</v>
      </c>
      <c r="R289" t="s">
        <v>237</v>
      </c>
    </row>
    <row r="290" spans="1:18" x14ac:dyDescent="0.25">
      <c r="A290" t="s">
        <v>3281</v>
      </c>
      <c r="B290">
        <v>2237</v>
      </c>
      <c r="C290" t="s">
        <v>487</v>
      </c>
      <c r="D290" t="s">
        <v>247</v>
      </c>
      <c r="E290" t="s">
        <v>231</v>
      </c>
      <c r="F290" t="s">
        <v>3070</v>
      </c>
      <c r="G290" s="25">
        <v>44298</v>
      </c>
      <c r="H290">
        <v>21</v>
      </c>
      <c r="I290">
        <v>102</v>
      </c>
      <c r="J290" t="s">
        <v>432</v>
      </c>
      <c r="K290" t="s">
        <v>496</v>
      </c>
      <c r="L290" t="s">
        <v>69</v>
      </c>
      <c r="M290" t="s">
        <v>434</v>
      </c>
      <c r="N290" t="s">
        <v>68</v>
      </c>
      <c r="O290" t="s">
        <v>21</v>
      </c>
      <c r="P290" t="s">
        <v>439</v>
      </c>
      <c r="Q290">
        <v>561000</v>
      </c>
      <c r="R290" t="s">
        <v>237</v>
      </c>
    </row>
    <row r="291" spans="1:18" x14ac:dyDescent="0.25">
      <c r="A291" t="s">
        <v>2121</v>
      </c>
      <c r="B291">
        <v>1533</v>
      </c>
      <c r="C291" t="s">
        <v>487</v>
      </c>
      <c r="D291" t="s">
        <v>261</v>
      </c>
      <c r="E291" t="s">
        <v>239</v>
      </c>
      <c r="F291" t="s">
        <v>1703</v>
      </c>
      <c r="G291" s="25">
        <v>44266</v>
      </c>
      <c r="H291">
        <v>14</v>
      </c>
      <c r="I291">
        <v>70</v>
      </c>
      <c r="J291" t="s">
        <v>432</v>
      </c>
      <c r="K291" t="s">
        <v>496</v>
      </c>
      <c r="L291" t="s">
        <v>69</v>
      </c>
      <c r="M291" t="s">
        <v>434</v>
      </c>
      <c r="N291" t="s">
        <v>68</v>
      </c>
      <c r="O291" t="s">
        <v>21</v>
      </c>
      <c r="P291" t="s">
        <v>439</v>
      </c>
      <c r="Q291">
        <v>148750</v>
      </c>
      <c r="R291" t="s">
        <v>237</v>
      </c>
    </row>
    <row r="292" spans="1:18" x14ac:dyDescent="0.25">
      <c r="A292" t="s">
        <v>642</v>
      </c>
      <c r="B292">
        <v>302</v>
      </c>
      <c r="C292" t="s">
        <v>487</v>
      </c>
      <c r="D292" t="s">
        <v>229</v>
      </c>
      <c r="E292" t="s">
        <v>537</v>
      </c>
      <c r="F292" t="s">
        <v>538</v>
      </c>
      <c r="G292" s="25">
        <v>44210</v>
      </c>
      <c r="H292">
        <v>3</v>
      </c>
      <c r="I292">
        <v>14</v>
      </c>
      <c r="J292" t="s">
        <v>432</v>
      </c>
      <c r="K292" t="s">
        <v>495</v>
      </c>
      <c r="L292" t="s">
        <v>135</v>
      </c>
      <c r="M292" t="s">
        <v>434</v>
      </c>
      <c r="N292" t="s">
        <v>70</v>
      </c>
      <c r="O292" t="s">
        <v>21</v>
      </c>
      <c r="P292" t="s">
        <v>440</v>
      </c>
      <c r="Q292">
        <v>72000</v>
      </c>
      <c r="R292" t="s">
        <v>237</v>
      </c>
    </row>
    <row r="293" spans="1:18" x14ac:dyDescent="0.25">
      <c r="A293" t="s">
        <v>3282</v>
      </c>
      <c r="B293">
        <v>2480</v>
      </c>
      <c r="C293" t="s">
        <v>487</v>
      </c>
      <c r="D293" t="s">
        <v>247</v>
      </c>
      <c r="E293" t="s">
        <v>512</v>
      </c>
      <c r="F293" t="s">
        <v>3146</v>
      </c>
      <c r="G293" s="25">
        <v>44309</v>
      </c>
      <c r="H293">
        <v>23</v>
      </c>
      <c r="I293">
        <v>113</v>
      </c>
      <c r="J293" t="s">
        <v>432</v>
      </c>
      <c r="K293" t="s">
        <v>495</v>
      </c>
      <c r="L293" t="s">
        <v>135</v>
      </c>
      <c r="M293" t="s">
        <v>434</v>
      </c>
      <c r="N293" t="s">
        <v>70</v>
      </c>
      <c r="O293" t="s">
        <v>21</v>
      </c>
      <c r="P293" t="s">
        <v>440</v>
      </c>
      <c r="Q293">
        <v>384000</v>
      </c>
      <c r="R293" t="s">
        <v>237</v>
      </c>
    </row>
    <row r="294" spans="1:18" x14ac:dyDescent="0.25">
      <c r="A294" t="s">
        <v>3283</v>
      </c>
      <c r="B294">
        <v>2172</v>
      </c>
      <c r="C294" t="s">
        <v>487</v>
      </c>
      <c r="D294" t="s">
        <v>322</v>
      </c>
      <c r="E294" t="s">
        <v>531</v>
      </c>
      <c r="F294" t="s">
        <v>3056</v>
      </c>
      <c r="G294" s="25">
        <v>44295</v>
      </c>
      <c r="H294">
        <v>20</v>
      </c>
      <c r="I294">
        <v>99</v>
      </c>
      <c r="J294" t="s">
        <v>432</v>
      </c>
      <c r="K294" t="s">
        <v>495</v>
      </c>
      <c r="L294" t="s">
        <v>135</v>
      </c>
      <c r="M294" t="s">
        <v>434</v>
      </c>
      <c r="N294" t="s">
        <v>70</v>
      </c>
      <c r="O294" t="s">
        <v>21</v>
      </c>
      <c r="P294" t="s">
        <v>440</v>
      </c>
      <c r="Q294">
        <v>561000</v>
      </c>
      <c r="R294" t="s">
        <v>237</v>
      </c>
    </row>
    <row r="295" spans="1:18" x14ac:dyDescent="0.25">
      <c r="A295" t="s">
        <v>3284</v>
      </c>
      <c r="B295">
        <v>1864</v>
      </c>
      <c r="C295" t="s">
        <v>487</v>
      </c>
      <c r="D295" t="s">
        <v>322</v>
      </c>
      <c r="E295" t="s">
        <v>322</v>
      </c>
      <c r="F295" t="s">
        <v>2960</v>
      </c>
      <c r="G295" s="25">
        <v>44281</v>
      </c>
      <c r="H295">
        <v>17</v>
      </c>
      <c r="I295">
        <v>85</v>
      </c>
      <c r="J295" t="s">
        <v>432</v>
      </c>
      <c r="K295" t="s">
        <v>495</v>
      </c>
      <c r="L295" t="s">
        <v>135</v>
      </c>
      <c r="M295" t="s">
        <v>434</v>
      </c>
      <c r="N295" t="s">
        <v>70</v>
      </c>
      <c r="O295" t="s">
        <v>21</v>
      </c>
      <c r="P295" t="s">
        <v>440</v>
      </c>
      <c r="Q295">
        <v>681000</v>
      </c>
      <c r="R295" t="s">
        <v>237</v>
      </c>
    </row>
    <row r="296" spans="1:18" x14ac:dyDescent="0.25">
      <c r="A296" t="s">
        <v>2626</v>
      </c>
      <c r="B296">
        <v>1270</v>
      </c>
      <c r="C296" t="s">
        <v>487</v>
      </c>
      <c r="D296" t="s">
        <v>256</v>
      </c>
      <c r="E296" t="s">
        <v>552</v>
      </c>
      <c r="F296" t="s">
        <v>1365</v>
      </c>
      <c r="G296" s="25">
        <v>44254</v>
      </c>
      <c r="H296">
        <v>12</v>
      </c>
      <c r="I296">
        <v>58</v>
      </c>
      <c r="J296" t="s">
        <v>432</v>
      </c>
      <c r="K296" t="s">
        <v>495</v>
      </c>
      <c r="L296" t="s">
        <v>135</v>
      </c>
      <c r="M296" t="s">
        <v>434</v>
      </c>
      <c r="N296" t="s">
        <v>70</v>
      </c>
      <c r="O296" t="s">
        <v>21</v>
      </c>
      <c r="P296" t="s">
        <v>440</v>
      </c>
      <c r="Q296">
        <v>413500</v>
      </c>
      <c r="R296" t="s">
        <v>237</v>
      </c>
    </row>
    <row r="297" spans="1:18" x14ac:dyDescent="0.25">
      <c r="A297" t="s">
        <v>310</v>
      </c>
      <c r="B297">
        <v>64</v>
      </c>
      <c r="C297" t="s">
        <v>487</v>
      </c>
      <c r="D297" t="s">
        <v>229</v>
      </c>
      <c r="E297" t="s">
        <v>256</v>
      </c>
      <c r="F297" t="s">
        <v>525</v>
      </c>
      <c r="G297" s="25">
        <v>44199</v>
      </c>
      <c r="H297">
        <v>1</v>
      </c>
      <c r="I297">
        <v>3</v>
      </c>
      <c r="J297" t="s">
        <v>432</v>
      </c>
      <c r="K297" t="s">
        <v>494</v>
      </c>
      <c r="L297" t="s">
        <v>25</v>
      </c>
      <c r="M297" t="s">
        <v>434</v>
      </c>
      <c r="N297" t="s">
        <v>76</v>
      </c>
      <c r="O297" t="s">
        <v>435</v>
      </c>
      <c r="P297" t="s">
        <v>25</v>
      </c>
      <c r="Q297">
        <v>0</v>
      </c>
      <c r="R297" t="s">
        <v>436</v>
      </c>
    </row>
    <row r="298" spans="1:18" x14ac:dyDescent="0.25">
      <c r="A298" t="s">
        <v>3285</v>
      </c>
      <c r="B298">
        <v>2156</v>
      </c>
      <c r="C298" t="s">
        <v>487</v>
      </c>
      <c r="D298" t="s">
        <v>322</v>
      </c>
      <c r="E298" t="s">
        <v>552</v>
      </c>
      <c r="F298" t="s">
        <v>3045</v>
      </c>
      <c r="G298" s="25">
        <v>44294</v>
      </c>
      <c r="H298">
        <v>20</v>
      </c>
      <c r="I298">
        <v>98</v>
      </c>
      <c r="J298" t="s">
        <v>432</v>
      </c>
      <c r="K298" t="s">
        <v>493</v>
      </c>
      <c r="L298" t="s">
        <v>441</v>
      </c>
      <c r="M298" t="s">
        <v>434</v>
      </c>
      <c r="N298" t="s">
        <v>78</v>
      </c>
      <c r="O298" t="s">
        <v>435</v>
      </c>
      <c r="P298" t="s">
        <v>441</v>
      </c>
      <c r="Q298">
        <v>254586.25</v>
      </c>
      <c r="R298" t="s">
        <v>436</v>
      </c>
    </row>
    <row r="299" spans="1:18" x14ac:dyDescent="0.25">
      <c r="A299" t="s">
        <v>2806</v>
      </c>
      <c r="B299">
        <v>1650</v>
      </c>
      <c r="C299" t="s">
        <v>487</v>
      </c>
      <c r="D299" t="s">
        <v>261</v>
      </c>
      <c r="E299" t="s">
        <v>575</v>
      </c>
      <c r="F299" t="s">
        <v>1537</v>
      </c>
      <c r="G299" s="25">
        <v>44271</v>
      </c>
      <c r="H299">
        <v>15</v>
      </c>
      <c r="I299">
        <v>75</v>
      </c>
      <c r="J299" t="s">
        <v>432</v>
      </c>
      <c r="K299" t="s">
        <v>493</v>
      </c>
      <c r="L299" t="s">
        <v>441</v>
      </c>
      <c r="M299" t="s">
        <v>434</v>
      </c>
      <c r="N299" t="s">
        <v>78</v>
      </c>
      <c r="O299" t="s">
        <v>435</v>
      </c>
      <c r="P299" t="s">
        <v>441</v>
      </c>
      <c r="Q299">
        <v>126131.25</v>
      </c>
      <c r="R299" t="s">
        <v>436</v>
      </c>
    </row>
    <row r="300" spans="1:18" x14ac:dyDescent="0.25">
      <c r="A300" t="s">
        <v>1890</v>
      </c>
      <c r="B300">
        <v>1474</v>
      </c>
      <c r="C300" t="s">
        <v>487</v>
      </c>
      <c r="D300" t="s">
        <v>261</v>
      </c>
      <c r="E300" t="s">
        <v>326</v>
      </c>
      <c r="F300" t="s">
        <v>1440</v>
      </c>
      <c r="G300" s="25">
        <v>44263</v>
      </c>
      <c r="H300">
        <v>14</v>
      </c>
      <c r="I300">
        <v>67</v>
      </c>
      <c r="J300" t="s">
        <v>432</v>
      </c>
      <c r="K300" t="s">
        <v>493</v>
      </c>
      <c r="L300" t="s">
        <v>441</v>
      </c>
      <c r="M300" t="s">
        <v>434</v>
      </c>
      <c r="N300" t="s">
        <v>78</v>
      </c>
      <c r="O300" t="s">
        <v>435</v>
      </c>
      <c r="P300" t="s">
        <v>441</v>
      </c>
      <c r="Q300">
        <v>158353.125</v>
      </c>
      <c r="R300" t="s">
        <v>436</v>
      </c>
    </row>
    <row r="301" spans="1:18" x14ac:dyDescent="0.25">
      <c r="A301" t="s">
        <v>2482</v>
      </c>
      <c r="B301">
        <v>1364</v>
      </c>
      <c r="C301" t="s">
        <v>487</v>
      </c>
      <c r="D301" t="s">
        <v>261</v>
      </c>
      <c r="E301" t="s">
        <v>231</v>
      </c>
      <c r="F301" t="s">
        <v>1400</v>
      </c>
      <c r="G301" s="25">
        <v>44258</v>
      </c>
      <c r="H301">
        <v>13</v>
      </c>
      <c r="I301">
        <v>62</v>
      </c>
      <c r="J301" t="s">
        <v>432</v>
      </c>
      <c r="K301" t="s">
        <v>493</v>
      </c>
      <c r="L301" t="s">
        <v>441</v>
      </c>
      <c r="M301" t="s">
        <v>434</v>
      </c>
      <c r="N301" t="s">
        <v>78</v>
      </c>
      <c r="O301" t="s">
        <v>435</v>
      </c>
      <c r="P301" t="s">
        <v>441</v>
      </c>
      <c r="Q301">
        <v>177996.875</v>
      </c>
      <c r="R301" t="s">
        <v>436</v>
      </c>
    </row>
    <row r="302" spans="1:18" x14ac:dyDescent="0.25">
      <c r="A302" t="s">
        <v>2692</v>
      </c>
      <c r="B302">
        <v>1381</v>
      </c>
      <c r="C302" t="s">
        <v>487</v>
      </c>
      <c r="D302" t="s">
        <v>261</v>
      </c>
      <c r="E302" t="s">
        <v>256</v>
      </c>
      <c r="F302" t="s">
        <v>1402</v>
      </c>
      <c r="G302" s="25">
        <v>44259</v>
      </c>
      <c r="H302">
        <v>13</v>
      </c>
      <c r="I302">
        <v>63</v>
      </c>
      <c r="J302" t="s">
        <v>432</v>
      </c>
      <c r="K302" t="s">
        <v>492</v>
      </c>
      <c r="L302" t="s">
        <v>24</v>
      </c>
      <c r="M302" t="s">
        <v>434</v>
      </c>
      <c r="N302" t="s">
        <v>71</v>
      </c>
      <c r="O302" t="s">
        <v>435</v>
      </c>
      <c r="P302" t="s">
        <v>24</v>
      </c>
      <c r="Q302">
        <v>32268.75</v>
      </c>
      <c r="R302" t="s">
        <v>436</v>
      </c>
    </row>
    <row r="303" spans="1:18" x14ac:dyDescent="0.25">
      <c r="A303" t="s">
        <v>2016</v>
      </c>
      <c r="B303">
        <v>1337</v>
      </c>
      <c r="C303" t="s">
        <v>487</v>
      </c>
      <c r="D303" t="s">
        <v>261</v>
      </c>
      <c r="E303" t="s">
        <v>229</v>
      </c>
      <c r="F303" t="s">
        <v>1388</v>
      </c>
      <c r="G303" s="25">
        <v>44257</v>
      </c>
      <c r="H303">
        <v>13</v>
      </c>
      <c r="I303">
        <v>61</v>
      </c>
      <c r="J303" t="s">
        <v>432</v>
      </c>
      <c r="K303" t="s">
        <v>492</v>
      </c>
      <c r="L303" t="s">
        <v>24</v>
      </c>
      <c r="M303" t="s">
        <v>434</v>
      </c>
      <c r="N303" t="s">
        <v>71</v>
      </c>
      <c r="O303" t="s">
        <v>435</v>
      </c>
      <c r="P303" t="s">
        <v>24</v>
      </c>
      <c r="Q303">
        <v>38700</v>
      </c>
      <c r="R303" t="s">
        <v>436</v>
      </c>
    </row>
    <row r="304" spans="1:18" x14ac:dyDescent="0.25">
      <c r="A304" t="s">
        <v>723</v>
      </c>
      <c r="B304">
        <v>391</v>
      </c>
      <c r="C304" t="s">
        <v>487</v>
      </c>
      <c r="D304" t="s">
        <v>229</v>
      </c>
      <c r="E304" t="s">
        <v>552</v>
      </c>
      <c r="F304" t="s">
        <v>553</v>
      </c>
      <c r="G304" s="25">
        <v>44214</v>
      </c>
      <c r="H304">
        <v>4</v>
      </c>
      <c r="I304">
        <v>18</v>
      </c>
      <c r="J304" t="s">
        <v>432</v>
      </c>
      <c r="K304" t="s">
        <v>492</v>
      </c>
      <c r="L304" t="s">
        <v>24</v>
      </c>
      <c r="M304" t="s">
        <v>434</v>
      </c>
      <c r="N304" t="s">
        <v>71</v>
      </c>
      <c r="O304" t="s">
        <v>435</v>
      </c>
      <c r="P304" t="s">
        <v>24</v>
      </c>
      <c r="Q304">
        <v>6150</v>
      </c>
      <c r="R304" t="s">
        <v>436</v>
      </c>
    </row>
    <row r="305" spans="1:18" x14ac:dyDescent="0.25">
      <c r="A305" t="s">
        <v>262</v>
      </c>
      <c r="B305">
        <v>127</v>
      </c>
      <c r="C305" t="s">
        <v>487</v>
      </c>
      <c r="D305" t="s">
        <v>229</v>
      </c>
      <c r="E305" t="s">
        <v>247</v>
      </c>
      <c r="F305" t="s">
        <v>524</v>
      </c>
      <c r="G305" s="25">
        <v>44202</v>
      </c>
      <c r="H305">
        <v>2</v>
      </c>
      <c r="I305">
        <v>6</v>
      </c>
      <c r="J305" t="s">
        <v>432</v>
      </c>
      <c r="K305" t="s">
        <v>492</v>
      </c>
      <c r="L305" t="s">
        <v>24</v>
      </c>
      <c r="M305" t="s">
        <v>434</v>
      </c>
      <c r="N305" t="s">
        <v>71</v>
      </c>
      <c r="O305" t="s">
        <v>435</v>
      </c>
      <c r="P305" t="s">
        <v>24</v>
      </c>
      <c r="Q305">
        <v>7200</v>
      </c>
      <c r="R305" t="s">
        <v>436</v>
      </c>
    </row>
    <row r="306" spans="1:18" x14ac:dyDescent="0.25">
      <c r="A306" t="s">
        <v>1895</v>
      </c>
      <c r="B306">
        <v>1350</v>
      </c>
      <c r="C306" t="s">
        <v>487</v>
      </c>
      <c r="D306" t="s">
        <v>261</v>
      </c>
      <c r="E306" t="s">
        <v>231</v>
      </c>
      <c r="F306" t="s">
        <v>1400</v>
      </c>
      <c r="G306" s="25">
        <v>44258</v>
      </c>
      <c r="H306">
        <v>13</v>
      </c>
      <c r="I306">
        <v>62</v>
      </c>
      <c r="J306" t="s">
        <v>231</v>
      </c>
      <c r="K306" t="s">
        <v>491</v>
      </c>
      <c r="L306" t="s">
        <v>233</v>
      </c>
      <c r="M306" t="s">
        <v>234</v>
      </c>
      <c r="N306" t="s">
        <v>54</v>
      </c>
      <c r="O306" t="s">
        <v>235</v>
      </c>
      <c r="P306" t="s">
        <v>236</v>
      </c>
      <c r="Q306">
        <v>0</v>
      </c>
      <c r="R306" t="s">
        <v>237</v>
      </c>
    </row>
    <row r="307" spans="1:18" x14ac:dyDescent="0.25">
      <c r="A307" t="s">
        <v>602</v>
      </c>
      <c r="B307">
        <v>140</v>
      </c>
      <c r="C307" t="s">
        <v>487</v>
      </c>
      <c r="D307" t="s">
        <v>229</v>
      </c>
      <c r="E307" t="s">
        <v>326</v>
      </c>
      <c r="F307" t="s">
        <v>522</v>
      </c>
      <c r="G307" s="25">
        <v>44203</v>
      </c>
      <c r="H307">
        <v>2</v>
      </c>
      <c r="I307">
        <v>7</v>
      </c>
      <c r="J307" t="s">
        <v>231</v>
      </c>
      <c r="K307" t="s">
        <v>491</v>
      </c>
      <c r="L307" t="s">
        <v>233</v>
      </c>
      <c r="M307" t="s">
        <v>234</v>
      </c>
      <c r="N307" t="s">
        <v>54</v>
      </c>
      <c r="O307" t="s">
        <v>235</v>
      </c>
      <c r="P307" t="s">
        <v>236</v>
      </c>
      <c r="Q307">
        <v>0</v>
      </c>
      <c r="R307" t="s">
        <v>237</v>
      </c>
    </row>
    <row r="308" spans="1:18" x14ac:dyDescent="0.25">
      <c r="A308" t="s">
        <v>3286</v>
      </c>
      <c r="B308">
        <v>2318</v>
      </c>
      <c r="C308" t="s">
        <v>487</v>
      </c>
      <c r="D308" t="s">
        <v>247</v>
      </c>
      <c r="E308" t="s">
        <v>247</v>
      </c>
      <c r="F308" t="s">
        <v>3085</v>
      </c>
      <c r="G308" s="25">
        <v>44302</v>
      </c>
      <c r="H308">
        <v>22</v>
      </c>
      <c r="I308">
        <v>106</v>
      </c>
      <c r="J308" t="s">
        <v>231</v>
      </c>
      <c r="K308" t="s">
        <v>491</v>
      </c>
      <c r="L308" t="s">
        <v>233</v>
      </c>
      <c r="M308" t="s">
        <v>234</v>
      </c>
      <c r="N308" t="s">
        <v>54</v>
      </c>
      <c r="O308" t="s">
        <v>235</v>
      </c>
      <c r="P308" t="s">
        <v>236</v>
      </c>
      <c r="Q308">
        <v>0</v>
      </c>
      <c r="R308" t="s">
        <v>237</v>
      </c>
    </row>
    <row r="309" spans="1:18" x14ac:dyDescent="0.25">
      <c r="A309" t="s">
        <v>3287</v>
      </c>
      <c r="B309">
        <v>1812</v>
      </c>
      <c r="C309" t="s">
        <v>487</v>
      </c>
      <c r="D309" t="s">
        <v>322</v>
      </c>
      <c r="E309" t="s">
        <v>256</v>
      </c>
      <c r="F309" t="s">
        <v>2952</v>
      </c>
      <c r="G309" s="25">
        <v>44279</v>
      </c>
      <c r="H309">
        <v>17</v>
      </c>
      <c r="I309">
        <v>83</v>
      </c>
      <c r="J309" t="s">
        <v>231</v>
      </c>
      <c r="K309" t="s">
        <v>491</v>
      </c>
      <c r="L309" t="s">
        <v>233</v>
      </c>
      <c r="M309" t="s">
        <v>234</v>
      </c>
      <c r="N309" t="s">
        <v>54</v>
      </c>
      <c r="O309" t="s">
        <v>235</v>
      </c>
      <c r="P309" t="s">
        <v>236</v>
      </c>
      <c r="Q309">
        <v>12125</v>
      </c>
      <c r="R309" t="s">
        <v>237</v>
      </c>
    </row>
    <row r="310" spans="1:18" x14ac:dyDescent="0.25">
      <c r="A310" t="s">
        <v>3288</v>
      </c>
      <c r="B310">
        <v>2460</v>
      </c>
      <c r="C310" t="s">
        <v>487</v>
      </c>
      <c r="D310" t="s">
        <v>247</v>
      </c>
      <c r="E310" t="s">
        <v>232</v>
      </c>
      <c r="F310" t="s">
        <v>3140</v>
      </c>
      <c r="G310" s="25">
        <v>44308</v>
      </c>
      <c r="H310">
        <v>23</v>
      </c>
      <c r="I310">
        <v>112</v>
      </c>
      <c r="J310" t="s">
        <v>432</v>
      </c>
      <c r="K310" t="s">
        <v>488</v>
      </c>
      <c r="L310" t="s">
        <v>433</v>
      </c>
      <c r="M310" t="s">
        <v>434</v>
      </c>
      <c r="N310" t="s">
        <v>74</v>
      </c>
      <c r="O310" t="s">
        <v>435</v>
      </c>
      <c r="P310" t="s">
        <v>433</v>
      </c>
      <c r="Q310">
        <v>31762.5</v>
      </c>
      <c r="R310" t="s">
        <v>436</v>
      </c>
    </row>
    <row r="311" spans="1:18" x14ac:dyDescent="0.25">
      <c r="A311" t="s">
        <v>3289</v>
      </c>
      <c r="B311">
        <v>2196</v>
      </c>
      <c r="C311" t="s">
        <v>487</v>
      </c>
      <c r="D311" t="s">
        <v>322</v>
      </c>
      <c r="E311" t="s">
        <v>408</v>
      </c>
      <c r="F311" t="s">
        <v>3059</v>
      </c>
      <c r="G311" s="25">
        <v>44296</v>
      </c>
      <c r="H311">
        <v>20</v>
      </c>
      <c r="I311">
        <v>100</v>
      </c>
      <c r="J311" t="s">
        <v>432</v>
      </c>
      <c r="K311" t="s">
        <v>488</v>
      </c>
      <c r="L311" t="s">
        <v>433</v>
      </c>
      <c r="M311" t="s">
        <v>434</v>
      </c>
      <c r="N311" t="s">
        <v>74</v>
      </c>
      <c r="O311" t="s">
        <v>435</v>
      </c>
      <c r="P311" t="s">
        <v>433</v>
      </c>
      <c r="Q311">
        <v>50700</v>
      </c>
      <c r="R311" t="s">
        <v>436</v>
      </c>
    </row>
    <row r="312" spans="1:18" x14ac:dyDescent="0.25">
      <c r="A312" t="s">
        <v>3290</v>
      </c>
      <c r="B312">
        <v>1844</v>
      </c>
      <c r="C312" t="s">
        <v>487</v>
      </c>
      <c r="D312" t="s">
        <v>322</v>
      </c>
      <c r="E312" t="s">
        <v>261</v>
      </c>
      <c r="F312" t="s">
        <v>2956</v>
      </c>
      <c r="G312" s="25">
        <v>44280</v>
      </c>
      <c r="H312">
        <v>17</v>
      </c>
      <c r="I312">
        <v>84</v>
      </c>
      <c r="J312" t="s">
        <v>432</v>
      </c>
      <c r="K312" t="s">
        <v>488</v>
      </c>
      <c r="L312" t="s">
        <v>433</v>
      </c>
      <c r="M312" t="s">
        <v>434</v>
      </c>
      <c r="N312" t="s">
        <v>74</v>
      </c>
      <c r="O312" t="s">
        <v>435</v>
      </c>
      <c r="P312" t="s">
        <v>433</v>
      </c>
      <c r="Q312">
        <v>70162.5</v>
      </c>
      <c r="R312" t="s">
        <v>436</v>
      </c>
    </row>
    <row r="313" spans="1:18" x14ac:dyDescent="0.25">
      <c r="A313" t="s">
        <v>1754</v>
      </c>
      <c r="B313">
        <v>1734</v>
      </c>
      <c r="C313" t="s">
        <v>487</v>
      </c>
      <c r="D313" t="s">
        <v>261</v>
      </c>
      <c r="E313" t="s">
        <v>531</v>
      </c>
      <c r="F313" t="s">
        <v>1588</v>
      </c>
      <c r="G313" s="25">
        <v>44275</v>
      </c>
      <c r="H313">
        <v>16</v>
      </c>
      <c r="I313">
        <v>79</v>
      </c>
      <c r="J313" t="s">
        <v>432</v>
      </c>
      <c r="K313" t="s">
        <v>488</v>
      </c>
      <c r="L313" t="s">
        <v>433</v>
      </c>
      <c r="M313" t="s">
        <v>434</v>
      </c>
      <c r="N313" t="s">
        <v>74</v>
      </c>
      <c r="O313" t="s">
        <v>435</v>
      </c>
      <c r="P313" t="s">
        <v>433</v>
      </c>
      <c r="Q313">
        <v>25800</v>
      </c>
      <c r="R313" t="s">
        <v>436</v>
      </c>
    </row>
    <row r="314" spans="1:18" x14ac:dyDescent="0.25">
      <c r="A314" t="s">
        <v>1633</v>
      </c>
      <c r="B314">
        <v>920</v>
      </c>
      <c r="C314" t="s">
        <v>487</v>
      </c>
      <c r="D314" t="s">
        <v>256</v>
      </c>
      <c r="E314" t="s">
        <v>231</v>
      </c>
      <c r="F314" t="s">
        <v>1249</v>
      </c>
      <c r="G314" s="25">
        <v>44238</v>
      </c>
      <c r="H314">
        <v>9</v>
      </c>
      <c r="I314">
        <v>42</v>
      </c>
      <c r="J314" t="s">
        <v>432</v>
      </c>
      <c r="K314" t="s">
        <v>488</v>
      </c>
      <c r="L314" t="s">
        <v>433</v>
      </c>
      <c r="M314" t="s">
        <v>434</v>
      </c>
      <c r="N314" t="s">
        <v>74</v>
      </c>
      <c r="O314" t="s">
        <v>435</v>
      </c>
      <c r="P314" t="s">
        <v>433</v>
      </c>
      <c r="Q314">
        <v>14625</v>
      </c>
      <c r="R314" t="s">
        <v>436</v>
      </c>
    </row>
    <row r="315" spans="1:18" x14ac:dyDescent="0.25">
      <c r="A315" t="s">
        <v>3291</v>
      </c>
      <c r="B315">
        <v>2632</v>
      </c>
      <c r="C315" t="s">
        <v>487</v>
      </c>
      <c r="D315" t="s">
        <v>247</v>
      </c>
      <c r="E315" t="s">
        <v>408</v>
      </c>
      <c r="F315" t="s">
        <v>3178</v>
      </c>
      <c r="G315" s="25">
        <v>44316</v>
      </c>
      <c r="H315">
        <v>24</v>
      </c>
      <c r="I315">
        <v>120</v>
      </c>
      <c r="J315" t="s">
        <v>432</v>
      </c>
      <c r="K315" t="s">
        <v>489</v>
      </c>
      <c r="L315" t="s">
        <v>134</v>
      </c>
      <c r="M315" t="s">
        <v>434</v>
      </c>
      <c r="N315" t="s">
        <v>67</v>
      </c>
      <c r="O315" t="s">
        <v>235</v>
      </c>
      <c r="P315" t="s">
        <v>437</v>
      </c>
      <c r="Q315">
        <v>156000</v>
      </c>
      <c r="R315" t="s">
        <v>237</v>
      </c>
    </row>
    <row r="316" spans="1:18" x14ac:dyDescent="0.25">
      <c r="A316" t="s">
        <v>3292</v>
      </c>
      <c r="B316">
        <v>2137</v>
      </c>
      <c r="C316" t="s">
        <v>487</v>
      </c>
      <c r="D316" t="s">
        <v>322</v>
      </c>
      <c r="E316" t="s">
        <v>552</v>
      </c>
      <c r="F316" t="s">
        <v>3045</v>
      </c>
      <c r="G316" s="25">
        <v>44294</v>
      </c>
      <c r="H316">
        <v>20</v>
      </c>
      <c r="I316">
        <v>98</v>
      </c>
      <c r="J316" t="s">
        <v>231</v>
      </c>
      <c r="K316" t="s">
        <v>509</v>
      </c>
      <c r="L316" t="s">
        <v>45</v>
      </c>
      <c r="M316" t="s">
        <v>234</v>
      </c>
      <c r="N316" t="s">
        <v>44</v>
      </c>
      <c r="O316" t="s">
        <v>21</v>
      </c>
      <c r="P316" t="s">
        <v>304</v>
      </c>
      <c r="Q316">
        <v>19000</v>
      </c>
      <c r="R316" t="s">
        <v>237</v>
      </c>
    </row>
    <row r="317" spans="1:18" x14ac:dyDescent="0.25">
      <c r="A317" t="s">
        <v>3293</v>
      </c>
      <c r="B317">
        <v>1829</v>
      </c>
      <c r="C317" t="s">
        <v>487</v>
      </c>
      <c r="D317" t="s">
        <v>322</v>
      </c>
      <c r="E317" t="s">
        <v>261</v>
      </c>
      <c r="F317" t="s">
        <v>2956</v>
      </c>
      <c r="G317" s="25">
        <v>44280</v>
      </c>
      <c r="H317">
        <v>17</v>
      </c>
      <c r="I317">
        <v>84</v>
      </c>
      <c r="J317" t="s">
        <v>231</v>
      </c>
      <c r="K317" t="s">
        <v>509</v>
      </c>
      <c r="L317" t="s">
        <v>45</v>
      </c>
      <c r="M317" t="s">
        <v>234</v>
      </c>
      <c r="N317" t="s">
        <v>44</v>
      </c>
      <c r="O317" t="s">
        <v>21</v>
      </c>
      <c r="P317" t="s">
        <v>304</v>
      </c>
      <c r="Q317">
        <v>0</v>
      </c>
      <c r="R317" t="s">
        <v>237</v>
      </c>
    </row>
    <row r="318" spans="1:18" x14ac:dyDescent="0.25">
      <c r="A318" t="s">
        <v>1716</v>
      </c>
      <c r="B318">
        <v>1235</v>
      </c>
      <c r="C318" t="s">
        <v>487</v>
      </c>
      <c r="D318" t="s">
        <v>256</v>
      </c>
      <c r="E318" t="s">
        <v>534</v>
      </c>
      <c r="F318" t="s">
        <v>1357</v>
      </c>
      <c r="G318" s="25">
        <v>44253</v>
      </c>
      <c r="H318">
        <v>12</v>
      </c>
      <c r="I318">
        <v>57</v>
      </c>
      <c r="J318" t="s">
        <v>231</v>
      </c>
      <c r="K318" t="s">
        <v>509</v>
      </c>
      <c r="L318" t="s">
        <v>45</v>
      </c>
      <c r="M318" t="s">
        <v>234</v>
      </c>
      <c r="N318" t="s">
        <v>44</v>
      </c>
      <c r="O318" t="s">
        <v>21</v>
      </c>
      <c r="P318" t="s">
        <v>304</v>
      </c>
      <c r="Q318">
        <v>0</v>
      </c>
      <c r="R318" t="s">
        <v>237</v>
      </c>
    </row>
    <row r="319" spans="1:18" x14ac:dyDescent="0.25">
      <c r="A319" t="s">
        <v>1910</v>
      </c>
      <c r="B319">
        <v>1081</v>
      </c>
      <c r="C319" t="s">
        <v>487</v>
      </c>
      <c r="D319" t="s">
        <v>256</v>
      </c>
      <c r="E319" t="s">
        <v>239</v>
      </c>
      <c r="F319" t="s">
        <v>1322</v>
      </c>
      <c r="G319" s="25">
        <v>44246</v>
      </c>
      <c r="H319">
        <v>10</v>
      </c>
      <c r="I319">
        <v>50</v>
      </c>
      <c r="J319" t="s">
        <v>231</v>
      </c>
      <c r="K319" t="s">
        <v>509</v>
      </c>
      <c r="L319" t="s">
        <v>45</v>
      </c>
      <c r="M319" t="s">
        <v>234</v>
      </c>
      <c r="N319" t="s">
        <v>44</v>
      </c>
      <c r="O319" t="s">
        <v>21</v>
      </c>
      <c r="P319" t="s">
        <v>304</v>
      </c>
      <c r="Q319">
        <v>0</v>
      </c>
      <c r="R319" t="s">
        <v>237</v>
      </c>
    </row>
    <row r="320" spans="1:18" x14ac:dyDescent="0.25">
      <c r="A320" t="s">
        <v>2278</v>
      </c>
      <c r="B320">
        <v>773</v>
      </c>
      <c r="C320" t="s">
        <v>487</v>
      </c>
      <c r="D320" t="s">
        <v>231</v>
      </c>
      <c r="E320" t="s">
        <v>620</v>
      </c>
      <c r="F320" t="s">
        <v>1215</v>
      </c>
      <c r="G320" s="25">
        <v>44232</v>
      </c>
      <c r="H320">
        <v>8</v>
      </c>
      <c r="I320">
        <v>36</v>
      </c>
      <c r="J320" t="s">
        <v>231</v>
      </c>
      <c r="K320" t="s">
        <v>509</v>
      </c>
      <c r="L320" t="s">
        <v>45</v>
      </c>
      <c r="M320" t="s">
        <v>234</v>
      </c>
      <c r="N320" t="s">
        <v>44</v>
      </c>
      <c r="O320" t="s">
        <v>21</v>
      </c>
      <c r="P320" t="s">
        <v>304</v>
      </c>
      <c r="Q320">
        <v>20875</v>
      </c>
      <c r="R320" t="s">
        <v>237</v>
      </c>
    </row>
    <row r="321" spans="1:18" x14ac:dyDescent="0.25">
      <c r="A321" t="s">
        <v>2152</v>
      </c>
      <c r="B321">
        <v>619</v>
      </c>
      <c r="C321" t="s">
        <v>487</v>
      </c>
      <c r="D321" t="s">
        <v>231</v>
      </c>
      <c r="E321" t="s">
        <v>371</v>
      </c>
      <c r="F321" t="s">
        <v>1124</v>
      </c>
      <c r="G321" s="25">
        <v>44225</v>
      </c>
      <c r="H321">
        <v>6</v>
      </c>
      <c r="I321">
        <v>29</v>
      </c>
      <c r="J321" t="s">
        <v>231</v>
      </c>
      <c r="K321" t="s">
        <v>509</v>
      </c>
      <c r="L321" t="s">
        <v>45</v>
      </c>
      <c r="M321" t="s">
        <v>234</v>
      </c>
      <c r="N321" t="s">
        <v>44</v>
      </c>
      <c r="O321" t="s">
        <v>21</v>
      </c>
      <c r="P321" t="s">
        <v>304</v>
      </c>
      <c r="Q321">
        <v>0</v>
      </c>
      <c r="R321" t="s">
        <v>237</v>
      </c>
    </row>
    <row r="322" spans="1:18" x14ac:dyDescent="0.25">
      <c r="A322" t="s">
        <v>679</v>
      </c>
      <c r="B322">
        <v>267</v>
      </c>
      <c r="C322" t="s">
        <v>487</v>
      </c>
      <c r="D322" t="s">
        <v>229</v>
      </c>
      <c r="E322" t="s">
        <v>512</v>
      </c>
      <c r="F322" t="s">
        <v>513</v>
      </c>
      <c r="G322" s="25">
        <v>44209</v>
      </c>
      <c r="H322">
        <v>3</v>
      </c>
      <c r="I322">
        <v>13</v>
      </c>
      <c r="J322" t="s">
        <v>231</v>
      </c>
      <c r="K322" t="s">
        <v>509</v>
      </c>
      <c r="L322" t="s">
        <v>45</v>
      </c>
      <c r="M322" t="s">
        <v>234</v>
      </c>
      <c r="N322" t="s">
        <v>44</v>
      </c>
      <c r="O322" t="s">
        <v>21</v>
      </c>
      <c r="P322" t="s">
        <v>304</v>
      </c>
      <c r="Q322">
        <v>0</v>
      </c>
      <c r="R322" t="s">
        <v>237</v>
      </c>
    </row>
    <row r="323" spans="1:18" x14ac:dyDescent="0.25">
      <c r="A323" t="s">
        <v>286</v>
      </c>
      <c r="B323">
        <v>136</v>
      </c>
      <c r="C323" t="s">
        <v>487</v>
      </c>
      <c r="D323" t="s">
        <v>229</v>
      </c>
      <c r="E323" t="s">
        <v>326</v>
      </c>
      <c r="F323" t="s">
        <v>522</v>
      </c>
      <c r="G323" s="25">
        <v>44203</v>
      </c>
      <c r="H323">
        <v>2</v>
      </c>
      <c r="I323">
        <v>7</v>
      </c>
      <c r="J323" t="s">
        <v>231</v>
      </c>
      <c r="K323" t="s">
        <v>508</v>
      </c>
      <c r="L323" t="s">
        <v>47</v>
      </c>
      <c r="M323" t="s">
        <v>234</v>
      </c>
      <c r="N323" t="s">
        <v>46</v>
      </c>
      <c r="O323" t="s">
        <v>21</v>
      </c>
      <c r="P323" t="s">
        <v>288</v>
      </c>
      <c r="Q323">
        <v>0</v>
      </c>
      <c r="R323" t="s">
        <v>237</v>
      </c>
    </row>
    <row r="324" spans="1:18" x14ac:dyDescent="0.25">
      <c r="A324" t="s">
        <v>3294</v>
      </c>
      <c r="B324">
        <v>2314</v>
      </c>
      <c r="C324" t="s">
        <v>487</v>
      </c>
      <c r="D324" t="s">
        <v>247</v>
      </c>
      <c r="E324" t="s">
        <v>247</v>
      </c>
      <c r="F324" t="s">
        <v>3085</v>
      </c>
      <c r="G324" s="25">
        <v>44302</v>
      </c>
      <c r="H324">
        <v>22</v>
      </c>
      <c r="I324">
        <v>106</v>
      </c>
      <c r="J324" t="s">
        <v>231</v>
      </c>
      <c r="K324" t="s">
        <v>508</v>
      </c>
      <c r="L324" t="s">
        <v>47</v>
      </c>
      <c r="M324" t="s">
        <v>234</v>
      </c>
      <c r="N324" t="s">
        <v>46</v>
      </c>
      <c r="O324" t="s">
        <v>21</v>
      </c>
      <c r="P324" t="s">
        <v>288</v>
      </c>
      <c r="Q324">
        <v>0</v>
      </c>
      <c r="R324" t="s">
        <v>237</v>
      </c>
    </row>
    <row r="325" spans="1:18" x14ac:dyDescent="0.25">
      <c r="A325" t="s">
        <v>3295</v>
      </c>
      <c r="B325">
        <v>1808</v>
      </c>
      <c r="C325" t="s">
        <v>487</v>
      </c>
      <c r="D325" t="s">
        <v>322</v>
      </c>
      <c r="E325" t="s">
        <v>256</v>
      </c>
      <c r="F325" t="s">
        <v>2952</v>
      </c>
      <c r="G325" s="25">
        <v>44279</v>
      </c>
      <c r="H325">
        <v>17</v>
      </c>
      <c r="I325">
        <v>83</v>
      </c>
      <c r="J325" t="s">
        <v>231</v>
      </c>
      <c r="K325" t="s">
        <v>508</v>
      </c>
      <c r="L325" t="s">
        <v>47</v>
      </c>
      <c r="M325" t="s">
        <v>234</v>
      </c>
      <c r="N325" t="s">
        <v>46</v>
      </c>
      <c r="O325" t="s">
        <v>21</v>
      </c>
      <c r="P325" t="s">
        <v>288</v>
      </c>
      <c r="Q325">
        <v>9445</v>
      </c>
      <c r="R325" t="s">
        <v>237</v>
      </c>
    </row>
    <row r="326" spans="1:18" x14ac:dyDescent="0.25">
      <c r="A326" t="s">
        <v>2332</v>
      </c>
      <c r="B326">
        <v>1127</v>
      </c>
      <c r="C326" t="s">
        <v>487</v>
      </c>
      <c r="D326" t="s">
        <v>256</v>
      </c>
      <c r="E326" t="s">
        <v>232</v>
      </c>
      <c r="F326" t="s">
        <v>1337</v>
      </c>
      <c r="G326" s="25">
        <v>44248</v>
      </c>
      <c r="H326">
        <v>11</v>
      </c>
      <c r="I326">
        <v>52</v>
      </c>
      <c r="J326" t="s">
        <v>231</v>
      </c>
      <c r="K326" t="s">
        <v>507</v>
      </c>
      <c r="L326" t="s">
        <v>49</v>
      </c>
      <c r="M326" t="s">
        <v>234</v>
      </c>
      <c r="N326" t="s">
        <v>48</v>
      </c>
      <c r="O326" t="s">
        <v>21</v>
      </c>
      <c r="P326" t="s">
        <v>413</v>
      </c>
      <c r="Q326">
        <v>0</v>
      </c>
      <c r="R326" t="s">
        <v>237</v>
      </c>
    </row>
    <row r="327" spans="1:18" x14ac:dyDescent="0.25">
      <c r="A327" t="s">
        <v>1978</v>
      </c>
      <c r="B327">
        <v>819</v>
      </c>
      <c r="C327" t="s">
        <v>487</v>
      </c>
      <c r="D327" t="s">
        <v>231</v>
      </c>
      <c r="E327" t="s">
        <v>552</v>
      </c>
      <c r="F327" t="s">
        <v>1222</v>
      </c>
      <c r="G327" s="25">
        <v>44234</v>
      </c>
      <c r="H327">
        <v>8</v>
      </c>
      <c r="I327">
        <v>38</v>
      </c>
      <c r="J327" t="s">
        <v>231</v>
      </c>
      <c r="K327" t="s">
        <v>507</v>
      </c>
      <c r="L327" t="s">
        <v>49</v>
      </c>
      <c r="M327" t="s">
        <v>234</v>
      </c>
      <c r="N327" t="s">
        <v>48</v>
      </c>
      <c r="O327" t="s">
        <v>21</v>
      </c>
      <c r="P327" t="s">
        <v>413</v>
      </c>
      <c r="Q327">
        <v>0</v>
      </c>
      <c r="R327" t="s">
        <v>237</v>
      </c>
    </row>
    <row r="328" spans="1:18" x14ac:dyDescent="0.25">
      <c r="A328" t="s">
        <v>2772</v>
      </c>
      <c r="B328">
        <v>511</v>
      </c>
      <c r="C328" t="s">
        <v>487</v>
      </c>
      <c r="D328" t="s">
        <v>231</v>
      </c>
      <c r="E328" t="s">
        <v>261</v>
      </c>
      <c r="F328" t="s">
        <v>1065</v>
      </c>
      <c r="G328" s="25">
        <v>44220</v>
      </c>
      <c r="H328">
        <v>5</v>
      </c>
      <c r="I328">
        <v>24</v>
      </c>
      <c r="J328" t="s">
        <v>231</v>
      </c>
      <c r="K328" t="s">
        <v>507</v>
      </c>
      <c r="L328" t="s">
        <v>49</v>
      </c>
      <c r="M328" t="s">
        <v>234</v>
      </c>
      <c r="N328" t="s">
        <v>48</v>
      </c>
      <c r="O328" t="s">
        <v>21</v>
      </c>
      <c r="P328" t="s">
        <v>413</v>
      </c>
      <c r="Q328">
        <v>0</v>
      </c>
      <c r="R328" t="s">
        <v>237</v>
      </c>
    </row>
    <row r="329" spans="1:18" x14ac:dyDescent="0.25">
      <c r="A329" t="s">
        <v>3296</v>
      </c>
      <c r="B329">
        <v>2381</v>
      </c>
      <c r="C329" t="s">
        <v>487</v>
      </c>
      <c r="D329" t="s">
        <v>247</v>
      </c>
      <c r="E329" t="s">
        <v>371</v>
      </c>
      <c r="F329" t="s">
        <v>3112</v>
      </c>
      <c r="G329" s="25">
        <v>44305</v>
      </c>
      <c r="H329">
        <v>22</v>
      </c>
      <c r="I329">
        <v>109</v>
      </c>
      <c r="J329" t="s">
        <v>231</v>
      </c>
      <c r="K329" t="s">
        <v>507</v>
      </c>
      <c r="L329" t="s">
        <v>49</v>
      </c>
      <c r="M329" t="s">
        <v>234</v>
      </c>
      <c r="N329" t="s">
        <v>48</v>
      </c>
      <c r="O329" t="s">
        <v>21</v>
      </c>
      <c r="P329" t="s">
        <v>413</v>
      </c>
      <c r="Q329">
        <v>0</v>
      </c>
      <c r="R329" t="s">
        <v>237</v>
      </c>
    </row>
    <row r="330" spans="1:18" x14ac:dyDescent="0.25">
      <c r="A330" t="s">
        <v>3297</v>
      </c>
      <c r="B330">
        <v>2029</v>
      </c>
      <c r="C330" t="s">
        <v>487</v>
      </c>
      <c r="D330" t="s">
        <v>322</v>
      </c>
      <c r="E330" t="s">
        <v>512</v>
      </c>
      <c r="F330" t="s">
        <v>2991</v>
      </c>
      <c r="G330" s="25">
        <v>44289</v>
      </c>
      <c r="H330">
        <v>19</v>
      </c>
      <c r="I330">
        <v>93</v>
      </c>
      <c r="J330" t="s">
        <v>231</v>
      </c>
      <c r="K330" t="s">
        <v>507</v>
      </c>
      <c r="L330" t="s">
        <v>49</v>
      </c>
      <c r="M330" t="s">
        <v>234</v>
      </c>
      <c r="N330" t="s">
        <v>48</v>
      </c>
      <c r="O330" t="s">
        <v>21</v>
      </c>
      <c r="P330" t="s">
        <v>413</v>
      </c>
      <c r="Q330">
        <v>0</v>
      </c>
      <c r="R330" t="s">
        <v>237</v>
      </c>
    </row>
    <row r="331" spans="1:18" x14ac:dyDescent="0.25">
      <c r="A331" t="s">
        <v>2157</v>
      </c>
      <c r="B331">
        <v>1655</v>
      </c>
      <c r="C331" t="s">
        <v>487</v>
      </c>
      <c r="D331" t="s">
        <v>261</v>
      </c>
      <c r="E331" t="s">
        <v>620</v>
      </c>
      <c r="F331" t="s">
        <v>1545</v>
      </c>
      <c r="G331" s="25">
        <v>44272</v>
      </c>
      <c r="H331">
        <v>16</v>
      </c>
      <c r="I331">
        <v>76</v>
      </c>
      <c r="J331" t="s">
        <v>231</v>
      </c>
      <c r="K331" t="s">
        <v>507</v>
      </c>
      <c r="L331" t="s">
        <v>49</v>
      </c>
      <c r="M331" t="s">
        <v>234</v>
      </c>
      <c r="N331" t="s">
        <v>48</v>
      </c>
      <c r="O331" t="s">
        <v>21</v>
      </c>
      <c r="P331" t="s">
        <v>413</v>
      </c>
      <c r="Q331">
        <v>0</v>
      </c>
      <c r="R331" t="s">
        <v>237</v>
      </c>
    </row>
    <row r="332" spans="1:18" x14ac:dyDescent="0.25">
      <c r="A332" t="s">
        <v>2030</v>
      </c>
      <c r="B332">
        <v>1413</v>
      </c>
      <c r="C332" t="s">
        <v>487</v>
      </c>
      <c r="D332" t="s">
        <v>261</v>
      </c>
      <c r="E332" t="s">
        <v>322</v>
      </c>
      <c r="F332" t="s">
        <v>1417</v>
      </c>
      <c r="G332" s="25">
        <v>44261</v>
      </c>
      <c r="H332">
        <v>13</v>
      </c>
      <c r="I332">
        <v>65</v>
      </c>
      <c r="J332" t="s">
        <v>231</v>
      </c>
      <c r="K332" t="s">
        <v>507</v>
      </c>
      <c r="L332" t="s">
        <v>49</v>
      </c>
      <c r="M332" t="s">
        <v>234</v>
      </c>
      <c r="N332" t="s">
        <v>48</v>
      </c>
      <c r="O332" t="s">
        <v>21</v>
      </c>
      <c r="P332" t="s">
        <v>413</v>
      </c>
      <c r="Q332">
        <v>0</v>
      </c>
      <c r="R332" t="s">
        <v>237</v>
      </c>
    </row>
    <row r="333" spans="1:18" x14ac:dyDescent="0.25">
      <c r="A333" t="s">
        <v>3298</v>
      </c>
      <c r="B333">
        <v>1964</v>
      </c>
      <c r="C333" t="s">
        <v>487</v>
      </c>
      <c r="D333" t="s">
        <v>322</v>
      </c>
      <c r="E333" t="s">
        <v>239</v>
      </c>
      <c r="F333" t="s">
        <v>2979</v>
      </c>
      <c r="G333" s="25">
        <v>44286</v>
      </c>
      <c r="H333">
        <v>18</v>
      </c>
      <c r="I333">
        <v>90</v>
      </c>
      <c r="J333" t="s">
        <v>231</v>
      </c>
      <c r="K333" t="s">
        <v>506</v>
      </c>
      <c r="L333" t="s">
        <v>414</v>
      </c>
      <c r="M333" t="s">
        <v>234</v>
      </c>
      <c r="N333" t="s">
        <v>50</v>
      </c>
      <c r="O333" t="s">
        <v>21</v>
      </c>
      <c r="P333" t="s">
        <v>411</v>
      </c>
      <c r="Q333">
        <v>0</v>
      </c>
      <c r="R333" t="s">
        <v>237</v>
      </c>
    </row>
    <row r="334" spans="1:18" x14ac:dyDescent="0.25">
      <c r="A334" t="s">
        <v>2597</v>
      </c>
      <c r="B334">
        <v>1304</v>
      </c>
      <c r="C334" t="s">
        <v>487</v>
      </c>
      <c r="D334" t="s">
        <v>256</v>
      </c>
      <c r="E334" t="s">
        <v>408</v>
      </c>
      <c r="F334" t="s">
        <v>1383</v>
      </c>
      <c r="G334" s="25">
        <v>44256</v>
      </c>
      <c r="H334">
        <v>12</v>
      </c>
      <c r="I334">
        <v>60</v>
      </c>
      <c r="J334" t="s">
        <v>231</v>
      </c>
      <c r="K334" t="s">
        <v>506</v>
      </c>
      <c r="L334" t="s">
        <v>414</v>
      </c>
      <c r="M334" t="s">
        <v>234</v>
      </c>
      <c r="N334" t="s">
        <v>50</v>
      </c>
      <c r="O334" t="s">
        <v>21</v>
      </c>
      <c r="P334" t="s">
        <v>411</v>
      </c>
      <c r="Q334">
        <v>0</v>
      </c>
      <c r="R334" t="s">
        <v>237</v>
      </c>
    </row>
    <row r="335" spans="1:18" x14ac:dyDescent="0.25">
      <c r="A335" t="s">
        <v>3299</v>
      </c>
      <c r="B335">
        <v>2575</v>
      </c>
      <c r="C335" t="s">
        <v>487</v>
      </c>
      <c r="D335" t="s">
        <v>247</v>
      </c>
      <c r="E335" t="s">
        <v>552</v>
      </c>
      <c r="F335" t="s">
        <v>3170</v>
      </c>
      <c r="G335" s="25">
        <v>44314</v>
      </c>
      <c r="H335">
        <v>24</v>
      </c>
      <c r="I335">
        <v>118</v>
      </c>
      <c r="J335" t="s">
        <v>231</v>
      </c>
      <c r="K335" t="s">
        <v>505</v>
      </c>
      <c r="L335" t="s">
        <v>41</v>
      </c>
      <c r="M335" t="s">
        <v>234</v>
      </c>
      <c r="N335" t="s">
        <v>40</v>
      </c>
      <c r="O335" t="s">
        <v>21</v>
      </c>
      <c r="P335" t="s">
        <v>266</v>
      </c>
      <c r="Q335">
        <v>0</v>
      </c>
      <c r="R335" t="s">
        <v>237</v>
      </c>
    </row>
    <row r="336" spans="1:18" x14ac:dyDescent="0.25">
      <c r="A336" t="s">
        <v>2547</v>
      </c>
      <c r="B336">
        <v>1343</v>
      </c>
      <c r="C336" t="s">
        <v>487</v>
      </c>
      <c r="D336" t="s">
        <v>261</v>
      </c>
      <c r="E336" t="s">
        <v>231</v>
      </c>
      <c r="F336" t="s">
        <v>1400</v>
      </c>
      <c r="G336" s="25">
        <v>44258</v>
      </c>
      <c r="H336">
        <v>13</v>
      </c>
      <c r="I336">
        <v>62</v>
      </c>
      <c r="J336" t="s">
        <v>231</v>
      </c>
      <c r="K336" t="s">
        <v>505</v>
      </c>
      <c r="L336" t="s">
        <v>41</v>
      </c>
      <c r="M336" t="s">
        <v>234</v>
      </c>
      <c r="N336" t="s">
        <v>40</v>
      </c>
      <c r="O336" t="s">
        <v>21</v>
      </c>
      <c r="P336" t="s">
        <v>266</v>
      </c>
      <c r="Q336">
        <v>59966</v>
      </c>
      <c r="R336" t="s">
        <v>237</v>
      </c>
    </row>
    <row r="337" spans="1:18" x14ac:dyDescent="0.25">
      <c r="A337" t="s">
        <v>2037</v>
      </c>
      <c r="B337">
        <v>859</v>
      </c>
      <c r="C337" t="s">
        <v>487</v>
      </c>
      <c r="D337" t="s">
        <v>231</v>
      </c>
      <c r="E337" t="s">
        <v>408</v>
      </c>
      <c r="F337" t="s">
        <v>1234</v>
      </c>
      <c r="G337" s="25">
        <v>44236</v>
      </c>
      <c r="H337">
        <v>8</v>
      </c>
      <c r="I337">
        <v>40</v>
      </c>
      <c r="J337" t="s">
        <v>231</v>
      </c>
      <c r="K337" t="s">
        <v>505</v>
      </c>
      <c r="L337" t="s">
        <v>41</v>
      </c>
      <c r="M337" t="s">
        <v>234</v>
      </c>
      <c r="N337" t="s">
        <v>40</v>
      </c>
      <c r="O337" t="s">
        <v>21</v>
      </c>
      <c r="P337" t="s">
        <v>266</v>
      </c>
      <c r="Q337">
        <v>0</v>
      </c>
      <c r="R337" t="s">
        <v>237</v>
      </c>
    </row>
    <row r="338" spans="1:18" x14ac:dyDescent="0.25">
      <c r="A338" t="s">
        <v>795</v>
      </c>
      <c r="B338">
        <v>397</v>
      </c>
      <c r="C338" t="s">
        <v>487</v>
      </c>
      <c r="D338" t="s">
        <v>229</v>
      </c>
      <c r="E338" t="s">
        <v>531</v>
      </c>
      <c r="F338" t="s">
        <v>532</v>
      </c>
      <c r="G338" s="25">
        <v>44215</v>
      </c>
      <c r="H338">
        <v>4</v>
      </c>
      <c r="I338">
        <v>19</v>
      </c>
      <c r="J338" t="s">
        <v>231</v>
      </c>
      <c r="K338" t="s">
        <v>505</v>
      </c>
      <c r="L338" t="s">
        <v>41</v>
      </c>
      <c r="M338" t="s">
        <v>234</v>
      </c>
      <c r="N338" t="s">
        <v>40</v>
      </c>
      <c r="O338" t="s">
        <v>21</v>
      </c>
      <c r="P338" t="s">
        <v>266</v>
      </c>
      <c r="Q338">
        <v>0</v>
      </c>
      <c r="R338" t="s">
        <v>237</v>
      </c>
    </row>
    <row r="339" spans="1:18" x14ac:dyDescent="0.25">
      <c r="A339" t="s">
        <v>2716</v>
      </c>
      <c r="B339">
        <v>1146</v>
      </c>
      <c r="C339" t="s">
        <v>487</v>
      </c>
      <c r="D339" t="s">
        <v>256</v>
      </c>
      <c r="E339" t="s">
        <v>512</v>
      </c>
      <c r="F339" t="s">
        <v>1342</v>
      </c>
      <c r="G339" s="25">
        <v>44249</v>
      </c>
      <c r="H339">
        <v>11</v>
      </c>
      <c r="I339">
        <v>53</v>
      </c>
      <c r="J339" t="s">
        <v>231</v>
      </c>
      <c r="K339" t="s">
        <v>504</v>
      </c>
      <c r="L339" t="s">
        <v>43</v>
      </c>
      <c r="M339" t="s">
        <v>234</v>
      </c>
      <c r="N339" t="s">
        <v>42</v>
      </c>
      <c r="O339" t="s">
        <v>21</v>
      </c>
      <c r="P339" t="s">
        <v>236</v>
      </c>
      <c r="Q339">
        <v>0</v>
      </c>
      <c r="R339" t="s">
        <v>237</v>
      </c>
    </row>
    <row r="340" spans="1:18" x14ac:dyDescent="0.25">
      <c r="A340" t="s">
        <v>1772</v>
      </c>
      <c r="B340">
        <v>838</v>
      </c>
      <c r="C340" t="s">
        <v>487</v>
      </c>
      <c r="D340" t="s">
        <v>231</v>
      </c>
      <c r="E340" t="s">
        <v>531</v>
      </c>
      <c r="F340" t="s">
        <v>1230</v>
      </c>
      <c r="G340" s="25">
        <v>44235</v>
      </c>
      <c r="H340">
        <v>8</v>
      </c>
      <c r="I340">
        <v>39</v>
      </c>
      <c r="J340" t="s">
        <v>231</v>
      </c>
      <c r="K340" t="s">
        <v>504</v>
      </c>
      <c r="L340" t="s">
        <v>43</v>
      </c>
      <c r="M340" t="s">
        <v>234</v>
      </c>
      <c r="N340" t="s">
        <v>42</v>
      </c>
      <c r="O340" t="s">
        <v>21</v>
      </c>
      <c r="P340" t="s">
        <v>236</v>
      </c>
      <c r="Q340">
        <v>15000</v>
      </c>
      <c r="R340" t="s">
        <v>237</v>
      </c>
    </row>
    <row r="341" spans="1:18" x14ac:dyDescent="0.25">
      <c r="A341" t="s">
        <v>1864</v>
      </c>
      <c r="B341">
        <v>530</v>
      </c>
      <c r="C341" t="s">
        <v>487</v>
      </c>
      <c r="D341" t="s">
        <v>231</v>
      </c>
      <c r="E341" t="s">
        <v>322</v>
      </c>
      <c r="F341" t="s">
        <v>1085</v>
      </c>
      <c r="G341" s="25">
        <v>44221</v>
      </c>
      <c r="H341">
        <v>5</v>
      </c>
      <c r="I341">
        <v>25</v>
      </c>
      <c r="J341" t="s">
        <v>231</v>
      </c>
      <c r="K341" t="s">
        <v>504</v>
      </c>
      <c r="L341" t="s">
        <v>43</v>
      </c>
      <c r="M341" t="s">
        <v>234</v>
      </c>
      <c r="N341" t="s">
        <v>42</v>
      </c>
      <c r="O341" t="s">
        <v>21</v>
      </c>
      <c r="P341" t="s">
        <v>236</v>
      </c>
      <c r="Q341">
        <v>0</v>
      </c>
      <c r="R341" t="s">
        <v>237</v>
      </c>
    </row>
    <row r="342" spans="1:18" x14ac:dyDescent="0.25">
      <c r="A342" t="s">
        <v>3300</v>
      </c>
      <c r="B342">
        <v>1967</v>
      </c>
      <c r="C342" t="s">
        <v>487</v>
      </c>
      <c r="D342" t="s">
        <v>322</v>
      </c>
      <c r="E342" t="s">
        <v>239</v>
      </c>
      <c r="F342" t="s">
        <v>2979</v>
      </c>
      <c r="G342" s="25">
        <v>44286</v>
      </c>
      <c r="H342">
        <v>18</v>
      </c>
      <c r="I342">
        <v>90</v>
      </c>
      <c r="J342" t="s">
        <v>231</v>
      </c>
      <c r="K342" t="s">
        <v>503</v>
      </c>
      <c r="L342" t="s">
        <v>303</v>
      </c>
      <c r="M342" t="s">
        <v>234</v>
      </c>
      <c r="N342" t="s">
        <v>56</v>
      </c>
      <c r="O342" t="s">
        <v>235</v>
      </c>
      <c r="P342" t="s">
        <v>304</v>
      </c>
      <c r="Q342">
        <v>0</v>
      </c>
      <c r="R342" t="s">
        <v>237</v>
      </c>
    </row>
    <row r="343" spans="1:18" x14ac:dyDescent="0.25">
      <c r="A343" t="s">
        <v>2878</v>
      </c>
      <c r="B343">
        <v>1307</v>
      </c>
      <c r="C343" t="s">
        <v>487</v>
      </c>
      <c r="D343" t="s">
        <v>256</v>
      </c>
      <c r="E343" t="s">
        <v>408</v>
      </c>
      <c r="F343" t="s">
        <v>1383</v>
      </c>
      <c r="G343" s="25">
        <v>44256</v>
      </c>
      <c r="H343">
        <v>12</v>
      </c>
      <c r="I343">
        <v>60</v>
      </c>
      <c r="J343" t="s">
        <v>231</v>
      </c>
      <c r="K343" t="s">
        <v>503</v>
      </c>
      <c r="L343" t="s">
        <v>303</v>
      </c>
      <c r="M343" t="s">
        <v>234</v>
      </c>
      <c r="N343" t="s">
        <v>56</v>
      </c>
      <c r="O343" t="s">
        <v>235</v>
      </c>
      <c r="P343" t="s">
        <v>304</v>
      </c>
      <c r="Q343">
        <v>0</v>
      </c>
      <c r="R343" t="s">
        <v>237</v>
      </c>
    </row>
    <row r="344" spans="1:18" x14ac:dyDescent="0.25">
      <c r="A344" t="s">
        <v>1655</v>
      </c>
      <c r="B344">
        <v>1000</v>
      </c>
      <c r="C344" t="s">
        <v>487</v>
      </c>
      <c r="D344" t="s">
        <v>256</v>
      </c>
      <c r="E344" t="s">
        <v>247</v>
      </c>
      <c r="F344" t="s">
        <v>1299</v>
      </c>
      <c r="G344" s="25">
        <v>44242</v>
      </c>
      <c r="H344">
        <v>10</v>
      </c>
      <c r="I344">
        <v>46</v>
      </c>
      <c r="J344" t="s">
        <v>231</v>
      </c>
      <c r="K344" t="s">
        <v>502</v>
      </c>
      <c r="L344" t="s">
        <v>287</v>
      </c>
      <c r="M344" t="s">
        <v>234</v>
      </c>
      <c r="N344" t="s">
        <v>58</v>
      </c>
      <c r="O344" t="s">
        <v>235</v>
      </c>
      <c r="P344" t="s">
        <v>288</v>
      </c>
      <c r="Q344">
        <v>0</v>
      </c>
      <c r="R344" t="s">
        <v>237</v>
      </c>
    </row>
    <row r="345" spans="1:18" x14ac:dyDescent="0.25">
      <c r="A345" t="s">
        <v>283</v>
      </c>
      <c r="B345">
        <v>32</v>
      </c>
      <c r="C345" t="s">
        <v>487</v>
      </c>
      <c r="D345" t="s">
        <v>229</v>
      </c>
      <c r="E345" t="s">
        <v>231</v>
      </c>
      <c r="F345" t="s">
        <v>568</v>
      </c>
      <c r="G345" s="25">
        <v>44198</v>
      </c>
      <c r="H345">
        <v>1</v>
      </c>
      <c r="I345">
        <v>2</v>
      </c>
      <c r="J345" t="s">
        <v>231</v>
      </c>
      <c r="K345" t="s">
        <v>502</v>
      </c>
      <c r="L345" t="s">
        <v>287</v>
      </c>
      <c r="M345" t="s">
        <v>234</v>
      </c>
      <c r="N345" t="s">
        <v>58</v>
      </c>
      <c r="O345" t="s">
        <v>235</v>
      </c>
      <c r="P345" t="s">
        <v>288</v>
      </c>
      <c r="Q345">
        <v>0</v>
      </c>
      <c r="R345" t="s">
        <v>237</v>
      </c>
    </row>
    <row r="346" spans="1:18" x14ac:dyDescent="0.25">
      <c r="A346" t="s">
        <v>3301</v>
      </c>
      <c r="B346">
        <v>2210</v>
      </c>
      <c r="C346" t="s">
        <v>487</v>
      </c>
      <c r="D346" t="s">
        <v>247</v>
      </c>
      <c r="E346" t="s">
        <v>229</v>
      </c>
      <c r="F346" t="s">
        <v>3063</v>
      </c>
      <c r="G346" s="25">
        <v>44297</v>
      </c>
      <c r="H346">
        <v>21</v>
      </c>
      <c r="I346">
        <v>101</v>
      </c>
      <c r="J346" t="s">
        <v>231</v>
      </c>
      <c r="K346" t="s">
        <v>502</v>
      </c>
      <c r="L346" t="s">
        <v>287</v>
      </c>
      <c r="M346" t="s">
        <v>234</v>
      </c>
      <c r="N346" t="s">
        <v>58</v>
      </c>
      <c r="O346" t="s">
        <v>235</v>
      </c>
      <c r="P346" t="s">
        <v>288</v>
      </c>
      <c r="Q346">
        <v>0</v>
      </c>
      <c r="R346" t="s">
        <v>237</v>
      </c>
    </row>
    <row r="347" spans="1:18" x14ac:dyDescent="0.25">
      <c r="A347" t="s">
        <v>1869</v>
      </c>
      <c r="B347">
        <v>803</v>
      </c>
      <c r="C347" t="s">
        <v>487</v>
      </c>
      <c r="D347" t="s">
        <v>231</v>
      </c>
      <c r="E347" t="s">
        <v>534</v>
      </c>
      <c r="F347" t="s">
        <v>1731</v>
      </c>
      <c r="G347" s="25">
        <v>44233</v>
      </c>
      <c r="H347">
        <v>8</v>
      </c>
      <c r="I347">
        <v>37</v>
      </c>
      <c r="J347" t="s">
        <v>231</v>
      </c>
      <c r="K347" t="s">
        <v>501</v>
      </c>
      <c r="L347" t="s">
        <v>412</v>
      </c>
      <c r="M347" t="s">
        <v>234</v>
      </c>
      <c r="N347" t="s">
        <v>60</v>
      </c>
      <c r="O347" t="s">
        <v>235</v>
      </c>
      <c r="P347" t="s">
        <v>413</v>
      </c>
      <c r="Q347">
        <v>0</v>
      </c>
      <c r="R347" t="s">
        <v>237</v>
      </c>
    </row>
    <row r="348" spans="1:18" x14ac:dyDescent="0.25">
      <c r="A348" t="s">
        <v>1614</v>
      </c>
      <c r="B348">
        <v>495</v>
      </c>
      <c r="C348" t="s">
        <v>487</v>
      </c>
      <c r="D348" t="s">
        <v>231</v>
      </c>
      <c r="E348" t="s">
        <v>256</v>
      </c>
      <c r="F348" t="s">
        <v>1064</v>
      </c>
      <c r="G348" s="25">
        <v>44219</v>
      </c>
      <c r="H348">
        <v>5</v>
      </c>
      <c r="I348">
        <v>23</v>
      </c>
      <c r="J348" t="s">
        <v>231</v>
      </c>
      <c r="K348" t="s">
        <v>501</v>
      </c>
      <c r="L348" t="s">
        <v>412</v>
      </c>
      <c r="M348" t="s">
        <v>234</v>
      </c>
      <c r="N348" t="s">
        <v>60</v>
      </c>
      <c r="O348" t="s">
        <v>235</v>
      </c>
      <c r="P348" t="s">
        <v>413</v>
      </c>
      <c r="Q348">
        <v>0</v>
      </c>
      <c r="R348" t="s">
        <v>237</v>
      </c>
    </row>
    <row r="349" spans="1:18" x14ac:dyDescent="0.25">
      <c r="A349" t="s">
        <v>569</v>
      </c>
      <c r="B349">
        <v>187</v>
      </c>
      <c r="C349" t="s">
        <v>487</v>
      </c>
      <c r="D349" t="s">
        <v>229</v>
      </c>
      <c r="E349" t="s">
        <v>371</v>
      </c>
      <c r="F349" t="s">
        <v>557</v>
      </c>
      <c r="G349" s="25">
        <v>44205</v>
      </c>
      <c r="H349">
        <v>2</v>
      </c>
      <c r="I349">
        <v>9</v>
      </c>
      <c r="J349" t="s">
        <v>231</v>
      </c>
      <c r="K349" t="s">
        <v>501</v>
      </c>
      <c r="L349" t="s">
        <v>412</v>
      </c>
      <c r="M349" t="s">
        <v>234</v>
      </c>
      <c r="N349" t="s">
        <v>60</v>
      </c>
      <c r="O349" t="s">
        <v>235</v>
      </c>
      <c r="P349" t="s">
        <v>413</v>
      </c>
      <c r="Q349">
        <v>0</v>
      </c>
      <c r="R349" t="s">
        <v>237</v>
      </c>
    </row>
    <row r="350" spans="1:18" x14ac:dyDescent="0.25">
      <c r="A350" t="s">
        <v>3302</v>
      </c>
      <c r="B350">
        <v>2365</v>
      </c>
      <c r="C350" t="s">
        <v>487</v>
      </c>
      <c r="D350" t="s">
        <v>247</v>
      </c>
      <c r="E350" t="s">
        <v>381</v>
      </c>
      <c r="F350" t="s">
        <v>3107</v>
      </c>
      <c r="G350" s="25">
        <v>44304</v>
      </c>
      <c r="H350">
        <v>22</v>
      </c>
      <c r="I350">
        <v>108</v>
      </c>
      <c r="J350" t="s">
        <v>231</v>
      </c>
      <c r="K350" t="s">
        <v>501</v>
      </c>
      <c r="L350" t="s">
        <v>412</v>
      </c>
      <c r="M350" t="s">
        <v>234</v>
      </c>
      <c r="N350" t="s">
        <v>60</v>
      </c>
      <c r="O350" t="s">
        <v>235</v>
      </c>
      <c r="P350" t="s">
        <v>413</v>
      </c>
      <c r="Q350">
        <v>0</v>
      </c>
      <c r="R350" t="s">
        <v>237</v>
      </c>
    </row>
    <row r="351" spans="1:18" x14ac:dyDescent="0.25">
      <c r="A351" t="s">
        <v>3303</v>
      </c>
      <c r="B351">
        <v>2013</v>
      </c>
      <c r="C351" t="s">
        <v>487</v>
      </c>
      <c r="D351" t="s">
        <v>322</v>
      </c>
      <c r="E351" t="s">
        <v>232</v>
      </c>
      <c r="F351" t="s">
        <v>2987</v>
      </c>
      <c r="G351" s="25">
        <v>44288</v>
      </c>
      <c r="H351">
        <v>19</v>
      </c>
      <c r="I351">
        <v>92</v>
      </c>
      <c r="J351" t="s">
        <v>231</v>
      </c>
      <c r="K351" t="s">
        <v>501</v>
      </c>
      <c r="L351" t="s">
        <v>412</v>
      </c>
      <c r="M351" t="s">
        <v>234</v>
      </c>
      <c r="N351" t="s">
        <v>60</v>
      </c>
      <c r="O351" t="s">
        <v>235</v>
      </c>
      <c r="P351" t="s">
        <v>413</v>
      </c>
      <c r="Q351">
        <v>0</v>
      </c>
      <c r="R351" t="s">
        <v>237</v>
      </c>
    </row>
    <row r="352" spans="1:18" x14ac:dyDescent="0.25">
      <c r="A352" t="s">
        <v>1932</v>
      </c>
      <c r="B352">
        <v>1397</v>
      </c>
      <c r="C352" t="s">
        <v>487</v>
      </c>
      <c r="D352" t="s">
        <v>261</v>
      </c>
      <c r="E352" t="s">
        <v>261</v>
      </c>
      <c r="F352" t="s">
        <v>1410</v>
      </c>
      <c r="G352" s="25">
        <v>44260</v>
      </c>
      <c r="H352">
        <v>13</v>
      </c>
      <c r="I352">
        <v>64</v>
      </c>
      <c r="J352" t="s">
        <v>231</v>
      </c>
      <c r="K352" t="s">
        <v>501</v>
      </c>
      <c r="L352" t="s">
        <v>412</v>
      </c>
      <c r="M352" t="s">
        <v>234</v>
      </c>
      <c r="N352" t="s">
        <v>60</v>
      </c>
      <c r="O352" t="s">
        <v>235</v>
      </c>
      <c r="P352" t="s">
        <v>413</v>
      </c>
      <c r="Q352">
        <v>0</v>
      </c>
      <c r="R352" t="s">
        <v>237</v>
      </c>
    </row>
    <row r="353" spans="1:18" x14ac:dyDescent="0.25">
      <c r="A353" t="s">
        <v>2237</v>
      </c>
      <c r="B353">
        <v>1111</v>
      </c>
      <c r="C353" t="s">
        <v>487</v>
      </c>
      <c r="D353" t="s">
        <v>256</v>
      </c>
      <c r="E353" t="s">
        <v>515</v>
      </c>
      <c r="F353" t="s">
        <v>1329</v>
      </c>
      <c r="G353" s="25">
        <v>44247</v>
      </c>
      <c r="H353">
        <v>11</v>
      </c>
      <c r="I353">
        <v>51</v>
      </c>
      <c r="J353" t="s">
        <v>231</v>
      </c>
      <c r="K353" t="s">
        <v>501</v>
      </c>
      <c r="L353" t="s">
        <v>412</v>
      </c>
      <c r="M353" t="s">
        <v>234</v>
      </c>
      <c r="N353" t="s">
        <v>60</v>
      </c>
      <c r="O353" t="s">
        <v>235</v>
      </c>
      <c r="P353" t="s">
        <v>413</v>
      </c>
      <c r="Q353">
        <v>0</v>
      </c>
      <c r="R353" t="s">
        <v>237</v>
      </c>
    </row>
    <row r="354" spans="1:18" x14ac:dyDescent="0.25">
      <c r="A354" t="s">
        <v>3304</v>
      </c>
      <c r="B354">
        <v>2207</v>
      </c>
      <c r="C354" t="s">
        <v>487</v>
      </c>
      <c r="D354" t="s">
        <v>247</v>
      </c>
      <c r="E354" t="s">
        <v>229</v>
      </c>
      <c r="F354" t="s">
        <v>3063</v>
      </c>
      <c r="G354" s="25">
        <v>44297</v>
      </c>
      <c r="H354">
        <v>21</v>
      </c>
      <c r="I354">
        <v>101</v>
      </c>
      <c r="J354" t="s">
        <v>231</v>
      </c>
      <c r="K354" t="s">
        <v>500</v>
      </c>
      <c r="L354" t="s">
        <v>265</v>
      </c>
      <c r="M354" t="s">
        <v>234</v>
      </c>
      <c r="N354" t="s">
        <v>52</v>
      </c>
      <c r="O354" t="s">
        <v>235</v>
      </c>
      <c r="P354" t="s">
        <v>266</v>
      </c>
      <c r="Q354">
        <v>3229</v>
      </c>
      <c r="R354" t="s">
        <v>237</v>
      </c>
    </row>
    <row r="355" spans="1:18" x14ac:dyDescent="0.25">
      <c r="A355" t="s">
        <v>3305</v>
      </c>
      <c r="B355">
        <v>1965</v>
      </c>
      <c r="C355" t="s">
        <v>487</v>
      </c>
      <c r="D355" t="s">
        <v>322</v>
      </c>
      <c r="E355" t="s">
        <v>239</v>
      </c>
      <c r="F355" t="s">
        <v>2979</v>
      </c>
      <c r="G355" s="25">
        <v>44286</v>
      </c>
      <c r="H355">
        <v>18</v>
      </c>
      <c r="I355">
        <v>90</v>
      </c>
      <c r="J355" t="s">
        <v>231</v>
      </c>
      <c r="K355" t="s">
        <v>500</v>
      </c>
      <c r="L355" t="s">
        <v>265</v>
      </c>
      <c r="M355" t="s">
        <v>234</v>
      </c>
      <c r="N355" t="s">
        <v>52</v>
      </c>
      <c r="O355" t="s">
        <v>235</v>
      </c>
      <c r="P355" t="s">
        <v>266</v>
      </c>
      <c r="Q355">
        <v>0</v>
      </c>
      <c r="R355" t="s">
        <v>237</v>
      </c>
    </row>
    <row r="356" spans="1:18" x14ac:dyDescent="0.25">
      <c r="A356" t="s">
        <v>1777</v>
      </c>
      <c r="B356">
        <v>1305</v>
      </c>
      <c r="C356" t="s">
        <v>487</v>
      </c>
      <c r="D356" t="s">
        <v>256</v>
      </c>
      <c r="E356" t="s">
        <v>408</v>
      </c>
      <c r="F356" t="s">
        <v>1383</v>
      </c>
      <c r="G356" s="25">
        <v>44256</v>
      </c>
      <c r="H356">
        <v>12</v>
      </c>
      <c r="I356">
        <v>60</v>
      </c>
      <c r="J356" t="s">
        <v>231</v>
      </c>
      <c r="K356" t="s">
        <v>500</v>
      </c>
      <c r="L356" t="s">
        <v>265</v>
      </c>
      <c r="M356" t="s">
        <v>234</v>
      </c>
      <c r="N356" t="s">
        <v>52</v>
      </c>
      <c r="O356" t="s">
        <v>235</v>
      </c>
      <c r="P356" t="s">
        <v>266</v>
      </c>
      <c r="Q356">
        <v>0</v>
      </c>
      <c r="R356" t="s">
        <v>237</v>
      </c>
    </row>
    <row r="357" spans="1:18" x14ac:dyDescent="0.25">
      <c r="A357" t="s">
        <v>2616</v>
      </c>
      <c r="B357">
        <v>997</v>
      </c>
      <c r="C357" t="s">
        <v>487</v>
      </c>
      <c r="D357" t="s">
        <v>256</v>
      </c>
      <c r="E357" t="s">
        <v>247</v>
      </c>
      <c r="F357" t="s">
        <v>1299</v>
      </c>
      <c r="G357" s="25">
        <v>44242</v>
      </c>
      <c r="H357">
        <v>10</v>
      </c>
      <c r="I357">
        <v>46</v>
      </c>
      <c r="J357" t="s">
        <v>231</v>
      </c>
      <c r="K357" t="s">
        <v>500</v>
      </c>
      <c r="L357" t="s">
        <v>265</v>
      </c>
      <c r="M357" t="s">
        <v>234</v>
      </c>
      <c r="N357" t="s">
        <v>52</v>
      </c>
      <c r="O357" t="s">
        <v>235</v>
      </c>
      <c r="P357" t="s">
        <v>266</v>
      </c>
      <c r="Q357">
        <v>5381</v>
      </c>
      <c r="R357" t="s">
        <v>237</v>
      </c>
    </row>
    <row r="358" spans="1:18" x14ac:dyDescent="0.25">
      <c r="A358" t="s">
        <v>3306</v>
      </c>
      <c r="B358">
        <v>2322</v>
      </c>
      <c r="C358" t="s">
        <v>487</v>
      </c>
      <c r="D358" t="s">
        <v>247</v>
      </c>
      <c r="E358" t="s">
        <v>247</v>
      </c>
      <c r="F358" t="s">
        <v>3085</v>
      </c>
      <c r="G358" s="25">
        <v>44302</v>
      </c>
      <c r="H358">
        <v>22</v>
      </c>
      <c r="I358">
        <v>106</v>
      </c>
      <c r="J358" t="s">
        <v>231</v>
      </c>
      <c r="K358" t="s">
        <v>499</v>
      </c>
      <c r="L358" t="s">
        <v>410</v>
      </c>
      <c r="M358" t="s">
        <v>234</v>
      </c>
      <c r="N358" t="s">
        <v>62</v>
      </c>
      <c r="O358" t="s">
        <v>235</v>
      </c>
      <c r="P358" t="s">
        <v>411</v>
      </c>
      <c r="Q358">
        <v>0</v>
      </c>
      <c r="R358" t="s">
        <v>237</v>
      </c>
    </row>
    <row r="359" spans="1:18" x14ac:dyDescent="0.25">
      <c r="A359" t="s">
        <v>2838</v>
      </c>
      <c r="B359">
        <v>1354</v>
      </c>
      <c r="C359" t="s">
        <v>487</v>
      </c>
      <c r="D359" t="s">
        <v>261</v>
      </c>
      <c r="E359" t="s">
        <v>231</v>
      </c>
      <c r="F359" t="s">
        <v>1400</v>
      </c>
      <c r="G359" s="25">
        <v>44258</v>
      </c>
      <c r="H359">
        <v>13</v>
      </c>
      <c r="I359">
        <v>62</v>
      </c>
      <c r="J359" t="s">
        <v>231</v>
      </c>
      <c r="K359" t="s">
        <v>499</v>
      </c>
      <c r="L359" t="s">
        <v>410</v>
      </c>
      <c r="M359" t="s">
        <v>234</v>
      </c>
      <c r="N359" t="s">
        <v>62</v>
      </c>
      <c r="O359" t="s">
        <v>235</v>
      </c>
      <c r="P359" t="s">
        <v>411</v>
      </c>
      <c r="Q359">
        <v>0</v>
      </c>
      <c r="R359" t="s">
        <v>237</v>
      </c>
    </row>
    <row r="360" spans="1:18" x14ac:dyDescent="0.25">
      <c r="A360" t="s">
        <v>564</v>
      </c>
      <c r="B360">
        <v>452</v>
      </c>
      <c r="C360" t="s">
        <v>487</v>
      </c>
      <c r="D360" t="s">
        <v>231</v>
      </c>
      <c r="E360" t="s">
        <v>229</v>
      </c>
      <c r="F360" t="s">
        <v>541</v>
      </c>
      <c r="G360" s="25">
        <v>44217</v>
      </c>
      <c r="H360">
        <v>5</v>
      </c>
      <c r="I360">
        <v>21</v>
      </c>
      <c r="J360" t="s">
        <v>231</v>
      </c>
      <c r="K360" t="s">
        <v>499</v>
      </c>
      <c r="L360" t="s">
        <v>410</v>
      </c>
      <c r="M360" t="s">
        <v>234</v>
      </c>
      <c r="N360" t="s">
        <v>62</v>
      </c>
      <c r="O360" t="s">
        <v>235</v>
      </c>
      <c r="P360" t="s">
        <v>411</v>
      </c>
      <c r="Q360">
        <v>0</v>
      </c>
      <c r="R360" t="s">
        <v>237</v>
      </c>
    </row>
    <row r="361" spans="1:18" x14ac:dyDescent="0.25">
      <c r="A361" t="s">
        <v>566</v>
      </c>
      <c r="B361">
        <v>144</v>
      </c>
      <c r="C361" t="s">
        <v>487</v>
      </c>
      <c r="D361" t="s">
        <v>229</v>
      </c>
      <c r="E361" t="s">
        <v>326</v>
      </c>
      <c r="F361" t="s">
        <v>522</v>
      </c>
      <c r="G361" s="25">
        <v>44203</v>
      </c>
      <c r="H361">
        <v>2</v>
      </c>
      <c r="I361">
        <v>7</v>
      </c>
      <c r="J361" t="s">
        <v>231</v>
      </c>
      <c r="K361" t="s">
        <v>499</v>
      </c>
      <c r="L361" t="s">
        <v>410</v>
      </c>
      <c r="M361" t="s">
        <v>234</v>
      </c>
      <c r="N361" t="s">
        <v>62</v>
      </c>
      <c r="O361" t="s">
        <v>235</v>
      </c>
      <c r="P361" t="s">
        <v>411</v>
      </c>
      <c r="Q361">
        <v>0</v>
      </c>
      <c r="R361" t="s">
        <v>237</v>
      </c>
    </row>
    <row r="362" spans="1:18" x14ac:dyDescent="0.25">
      <c r="A362" t="s">
        <v>3307</v>
      </c>
      <c r="B362">
        <v>2133</v>
      </c>
      <c r="C362" t="s">
        <v>487</v>
      </c>
      <c r="D362" t="s">
        <v>322</v>
      </c>
      <c r="E362" t="s">
        <v>534</v>
      </c>
      <c r="F362" t="s">
        <v>3031</v>
      </c>
      <c r="G362" s="25">
        <v>44293</v>
      </c>
      <c r="H362">
        <v>20</v>
      </c>
      <c r="I362">
        <v>97</v>
      </c>
      <c r="J362" t="s">
        <v>432</v>
      </c>
      <c r="K362" t="s">
        <v>498</v>
      </c>
      <c r="L362" t="s">
        <v>26</v>
      </c>
      <c r="M362" t="s">
        <v>434</v>
      </c>
      <c r="N362" t="s">
        <v>77</v>
      </c>
      <c r="O362" t="s">
        <v>435</v>
      </c>
      <c r="P362" t="s">
        <v>26</v>
      </c>
      <c r="Q362">
        <v>258305</v>
      </c>
      <c r="R362" t="s">
        <v>436</v>
      </c>
    </row>
    <row r="363" spans="1:18" x14ac:dyDescent="0.25">
      <c r="A363" t="s">
        <v>3308</v>
      </c>
      <c r="B363">
        <v>1891</v>
      </c>
      <c r="C363" t="s">
        <v>487</v>
      </c>
      <c r="D363" t="s">
        <v>322</v>
      </c>
      <c r="E363" t="s">
        <v>247</v>
      </c>
      <c r="F363" t="s">
        <v>2963</v>
      </c>
      <c r="G363" s="25">
        <v>44282</v>
      </c>
      <c r="H363">
        <v>18</v>
      </c>
      <c r="I363">
        <v>86</v>
      </c>
      <c r="J363" t="s">
        <v>432</v>
      </c>
      <c r="K363" t="s">
        <v>498</v>
      </c>
      <c r="L363" t="s">
        <v>26</v>
      </c>
      <c r="M363" t="s">
        <v>434</v>
      </c>
      <c r="N363" t="s">
        <v>77</v>
      </c>
      <c r="O363" t="s">
        <v>435</v>
      </c>
      <c r="P363" t="s">
        <v>26</v>
      </c>
      <c r="Q363">
        <v>324892.5</v>
      </c>
      <c r="R363" t="s">
        <v>436</v>
      </c>
    </row>
    <row r="364" spans="1:18" x14ac:dyDescent="0.25">
      <c r="A364" t="s">
        <v>2052</v>
      </c>
      <c r="B364">
        <v>1319</v>
      </c>
      <c r="C364" t="s">
        <v>487</v>
      </c>
      <c r="D364" t="s">
        <v>256</v>
      </c>
      <c r="E364" t="s">
        <v>408</v>
      </c>
      <c r="F364" t="s">
        <v>1383</v>
      </c>
      <c r="G364" s="25">
        <v>44256</v>
      </c>
      <c r="H364">
        <v>12</v>
      </c>
      <c r="I364">
        <v>60</v>
      </c>
      <c r="J364" t="s">
        <v>432</v>
      </c>
      <c r="K364" t="s">
        <v>498</v>
      </c>
      <c r="L364" t="s">
        <v>26</v>
      </c>
      <c r="M364" t="s">
        <v>434</v>
      </c>
      <c r="N364" t="s">
        <v>77</v>
      </c>
      <c r="O364" t="s">
        <v>435</v>
      </c>
      <c r="P364" t="s">
        <v>26</v>
      </c>
      <c r="Q364">
        <v>185718.75</v>
      </c>
      <c r="R364" t="s">
        <v>436</v>
      </c>
    </row>
    <row r="365" spans="1:18" x14ac:dyDescent="0.25">
      <c r="A365" t="s">
        <v>2733</v>
      </c>
      <c r="B365">
        <v>681</v>
      </c>
      <c r="C365" t="s">
        <v>487</v>
      </c>
      <c r="D365" t="s">
        <v>231</v>
      </c>
      <c r="E365" t="s">
        <v>515</v>
      </c>
      <c r="F365" t="s">
        <v>1150</v>
      </c>
      <c r="G365" s="25">
        <v>44227</v>
      </c>
      <c r="H365">
        <v>7</v>
      </c>
      <c r="I365">
        <v>31</v>
      </c>
      <c r="J365" t="s">
        <v>432</v>
      </c>
      <c r="K365" t="s">
        <v>498</v>
      </c>
      <c r="L365" t="s">
        <v>26</v>
      </c>
      <c r="M365" t="s">
        <v>434</v>
      </c>
      <c r="N365" t="s">
        <v>77</v>
      </c>
      <c r="O365" t="s">
        <v>435</v>
      </c>
      <c r="P365" t="s">
        <v>26</v>
      </c>
      <c r="Q365">
        <v>128581.25</v>
      </c>
      <c r="R365" t="s">
        <v>436</v>
      </c>
    </row>
    <row r="366" spans="1:18" x14ac:dyDescent="0.25">
      <c r="A366" t="s">
        <v>815</v>
      </c>
      <c r="B366">
        <v>153</v>
      </c>
      <c r="C366" t="s">
        <v>487</v>
      </c>
      <c r="D366" t="s">
        <v>229</v>
      </c>
      <c r="E366" t="s">
        <v>326</v>
      </c>
      <c r="F366" t="s">
        <v>522</v>
      </c>
      <c r="G366" s="25">
        <v>44203</v>
      </c>
      <c r="H366">
        <v>2</v>
      </c>
      <c r="I366">
        <v>7</v>
      </c>
      <c r="J366" t="s">
        <v>432</v>
      </c>
      <c r="K366" t="s">
        <v>498</v>
      </c>
      <c r="L366" t="s">
        <v>26</v>
      </c>
      <c r="M366" t="s">
        <v>434</v>
      </c>
      <c r="N366" t="s">
        <v>77</v>
      </c>
      <c r="O366" t="s">
        <v>435</v>
      </c>
      <c r="P366" t="s">
        <v>26</v>
      </c>
      <c r="Q366">
        <v>40600</v>
      </c>
      <c r="R366" t="s">
        <v>436</v>
      </c>
    </row>
    <row r="367" spans="1:18" x14ac:dyDescent="0.25">
      <c r="A367" t="s">
        <v>2118</v>
      </c>
      <c r="B367">
        <v>1361</v>
      </c>
      <c r="C367" t="s">
        <v>487</v>
      </c>
      <c r="D367" t="s">
        <v>261</v>
      </c>
      <c r="E367" t="s">
        <v>231</v>
      </c>
      <c r="F367" t="s">
        <v>1400</v>
      </c>
      <c r="G367" s="25">
        <v>44258</v>
      </c>
      <c r="H367">
        <v>13</v>
      </c>
      <c r="I367">
        <v>62</v>
      </c>
      <c r="J367" t="s">
        <v>432</v>
      </c>
      <c r="K367" t="s">
        <v>497</v>
      </c>
      <c r="L367" t="s">
        <v>438</v>
      </c>
      <c r="M367" t="s">
        <v>434</v>
      </c>
      <c r="N367" t="s">
        <v>75</v>
      </c>
      <c r="O367" t="s">
        <v>435</v>
      </c>
      <c r="P367" t="s">
        <v>438</v>
      </c>
      <c r="Q367">
        <v>39300</v>
      </c>
      <c r="R367" t="s">
        <v>436</v>
      </c>
    </row>
    <row r="368" spans="1:18" x14ac:dyDescent="0.25">
      <c r="A368" t="s">
        <v>2795</v>
      </c>
      <c r="B368">
        <v>811</v>
      </c>
      <c r="C368" t="s">
        <v>487</v>
      </c>
      <c r="D368" t="s">
        <v>231</v>
      </c>
      <c r="E368" t="s">
        <v>534</v>
      </c>
      <c r="F368" t="s">
        <v>1731</v>
      </c>
      <c r="G368" s="25">
        <v>44233</v>
      </c>
      <c r="H368">
        <v>8</v>
      </c>
      <c r="I368">
        <v>37</v>
      </c>
      <c r="J368" t="s">
        <v>432</v>
      </c>
      <c r="K368" t="s">
        <v>497</v>
      </c>
      <c r="L368" t="s">
        <v>438</v>
      </c>
      <c r="M368" t="s">
        <v>434</v>
      </c>
      <c r="N368" t="s">
        <v>75</v>
      </c>
      <c r="O368" t="s">
        <v>435</v>
      </c>
      <c r="P368" t="s">
        <v>438</v>
      </c>
      <c r="Q368">
        <v>22068.75</v>
      </c>
      <c r="R368" t="s">
        <v>436</v>
      </c>
    </row>
    <row r="369" spans="1:18" x14ac:dyDescent="0.25">
      <c r="A369" t="s">
        <v>812</v>
      </c>
      <c r="B369">
        <v>459</v>
      </c>
      <c r="C369" t="s">
        <v>487</v>
      </c>
      <c r="D369" t="s">
        <v>231</v>
      </c>
      <c r="E369" t="s">
        <v>229</v>
      </c>
      <c r="F369" t="s">
        <v>541</v>
      </c>
      <c r="G369" s="25">
        <v>44217</v>
      </c>
      <c r="H369">
        <v>5</v>
      </c>
      <c r="I369">
        <v>21</v>
      </c>
      <c r="J369" t="s">
        <v>432</v>
      </c>
      <c r="K369" t="s">
        <v>497</v>
      </c>
      <c r="L369" t="s">
        <v>438</v>
      </c>
      <c r="M369" t="s">
        <v>434</v>
      </c>
      <c r="N369" t="s">
        <v>75</v>
      </c>
      <c r="O369" t="s">
        <v>435</v>
      </c>
      <c r="P369" t="s">
        <v>438</v>
      </c>
      <c r="Q369">
        <v>0</v>
      </c>
      <c r="R369" t="s">
        <v>436</v>
      </c>
    </row>
    <row r="370" spans="1:18" x14ac:dyDescent="0.25">
      <c r="A370" t="s">
        <v>585</v>
      </c>
      <c r="B370">
        <v>151</v>
      </c>
      <c r="C370" t="s">
        <v>487</v>
      </c>
      <c r="D370" t="s">
        <v>229</v>
      </c>
      <c r="E370" t="s">
        <v>326</v>
      </c>
      <c r="F370" t="s">
        <v>522</v>
      </c>
      <c r="G370" s="25">
        <v>44203</v>
      </c>
      <c r="H370">
        <v>2</v>
      </c>
      <c r="I370">
        <v>7</v>
      </c>
      <c r="J370" t="s">
        <v>432</v>
      </c>
      <c r="K370" t="s">
        <v>497</v>
      </c>
      <c r="L370" t="s">
        <v>438</v>
      </c>
      <c r="M370" t="s">
        <v>434</v>
      </c>
      <c r="N370" t="s">
        <v>75</v>
      </c>
      <c r="O370" t="s">
        <v>435</v>
      </c>
      <c r="P370" t="s">
        <v>438</v>
      </c>
      <c r="Q370">
        <v>9600</v>
      </c>
      <c r="R370" t="s">
        <v>436</v>
      </c>
    </row>
    <row r="371" spans="1:18" x14ac:dyDescent="0.25">
      <c r="A371" t="s">
        <v>2679</v>
      </c>
      <c r="B371">
        <v>1049</v>
      </c>
      <c r="C371" t="s">
        <v>487</v>
      </c>
      <c r="D371" t="s">
        <v>256</v>
      </c>
      <c r="E371" t="s">
        <v>381</v>
      </c>
      <c r="F371" t="s">
        <v>1311</v>
      </c>
      <c r="G371" s="25">
        <v>44244</v>
      </c>
      <c r="H371">
        <v>10</v>
      </c>
      <c r="I371">
        <v>48</v>
      </c>
      <c r="J371" t="s">
        <v>432</v>
      </c>
      <c r="K371" t="s">
        <v>496</v>
      </c>
      <c r="L371" t="s">
        <v>69</v>
      </c>
      <c r="M371" t="s">
        <v>434</v>
      </c>
      <c r="N371" t="s">
        <v>68</v>
      </c>
      <c r="O371" t="s">
        <v>21</v>
      </c>
      <c r="P371" t="s">
        <v>439</v>
      </c>
      <c r="Q371">
        <v>512000</v>
      </c>
      <c r="R371" t="s">
        <v>237</v>
      </c>
    </row>
    <row r="372" spans="1:18" x14ac:dyDescent="0.25">
      <c r="A372" t="s">
        <v>345</v>
      </c>
      <c r="B372">
        <v>81</v>
      </c>
      <c r="C372" t="s">
        <v>487</v>
      </c>
      <c r="D372" t="s">
        <v>229</v>
      </c>
      <c r="E372" t="s">
        <v>261</v>
      </c>
      <c r="F372" t="s">
        <v>549</v>
      </c>
      <c r="G372" s="25">
        <v>44200</v>
      </c>
      <c r="H372">
        <v>1</v>
      </c>
      <c r="I372">
        <v>4</v>
      </c>
      <c r="J372" t="s">
        <v>432</v>
      </c>
      <c r="K372" t="s">
        <v>496</v>
      </c>
      <c r="L372" t="s">
        <v>69</v>
      </c>
      <c r="M372" t="s">
        <v>434</v>
      </c>
      <c r="N372" t="s">
        <v>68</v>
      </c>
      <c r="O372" t="s">
        <v>21</v>
      </c>
      <c r="P372" t="s">
        <v>439</v>
      </c>
      <c r="Q372">
        <v>96000</v>
      </c>
      <c r="R372" t="s">
        <v>237</v>
      </c>
    </row>
    <row r="373" spans="1:18" x14ac:dyDescent="0.25">
      <c r="A373" t="s">
        <v>3309</v>
      </c>
      <c r="B373">
        <v>2633</v>
      </c>
      <c r="C373" t="s">
        <v>487</v>
      </c>
      <c r="D373" t="s">
        <v>247</v>
      </c>
      <c r="E373" t="s">
        <v>408</v>
      </c>
      <c r="F373" t="s">
        <v>3178</v>
      </c>
      <c r="G373" s="25">
        <v>44316</v>
      </c>
      <c r="H373">
        <v>24</v>
      </c>
      <c r="I373">
        <v>120</v>
      </c>
      <c r="J373" t="s">
        <v>432</v>
      </c>
      <c r="K373" t="s">
        <v>496</v>
      </c>
      <c r="L373" t="s">
        <v>69</v>
      </c>
      <c r="M373" t="s">
        <v>434</v>
      </c>
      <c r="N373" t="s">
        <v>68</v>
      </c>
      <c r="O373" t="s">
        <v>21</v>
      </c>
      <c r="P373" t="s">
        <v>439</v>
      </c>
      <c r="Q373">
        <v>370375</v>
      </c>
      <c r="R373" t="s">
        <v>237</v>
      </c>
    </row>
    <row r="374" spans="1:18" x14ac:dyDescent="0.25">
      <c r="A374" t="s">
        <v>3310</v>
      </c>
      <c r="B374">
        <v>2259</v>
      </c>
      <c r="C374" t="s">
        <v>487</v>
      </c>
      <c r="D374" t="s">
        <v>247</v>
      </c>
      <c r="E374" t="s">
        <v>256</v>
      </c>
      <c r="F374" t="s">
        <v>3073</v>
      </c>
      <c r="G374" s="25">
        <v>44299</v>
      </c>
      <c r="H374">
        <v>21</v>
      </c>
      <c r="I374">
        <v>103</v>
      </c>
      <c r="J374" t="s">
        <v>432</v>
      </c>
      <c r="K374" t="s">
        <v>496</v>
      </c>
      <c r="L374" t="s">
        <v>69</v>
      </c>
      <c r="M374" t="s">
        <v>434</v>
      </c>
      <c r="N374" t="s">
        <v>68</v>
      </c>
      <c r="O374" t="s">
        <v>21</v>
      </c>
      <c r="P374" t="s">
        <v>439</v>
      </c>
      <c r="Q374">
        <v>561000</v>
      </c>
      <c r="R374" t="s">
        <v>237</v>
      </c>
    </row>
    <row r="375" spans="1:18" x14ac:dyDescent="0.25">
      <c r="A375" t="s">
        <v>3311</v>
      </c>
      <c r="B375">
        <v>1885</v>
      </c>
      <c r="C375" t="s">
        <v>487</v>
      </c>
      <c r="D375" t="s">
        <v>322</v>
      </c>
      <c r="E375" t="s">
        <v>247</v>
      </c>
      <c r="F375" t="s">
        <v>2963</v>
      </c>
      <c r="G375" s="25">
        <v>44282</v>
      </c>
      <c r="H375">
        <v>18</v>
      </c>
      <c r="I375">
        <v>86</v>
      </c>
      <c r="J375" t="s">
        <v>432</v>
      </c>
      <c r="K375" t="s">
        <v>496</v>
      </c>
      <c r="L375" t="s">
        <v>69</v>
      </c>
      <c r="M375" t="s">
        <v>434</v>
      </c>
      <c r="N375" t="s">
        <v>68</v>
      </c>
      <c r="O375" t="s">
        <v>21</v>
      </c>
      <c r="P375" t="s">
        <v>439</v>
      </c>
      <c r="Q375">
        <v>681000</v>
      </c>
      <c r="R375" t="s">
        <v>237</v>
      </c>
    </row>
    <row r="376" spans="1:18" x14ac:dyDescent="0.25">
      <c r="A376" t="s">
        <v>3312</v>
      </c>
      <c r="B376">
        <v>2656</v>
      </c>
      <c r="C376" t="s">
        <v>487</v>
      </c>
      <c r="D376" t="s">
        <v>326</v>
      </c>
      <c r="E376" t="s">
        <v>229</v>
      </c>
      <c r="F376" t="s">
        <v>3241</v>
      </c>
      <c r="G376" s="25">
        <v>44317</v>
      </c>
      <c r="H376">
        <v>25</v>
      </c>
      <c r="I376">
        <v>121</v>
      </c>
      <c r="J376" t="s">
        <v>432</v>
      </c>
      <c r="K376" t="s">
        <v>495</v>
      </c>
      <c r="L376" t="s">
        <v>135</v>
      </c>
      <c r="M376" t="s">
        <v>434</v>
      </c>
      <c r="N376" t="s">
        <v>70</v>
      </c>
      <c r="O376" t="s">
        <v>21</v>
      </c>
      <c r="P376" t="s">
        <v>440</v>
      </c>
      <c r="Q376">
        <v>352000</v>
      </c>
      <c r="R376" t="s">
        <v>237</v>
      </c>
    </row>
    <row r="377" spans="1:18" x14ac:dyDescent="0.25">
      <c r="A377" t="s">
        <v>3313</v>
      </c>
      <c r="B377">
        <v>2502</v>
      </c>
      <c r="C377" t="s">
        <v>487</v>
      </c>
      <c r="D377" t="s">
        <v>247</v>
      </c>
      <c r="E377" t="s">
        <v>537</v>
      </c>
      <c r="F377" t="s">
        <v>3153</v>
      </c>
      <c r="G377" s="25">
        <v>44310</v>
      </c>
      <c r="H377">
        <v>23</v>
      </c>
      <c r="I377">
        <v>114</v>
      </c>
      <c r="J377" t="s">
        <v>432</v>
      </c>
      <c r="K377" t="s">
        <v>495</v>
      </c>
      <c r="L377" t="s">
        <v>135</v>
      </c>
      <c r="M377" t="s">
        <v>434</v>
      </c>
      <c r="N377" t="s">
        <v>70</v>
      </c>
      <c r="O377" t="s">
        <v>21</v>
      </c>
      <c r="P377" t="s">
        <v>440</v>
      </c>
      <c r="Q377">
        <v>384000</v>
      </c>
      <c r="R377" t="s">
        <v>237</v>
      </c>
    </row>
    <row r="378" spans="1:18" x14ac:dyDescent="0.25">
      <c r="A378" t="s">
        <v>3314</v>
      </c>
      <c r="B378">
        <v>2040</v>
      </c>
      <c r="C378" t="s">
        <v>487</v>
      </c>
      <c r="D378" t="s">
        <v>322</v>
      </c>
      <c r="E378" t="s">
        <v>512</v>
      </c>
      <c r="F378" t="s">
        <v>2991</v>
      </c>
      <c r="G378" s="25">
        <v>44289</v>
      </c>
      <c r="H378">
        <v>19</v>
      </c>
      <c r="I378">
        <v>93</v>
      </c>
      <c r="J378" t="s">
        <v>432</v>
      </c>
      <c r="K378" t="s">
        <v>495</v>
      </c>
      <c r="L378" t="s">
        <v>135</v>
      </c>
      <c r="M378" t="s">
        <v>434</v>
      </c>
      <c r="N378" t="s">
        <v>70</v>
      </c>
      <c r="O378" t="s">
        <v>21</v>
      </c>
      <c r="P378" t="s">
        <v>440</v>
      </c>
      <c r="Q378">
        <v>664375</v>
      </c>
      <c r="R378" t="s">
        <v>237</v>
      </c>
    </row>
    <row r="379" spans="1:18" x14ac:dyDescent="0.25">
      <c r="A379" t="s">
        <v>1686</v>
      </c>
      <c r="B379">
        <v>1292</v>
      </c>
      <c r="C379" t="s">
        <v>487</v>
      </c>
      <c r="D379" t="s">
        <v>256</v>
      </c>
      <c r="E379" t="s">
        <v>531</v>
      </c>
      <c r="F379" t="s">
        <v>1373</v>
      </c>
      <c r="G379" s="25">
        <v>44255</v>
      </c>
      <c r="H379">
        <v>12</v>
      </c>
      <c r="I379">
        <v>59</v>
      </c>
      <c r="J379" t="s">
        <v>432</v>
      </c>
      <c r="K379" t="s">
        <v>495</v>
      </c>
      <c r="L379" t="s">
        <v>135</v>
      </c>
      <c r="M379" t="s">
        <v>434</v>
      </c>
      <c r="N379" t="s">
        <v>70</v>
      </c>
      <c r="O379" t="s">
        <v>21</v>
      </c>
      <c r="P379" t="s">
        <v>440</v>
      </c>
      <c r="Q379">
        <v>390000</v>
      </c>
      <c r="R379" t="s">
        <v>237</v>
      </c>
    </row>
    <row r="380" spans="1:18" x14ac:dyDescent="0.25">
      <c r="A380" t="s">
        <v>353</v>
      </c>
      <c r="B380">
        <v>86</v>
      </c>
      <c r="C380" t="s">
        <v>487</v>
      </c>
      <c r="D380" t="s">
        <v>229</v>
      </c>
      <c r="E380" t="s">
        <v>261</v>
      </c>
      <c r="F380" t="s">
        <v>549</v>
      </c>
      <c r="G380" s="25">
        <v>44200</v>
      </c>
      <c r="H380">
        <v>1</v>
      </c>
      <c r="I380">
        <v>4</v>
      </c>
      <c r="J380" t="s">
        <v>432</v>
      </c>
      <c r="K380" t="s">
        <v>494</v>
      </c>
      <c r="L380" t="s">
        <v>25</v>
      </c>
      <c r="M380" t="s">
        <v>434</v>
      </c>
      <c r="N380" t="s">
        <v>76</v>
      </c>
      <c r="O380" t="s">
        <v>435</v>
      </c>
      <c r="P380" t="s">
        <v>25</v>
      </c>
      <c r="Q380">
        <v>10800</v>
      </c>
      <c r="R380" t="s">
        <v>436</v>
      </c>
    </row>
    <row r="381" spans="1:18" x14ac:dyDescent="0.25">
      <c r="A381" t="s">
        <v>3315</v>
      </c>
      <c r="B381">
        <v>2264</v>
      </c>
      <c r="C381" t="s">
        <v>487</v>
      </c>
      <c r="D381" t="s">
        <v>247</v>
      </c>
      <c r="E381" t="s">
        <v>256</v>
      </c>
      <c r="F381" t="s">
        <v>3073</v>
      </c>
      <c r="G381" s="25">
        <v>44299</v>
      </c>
      <c r="H381">
        <v>21</v>
      </c>
      <c r="I381">
        <v>103</v>
      </c>
      <c r="J381" t="s">
        <v>432</v>
      </c>
      <c r="K381" t="s">
        <v>494</v>
      </c>
      <c r="L381" t="s">
        <v>25</v>
      </c>
      <c r="M381" t="s">
        <v>434</v>
      </c>
      <c r="N381" t="s">
        <v>76</v>
      </c>
      <c r="O381" t="s">
        <v>435</v>
      </c>
      <c r="P381" t="s">
        <v>25</v>
      </c>
      <c r="Q381">
        <v>41400</v>
      </c>
      <c r="R381" t="s">
        <v>436</v>
      </c>
    </row>
    <row r="382" spans="1:18" x14ac:dyDescent="0.25">
      <c r="A382" t="s">
        <v>2259</v>
      </c>
      <c r="B382">
        <v>702</v>
      </c>
      <c r="C382" t="s">
        <v>487</v>
      </c>
      <c r="D382" t="s">
        <v>231</v>
      </c>
      <c r="E382" t="s">
        <v>232</v>
      </c>
      <c r="F382" t="s">
        <v>1162</v>
      </c>
      <c r="G382" s="25">
        <v>44228</v>
      </c>
      <c r="H382">
        <v>7</v>
      </c>
      <c r="I382">
        <v>32</v>
      </c>
      <c r="J382" t="s">
        <v>432</v>
      </c>
      <c r="K382" t="s">
        <v>494</v>
      </c>
      <c r="L382" t="s">
        <v>25</v>
      </c>
      <c r="M382" t="s">
        <v>434</v>
      </c>
      <c r="N382" t="s">
        <v>76</v>
      </c>
      <c r="O382" t="s">
        <v>435</v>
      </c>
      <c r="P382" t="s">
        <v>25</v>
      </c>
      <c r="Q382">
        <v>28800</v>
      </c>
      <c r="R382" t="s">
        <v>436</v>
      </c>
    </row>
    <row r="383" spans="1:18" x14ac:dyDescent="0.25">
      <c r="A383" t="s">
        <v>3316</v>
      </c>
      <c r="B383">
        <v>2178</v>
      </c>
      <c r="C383" t="s">
        <v>487</v>
      </c>
      <c r="D383" t="s">
        <v>322</v>
      </c>
      <c r="E383" t="s">
        <v>531</v>
      </c>
      <c r="F383" t="s">
        <v>3056</v>
      </c>
      <c r="G383" s="25">
        <v>44295</v>
      </c>
      <c r="H383">
        <v>20</v>
      </c>
      <c r="I383">
        <v>99</v>
      </c>
      <c r="J383" t="s">
        <v>432</v>
      </c>
      <c r="K383" t="s">
        <v>493</v>
      </c>
      <c r="L383" t="s">
        <v>441</v>
      </c>
      <c r="M383" t="s">
        <v>434</v>
      </c>
      <c r="N383" t="s">
        <v>78</v>
      </c>
      <c r="O383" t="s">
        <v>435</v>
      </c>
      <c r="P383" t="s">
        <v>441</v>
      </c>
      <c r="Q383">
        <v>246186.25</v>
      </c>
      <c r="R383" t="s">
        <v>436</v>
      </c>
    </row>
    <row r="384" spans="1:18" x14ac:dyDescent="0.25">
      <c r="A384" t="s">
        <v>1701</v>
      </c>
      <c r="B384">
        <v>1496</v>
      </c>
      <c r="C384" t="s">
        <v>487</v>
      </c>
      <c r="D384" t="s">
        <v>261</v>
      </c>
      <c r="E384" t="s">
        <v>381</v>
      </c>
      <c r="F384" t="s">
        <v>1458</v>
      </c>
      <c r="G384" s="25">
        <v>44264</v>
      </c>
      <c r="H384">
        <v>14</v>
      </c>
      <c r="I384">
        <v>68</v>
      </c>
      <c r="J384" t="s">
        <v>432</v>
      </c>
      <c r="K384" t="s">
        <v>493</v>
      </c>
      <c r="L384" t="s">
        <v>441</v>
      </c>
      <c r="M384" t="s">
        <v>434</v>
      </c>
      <c r="N384" t="s">
        <v>78</v>
      </c>
      <c r="O384" t="s">
        <v>435</v>
      </c>
      <c r="P384" t="s">
        <v>441</v>
      </c>
      <c r="Q384">
        <v>154153.125</v>
      </c>
      <c r="R384" t="s">
        <v>436</v>
      </c>
    </row>
    <row r="385" spans="1:18" x14ac:dyDescent="0.25">
      <c r="A385" t="s">
        <v>2260</v>
      </c>
      <c r="B385">
        <v>1386</v>
      </c>
      <c r="C385" t="s">
        <v>487</v>
      </c>
      <c r="D385" t="s">
        <v>261</v>
      </c>
      <c r="E385" t="s">
        <v>256</v>
      </c>
      <c r="F385" t="s">
        <v>1402</v>
      </c>
      <c r="G385" s="25">
        <v>44259</v>
      </c>
      <c r="H385">
        <v>13</v>
      </c>
      <c r="I385">
        <v>63</v>
      </c>
      <c r="J385" t="s">
        <v>432</v>
      </c>
      <c r="K385" t="s">
        <v>493</v>
      </c>
      <c r="L385" t="s">
        <v>441</v>
      </c>
      <c r="M385" t="s">
        <v>434</v>
      </c>
      <c r="N385" t="s">
        <v>78</v>
      </c>
      <c r="O385" t="s">
        <v>435</v>
      </c>
      <c r="P385" t="s">
        <v>441</v>
      </c>
      <c r="Q385">
        <v>173796.875</v>
      </c>
      <c r="R385" t="s">
        <v>436</v>
      </c>
    </row>
    <row r="386" spans="1:18" x14ac:dyDescent="0.25">
      <c r="A386" t="s">
        <v>672</v>
      </c>
      <c r="B386">
        <v>457</v>
      </c>
      <c r="C386" t="s">
        <v>487</v>
      </c>
      <c r="D386" t="s">
        <v>231</v>
      </c>
      <c r="E386" t="s">
        <v>229</v>
      </c>
      <c r="F386" t="s">
        <v>541</v>
      </c>
      <c r="G386" s="25">
        <v>44217</v>
      </c>
      <c r="H386">
        <v>5</v>
      </c>
      <c r="I386">
        <v>21</v>
      </c>
      <c r="J386" t="s">
        <v>432</v>
      </c>
      <c r="K386" t="s">
        <v>492</v>
      </c>
      <c r="L386" t="s">
        <v>24</v>
      </c>
      <c r="M386" t="s">
        <v>434</v>
      </c>
      <c r="N386" t="s">
        <v>71</v>
      </c>
      <c r="O386" t="s">
        <v>435</v>
      </c>
      <c r="P386" t="s">
        <v>24</v>
      </c>
      <c r="Q386">
        <v>0</v>
      </c>
      <c r="R386" t="s">
        <v>436</v>
      </c>
    </row>
    <row r="387" spans="1:18" x14ac:dyDescent="0.25">
      <c r="A387" t="s">
        <v>781</v>
      </c>
      <c r="B387">
        <v>149</v>
      </c>
      <c r="C387" t="s">
        <v>487</v>
      </c>
      <c r="D387" t="s">
        <v>229</v>
      </c>
      <c r="E387" t="s">
        <v>326</v>
      </c>
      <c r="F387" t="s">
        <v>522</v>
      </c>
      <c r="G387" s="25">
        <v>44203</v>
      </c>
      <c r="H387">
        <v>2</v>
      </c>
      <c r="I387">
        <v>7</v>
      </c>
      <c r="J387" t="s">
        <v>432</v>
      </c>
      <c r="K387" t="s">
        <v>492</v>
      </c>
      <c r="L387" t="s">
        <v>24</v>
      </c>
      <c r="M387" t="s">
        <v>434</v>
      </c>
      <c r="N387" t="s">
        <v>71</v>
      </c>
      <c r="O387" t="s">
        <v>435</v>
      </c>
      <c r="P387" t="s">
        <v>24</v>
      </c>
      <c r="Q387">
        <v>7200</v>
      </c>
      <c r="R387" t="s">
        <v>436</v>
      </c>
    </row>
    <row r="388" spans="1:18" x14ac:dyDescent="0.25">
      <c r="A388" t="s">
        <v>3317</v>
      </c>
      <c r="B388">
        <v>2327</v>
      </c>
      <c r="C388" t="s">
        <v>487</v>
      </c>
      <c r="D388" t="s">
        <v>247</v>
      </c>
      <c r="E388" t="s">
        <v>247</v>
      </c>
      <c r="F388" t="s">
        <v>3085</v>
      </c>
      <c r="G388" s="25">
        <v>44302</v>
      </c>
      <c r="H388">
        <v>22</v>
      </c>
      <c r="I388">
        <v>106</v>
      </c>
      <c r="J388" t="s">
        <v>432</v>
      </c>
      <c r="K388" t="s">
        <v>492</v>
      </c>
      <c r="L388" t="s">
        <v>24</v>
      </c>
      <c r="M388" t="s">
        <v>434</v>
      </c>
      <c r="N388" t="s">
        <v>71</v>
      </c>
      <c r="O388" t="s">
        <v>435</v>
      </c>
      <c r="P388" t="s">
        <v>24</v>
      </c>
      <c r="Q388">
        <v>54300</v>
      </c>
      <c r="R388" t="s">
        <v>436</v>
      </c>
    </row>
    <row r="389" spans="1:18" x14ac:dyDescent="0.25">
      <c r="A389" t="s">
        <v>2419</v>
      </c>
      <c r="B389">
        <v>1372</v>
      </c>
      <c r="C389" t="s">
        <v>487</v>
      </c>
      <c r="D389" t="s">
        <v>261</v>
      </c>
      <c r="E389" t="s">
        <v>256</v>
      </c>
      <c r="F389" t="s">
        <v>1402</v>
      </c>
      <c r="G389" s="25">
        <v>44259</v>
      </c>
      <c r="H389">
        <v>13</v>
      </c>
      <c r="I389">
        <v>63</v>
      </c>
      <c r="J389" t="s">
        <v>231</v>
      </c>
      <c r="K389" t="s">
        <v>491</v>
      </c>
      <c r="L389" t="s">
        <v>233</v>
      </c>
      <c r="M389" t="s">
        <v>234</v>
      </c>
      <c r="N389" t="s">
        <v>54</v>
      </c>
      <c r="O389" t="s">
        <v>235</v>
      </c>
      <c r="P389" t="s">
        <v>236</v>
      </c>
      <c r="Q389">
        <v>0</v>
      </c>
      <c r="R389" t="s">
        <v>237</v>
      </c>
    </row>
    <row r="390" spans="1:18" x14ac:dyDescent="0.25">
      <c r="A390" t="s">
        <v>2372</v>
      </c>
      <c r="B390">
        <v>778</v>
      </c>
      <c r="C390" t="s">
        <v>487</v>
      </c>
      <c r="D390" t="s">
        <v>231</v>
      </c>
      <c r="E390" t="s">
        <v>620</v>
      </c>
      <c r="F390" t="s">
        <v>1215</v>
      </c>
      <c r="G390" s="25">
        <v>44232</v>
      </c>
      <c r="H390">
        <v>8</v>
      </c>
      <c r="I390">
        <v>36</v>
      </c>
      <c r="J390" t="s">
        <v>231</v>
      </c>
      <c r="K390" t="s">
        <v>491</v>
      </c>
      <c r="L390" t="s">
        <v>233</v>
      </c>
      <c r="M390" t="s">
        <v>234</v>
      </c>
      <c r="N390" t="s">
        <v>54</v>
      </c>
      <c r="O390" t="s">
        <v>235</v>
      </c>
      <c r="P390" t="s">
        <v>236</v>
      </c>
      <c r="Q390">
        <v>0</v>
      </c>
      <c r="R390" t="s">
        <v>237</v>
      </c>
    </row>
    <row r="391" spans="1:18" x14ac:dyDescent="0.25">
      <c r="A391" t="s">
        <v>671</v>
      </c>
      <c r="B391">
        <v>162</v>
      </c>
      <c r="C391" t="s">
        <v>487</v>
      </c>
      <c r="D391" t="s">
        <v>229</v>
      </c>
      <c r="E391" t="s">
        <v>381</v>
      </c>
      <c r="F391" t="s">
        <v>518</v>
      </c>
      <c r="G391" s="25">
        <v>44204</v>
      </c>
      <c r="H391">
        <v>2</v>
      </c>
      <c r="I391">
        <v>8</v>
      </c>
      <c r="J391" t="s">
        <v>231</v>
      </c>
      <c r="K391" t="s">
        <v>491</v>
      </c>
      <c r="L391" t="s">
        <v>233</v>
      </c>
      <c r="M391" t="s">
        <v>234</v>
      </c>
      <c r="N391" t="s">
        <v>54</v>
      </c>
      <c r="O391" t="s">
        <v>235</v>
      </c>
      <c r="P391" t="s">
        <v>236</v>
      </c>
      <c r="Q391">
        <v>0</v>
      </c>
      <c r="R391" t="s">
        <v>237</v>
      </c>
    </row>
    <row r="392" spans="1:18" x14ac:dyDescent="0.25">
      <c r="A392" t="s">
        <v>3318</v>
      </c>
      <c r="B392">
        <v>2450</v>
      </c>
      <c r="C392" t="s">
        <v>487</v>
      </c>
      <c r="D392" t="s">
        <v>247</v>
      </c>
      <c r="E392" t="s">
        <v>232</v>
      </c>
      <c r="F392" t="s">
        <v>3140</v>
      </c>
      <c r="G392" s="25">
        <v>44308</v>
      </c>
      <c r="H392">
        <v>23</v>
      </c>
      <c r="I392">
        <v>112</v>
      </c>
      <c r="J392" t="s">
        <v>231</v>
      </c>
      <c r="K392" t="s">
        <v>491</v>
      </c>
      <c r="L392" t="s">
        <v>233</v>
      </c>
      <c r="M392" t="s">
        <v>234</v>
      </c>
      <c r="N392" t="s">
        <v>54</v>
      </c>
      <c r="O392" t="s">
        <v>235</v>
      </c>
      <c r="P392" t="s">
        <v>236</v>
      </c>
      <c r="Q392">
        <v>9125</v>
      </c>
      <c r="R392" t="s">
        <v>237</v>
      </c>
    </row>
    <row r="393" spans="1:18" x14ac:dyDescent="0.25">
      <c r="A393" t="s">
        <v>3319</v>
      </c>
      <c r="B393">
        <v>2340</v>
      </c>
      <c r="C393" t="s">
        <v>487</v>
      </c>
      <c r="D393" t="s">
        <v>247</v>
      </c>
      <c r="E393" t="s">
        <v>326</v>
      </c>
      <c r="F393" t="s">
        <v>3091</v>
      </c>
      <c r="G393" s="25">
        <v>44303</v>
      </c>
      <c r="H393">
        <v>22</v>
      </c>
      <c r="I393">
        <v>107</v>
      </c>
      <c r="J393" t="s">
        <v>231</v>
      </c>
      <c r="K393" t="s">
        <v>491</v>
      </c>
      <c r="L393" t="s">
        <v>233</v>
      </c>
      <c r="M393" t="s">
        <v>234</v>
      </c>
      <c r="N393" t="s">
        <v>54</v>
      </c>
      <c r="O393" t="s">
        <v>235</v>
      </c>
      <c r="P393" t="s">
        <v>236</v>
      </c>
      <c r="Q393">
        <v>0</v>
      </c>
      <c r="R393" t="s">
        <v>237</v>
      </c>
    </row>
    <row r="394" spans="1:18" x14ac:dyDescent="0.25">
      <c r="A394" t="s">
        <v>341</v>
      </c>
      <c r="B394">
        <v>13</v>
      </c>
      <c r="C394" t="s">
        <v>487</v>
      </c>
      <c r="D394" t="s">
        <v>229</v>
      </c>
      <c r="E394" t="s">
        <v>229</v>
      </c>
      <c r="F394" t="s">
        <v>230</v>
      </c>
      <c r="G394" s="25">
        <v>44197</v>
      </c>
      <c r="H394">
        <v>1</v>
      </c>
      <c r="I394">
        <v>1</v>
      </c>
      <c r="J394" t="s">
        <v>432</v>
      </c>
      <c r="K394" t="s">
        <v>490</v>
      </c>
      <c r="L394" t="s">
        <v>65</v>
      </c>
      <c r="M394" t="s">
        <v>434</v>
      </c>
      <c r="N394" t="s">
        <v>64</v>
      </c>
      <c r="O394" t="s">
        <v>235</v>
      </c>
      <c r="P394" t="s">
        <v>442</v>
      </c>
      <c r="Q394">
        <v>0</v>
      </c>
      <c r="R394" t="s">
        <v>237</v>
      </c>
    </row>
    <row r="395" spans="1:18" x14ac:dyDescent="0.25">
      <c r="A395" t="s">
        <v>2857</v>
      </c>
      <c r="B395">
        <v>1641</v>
      </c>
      <c r="C395" t="s">
        <v>487</v>
      </c>
      <c r="D395" t="s">
        <v>261</v>
      </c>
      <c r="E395" t="s">
        <v>575</v>
      </c>
      <c r="F395" t="s">
        <v>1537</v>
      </c>
      <c r="G395" s="25">
        <v>44271</v>
      </c>
      <c r="H395">
        <v>15</v>
      </c>
      <c r="I395">
        <v>75</v>
      </c>
      <c r="J395" t="s">
        <v>432</v>
      </c>
      <c r="K395" t="s">
        <v>490</v>
      </c>
      <c r="L395" t="s">
        <v>65</v>
      </c>
      <c r="M395" t="s">
        <v>434</v>
      </c>
      <c r="N395" t="s">
        <v>64</v>
      </c>
      <c r="O395" t="s">
        <v>235</v>
      </c>
      <c r="P395" t="s">
        <v>442</v>
      </c>
      <c r="Q395">
        <v>336375</v>
      </c>
      <c r="R395" t="s">
        <v>237</v>
      </c>
    </row>
    <row r="396" spans="1:18" x14ac:dyDescent="0.25">
      <c r="A396" t="s">
        <v>3320</v>
      </c>
      <c r="B396">
        <v>2636</v>
      </c>
      <c r="C396" t="s">
        <v>487</v>
      </c>
      <c r="D396" t="s">
        <v>247</v>
      </c>
      <c r="E396" t="s">
        <v>408</v>
      </c>
      <c r="F396" t="s">
        <v>3178</v>
      </c>
      <c r="G396" s="25">
        <v>44316</v>
      </c>
      <c r="H396">
        <v>24</v>
      </c>
      <c r="I396">
        <v>120</v>
      </c>
      <c r="J396" t="s">
        <v>432</v>
      </c>
      <c r="K396" t="s">
        <v>488</v>
      </c>
      <c r="L396" t="s">
        <v>433</v>
      </c>
      <c r="M396" t="s">
        <v>434</v>
      </c>
      <c r="N396" t="s">
        <v>74</v>
      </c>
      <c r="O396" t="s">
        <v>435</v>
      </c>
      <c r="P396" t="s">
        <v>433</v>
      </c>
      <c r="Q396">
        <v>18056.25</v>
      </c>
      <c r="R396" t="s">
        <v>436</v>
      </c>
    </row>
    <row r="397" spans="1:18" x14ac:dyDescent="0.25">
      <c r="A397" t="s">
        <v>3321</v>
      </c>
      <c r="B397">
        <v>2482</v>
      </c>
      <c r="C397" t="s">
        <v>487</v>
      </c>
      <c r="D397" t="s">
        <v>247</v>
      </c>
      <c r="E397" t="s">
        <v>512</v>
      </c>
      <c r="F397" t="s">
        <v>3146</v>
      </c>
      <c r="G397" s="25">
        <v>44309</v>
      </c>
      <c r="H397">
        <v>23</v>
      </c>
      <c r="I397">
        <v>113</v>
      </c>
      <c r="J397" t="s">
        <v>432</v>
      </c>
      <c r="K397" t="s">
        <v>488</v>
      </c>
      <c r="L397" t="s">
        <v>433</v>
      </c>
      <c r="M397" t="s">
        <v>434</v>
      </c>
      <c r="N397" t="s">
        <v>74</v>
      </c>
      <c r="O397" t="s">
        <v>435</v>
      </c>
      <c r="P397" t="s">
        <v>433</v>
      </c>
      <c r="Q397">
        <v>24562.5</v>
      </c>
      <c r="R397" t="s">
        <v>436</v>
      </c>
    </row>
    <row r="398" spans="1:18" x14ac:dyDescent="0.25">
      <c r="A398" t="s">
        <v>3322</v>
      </c>
      <c r="B398">
        <v>1906</v>
      </c>
      <c r="C398" t="s">
        <v>487</v>
      </c>
      <c r="D398" t="s">
        <v>322</v>
      </c>
      <c r="E398" t="s">
        <v>326</v>
      </c>
      <c r="F398" t="s">
        <v>2967</v>
      </c>
      <c r="G398" s="25">
        <v>44283</v>
      </c>
      <c r="H398">
        <v>18</v>
      </c>
      <c r="I398">
        <v>87</v>
      </c>
      <c r="J398" t="s">
        <v>432</v>
      </c>
      <c r="K398" t="s">
        <v>489</v>
      </c>
      <c r="L398" t="s">
        <v>134</v>
      </c>
      <c r="M398" t="s">
        <v>434</v>
      </c>
      <c r="N398" t="s">
        <v>67</v>
      </c>
      <c r="O398" t="s">
        <v>235</v>
      </c>
      <c r="P398" t="s">
        <v>437</v>
      </c>
      <c r="Q398">
        <v>567625</v>
      </c>
      <c r="R398" t="s">
        <v>237</v>
      </c>
    </row>
    <row r="399" spans="1:18" x14ac:dyDescent="0.25">
      <c r="A399" t="s">
        <v>2022</v>
      </c>
      <c r="B399">
        <v>1444</v>
      </c>
      <c r="C399" t="s">
        <v>487</v>
      </c>
      <c r="D399" t="s">
        <v>261</v>
      </c>
      <c r="E399" t="s">
        <v>247</v>
      </c>
      <c r="F399" t="s">
        <v>1425</v>
      </c>
      <c r="G399" s="25">
        <v>44262</v>
      </c>
      <c r="H399">
        <v>14</v>
      </c>
      <c r="I399">
        <v>66</v>
      </c>
      <c r="J399" t="s">
        <v>432</v>
      </c>
      <c r="K399" t="s">
        <v>489</v>
      </c>
      <c r="L399" t="s">
        <v>134</v>
      </c>
      <c r="M399" t="s">
        <v>434</v>
      </c>
      <c r="N399" t="s">
        <v>67</v>
      </c>
      <c r="O399" t="s">
        <v>235</v>
      </c>
      <c r="P399" t="s">
        <v>437</v>
      </c>
      <c r="Q399">
        <v>344000</v>
      </c>
      <c r="R399" t="s">
        <v>237</v>
      </c>
    </row>
    <row r="400" spans="1:18" x14ac:dyDescent="0.25">
      <c r="A400" t="s">
        <v>3323</v>
      </c>
      <c r="B400">
        <v>2159</v>
      </c>
      <c r="C400" t="s">
        <v>487</v>
      </c>
      <c r="D400" t="s">
        <v>322</v>
      </c>
      <c r="E400" t="s">
        <v>531</v>
      </c>
      <c r="F400" t="s">
        <v>3056</v>
      </c>
      <c r="G400" s="25">
        <v>44295</v>
      </c>
      <c r="H400">
        <v>20</v>
      </c>
      <c r="I400">
        <v>99</v>
      </c>
      <c r="J400" t="s">
        <v>231</v>
      </c>
      <c r="K400" t="s">
        <v>509</v>
      </c>
      <c r="L400" t="s">
        <v>45</v>
      </c>
      <c r="M400" t="s">
        <v>234</v>
      </c>
      <c r="N400" t="s">
        <v>44</v>
      </c>
      <c r="O400" t="s">
        <v>21</v>
      </c>
      <c r="P400" t="s">
        <v>304</v>
      </c>
      <c r="Q400">
        <v>0</v>
      </c>
      <c r="R400" t="s">
        <v>237</v>
      </c>
    </row>
    <row r="401" spans="1:18" x14ac:dyDescent="0.25">
      <c r="A401" t="s">
        <v>3324</v>
      </c>
      <c r="B401">
        <v>1851</v>
      </c>
      <c r="C401" t="s">
        <v>487</v>
      </c>
      <c r="D401" t="s">
        <v>322</v>
      </c>
      <c r="E401" t="s">
        <v>322</v>
      </c>
      <c r="F401" t="s">
        <v>2960</v>
      </c>
      <c r="G401" s="25">
        <v>44281</v>
      </c>
      <c r="H401">
        <v>17</v>
      </c>
      <c r="I401">
        <v>85</v>
      </c>
      <c r="J401" t="s">
        <v>231</v>
      </c>
      <c r="K401" t="s">
        <v>509</v>
      </c>
      <c r="L401" t="s">
        <v>45</v>
      </c>
      <c r="M401" t="s">
        <v>234</v>
      </c>
      <c r="N401" t="s">
        <v>44</v>
      </c>
      <c r="O401" t="s">
        <v>21</v>
      </c>
      <c r="P401" t="s">
        <v>304</v>
      </c>
      <c r="Q401">
        <v>0</v>
      </c>
      <c r="R401" t="s">
        <v>237</v>
      </c>
    </row>
    <row r="402" spans="1:18" x14ac:dyDescent="0.25">
      <c r="A402" t="s">
        <v>2215</v>
      </c>
      <c r="B402">
        <v>1257</v>
      </c>
      <c r="C402" t="s">
        <v>487</v>
      </c>
      <c r="D402" t="s">
        <v>256</v>
      </c>
      <c r="E402" t="s">
        <v>552</v>
      </c>
      <c r="F402" t="s">
        <v>1365</v>
      </c>
      <c r="G402" s="25">
        <v>44254</v>
      </c>
      <c r="H402">
        <v>12</v>
      </c>
      <c r="I402">
        <v>58</v>
      </c>
      <c r="J402" t="s">
        <v>231</v>
      </c>
      <c r="K402" t="s">
        <v>509</v>
      </c>
      <c r="L402" t="s">
        <v>45</v>
      </c>
      <c r="M402" t="s">
        <v>234</v>
      </c>
      <c r="N402" t="s">
        <v>44</v>
      </c>
      <c r="O402" t="s">
        <v>21</v>
      </c>
      <c r="P402" t="s">
        <v>304</v>
      </c>
      <c r="Q402">
        <v>0</v>
      </c>
      <c r="R402" t="s">
        <v>237</v>
      </c>
    </row>
    <row r="403" spans="1:18" x14ac:dyDescent="0.25">
      <c r="A403" t="s">
        <v>2151</v>
      </c>
      <c r="B403">
        <v>795</v>
      </c>
      <c r="C403" t="s">
        <v>487</v>
      </c>
      <c r="D403" t="s">
        <v>231</v>
      </c>
      <c r="E403" t="s">
        <v>534</v>
      </c>
      <c r="F403" t="s">
        <v>1731</v>
      </c>
      <c r="G403" s="25">
        <v>44233</v>
      </c>
      <c r="H403">
        <v>8</v>
      </c>
      <c r="I403">
        <v>37</v>
      </c>
      <c r="J403" t="s">
        <v>231</v>
      </c>
      <c r="K403" t="s">
        <v>509</v>
      </c>
      <c r="L403" t="s">
        <v>45</v>
      </c>
      <c r="M403" t="s">
        <v>234</v>
      </c>
      <c r="N403" t="s">
        <v>44</v>
      </c>
      <c r="O403" t="s">
        <v>21</v>
      </c>
      <c r="P403" t="s">
        <v>304</v>
      </c>
      <c r="Q403">
        <v>41735</v>
      </c>
      <c r="R403" t="s">
        <v>237</v>
      </c>
    </row>
    <row r="404" spans="1:18" x14ac:dyDescent="0.25">
      <c r="A404" t="s">
        <v>614</v>
      </c>
      <c r="B404">
        <v>289</v>
      </c>
      <c r="C404" t="s">
        <v>487</v>
      </c>
      <c r="D404" t="s">
        <v>229</v>
      </c>
      <c r="E404" t="s">
        <v>537</v>
      </c>
      <c r="F404" t="s">
        <v>538</v>
      </c>
      <c r="G404" s="25">
        <v>44210</v>
      </c>
      <c r="H404">
        <v>3</v>
      </c>
      <c r="I404">
        <v>14</v>
      </c>
      <c r="J404" t="s">
        <v>231</v>
      </c>
      <c r="K404" t="s">
        <v>509</v>
      </c>
      <c r="L404" t="s">
        <v>45</v>
      </c>
      <c r="M404" t="s">
        <v>234</v>
      </c>
      <c r="N404" t="s">
        <v>44</v>
      </c>
      <c r="O404" t="s">
        <v>21</v>
      </c>
      <c r="P404" t="s">
        <v>304</v>
      </c>
      <c r="Q404">
        <v>0</v>
      </c>
      <c r="R404" t="s">
        <v>237</v>
      </c>
    </row>
    <row r="405" spans="1:18" x14ac:dyDescent="0.25">
      <c r="A405" t="s">
        <v>2082</v>
      </c>
      <c r="B405">
        <v>1632</v>
      </c>
      <c r="C405" t="s">
        <v>487</v>
      </c>
      <c r="D405" t="s">
        <v>261</v>
      </c>
      <c r="E405" t="s">
        <v>575</v>
      </c>
      <c r="F405" t="s">
        <v>1537</v>
      </c>
      <c r="G405" s="25">
        <v>44271</v>
      </c>
      <c r="H405">
        <v>15</v>
      </c>
      <c r="I405">
        <v>75</v>
      </c>
      <c r="J405" t="s">
        <v>231</v>
      </c>
      <c r="K405" t="s">
        <v>508</v>
      </c>
      <c r="L405" t="s">
        <v>47</v>
      </c>
      <c r="M405" t="s">
        <v>234</v>
      </c>
      <c r="N405" t="s">
        <v>46</v>
      </c>
      <c r="O405" t="s">
        <v>21</v>
      </c>
      <c r="P405" t="s">
        <v>288</v>
      </c>
      <c r="Q405">
        <v>28146</v>
      </c>
      <c r="R405" t="s">
        <v>237</v>
      </c>
    </row>
    <row r="406" spans="1:18" x14ac:dyDescent="0.25">
      <c r="A406" t="s">
        <v>2768</v>
      </c>
      <c r="B406">
        <v>774</v>
      </c>
      <c r="C406" t="s">
        <v>487</v>
      </c>
      <c r="D406" t="s">
        <v>231</v>
      </c>
      <c r="E406" t="s">
        <v>620</v>
      </c>
      <c r="F406" t="s">
        <v>1215</v>
      </c>
      <c r="G406" s="25">
        <v>44232</v>
      </c>
      <c r="H406">
        <v>8</v>
      </c>
      <c r="I406">
        <v>36</v>
      </c>
      <c r="J406" t="s">
        <v>231</v>
      </c>
      <c r="K406" t="s">
        <v>508</v>
      </c>
      <c r="L406" t="s">
        <v>47</v>
      </c>
      <c r="M406" t="s">
        <v>234</v>
      </c>
      <c r="N406" t="s">
        <v>46</v>
      </c>
      <c r="O406" t="s">
        <v>21</v>
      </c>
      <c r="P406" t="s">
        <v>288</v>
      </c>
      <c r="Q406">
        <v>0</v>
      </c>
      <c r="R406" t="s">
        <v>237</v>
      </c>
    </row>
    <row r="407" spans="1:18" x14ac:dyDescent="0.25">
      <c r="A407" t="s">
        <v>1558</v>
      </c>
      <c r="B407">
        <v>466</v>
      </c>
      <c r="C407" t="s">
        <v>487</v>
      </c>
      <c r="D407" t="s">
        <v>231</v>
      </c>
      <c r="E407" t="s">
        <v>231</v>
      </c>
      <c r="F407" t="s">
        <v>1080</v>
      </c>
      <c r="G407" s="25">
        <v>44218</v>
      </c>
      <c r="H407">
        <v>5</v>
      </c>
      <c r="I407">
        <v>22</v>
      </c>
      <c r="J407" t="s">
        <v>231</v>
      </c>
      <c r="K407" t="s">
        <v>508</v>
      </c>
      <c r="L407" t="s">
        <v>47</v>
      </c>
      <c r="M407" t="s">
        <v>234</v>
      </c>
      <c r="N407" t="s">
        <v>46</v>
      </c>
      <c r="O407" t="s">
        <v>21</v>
      </c>
      <c r="P407" t="s">
        <v>288</v>
      </c>
      <c r="Q407">
        <v>0</v>
      </c>
      <c r="R407" t="s">
        <v>237</v>
      </c>
    </row>
    <row r="408" spans="1:18" x14ac:dyDescent="0.25">
      <c r="A408" t="s">
        <v>734</v>
      </c>
      <c r="B408">
        <v>158</v>
      </c>
      <c r="C408" t="s">
        <v>487</v>
      </c>
      <c r="D408" t="s">
        <v>229</v>
      </c>
      <c r="E408" t="s">
        <v>381</v>
      </c>
      <c r="F408" t="s">
        <v>518</v>
      </c>
      <c r="G408" s="25">
        <v>44204</v>
      </c>
      <c r="H408">
        <v>2</v>
      </c>
      <c r="I408">
        <v>8</v>
      </c>
      <c r="J408" t="s">
        <v>231</v>
      </c>
      <c r="K408" t="s">
        <v>508</v>
      </c>
      <c r="L408" t="s">
        <v>47</v>
      </c>
      <c r="M408" t="s">
        <v>234</v>
      </c>
      <c r="N408" t="s">
        <v>46</v>
      </c>
      <c r="O408" t="s">
        <v>21</v>
      </c>
      <c r="P408" t="s">
        <v>288</v>
      </c>
      <c r="Q408">
        <v>0</v>
      </c>
      <c r="R408" t="s">
        <v>237</v>
      </c>
    </row>
    <row r="409" spans="1:18" x14ac:dyDescent="0.25">
      <c r="A409" t="s">
        <v>3325</v>
      </c>
      <c r="B409">
        <v>2446</v>
      </c>
      <c r="C409" t="s">
        <v>487</v>
      </c>
      <c r="D409" t="s">
        <v>247</v>
      </c>
      <c r="E409" t="s">
        <v>232</v>
      </c>
      <c r="F409" t="s">
        <v>3140</v>
      </c>
      <c r="G409" s="25">
        <v>44308</v>
      </c>
      <c r="H409">
        <v>23</v>
      </c>
      <c r="I409">
        <v>112</v>
      </c>
      <c r="J409" t="s">
        <v>231</v>
      </c>
      <c r="K409" t="s">
        <v>508</v>
      </c>
      <c r="L409" t="s">
        <v>47</v>
      </c>
      <c r="M409" t="s">
        <v>234</v>
      </c>
      <c r="N409" t="s">
        <v>46</v>
      </c>
      <c r="O409" t="s">
        <v>21</v>
      </c>
      <c r="P409" t="s">
        <v>288</v>
      </c>
      <c r="Q409">
        <v>30141</v>
      </c>
      <c r="R409" t="s">
        <v>237</v>
      </c>
    </row>
    <row r="410" spans="1:18" x14ac:dyDescent="0.25">
      <c r="A410" t="s">
        <v>3326</v>
      </c>
      <c r="B410">
        <v>2336</v>
      </c>
      <c r="C410" t="s">
        <v>487</v>
      </c>
      <c r="D410" t="s">
        <v>247</v>
      </c>
      <c r="E410" t="s">
        <v>326</v>
      </c>
      <c r="F410" t="s">
        <v>3091</v>
      </c>
      <c r="G410" s="25">
        <v>44303</v>
      </c>
      <c r="H410">
        <v>22</v>
      </c>
      <c r="I410">
        <v>107</v>
      </c>
      <c r="J410" t="s">
        <v>231</v>
      </c>
      <c r="K410" t="s">
        <v>508</v>
      </c>
      <c r="L410" t="s">
        <v>47</v>
      </c>
      <c r="M410" t="s">
        <v>234</v>
      </c>
      <c r="N410" t="s">
        <v>46</v>
      </c>
      <c r="O410" t="s">
        <v>21</v>
      </c>
      <c r="P410" t="s">
        <v>288</v>
      </c>
      <c r="Q410">
        <v>0</v>
      </c>
      <c r="R410" t="s">
        <v>237</v>
      </c>
    </row>
    <row r="411" spans="1:18" x14ac:dyDescent="0.25">
      <c r="A411" t="s">
        <v>3327</v>
      </c>
      <c r="B411">
        <v>1984</v>
      </c>
      <c r="C411" t="s">
        <v>487</v>
      </c>
      <c r="D411" t="s">
        <v>322</v>
      </c>
      <c r="E411" t="s">
        <v>515</v>
      </c>
      <c r="F411" t="s">
        <v>2983</v>
      </c>
      <c r="G411" s="25">
        <v>44287</v>
      </c>
      <c r="H411">
        <v>19</v>
      </c>
      <c r="I411">
        <v>91</v>
      </c>
      <c r="J411" t="s">
        <v>231</v>
      </c>
      <c r="K411" t="s">
        <v>508</v>
      </c>
      <c r="L411" t="s">
        <v>47</v>
      </c>
      <c r="M411" t="s">
        <v>234</v>
      </c>
      <c r="N411" t="s">
        <v>46</v>
      </c>
      <c r="O411" t="s">
        <v>21</v>
      </c>
      <c r="P411" t="s">
        <v>288</v>
      </c>
      <c r="Q411">
        <v>0</v>
      </c>
      <c r="R411" t="s">
        <v>237</v>
      </c>
    </row>
    <row r="412" spans="1:18" x14ac:dyDescent="0.25">
      <c r="A412" t="s">
        <v>2827</v>
      </c>
      <c r="B412">
        <v>1149</v>
      </c>
      <c r="C412" t="s">
        <v>487</v>
      </c>
      <c r="D412" t="s">
        <v>256</v>
      </c>
      <c r="E412" t="s">
        <v>512</v>
      </c>
      <c r="F412" t="s">
        <v>1342</v>
      </c>
      <c r="G412" s="25">
        <v>44249</v>
      </c>
      <c r="H412">
        <v>11</v>
      </c>
      <c r="I412">
        <v>53</v>
      </c>
      <c r="J412" t="s">
        <v>231</v>
      </c>
      <c r="K412" t="s">
        <v>507</v>
      </c>
      <c r="L412" t="s">
        <v>49</v>
      </c>
      <c r="M412" t="s">
        <v>234</v>
      </c>
      <c r="N412" t="s">
        <v>48</v>
      </c>
      <c r="O412" t="s">
        <v>21</v>
      </c>
      <c r="P412" t="s">
        <v>413</v>
      </c>
      <c r="Q412">
        <v>0</v>
      </c>
      <c r="R412" t="s">
        <v>237</v>
      </c>
    </row>
    <row r="413" spans="1:18" x14ac:dyDescent="0.25">
      <c r="A413" t="s">
        <v>2506</v>
      </c>
      <c r="B413">
        <v>841</v>
      </c>
      <c r="C413" t="s">
        <v>487</v>
      </c>
      <c r="D413" t="s">
        <v>231</v>
      </c>
      <c r="E413" t="s">
        <v>531</v>
      </c>
      <c r="F413" t="s">
        <v>1230</v>
      </c>
      <c r="G413" s="25">
        <v>44235</v>
      </c>
      <c r="H413">
        <v>8</v>
      </c>
      <c r="I413">
        <v>39</v>
      </c>
      <c r="J413" t="s">
        <v>231</v>
      </c>
      <c r="K413" t="s">
        <v>507</v>
      </c>
      <c r="L413" t="s">
        <v>49</v>
      </c>
      <c r="M413" t="s">
        <v>234</v>
      </c>
      <c r="N413" t="s">
        <v>48</v>
      </c>
      <c r="O413" t="s">
        <v>21</v>
      </c>
      <c r="P413" t="s">
        <v>413</v>
      </c>
      <c r="Q413">
        <v>0</v>
      </c>
      <c r="R413" t="s">
        <v>237</v>
      </c>
    </row>
    <row r="414" spans="1:18" x14ac:dyDescent="0.25">
      <c r="A414" t="s">
        <v>1980</v>
      </c>
      <c r="B414">
        <v>533</v>
      </c>
      <c r="C414" t="s">
        <v>487</v>
      </c>
      <c r="D414" t="s">
        <v>231</v>
      </c>
      <c r="E414" t="s">
        <v>322</v>
      </c>
      <c r="F414" t="s">
        <v>1085</v>
      </c>
      <c r="G414" s="25">
        <v>44221</v>
      </c>
      <c r="H414">
        <v>5</v>
      </c>
      <c r="I414">
        <v>25</v>
      </c>
      <c r="J414" t="s">
        <v>231</v>
      </c>
      <c r="K414" t="s">
        <v>507</v>
      </c>
      <c r="L414" t="s">
        <v>49</v>
      </c>
      <c r="M414" t="s">
        <v>234</v>
      </c>
      <c r="N414" t="s">
        <v>48</v>
      </c>
      <c r="O414" t="s">
        <v>21</v>
      </c>
      <c r="P414" t="s">
        <v>413</v>
      </c>
      <c r="Q414">
        <v>0</v>
      </c>
      <c r="R414" t="s">
        <v>237</v>
      </c>
    </row>
    <row r="415" spans="1:18" x14ac:dyDescent="0.25">
      <c r="A415" t="s">
        <v>3328</v>
      </c>
      <c r="B415">
        <v>2051</v>
      </c>
      <c r="C415" t="s">
        <v>487</v>
      </c>
      <c r="D415" t="s">
        <v>322</v>
      </c>
      <c r="E415" t="s">
        <v>537</v>
      </c>
      <c r="F415" t="s">
        <v>2999</v>
      </c>
      <c r="G415" s="25">
        <v>44290</v>
      </c>
      <c r="H415">
        <v>19</v>
      </c>
      <c r="I415">
        <v>94</v>
      </c>
      <c r="J415" t="s">
        <v>231</v>
      </c>
      <c r="K415" t="s">
        <v>507</v>
      </c>
      <c r="L415" t="s">
        <v>49</v>
      </c>
      <c r="M415" t="s">
        <v>234</v>
      </c>
      <c r="N415" t="s">
        <v>48</v>
      </c>
      <c r="O415" t="s">
        <v>21</v>
      </c>
      <c r="P415" t="s">
        <v>413</v>
      </c>
      <c r="Q415">
        <v>0</v>
      </c>
      <c r="R415" t="s">
        <v>237</v>
      </c>
    </row>
    <row r="416" spans="1:18" x14ac:dyDescent="0.25">
      <c r="A416" t="s">
        <v>2027</v>
      </c>
      <c r="B416">
        <v>1677</v>
      </c>
      <c r="C416" t="s">
        <v>487</v>
      </c>
      <c r="D416" t="s">
        <v>261</v>
      </c>
      <c r="E416" t="s">
        <v>534</v>
      </c>
      <c r="F416" t="s">
        <v>1563</v>
      </c>
      <c r="G416" s="25">
        <v>44273</v>
      </c>
      <c r="H416">
        <v>16</v>
      </c>
      <c r="I416">
        <v>77</v>
      </c>
      <c r="J416" t="s">
        <v>231</v>
      </c>
      <c r="K416" t="s">
        <v>507</v>
      </c>
      <c r="L416" t="s">
        <v>49</v>
      </c>
      <c r="M416" t="s">
        <v>234</v>
      </c>
      <c r="N416" t="s">
        <v>48</v>
      </c>
      <c r="O416" t="s">
        <v>21</v>
      </c>
      <c r="P416" t="s">
        <v>413</v>
      </c>
      <c r="Q416">
        <v>0</v>
      </c>
      <c r="R416" t="s">
        <v>237</v>
      </c>
    </row>
    <row r="417" spans="1:18" x14ac:dyDescent="0.25">
      <c r="A417" t="s">
        <v>829</v>
      </c>
      <c r="B417">
        <v>424</v>
      </c>
      <c r="C417" t="s">
        <v>487</v>
      </c>
      <c r="D417" t="s">
        <v>229</v>
      </c>
      <c r="E417" t="s">
        <v>408</v>
      </c>
      <c r="F417" t="s">
        <v>527</v>
      </c>
      <c r="G417" s="25">
        <v>44216</v>
      </c>
      <c r="H417">
        <v>4</v>
      </c>
      <c r="I417">
        <v>20</v>
      </c>
      <c r="J417" t="s">
        <v>231</v>
      </c>
      <c r="K417" t="s">
        <v>506</v>
      </c>
      <c r="L417" t="s">
        <v>414</v>
      </c>
      <c r="M417" t="s">
        <v>234</v>
      </c>
      <c r="N417" t="s">
        <v>50</v>
      </c>
      <c r="O417" t="s">
        <v>21</v>
      </c>
      <c r="P417" t="s">
        <v>411</v>
      </c>
      <c r="Q417">
        <v>0</v>
      </c>
      <c r="R417" t="s">
        <v>237</v>
      </c>
    </row>
    <row r="418" spans="1:18" x14ac:dyDescent="0.25">
      <c r="A418" t="s">
        <v>3329</v>
      </c>
      <c r="B418">
        <v>2597</v>
      </c>
      <c r="C418" t="s">
        <v>487</v>
      </c>
      <c r="D418" t="s">
        <v>247</v>
      </c>
      <c r="E418" t="s">
        <v>531</v>
      </c>
      <c r="F418" t="s">
        <v>3173</v>
      </c>
      <c r="G418" s="25">
        <v>44315</v>
      </c>
      <c r="H418">
        <v>24</v>
      </c>
      <c r="I418">
        <v>119</v>
      </c>
      <c r="J418" t="s">
        <v>231</v>
      </c>
      <c r="K418" t="s">
        <v>505</v>
      </c>
      <c r="L418" t="s">
        <v>41</v>
      </c>
      <c r="M418" t="s">
        <v>234</v>
      </c>
      <c r="N418" t="s">
        <v>40</v>
      </c>
      <c r="O418" t="s">
        <v>21</v>
      </c>
      <c r="P418" t="s">
        <v>266</v>
      </c>
      <c r="Q418">
        <v>0</v>
      </c>
      <c r="R418" t="s">
        <v>237</v>
      </c>
    </row>
    <row r="419" spans="1:18" x14ac:dyDescent="0.25">
      <c r="A419" t="s">
        <v>2714</v>
      </c>
      <c r="B419">
        <v>1365</v>
      </c>
      <c r="C419" t="s">
        <v>487</v>
      </c>
      <c r="D419" t="s">
        <v>261</v>
      </c>
      <c r="E419" t="s">
        <v>256</v>
      </c>
      <c r="F419" t="s">
        <v>1402</v>
      </c>
      <c r="G419" s="25">
        <v>44259</v>
      </c>
      <c r="H419">
        <v>13</v>
      </c>
      <c r="I419">
        <v>63</v>
      </c>
      <c r="J419" t="s">
        <v>231</v>
      </c>
      <c r="K419" t="s">
        <v>505</v>
      </c>
      <c r="L419" t="s">
        <v>41</v>
      </c>
      <c r="M419" t="s">
        <v>234</v>
      </c>
      <c r="N419" t="s">
        <v>40</v>
      </c>
      <c r="O419" t="s">
        <v>21</v>
      </c>
      <c r="P419" t="s">
        <v>266</v>
      </c>
      <c r="Q419">
        <v>80366</v>
      </c>
      <c r="R419" t="s">
        <v>237</v>
      </c>
    </row>
    <row r="420" spans="1:18" x14ac:dyDescent="0.25">
      <c r="A420" t="s">
        <v>2605</v>
      </c>
      <c r="B420">
        <v>1168</v>
      </c>
      <c r="C420" t="s">
        <v>487</v>
      </c>
      <c r="D420" t="s">
        <v>256</v>
      </c>
      <c r="E420" t="s">
        <v>537</v>
      </c>
      <c r="F420" t="s">
        <v>1348</v>
      </c>
      <c r="G420" s="25">
        <v>44250</v>
      </c>
      <c r="H420">
        <v>11</v>
      </c>
      <c r="I420">
        <v>54</v>
      </c>
      <c r="J420" t="s">
        <v>231</v>
      </c>
      <c r="K420" t="s">
        <v>504</v>
      </c>
      <c r="L420" t="s">
        <v>43</v>
      </c>
      <c r="M420" t="s">
        <v>234</v>
      </c>
      <c r="N420" t="s">
        <v>42</v>
      </c>
      <c r="O420" t="s">
        <v>21</v>
      </c>
      <c r="P420" t="s">
        <v>236</v>
      </c>
      <c r="Q420">
        <v>0</v>
      </c>
      <c r="R420" t="s">
        <v>237</v>
      </c>
    </row>
    <row r="421" spans="1:18" x14ac:dyDescent="0.25">
      <c r="A421" t="s">
        <v>838</v>
      </c>
      <c r="B421">
        <v>200</v>
      </c>
      <c r="C421" t="s">
        <v>487</v>
      </c>
      <c r="D421" t="s">
        <v>229</v>
      </c>
      <c r="E421" t="s">
        <v>239</v>
      </c>
      <c r="F421" t="s">
        <v>578</v>
      </c>
      <c r="G421" s="25">
        <v>44206</v>
      </c>
      <c r="H421">
        <v>2</v>
      </c>
      <c r="I421">
        <v>10</v>
      </c>
      <c r="J421" t="s">
        <v>231</v>
      </c>
      <c r="K421" t="s">
        <v>504</v>
      </c>
      <c r="L421" t="s">
        <v>43</v>
      </c>
      <c r="M421" t="s">
        <v>234</v>
      </c>
      <c r="N421" t="s">
        <v>42</v>
      </c>
      <c r="O421" t="s">
        <v>21</v>
      </c>
      <c r="P421" t="s">
        <v>236</v>
      </c>
      <c r="Q421">
        <v>0</v>
      </c>
      <c r="R421" t="s">
        <v>237</v>
      </c>
    </row>
    <row r="422" spans="1:18" x14ac:dyDescent="0.25">
      <c r="A422" t="s">
        <v>738</v>
      </c>
      <c r="B422">
        <v>427</v>
      </c>
      <c r="C422" t="s">
        <v>487</v>
      </c>
      <c r="D422" t="s">
        <v>229</v>
      </c>
      <c r="E422" t="s">
        <v>408</v>
      </c>
      <c r="F422" t="s">
        <v>527</v>
      </c>
      <c r="G422" s="25">
        <v>44216</v>
      </c>
      <c r="H422">
        <v>4</v>
      </c>
      <c r="I422">
        <v>20</v>
      </c>
      <c r="J422" t="s">
        <v>231</v>
      </c>
      <c r="K422" t="s">
        <v>503</v>
      </c>
      <c r="L422" t="s">
        <v>303</v>
      </c>
      <c r="M422" t="s">
        <v>234</v>
      </c>
      <c r="N422" t="s">
        <v>56</v>
      </c>
      <c r="O422" t="s">
        <v>235</v>
      </c>
      <c r="P422" t="s">
        <v>304</v>
      </c>
      <c r="Q422">
        <v>0</v>
      </c>
      <c r="R422" t="s">
        <v>237</v>
      </c>
    </row>
    <row r="423" spans="1:18" x14ac:dyDescent="0.25">
      <c r="A423" t="s">
        <v>362</v>
      </c>
      <c r="B423">
        <v>54</v>
      </c>
      <c r="C423" t="s">
        <v>487</v>
      </c>
      <c r="D423" t="s">
        <v>229</v>
      </c>
      <c r="E423" t="s">
        <v>256</v>
      </c>
      <c r="F423" t="s">
        <v>525</v>
      </c>
      <c r="G423" s="25">
        <v>44199</v>
      </c>
      <c r="H423">
        <v>1</v>
      </c>
      <c r="I423">
        <v>3</v>
      </c>
      <c r="J423" t="s">
        <v>231</v>
      </c>
      <c r="K423" t="s">
        <v>502</v>
      </c>
      <c r="L423" t="s">
        <v>287</v>
      </c>
      <c r="M423" t="s">
        <v>234</v>
      </c>
      <c r="N423" t="s">
        <v>58</v>
      </c>
      <c r="O423" t="s">
        <v>235</v>
      </c>
      <c r="P423" t="s">
        <v>288</v>
      </c>
      <c r="Q423">
        <v>0</v>
      </c>
      <c r="R423" t="s">
        <v>237</v>
      </c>
    </row>
    <row r="424" spans="1:18" x14ac:dyDescent="0.25">
      <c r="A424" t="s">
        <v>3330</v>
      </c>
      <c r="B424">
        <v>2232</v>
      </c>
      <c r="C424" t="s">
        <v>487</v>
      </c>
      <c r="D424" t="s">
        <v>247</v>
      </c>
      <c r="E424" t="s">
        <v>231</v>
      </c>
      <c r="F424" t="s">
        <v>3070</v>
      </c>
      <c r="G424" s="25">
        <v>44298</v>
      </c>
      <c r="H424">
        <v>21</v>
      </c>
      <c r="I424">
        <v>102</v>
      </c>
      <c r="J424" t="s">
        <v>231</v>
      </c>
      <c r="K424" t="s">
        <v>502</v>
      </c>
      <c r="L424" t="s">
        <v>287</v>
      </c>
      <c r="M424" t="s">
        <v>234</v>
      </c>
      <c r="N424" t="s">
        <v>58</v>
      </c>
      <c r="O424" t="s">
        <v>235</v>
      </c>
      <c r="P424" t="s">
        <v>288</v>
      </c>
      <c r="Q424">
        <v>0</v>
      </c>
      <c r="R424" t="s">
        <v>237</v>
      </c>
    </row>
    <row r="425" spans="1:18" x14ac:dyDescent="0.25">
      <c r="A425" t="s">
        <v>2399</v>
      </c>
      <c r="B425">
        <v>825</v>
      </c>
      <c r="C425" t="s">
        <v>487</v>
      </c>
      <c r="D425" t="s">
        <v>231</v>
      </c>
      <c r="E425" t="s">
        <v>552</v>
      </c>
      <c r="F425" t="s">
        <v>1222</v>
      </c>
      <c r="G425" s="25">
        <v>44234</v>
      </c>
      <c r="H425">
        <v>8</v>
      </c>
      <c r="I425">
        <v>38</v>
      </c>
      <c r="J425" t="s">
        <v>231</v>
      </c>
      <c r="K425" t="s">
        <v>501</v>
      </c>
      <c r="L425" t="s">
        <v>412</v>
      </c>
      <c r="M425" t="s">
        <v>234</v>
      </c>
      <c r="N425" t="s">
        <v>60</v>
      </c>
      <c r="O425" t="s">
        <v>235</v>
      </c>
      <c r="P425" t="s">
        <v>413</v>
      </c>
      <c r="Q425">
        <v>0</v>
      </c>
      <c r="R425" t="s">
        <v>237</v>
      </c>
    </row>
    <row r="426" spans="1:18" x14ac:dyDescent="0.25">
      <c r="A426" t="s">
        <v>1871</v>
      </c>
      <c r="B426">
        <v>517</v>
      </c>
      <c r="C426" t="s">
        <v>487</v>
      </c>
      <c r="D426" t="s">
        <v>231</v>
      </c>
      <c r="E426" t="s">
        <v>261</v>
      </c>
      <c r="F426" t="s">
        <v>1065</v>
      </c>
      <c r="G426" s="25">
        <v>44220</v>
      </c>
      <c r="H426">
        <v>5</v>
      </c>
      <c r="I426">
        <v>24</v>
      </c>
      <c r="J426" t="s">
        <v>231</v>
      </c>
      <c r="K426" t="s">
        <v>501</v>
      </c>
      <c r="L426" t="s">
        <v>412</v>
      </c>
      <c r="M426" t="s">
        <v>234</v>
      </c>
      <c r="N426" t="s">
        <v>60</v>
      </c>
      <c r="O426" t="s">
        <v>235</v>
      </c>
      <c r="P426" t="s">
        <v>413</v>
      </c>
      <c r="Q426">
        <v>0</v>
      </c>
      <c r="R426" t="s">
        <v>237</v>
      </c>
    </row>
    <row r="427" spans="1:18" x14ac:dyDescent="0.25">
      <c r="A427" t="s">
        <v>3331</v>
      </c>
      <c r="B427">
        <v>2387</v>
      </c>
      <c r="C427" t="s">
        <v>487</v>
      </c>
      <c r="D427" t="s">
        <v>247</v>
      </c>
      <c r="E427" t="s">
        <v>371</v>
      </c>
      <c r="F427" t="s">
        <v>3112</v>
      </c>
      <c r="G427" s="25">
        <v>44305</v>
      </c>
      <c r="H427">
        <v>22</v>
      </c>
      <c r="I427">
        <v>109</v>
      </c>
      <c r="J427" t="s">
        <v>231</v>
      </c>
      <c r="K427" t="s">
        <v>501</v>
      </c>
      <c r="L427" t="s">
        <v>412</v>
      </c>
      <c r="M427" t="s">
        <v>234</v>
      </c>
      <c r="N427" t="s">
        <v>60</v>
      </c>
      <c r="O427" t="s">
        <v>235</v>
      </c>
      <c r="P427" t="s">
        <v>413</v>
      </c>
      <c r="Q427">
        <v>0</v>
      </c>
      <c r="R427" t="s">
        <v>237</v>
      </c>
    </row>
    <row r="428" spans="1:18" x14ac:dyDescent="0.25">
      <c r="A428" t="s">
        <v>3332</v>
      </c>
      <c r="B428">
        <v>2035</v>
      </c>
      <c r="C428" t="s">
        <v>487</v>
      </c>
      <c r="D428" t="s">
        <v>322</v>
      </c>
      <c r="E428" t="s">
        <v>512</v>
      </c>
      <c r="F428" t="s">
        <v>2991</v>
      </c>
      <c r="G428" s="25">
        <v>44289</v>
      </c>
      <c r="H428">
        <v>19</v>
      </c>
      <c r="I428">
        <v>93</v>
      </c>
      <c r="J428" t="s">
        <v>231</v>
      </c>
      <c r="K428" t="s">
        <v>501</v>
      </c>
      <c r="L428" t="s">
        <v>412</v>
      </c>
      <c r="M428" t="s">
        <v>234</v>
      </c>
      <c r="N428" t="s">
        <v>60</v>
      </c>
      <c r="O428" t="s">
        <v>235</v>
      </c>
      <c r="P428" t="s">
        <v>413</v>
      </c>
      <c r="Q428">
        <v>0</v>
      </c>
      <c r="R428" t="s">
        <v>237</v>
      </c>
    </row>
    <row r="429" spans="1:18" x14ac:dyDescent="0.25">
      <c r="A429" t="s">
        <v>2557</v>
      </c>
      <c r="B429">
        <v>1661</v>
      </c>
      <c r="C429" t="s">
        <v>487</v>
      </c>
      <c r="D429" t="s">
        <v>261</v>
      </c>
      <c r="E429" t="s">
        <v>620</v>
      </c>
      <c r="F429" t="s">
        <v>1545</v>
      </c>
      <c r="G429" s="25">
        <v>44272</v>
      </c>
      <c r="H429">
        <v>16</v>
      </c>
      <c r="I429">
        <v>76</v>
      </c>
      <c r="J429" t="s">
        <v>231</v>
      </c>
      <c r="K429" t="s">
        <v>501</v>
      </c>
      <c r="L429" t="s">
        <v>412</v>
      </c>
      <c r="M429" t="s">
        <v>234</v>
      </c>
      <c r="N429" t="s">
        <v>60</v>
      </c>
      <c r="O429" t="s">
        <v>235</v>
      </c>
      <c r="P429" t="s">
        <v>413</v>
      </c>
      <c r="Q429">
        <v>0</v>
      </c>
      <c r="R429" t="s">
        <v>237</v>
      </c>
    </row>
    <row r="430" spans="1:18" x14ac:dyDescent="0.25">
      <c r="A430" t="s">
        <v>2451</v>
      </c>
      <c r="B430">
        <v>1419</v>
      </c>
      <c r="C430" t="s">
        <v>487</v>
      </c>
      <c r="D430" t="s">
        <v>261</v>
      </c>
      <c r="E430" t="s">
        <v>322</v>
      </c>
      <c r="F430" t="s">
        <v>1417</v>
      </c>
      <c r="G430" s="25">
        <v>44261</v>
      </c>
      <c r="H430">
        <v>13</v>
      </c>
      <c r="I430">
        <v>65</v>
      </c>
      <c r="J430" t="s">
        <v>231</v>
      </c>
      <c r="K430" t="s">
        <v>501</v>
      </c>
      <c r="L430" t="s">
        <v>412</v>
      </c>
      <c r="M430" t="s">
        <v>234</v>
      </c>
      <c r="N430" t="s">
        <v>60</v>
      </c>
      <c r="O430" t="s">
        <v>235</v>
      </c>
      <c r="P430" t="s">
        <v>413</v>
      </c>
      <c r="Q430">
        <v>0</v>
      </c>
      <c r="R430" t="s">
        <v>237</v>
      </c>
    </row>
    <row r="431" spans="1:18" x14ac:dyDescent="0.25">
      <c r="A431" t="s">
        <v>2724</v>
      </c>
      <c r="B431">
        <v>1133</v>
      </c>
      <c r="C431" t="s">
        <v>487</v>
      </c>
      <c r="D431" t="s">
        <v>256</v>
      </c>
      <c r="E431" t="s">
        <v>232</v>
      </c>
      <c r="F431" t="s">
        <v>1337</v>
      </c>
      <c r="G431" s="25">
        <v>44248</v>
      </c>
      <c r="H431">
        <v>11</v>
      </c>
      <c r="I431">
        <v>52</v>
      </c>
      <c r="J431" t="s">
        <v>231</v>
      </c>
      <c r="K431" t="s">
        <v>501</v>
      </c>
      <c r="L431" t="s">
        <v>412</v>
      </c>
      <c r="M431" t="s">
        <v>234</v>
      </c>
      <c r="N431" t="s">
        <v>60</v>
      </c>
      <c r="O431" t="s">
        <v>235</v>
      </c>
      <c r="P431" t="s">
        <v>413</v>
      </c>
      <c r="Q431">
        <v>0</v>
      </c>
      <c r="R431" t="s">
        <v>237</v>
      </c>
    </row>
    <row r="432" spans="1:18" x14ac:dyDescent="0.25">
      <c r="A432" t="s">
        <v>633</v>
      </c>
      <c r="B432">
        <v>425</v>
      </c>
      <c r="C432" t="s">
        <v>487</v>
      </c>
      <c r="D432" t="s">
        <v>229</v>
      </c>
      <c r="E432" t="s">
        <v>408</v>
      </c>
      <c r="F432" t="s">
        <v>527</v>
      </c>
      <c r="G432" s="25">
        <v>44216</v>
      </c>
      <c r="H432">
        <v>4</v>
      </c>
      <c r="I432">
        <v>20</v>
      </c>
      <c r="J432" t="s">
        <v>231</v>
      </c>
      <c r="K432" t="s">
        <v>500</v>
      </c>
      <c r="L432" t="s">
        <v>265</v>
      </c>
      <c r="M432" t="s">
        <v>234</v>
      </c>
      <c r="N432" t="s">
        <v>52</v>
      </c>
      <c r="O432" t="s">
        <v>235</v>
      </c>
      <c r="P432" t="s">
        <v>266</v>
      </c>
      <c r="Q432">
        <v>0</v>
      </c>
      <c r="R432" t="s">
        <v>237</v>
      </c>
    </row>
    <row r="433" spans="1:18" x14ac:dyDescent="0.25">
      <c r="A433" t="s">
        <v>3333</v>
      </c>
      <c r="B433">
        <v>2344</v>
      </c>
      <c r="C433" t="s">
        <v>487</v>
      </c>
      <c r="D433" t="s">
        <v>247</v>
      </c>
      <c r="E433" t="s">
        <v>326</v>
      </c>
      <c r="F433" t="s">
        <v>3091</v>
      </c>
      <c r="G433" s="25">
        <v>44303</v>
      </c>
      <c r="H433">
        <v>22</v>
      </c>
      <c r="I433">
        <v>107</v>
      </c>
      <c r="J433" t="s">
        <v>231</v>
      </c>
      <c r="K433" t="s">
        <v>499</v>
      </c>
      <c r="L433" t="s">
        <v>410</v>
      </c>
      <c r="M433" t="s">
        <v>234</v>
      </c>
      <c r="N433" t="s">
        <v>62</v>
      </c>
      <c r="O433" t="s">
        <v>235</v>
      </c>
      <c r="P433" t="s">
        <v>411</v>
      </c>
      <c r="Q433">
        <v>0</v>
      </c>
      <c r="R433" t="s">
        <v>237</v>
      </c>
    </row>
    <row r="434" spans="1:18" x14ac:dyDescent="0.25">
      <c r="A434" t="s">
        <v>3334</v>
      </c>
      <c r="B434">
        <v>1992</v>
      </c>
      <c r="C434" t="s">
        <v>487</v>
      </c>
      <c r="D434" t="s">
        <v>322</v>
      </c>
      <c r="E434" t="s">
        <v>515</v>
      </c>
      <c r="F434" t="s">
        <v>2983</v>
      </c>
      <c r="G434" s="25">
        <v>44287</v>
      </c>
      <c r="H434">
        <v>19</v>
      </c>
      <c r="I434">
        <v>91</v>
      </c>
      <c r="J434" t="s">
        <v>231</v>
      </c>
      <c r="K434" t="s">
        <v>499</v>
      </c>
      <c r="L434" t="s">
        <v>410</v>
      </c>
      <c r="M434" t="s">
        <v>234</v>
      </c>
      <c r="N434" t="s">
        <v>62</v>
      </c>
      <c r="O434" t="s">
        <v>235</v>
      </c>
      <c r="P434" t="s">
        <v>411</v>
      </c>
      <c r="Q434">
        <v>0</v>
      </c>
      <c r="R434" t="s">
        <v>237</v>
      </c>
    </row>
    <row r="435" spans="1:18" x14ac:dyDescent="0.25">
      <c r="A435" t="s">
        <v>2731</v>
      </c>
      <c r="B435">
        <v>1376</v>
      </c>
      <c r="C435" t="s">
        <v>487</v>
      </c>
      <c r="D435" t="s">
        <v>261</v>
      </c>
      <c r="E435" t="s">
        <v>256</v>
      </c>
      <c r="F435" t="s">
        <v>1402</v>
      </c>
      <c r="G435" s="25">
        <v>44259</v>
      </c>
      <c r="H435">
        <v>13</v>
      </c>
      <c r="I435">
        <v>63</v>
      </c>
      <c r="J435" t="s">
        <v>231</v>
      </c>
      <c r="K435" t="s">
        <v>499</v>
      </c>
      <c r="L435" t="s">
        <v>410</v>
      </c>
      <c r="M435" t="s">
        <v>234</v>
      </c>
      <c r="N435" t="s">
        <v>62</v>
      </c>
      <c r="O435" t="s">
        <v>235</v>
      </c>
      <c r="P435" t="s">
        <v>411</v>
      </c>
      <c r="Q435">
        <v>0</v>
      </c>
      <c r="R435" t="s">
        <v>237</v>
      </c>
    </row>
    <row r="436" spans="1:18" x14ac:dyDescent="0.25">
      <c r="A436" t="s">
        <v>1996</v>
      </c>
      <c r="B436">
        <v>782</v>
      </c>
      <c r="C436" t="s">
        <v>487</v>
      </c>
      <c r="D436" t="s">
        <v>231</v>
      </c>
      <c r="E436" t="s">
        <v>620</v>
      </c>
      <c r="F436" t="s">
        <v>1215</v>
      </c>
      <c r="G436" s="25">
        <v>44232</v>
      </c>
      <c r="H436">
        <v>8</v>
      </c>
      <c r="I436">
        <v>36</v>
      </c>
      <c r="J436" t="s">
        <v>231</v>
      </c>
      <c r="K436" t="s">
        <v>499</v>
      </c>
      <c r="L436" t="s">
        <v>410</v>
      </c>
      <c r="M436" t="s">
        <v>234</v>
      </c>
      <c r="N436" t="s">
        <v>62</v>
      </c>
      <c r="O436" t="s">
        <v>235</v>
      </c>
      <c r="P436" t="s">
        <v>411</v>
      </c>
      <c r="Q436">
        <v>0</v>
      </c>
      <c r="R436" t="s">
        <v>237</v>
      </c>
    </row>
    <row r="437" spans="1:18" x14ac:dyDescent="0.25">
      <c r="A437" t="s">
        <v>1571</v>
      </c>
      <c r="B437">
        <v>474</v>
      </c>
      <c r="C437" t="s">
        <v>487</v>
      </c>
      <c r="D437" t="s">
        <v>231</v>
      </c>
      <c r="E437" t="s">
        <v>231</v>
      </c>
      <c r="F437" t="s">
        <v>1080</v>
      </c>
      <c r="G437" s="25">
        <v>44218</v>
      </c>
      <c r="H437">
        <v>5</v>
      </c>
      <c r="I437">
        <v>22</v>
      </c>
      <c r="J437" t="s">
        <v>231</v>
      </c>
      <c r="K437" t="s">
        <v>499</v>
      </c>
      <c r="L437" t="s">
        <v>410</v>
      </c>
      <c r="M437" t="s">
        <v>234</v>
      </c>
      <c r="N437" t="s">
        <v>62</v>
      </c>
      <c r="O437" t="s">
        <v>235</v>
      </c>
      <c r="P437" t="s">
        <v>411</v>
      </c>
      <c r="Q437">
        <v>0</v>
      </c>
      <c r="R437" t="s">
        <v>237</v>
      </c>
    </row>
    <row r="438" spans="1:18" x14ac:dyDescent="0.25">
      <c r="A438" t="s">
        <v>632</v>
      </c>
      <c r="B438">
        <v>166</v>
      </c>
      <c r="C438" t="s">
        <v>487</v>
      </c>
      <c r="D438" t="s">
        <v>229</v>
      </c>
      <c r="E438" t="s">
        <v>381</v>
      </c>
      <c r="F438" t="s">
        <v>518</v>
      </c>
      <c r="G438" s="25">
        <v>44204</v>
      </c>
      <c r="H438">
        <v>2</v>
      </c>
      <c r="I438">
        <v>8</v>
      </c>
      <c r="J438" t="s">
        <v>231</v>
      </c>
      <c r="K438" t="s">
        <v>499</v>
      </c>
      <c r="L438" t="s">
        <v>410</v>
      </c>
      <c r="M438" t="s">
        <v>234</v>
      </c>
      <c r="N438" t="s">
        <v>62</v>
      </c>
      <c r="O438" t="s">
        <v>235</v>
      </c>
      <c r="P438" t="s">
        <v>411</v>
      </c>
      <c r="Q438">
        <v>0</v>
      </c>
      <c r="R438" t="s">
        <v>237</v>
      </c>
    </row>
    <row r="439" spans="1:18" x14ac:dyDescent="0.25">
      <c r="A439" t="s">
        <v>3335</v>
      </c>
      <c r="B439">
        <v>2199</v>
      </c>
      <c r="C439" t="s">
        <v>487</v>
      </c>
      <c r="D439" t="s">
        <v>322</v>
      </c>
      <c r="E439" t="s">
        <v>408</v>
      </c>
      <c r="F439" t="s">
        <v>3059</v>
      </c>
      <c r="G439" s="25">
        <v>44296</v>
      </c>
      <c r="H439">
        <v>20</v>
      </c>
      <c r="I439">
        <v>100</v>
      </c>
      <c r="J439" t="s">
        <v>432</v>
      </c>
      <c r="K439" t="s">
        <v>498</v>
      </c>
      <c r="L439" t="s">
        <v>26</v>
      </c>
      <c r="M439" t="s">
        <v>434</v>
      </c>
      <c r="N439" t="s">
        <v>77</v>
      </c>
      <c r="O439" t="s">
        <v>435</v>
      </c>
      <c r="P439" t="s">
        <v>26</v>
      </c>
      <c r="Q439">
        <v>239142.5</v>
      </c>
      <c r="R439" t="s">
        <v>436</v>
      </c>
    </row>
    <row r="440" spans="1:18" x14ac:dyDescent="0.25">
      <c r="A440" t="s">
        <v>1599</v>
      </c>
      <c r="B440">
        <v>483</v>
      </c>
      <c r="C440" t="s">
        <v>487</v>
      </c>
      <c r="D440" t="s">
        <v>231</v>
      </c>
      <c r="E440" t="s">
        <v>231</v>
      </c>
      <c r="F440" t="s">
        <v>1080</v>
      </c>
      <c r="G440" s="25">
        <v>44218</v>
      </c>
      <c r="H440">
        <v>5</v>
      </c>
      <c r="I440">
        <v>22</v>
      </c>
      <c r="J440" t="s">
        <v>432</v>
      </c>
      <c r="K440" t="s">
        <v>498</v>
      </c>
      <c r="L440" t="s">
        <v>26</v>
      </c>
      <c r="M440" t="s">
        <v>434</v>
      </c>
      <c r="N440" t="s">
        <v>77</v>
      </c>
      <c r="O440" t="s">
        <v>435</v>
      </c>
      <c r="P440" t="s">
        <v>26</v>
      </c>
      <c r="Q440">
        <v>8400</v>
      </c>
      <c r="R440" t="s">
        <v>436</v>
      </c>
    </row>
    <row r="441" spans="1:18" x14ac:dyDescent="0.25">
      <c r="A441" t="s">
        <v>654</v>
      </c>
      <c r="B441">
        <v>175</v>
      </c>
      <c r="C441" t="s">
        <v>487</v>
      </c>
      <c r="D441" t="s">
        <v>229</v>
      </c>
      <c r="E441" t="s">
        <v>381</v>
      </c>
      <c r="F441" t="s">
        <v>518</v>
      </c>
      <c r="G441" s="25">
        <v>44204</v>
      </c>
      <c r="H441">
        <v>2</v>
      </c>
      <c r="I441">
        <v>8</v>
      </c>
      <c r="J441" t="s">
        <v>432</v>
      </c>
      <c r="K441" t="s">
        <v>498</v>
      </c>
      <c r="L441" t="s">
        <v>26</v>
      </c>
      <c r="M441" t="s">
        <v>434</v>
      </c>
      <c r="N441" t="s">
        <v>77</v>
      </c>
      <c r="O441" t="s">
        <v>435</v>
      </c>
      <c r="P441" t="s">
        <v>26</v>
      </c>
      <c r="Q441">
        <v>37800</v>
      </c>
      <c r="R441" t="s">
        <v>436</v>
      </c>
    </row>
    <row r="442" spans="1:18" x14ac:dyDescent="0.25">
      <c r="A442" t="s">
        <v>2621</v>
      </c>
      <c r="B442">
        <v>1383</v>
      </c>
      <c r="C442" t="s">
        <v>487</v>
      </c>
      <c r="D442" t="s">
        <v>261</v>
      </c>
      <c r="E442" t="s">
        <v>256</v>
      </c>
      <c r="F442" t="s">
        <v>1402</v>
      </c>
      <c r="G442" s="25">
        <v>44259</v>
      </c>
      <c r="H442">
        <v>13</v>
      </c>
      <c r="I442">
        <v>63</v>
      </c>
      <c r="J442" t="s">
        <v>432</v>
      </c>
      <c r="K442" t="s">
        <v>497</v>
      </c>
      <c r="L442" t="s">
        <v>438</v>
      </c>
      <c r="M442" t="s">
        <v>434</v>
      </c>
      <c r="N442" t="s">
        <v>75</v>
      </c>
      <c r="O442" t="s">
        <v>435</v>
      </c>
      <c r="P442" t="s">
        <v>438</v>
      </c>
      <c r="Q442">
        <v>39300</v>
      </c>
      <c r="R442" t="s">
        <v>436</v>
      </c>
    </row>
    <row r="443" spans="1:18" x14ac:dyDescent="0.25">
      <c r="A443" t="s">
        <v>1590</v>
      </c>
      <c r="B443">
        <v>481</v>
      </c>
      <c r="C443" t="s">
        <v>487</v>
      </c>
      <c r="D443" t="s">
        <v>231</v>
      </c>
      <c r="E443" t="s">
        <v>231</v>
      </c>
      <c r="F443" t="s">
        <v>1080</v>
      </c>
      <c r="G443" s="25">
        <v>44218</v>
      </c>
      <c r="H443">
        <v>5</v>
      </c>
      <c r="I443">
        <v>22</v>
      </c>
      <c r="J443" t="s">
        <v>432</v>
      </c>
      <c r="K443" t="s">
        <v>497</v>
      </c>
      <c r="L443" t="s">
        <v>438</v>
      </c>
      <c r="M443" t="s">
        <v>434</v>
      </c>
      <c r="N443" t="s">
        <v>75</v>
      </c>
      <c r="O443" t="s">
        <v>435</v>
      </c>
      <c r="P443" t="s">
        <v>438</v>
      </c>
      <c r="Q443">
        <v>0</v>
      </c>
      <c r="R443" t="s">
        <v>436</v>
      </c>
    </row>
    <row r="444" spans="1:18" x14ac:dyDescent="0.25">
      <c r="A444" t="s">
        <v>651</v>
      </c>
      <c r="B444">
        <v>173</v>
      </c>
      <c r="C444" t="s">
        <v>487</v>
      </c>
      <c r="D444" t="s">
        <v>229</v>
      </c>
      <c r="E444" t="s">
        <v>381</v>
      </c>
      <c r="F444" t="s">
        <v>518</v>
      </c>
      <c r="G444" s="25">
        <v>44204</v>
      </c>
      <c r="H444">
        <v>2</v>
      </c>
      <c r="I444">
        <v>8</v>
      </c>
      <c r="J444" t="s">
        <v>432</v>
      </c>
      <c r="K444" t="s">
        <v>497</v>
      </c>
      <c r="L444" t="s">
        <v>438</v>
      </c>
      <c r="M444" t="s">
        <v>434</v>
      </c>
      <c r="N444" t="s">
        <v>75</v>
      </c>
      <c r="O444" t="s">
        <v>435</v>
      </c>
      <c r="P444" t="s">
        <v>438</v>
      </c>
      <c r="Q444">
        <v>7200</v>
      </c>
      <c r="R444" t="s">
        <v>436</v>
      </c>
    </row>
    <row r="445" spans="1:18" x14ac:dyDescent="0.25">
      <c r="A445" t="s">
        <v>3336</v>
      </c>
      <c r="B445">
        <v>1999</v>
      </c>
      <c r="C445" t="s">
        <v>487</v>
      </c>
      <c r="D445" t="s">
        <v>322</v>
      </c>
      <c r="E445" t="s">
        <v>515</v>
      </c>
      <c r="F445" t="s">
        <v>2983</v>
      </c>
      <c r="G445" s="25">
        <v>44287</v>
      </c>
      <c r="H445">
        <v>19</v>
      </c>
      <c r="I445">
        <v>91</v>
      </c>
      <c r="J445" t="s">
        <v>432</v>
      </c>
      <c r="K445" t="s">
        <v>497</v>
      </c>
      <c r="L445" t="s">
        <v>438</v>
      </c>
      <c r="M445" t="s">
        <v>434</v>
      </c>
      <c r="N445" t="s">
        <v>75</v>
      </c>
      <c r="O445" t="s">
        <v>435</v>
      </c>
      <c r="P445" t="s">
        <v>438</v>
      </c>
      <c r="Q445">
        <v>55200</v>
      </c>
      <c r="R445" t="s">
        <v>436</v>
      </c>
    </row>
    <row r="446" spans="1:18" x14ac:dyDescent="0.25">
      <c r="A446" t="s">
        <v>1881</v>
      </c>
      <c r="B446">
        <v>1071</v>
      </c>
      <c r="C446" t="s">
        <v>487</v>
      </c>
      <c r="D446" t="s">
        <v>256</v>
      </c>
      <c r="E446" t="s">
        <v>371</v>
      </c>
      <c r="F446" t="s">
        <v>1318</v>
      </c>
      <c r="G446" s="25">
        <v>44245</v>
      </c>
      <c r="H446">
        <v>10</v>
      </c>
      <c r="I446">
        <v>49</v>
      </c>
      <c r="J446" t="s">
        <v>432</v>
      </c>
      <c r="K446" t="s">
        <v>496</v>
      </c>
      <c r="L446" t="s">
        <v>69</v>
      </c>
      <c r="M446" t="s">
        <v>434</v>
      </c>
      <c r="N446" t="s">
        <v>68</v>
      </c>
      <c r="O446" t="s">
        <v>21</v>
      </c>
      <c r="P446" t="s">
        <v>439</v>
      </c>
      <c r="Q446">
        <v>512000</v>
      </c>
      <c r="R446" t="s">
        <v>237</v>
      </c>
    </row>
    <row r="447" spans="1:18" x14ac:dyDescent="0.25">
      <c r="A447" t="s">
        <v>253</v>
      </c>
      <c r="B447">
        <v>103</v>
      </c>
      <c r="C447" t="s">
        <v>487</v>
      </c>
      <c r="D447" t="s">
        <v>229</v>
      </c>
      <c r="E447" t="s">
        <v>322</v>
      </c>
      <c r="F447" t="s">
        <v>529</v>
      </c>
      <c r="G447" s="25">
        <v>44201</v>
      </c>
      <c r="H447">
        <v>1</v>
      </c>
      <c r="I447">
        <v>5</v>
      </c>
      <c r="J447" t="s">
        <v>432</v>
      </c>
      <c r="K447" t="s">
        <v>496</v>
      </c>
      <c r="L447" t="s">
        <v>69</v>
      </c>
      <c r="M447" t="s">
        <v>434</v>
      </c>
      <c r="N447" t="s">
        <v>68</v>
      </c>
      <c r="O447" t="s">
        <v>21</v>
      </c>
      <c r="P447" t="s">
        <v>439</v>
      </c>
      <c r="Q447">
        <v>72000</v>
      </c>
      <c r="R447" t="s">
        <v>237</v>
      </c>
    </row>
    <row r="448" spans="1:18" x14ac:dyDescent="0.25">
      <c r="A448" t="s">
        <v>3337</v>
      </c>
      <c r="B448">
        <v>1907</v>
      </c>
      <c r="C448" t="s">
        <v>487</v>
      </c>
      <c r="D448" t="s">
        <v>322</v>
      </c>
      <c r="E448" t="s">
        <v>326</v>
      </c>
      <c r="F448" t="s">
        <v>2967</v>
      </c>
      <c r="G448" s="25">
        <v>44283</v>
      </c>
      <c r="H448">
        <v>18</v>
      </c>
      <c r="I448">
        <v>87</v>
      </c>
      <c r="J448" t="s">
        <v>432</v>
      </c>
      <c r="K448" t="s">
        <v>496</v>
      </c>
      <c r="L448" t="s">
        <v>69</v>
      </c>
      <c r="M448" t="s">
        <v>434</v>
      </c>
      <c r="N448" t="s">
        <v>68</v>
      </c>
      <c r="O448" t="s">
        <v>21</v>
      </c>
      <c r="P448" t="s">
        <v>439</v>
      </c>
      <c r="Q448">
        <v>681000</v>
      </c>
      <c r="R448" t="s">
        <v>237</v>
      </c>
    </row>
    <row r="449" spans="1:18" x14ac:dyDescent="0.25">
      <c r="A449" t="s">
        <v>1786</v>
      </c>
      <c r="B449">
        <v>1445</v>
      </c>
      <c r="C449" t="s">
        <v>487</v>
      </c>
      <c r="D449" t="s">
        <v>261</v>
      </c>
      <c r="E449" t="s">
        <v>247</v>
      </c>
      <c r="F449" t="s">
        <v>1425</v>
      </c>
      <c r="G449" s="25">
        <v>44262</v>
      </c>
      <c r="H449">
        <v>14</v>
      </c>
      <c r="I449">
        <v>66</v>
      </c>
      <c r="J449" t="s">
        <v>432</v>
      </c>
      <c r="K449" t="s">
        <v>496</v>
      </c>
      <c r="L449" t="s">
        <v>69</v>
      </c>
      <c r="M449" t="s">
        <v>434</v>
      </c>
      <c r="N449" t="s">
        <v>68</v>
      </c>
      <c r="O449" t="s">
        <v>21</v>
      </c>
      <c r="P449" t="s">
        <v>439</v>
      </c>
      <c r="Q449">
        <v>240875</v>
      </c>
      <c r="R449" t="s">
        <v>237</v>
      </c>
    </row>
    <row r="450" spans="1:18" x14ac:dyDescent="0.25">
      <c r="A450" t="s">
        <v>1688</v>
      </c>
      <c r="B450">
        <v>698</v>
      </c>
      <c r="C450" t="s">
        <v>487</v>
      </c>
      <c r="D450" t="s">
        <v>231</v>
      </c>
      <c r="E450" t="s">
        <v>232</v>
      </c>
      <c r="F450" t="s">
        <v>1162</v>
      </c>
      <c r="G450" s="25">
        <v>44228</v>
      </c>
      <c r="H450">
        <v>7</v>
      </c>
      <c r="I450">
        <v>32</v>
      </c>
      <c r="J450" t="s">
        <v>432</v>
      </c>
      <c r="K450" t="s">
        <v>495</v>
      </c>
      <c r="L450" t="s">
        <v>135</v>
      </c>
      <c r="M450" t="s">
        <v>434</v>
      </c>
      <c r="N450" t="s">
        <v>70</v>
      </c>
      <c r="O450" t="s">
        <v>21</v>
      </c>
      <c r="P450" t="s">
        <v>440</v>
      </c>
      <c r="Q450">
        <v>215250</v>
      </c>
      <c r="R450" t="s">
        <v>237</v>
      </c>
    </row>
    <row r="451" spans="1:18" x14ac:dyDescent="0.25">
      <c r="A451" t="s">
        <v>2746</v>
      </c>
      <c r="B451">
        <v>654</v>
      </c>
      <c r="C451" t="s">
        <v>487</v>
      </c>
      <c r="D451" t="s">
        <v>231</v>
      </c>
      <c r="E451" t="s">
        <v>239</v>
      </c>
      <c r="F451" t="s">
        <v>1139</v>
      </c>
      <c r="G451" s="25">
        <v>44226</v>
      </c>
      <c r="H451">
        <v>6</v>
      </c>
      <c r="I451">
        <v>30</v>
      </c>
      <c r="J451" t="s">
        <v>432</v>
      </c>
      <c r="K451" t="s">
        <v>495</v>
      </c>
      <c r="L451" t="s">
        <v>135</v>
      </c>
      <c r="M451" t="s">
        <v>434</v>
      </c>
      <c r="N451" t="s">
        <v>70</v>
      </c>
      <c r="O451" t="s">
        <v>21</v>
      </c>
      <c r="P451" t="s">
        <v>440</v>
      </c>
      <c r="Q451">
        <v>231500</v>
      </c>
      <c r="R451" t="s">
        <v>237</v>
      </c>
    </row>
    <row r="452" spans="1:18" x14ac:dyDescent="0.25">
      <c r="A452" t="s">
        <v>3338</v>
      </c>
      <c r="B452">
        <v>2524</v>
      </c>
      <c r="C452" t="s">
        <v>487</v>
      </c>
      <c r="D452" t="s">
        <v>247</v>
      </c>
      <c r="E452" t="s">
        <v>575</v>
      </c>
      <c r="F452" t="s">
        <v>3158</v>
      </c>
      <c r="G452" s="25">
        <v>44311</v>
      </c>
      <c r="H452">
        <v>23</v>
      </c>
      <c r="I452">
        <v>115</v>
      </c>
      <c r="J452" t="s">
        <v>432</v>
      </c>
      <c r="K452" t="s">
        <v>495</v>
      </c>
      <c r="L452" t="s">
        <v>135</v>
      </c>
      <c r="M452" t="s">
        <v>434</v>
      </c>
      <c r="N452" t="s">
        <v>70</v>
      </c>
      <c r="O452" t="s">
        <v>21</v>
      </c>
      <c r="P452" t="s">
        <v>440</v>
      </c>
      <c r="Q452">
        <v>384000</v>
      </c>
      <c r="R452" t="s">
        <v>237</v>
      </c>
    </row>
    <row r="453" spans="1:18" x14ac:dyDescent="0.25">
      <c r="A453" t="s">
        <v>2125</v>
      </c>
      <c r="B453">
        <v>1160</v>
      </c>
      <c r="C453" t="s">
        <v>487</v>
      </c>
      <c r="D453" t="s">
        <v>256</v>
      </c>
      <c r="E453" t="s">
        <v>512</v>
      </c>
      <c r="F453" t="s">
        <v>1342</v>
      </c>
      <c r="G453" s="25">
        <v>44249</v>
      </c>
      <c r="H453">
        <v>11</v>
      </c>
      <c r="I453">
        <v>53</v>
      </c>
      <c r="J453" t="s">
        <v>432</v>
      </c>
      <c r="K453" t="s">
        <v>495</v>
      </c>
      <c r="L453" t="s">
        <v>135</v>
      </c>
      <c r="M453" t="s">
        <v>434</v>
      </c>
      <c r="N453" t="s">
        <v>70</v>
      </c>
      <c r="O453" t="s">
        <v>21</v>
      </c>
      <c r="P453" t="s">
        <v>440</v>
      </c>
      <c r="Q453">
        <v>505875</v>
      </c>
      <c r="R453" t="s">
        <v>237</v>
      </c>
    </row>
    <row r="454" spans="1:18" x14ac:dyDescent="0.25">
      <c r="A454" t="s">
        <v>2471</v>
      </c>
      <c r="B454">
        <v>852</v>
      </c>
      <c r="C454" t="s">
        <v>487</v>
      </c>
      <c r="D454" t="s">
        <v>231</v>
      </c>
      <c r="E454" t="s">
        <v>531</v>
      </c>
      <c r="F454" t="s">
        <v>1230</v>
      </c>
      <c r="G454" s="25">
        <v>44235</v>
      </c>
      <c r="H454">
        <v>8</v>
      </c>
      <c r="I454">
        <v>39</v>
      </c>
      <c r="J454" t="s">
        <v>432</v>
      </c>
      <c r="K454" t="s">
        <v>495</v>
      </c>
      <c r="L454" t="s">
        <v>135</v>
      </c>
      <c r="M454" t="s">
        <v>434</v>
      </c>
      <c r="N454" t="s">
        <v>70</v>
      </c>
      <c r="O454" t="s">
        <v>21</v>
      </c>
      <c r="P454" t="s">
        <v>440</v>
      </c>
      <c r="Q454">
        <v>58875</v>
      </c>
      <c r="R454" t="s">
        <v>237</v>
      </c>
    </row>
    <row r="455" spans="1:18" x14ac:dyDescent="0.25">
      <c r="A455" t="s">
        <v>658</v>
      </c>
      <c r="B455">
        <v>350</v>
      </c>
      <c r="C455" t="s">
        <v>487</v>
      </c>
      <c r="D455" t="s">
        <v>229</v>
      </c>
      <c r="E455" t="s">
        <v>620</v>
      </c>
      <c r="F455" t="s">
        <v>621</v>
      </c>
      <c r="G455" s="25">
        <v>44212</v>
      </c>
      <c r="H455">
        <v>4</v>
      </c>
      <c r="I455">
        <v>16</v>
      </c>
      <c r="J455" t="s">
        <v>432</v>
      </c>
      <c r="K455" t="s">
        <v>494</v>
      </c>
      <c r="L455" t="s">
        <v>25</v>
      </c>
      <c r="M455" t="s">
        <v>434</v>
      </c>
      <c r="N455" t="s">
        <v>76</v>
      </c>
      <c r="O455" t="s">
        <v>435</v>
      </c>
      <c r="P455" t="s">
        <v>25</v>
      </c>
      <c r="Q455">
        <v>0</v>
      </c>
      <c r="R455" t="s">
        <v>436</v>
      </c>
    </row>
    <row r="456" spans="1:18" x14ac:dyDescent="0.25">
      <c r="A456" t="s">
        <v>272</v>
      </c>
      <c r="B456">
        <v>108</v>
      </c>
      <c r="C456" t="s">
        <v>487</v>
      </c>
      <c r="D456" t="s">
        <v>229</v>
      </c>
      <c r="E456" t="s">
        <v>322</v>
      </c>
      <c r="F456" t="s">
        <v>529</v>
      </c>
      <c r="G456" s="25">
        <v>44201</v>
      </c>
      <c r="H456">
        <v>1</v>
      </c>
      <c r="I456">
        <v>5</v>
      </c>
      <c r="J456" t="s">
        <v>432</v>
      </c>
      <c r="K456" t="s">
        <v>494</v>
      </c>
      <c r="L456" t="s">
        <v>25</v>
      </c>
      <c r="M456" t="s">
        <v>434</v>
      </c>
      <c r="N456" t="s">
        <v>76</v>
      </c>
      <c r="O456" t="s">
        <v>435</v>
      </c>
      <c r="P456" t="s">
        <v>25</v>
      </c>
      <c r="Q456">
        <v>10800</v>
      </c>
      <c r="R456" t="s">
        <v>436</v>
      </c>
    </row>
    <row r="457" spans="1:18" x14ac:dyDescent="0.25">
      <c r="A457" t="s">
        <v>3339</v>
      </c>
      <c r="B457">
        <v>2198</v>
      </c>
      <c r="C457" t="s">
        <v>487</v>
      </c>
      <c r="D457" t="s">
        <v>322</v>
      </c>
      <c r="E457" t="s">
        <v>408</v>
      </c>
      <c r="F457" t="s">
        <v>3059</v>
      </c>
      <c r="G457" s="25">
        <v>44296</v>
      </c>
      <c r="H457">
        <v>20</v>
      </c>
      <c r="I457">
        <v>100</v>
      </c>
      <c r="J457" t="s">
        <v>432</v>
      </c>
      <c r="K457" t="s">
        <v>494</v>
      </c>
      <c r="L457" t="s">
        <v>25</v>
      </c>
      <c r="M457" t="s">
        <v>434</v>
      </c>
      <c r="N457" t="s">
        <v>76</v>
      </c>
      <c r="O457" t="s">
        <v>435</v>
      </c>
      <c r="P457" t="s">
        <v>25</v>
      </c>
      <c r="Q457">
        <v>47250</v>
      </c>
      <c r="R457" t="s">
        <v>436</v>
      </c>
    </row>
    <row r="458" spans="1:18" x14ac:dyDescent="0.25">
      <c r="A458" t="s">
        <v>1949</v>
      </c>
      <c r="B458">
        <v>1560</v>
      </c>
      <c r="C458" t="s">
        <v>487</v>
      </c>
      <c r="D458" t="s">
        <v>261</v>
      </c>
      <c r="E458" t="s">
        <v>515</v>
      </c>
      <c r="F458" t="s">
        <v>1493</v>
      </c>
      <c r="G458" s="25">
        <v>44267</v>
      </c>
      <c r="H458">
        <v>15</v>
      </c>
      <c r="I458">
        <v>71</v>
      </c>
      <c r="J458" t="s">
        <v>432</v>
      </c>
      <c r="K458" t="s">
        <v>494</v>
      </c>
      <c r="L458" t="s">
        <v>25</v>
      </c>
      <c r="M458" t="s">
        <v>434</v>
      </c>
      <c r="N458" t="s">
        <v>76</v>
      </c>
      <c r="O458" t="s">
        <v>435</v>
      </c>
      <c r="P458" t="s">
        <v>25</v>
      </c>
      <c r="Q458">
        <v>38100</v>
      </c>
      <c r="R458" t="s">
        <v>436</v>
      </c>
    </row>
    <row r="459" spans="1:18" x14ac:dyDescent="0.25">
      <c r="A459" t="s">
        <v>2258</v>
      </c>
      <c r="B459">
        <v>1076</v>
      </c>
      <c r="C459" t="s">
        <v>487</v>
      </c>
      <c r="D459" t="s">
        <v>256</v>
      </c>
      <c r="E459" t="s">
        <v>371</v>
      </c>
      <c r="F459" t="s">
        <v>1318</v>
      </c>
      <c r="G459" s="25">
        <v>44245</v>
      </c>
      <c r="H459">
        <v>10</v>
      </c>
      <c r="I459">
        <v>49</v>
      </c>
      <c r="J459" t="s">
        <v>432</v>
      </c>
      <c r="K459" t="s">
        <v>494</v>
      </c>
      <c r="L459" t="s">
        <v>25</v>
      </c>
      <c r="M459" t="s">
        <v>434</v>
      </c>
      <c r="N459" t="s">
        <v>76</v>
      </c>
      <c r="O459" t="s">
        <v>435</v>
      </c>
      <c r="P459" t="s">
        <v>25</v>
      </c>
      <c r="Q459">
        <v>45300</v>
      </c>
      <c r="R459" t="s">
        <v>436</v>
      </c>
    </row>
    <row r="460" spans="1:18" x14ac:dyDescent="0.25">
      <c r="A460" t="s">
        <v>2749</v>
      </c>
      <c r="B460">
        <v>724</v>
      </c>
      <c r="C460" t="s">
        <v>487</v>
      </c>
      <c r="D460" t="s">
        <v>231</v>
      </c>
      <c r="E460" t="s">
        <v>512</v>
      </c>
      <c r="F460" t="s">
        <v>1174</v>
      </c>
      <c r="G460" s="25">
        <v>44229</v>
      </c>
      <c r="H460">
        <v>7</v>
      </c>
      <c r="I460">
        <v>33</v>
      </c>
      <c r="J460" t="s">
        <v>432</v>
      </c>
      <c r="K460" t="s">
        <v>494</v>
      </c>
      <c r="L460" t="s">
        <v>25</v>
      </c>
      <c r="M460" t="s">
        <v>434</v>
      </c>
      <c r="N460" t="s">
        <v>76</v>
      </c>
      <c r="O460" t="s">
        <v>435</v>
      </c>
      <c r="P460" t="s">
        <v>25</v>
      </c>
      <c r="Q460">
        <v>28800</v>
      </c>
      <c r="R460" t="s">
        <v>436</v>
      </c>
    </row>
    <row r="461" spans="1:18" x14ac:dyDescent="0.25">
      <c r="A461" t="s">
        <v>2198</v>
      </c>
      <c r="B461">
        <v>1584</v>
      </c>
      <c r="C461" t="s">
        <v>487</v>
      </c>
      <c r="D461" t="s">
        <v>261</v>
      </c>
      <c r="E461" t="s">
        <v>232</v>
      </c>
      <c r="F461" t="s">
        <v>1500</v>
      </c>
      <c r="G461" s="25">
        <v>44268</v>
      </c>
      <c r="H461">
        <v>15</v>
      </c>
      <c r="I461">
        <v>72</v>
      </c>
      <c r="J461" t="s">
        <v>432</v>
      </c>
      <c r="K461" t="s">
        <v>493</v>
      </c>
      <c r="L461" t="s">
        <v>441</v>
      </c>
      <c r="M461" t="s">
        <v>434</v>
      </c>
      <c r="N461" t="s">
        <v>78</v>
      </c>
      <c r="O461" t="s">
        <v>435</v>
      </c>
      <c r="P461" t="s">
        <v>441</v>
      </c>
      <c r="Q461">
        <v>138709.375</v>
      </c>
      <c r="R461" t="s">
        <v>436</v>
      </c>
    </row>
    <row r="462" spans="1:18" x14ac:dyDescent="0.25">
      <c r="A462" t="s">
        <v>656</v>
      </c>
      <c r="B462">
        <v>374</v>
      </c>
      <c r="C462" t="s">
        <v>487</v>
      </c>
      <c r="D462" t="s">
        <v>229</v>
      </c>
      <c r="E462" t="s">
        <v>534</v>
      </c>
      <c r="F462" t="s">
        <v>535</v>
      </c>
      <c r="G462" s="25">
        <v>44213</v>
      </c>
      <c r="H462">
        <v>4</v>
      </c>
      <c r="I462">
        <v>17</v>
      </c>
      <c r="J462" t="s">
        <v>432</v>
      </c>
      <c r="K462" t="s">
        <v>493</v>
      </c>
      <c r="L462" t="s">
        <v>441</v>
      </c>
      <c r="M462" t="s">
        <v>434</v>
      </c>
      <c r="N462" t="s">
        <v>78</v>
      </c>
      <c r="O462" t="s">
        <v>435</v>
      </c>
      <c r="P462" t="s">
        <v>441</v>
      </c>
      <c r="Q462">
        <v>11309.375</v>
      </c>
      <c r="R462" t="s">
        <v>436</v>
      </c>
    </row>
    <row r="463" spans="1:18" x14ac:dyDescent="0.25">
      <c r="A463" t="s">
        <v>3340</v>
      </c>
      <c r="B463">
        <v>1997</v>
      </c>
      <c r="C463" t="s">
        <v>487</v>
      </c>
      <c r="D463" t="s">
        <v>322</v>
      </c>
      <c r="E463" t="s">
        <v>515</v>
      </c>
      <c r="F463" t="s">
        <v>2983</v>
      </c>
      <c r="G463" s="25">
        <v>44287</v>
      </c>
      <c r="H463">
        <v>19</v>
      </c>
      <c r="I463">
        <v>91</v>
      </c>
      <c r="J463" t="s">
        <v>432</v>
      </c>
      <c r="K463" t="s">
        <v>492</v>
      </c>
      <c r="L463" t="s">
        <v>24</v>
      </c>
      <c r="M463" t="s">
        <v>434</v>
      </c>
      <c r="N463" t="s">
        <v>71</v>
      </c>
      <c r="O463" t="s">
        <v>435</v>
      </c>
      <c r="P463" t="s">
        <v>24</v>
      </c>
      <c r="Q463">
        <v>74400</v>
      </c>
      <c r="R463" t="s">
        <v>436</v>
      </c>
    </row>
    <row r="464" spans="1:18" x14ac:dyDescent="0.25">
      <c r="A464" t="s">
        <v>2484</v>
      </c>
      <c r="B464">
        <v>1557</v>
      </c>
      <c r="C464" t="s">
        <v>487</v>
      </c>
      <c r="D464" t="s">
        <v>261</v>
      </c>
      <c r="E464" t="s">
        <v>515</v>
      </c>
      <c r="F464" t="s">
        <v>1493</v>
      </c>
      <c r="G464" s="25">
        <v>44267</v>
      </c>
      <c r="H464">
        <v>15</v>
      </c>
      <c r="I464">
        <v>71</v>
      </c>
      <c r="J464" t="s">
        <v>432</v>
      </c>
      <c r="K464" t="s">
        <v>492</v>
      </c>
      <c r="L464" t="s">
        <v>24</v>
      </c>
      <c r="M464" t="s">
        <v>434</v>
      </c>
      <c r="N464" t="s">
        <v>71</v>
      </c>
      <c r="O464" t="s">
        <v>435</v>
      </c>
      <c r="P464" t="s">
        <v>24</v>
      </c>
      <c r="Q464">
        <v>25912.5</v>
      </c>
      <c r="R464" t="s">
        <v>436</v>
      </c>
    </row>
    <row r="465" spans="1:18" x14ac:dyDescent="0.25">
      <c r="A465" t="s">
        <v>2631</v>
      </c>
      <c r="B465">
        <v>787</v>
      </c>
      <c r="C465" t="s">
        <v>487</v>
      </c>
      <c r="D465" t="s">
        <v>231</v>
      </c>
      <c r="E465" t="s">
        <v>620</v>
      </c>
      <c r="F465" t="s">
        <v>1215</v>
      </c>
      <c r="G465" s="25">
        <v>44232</v>
      </c>
      <c r="H465">
        <v>8</v>
      </c>
      <c r="I465">
        <v>36</v>
      </c>
      <c r="J465" t="s">
        <v>432</v>
      </c>
      <c r="K465" t="s">
        <v>492</v>
      </c>
      <c r="L465" t="s">
        <v>24</v>
      </c>
      <c r="M465" t="s">
        <v>434</v>
      </c>
      <c r="N465" t="s">
        <v>71</v>
      </c>
      <c r="O465" t="s">
        <v>435</v>
      </c>
      <c r="P465" t="s">
        <v>24</v>
      </c>
      <c r="Q465">
        <v>14400</v>
      </c>
      <c r="R465" t="s">
        <v>436</v>
      </c>
    </row>
    <row r="466" spans="1:18" x14ac:dyDescent="0.25">
      <c r="A466" t="s">
        <v>1584</v>
      </c>
      <c r="B466">
        <v>479</v>
      </c>
      <c r="C466" t="s">
        <v>487</v>
      </c>
      <c r="D466" t="s">
        <v>231</v>
      </c>
      <c r="E466" t="s">
        <v>231</v>
      </c>
      <c r="F466" t="s">
        <v>1080</v>
      </c>
      <c r="G466" s="25">
        <v>44218</v>
      </c>
      <c r="H466">
        <v>5</v>
      </c>
      <c r="I466">
        <v>22</v>
      </c>
      <c r="J466" t="s">
        <v>432</v>
      </c>
      <c r="K466" t="s">
        <v>492</v>
      </c>
      <c r="L466" t="s">
        <v>24</v>
      </c>
      <c r="M466" t="s">
        <v>434</v>
      </c>
      <c r="N466" t="s">
        <v>71</v>
      </c>
      <c r="O466" t="s">
        <v>435</v>
      </c>
      <c r="P466" t="s">
        <v>24</v>
      </c>
      <c r="Q466">
        <v>0</v>
      </c>
      <c r="R466" t="s">
        <v>436</v>
      </c>
    </row>
    <row r="467" spans="1:18" x14ac:dyDescent="0.25">
      <c r="A467" t="s">
        <v>726</v>
      </c>
      <c r="B467">
        <v>171</v>
      </c>
      <c r="C467" t="s">
        <v>487</v>
      </c>
      <c r="D467" t="s">
        <v>229</v>
      </c>
      <c r="E467" t="s">
        <v>381</v>
      </c>
      <c r="F467" t="s">
        <v>518</v>
      </c>
      <c r="G467" s="25">
        <v>44204</v>
      </c>
      <c r="H467">
        <v>2</v>
      </c>
      <c r="I467">
        <v>8</v>
      </c>
      <c r="J467" t="s">
        <v>432</v>
      </c>
      <c r="K467" t="s">
        <v>492</v>
      </c>
      <c r="L467" t="s">
        <v>24</v>
      </c>
      <c r="M467" t="s">
        <v>434</v>
      </c>
      <c r="N467" t="s">
        <v>71</v>
      </c>
      <c r="O467" t="s">
        <v>435</v>
      </c>
      <c r="P467" t="s">
        <v>24</v>
      </c>
      <c r="Q467">
        <v>7200</v>
      </c>
      <c r="R467" t="s">
        <v>436</v>
      </c>
    </row>
    <row r="468" spans="1:18" x14ac:dyDescent="0.25">
      <c r="A468" t="s">
        <v>3341</v>
      </c>
      <c r="B468">
        <v>2349</v>
      </c>
      <c r="C468" t="s">
        <v>487</v>
      </c>
      <c r="D468" t="s">
        <v>247</v>
      </c>
      <c r="E468" t="s">
        <v>326</v>
      </c>
      <c r="F468" t="s">
        <v>3091</v>
      </c>
      <c r="G468" s="25">
        <v>44303</v>
      </c>
      <c r="H468">
        <v>22</v>
      </c>
      <c r="I468">
        <v>107</v>
      </c>
      <c r="J468" t="s">
        <v>432</v>
      </c>
      <c r="K468" t="s">
        <v>492</v>
      </c>
      <c r="L468" t="s">
        <v>24</v>
      </c>
      <c r="M468" t="s">
        <v>434</v>
      </c>
      <c r="N468" t="s">
        <v>71</v>
      </c>
      <c r="O468" t="s">
        <v>435</v>
      </c>
      <c r="P468" t="s">
        <v>24</v>
      </c>
      <c r="Q468">
        <v>54300</v>
      </c>
      <c r="R468" t="s">
        <v>436</v>
      </c>
    </row>
    <row r="469" spans="1:18" x14ac:dyDescent="0.25">
      <c r="A469" t="s">
        <v>2914</v>
      </c>
      <c r="B469">
        <v>1394</v>
      </c>
      <c r="C469" t="s">
        <v>487</v>
      </c>
      <c r="D469" t="s">
        <v>261</v>
      </c>
      <c r="E469" t="s">
        <v>261</v>
      </c>
      <c r="F469" t="s">
        <v>1410</v>
      </c>
      <c r="G469" s="25">
        <v>44260</v>
      </c>
      <c r="H469">
        <v>13</v>
      </c>
      <c r="I469">
        <v>64</v>
      </c>
      <c r="J469" t="s">
        <v>231</v>
      </c>
      <c r="K469" t="s">
        <v>491</v>
      </c>
      <c r="L469" t="s">
        <v>233</v>
      </c>
      <c r="M469" t="s">
        <v>234</v>
      </c>
      <c r="N469" t="s">
        <v>54</v>
      </c>
      <c r="O469" t="s">
        <v>235</v>
      </c>
      <c r="P469" t="s">
        <v>236</v>
      </c>
      <c r="Q469">
        <v>0</v>
      </c>
      <c r="R469" t="s">
        <v>237</v>
      </c>
    </row>
    <row r="470" spans="1:18" x14ac:dyDescent="0.25">
      <c r="A470" t="s">
        <v>1896</v>
      </c>
      <c r="B470">
        <v>1108</v>
      </c>
      <c r="C470" t="s">
        <v>487</v>
      </c>
      <c r="D470" t="s">
        <v>256</v>
      </c>
      <c r="E470" t="s">
        <v>515</v>
      </c>
      <c r="F470" t="s">
        <v>1329</v>
      </c>
      <c r="G470" s="25">
        <v>44247</v>
      </c>
      <c r="H470">
        <v>11</v>
      </c>
      <c r="I470">
        <v>51</v>
      </c>
      <c r="J470" t="s">
        <v>231</v>
      </c>
      <c r="K470" t="s">
        <v>491</v>
      </c>
      <c r="L470" t="s">
        <v>233</v>
      </c>
      <c r="M470" t="s">
        <v>234</v>
      </c>
      <c r="N470" t="s">
        <v>54</v>
      </c>
      <c r="O470" t="s">
        <v>235</v>
      </c>
      <c r="P470" t="s">
        <v>236</v>
      </c>
      <c r="Q470">
        <v>0</v>
      </c>
      <c r="R470" t="s">
        <v>237</v>
      </c>
    </row>
    <row r="471" spans="1:18" x14ac:dyDescent="0.25">
      <c r="A471" t="s">
        <v>2854</v>
      </c>
      <c r="B471">
        <v>800</v>
      </c>
      <c r="C471" t="s">
        <v>487</v>
      </c>
      <c r="D471" t="s">
        <v>231</v>
      </c>
      <c r="E471" t="s">
        <v>534</v>
      </c>
      <c r="F471" t="s">
        <v>1731</v>
      </c>
      <c r="G471" s="25">
        <v>44233</v>
      </c>
      <c r="H471">
        <v>8</v>
      </c>
      <c r="I471">
        <v>37</v>
      </c>
      <c r="J471" t="s">
        <v>231</v>
      </c>
      <c r="K471" t="s">
        <v>491</v>
      </c>
      <c r="L471" t="s">
        <v>233</v>
      </c>
      <c r="M471" t="s">
        <v>234</v>
      </c>
      <c r="N471" t="s">
        <v>54</v>
      </c>
      <c r="O471" t="s">
        <v>235</v>
      </c>
      <c r="P471" t="s">
        <v>236</v>
      </c>
      <c r="Q471">
        <v>0</v>
      </c>
      <c r="R471" t="s">
        <v>237</v>
      </c>
    </row>
    <row r="472" spans="1:18" x14ac:dyDescent="0.25">
      <c r="A472" t="s">
        <v>1611</v>
      </c>
      <c r="B472">
        <v>492</v>
      </c>
      <c r="C472" t="s">
        <v>487</v>
      </c>
      <c r="D472" t="s">
        <v>231</v>
      </c>
      <c r="E472" t="s">
        <v>256</v>
      </c>
      <c r="F472" t="s">
        <v>1064</v>
      </c>
      <c r="G472" s="25">
        <v>44219</v>
      </c>
      <c r="H472">
        <v>5</v>
      </c>
      <c r="I472">
        <v>23</v>
      </c>
      <c r="J472" t="s">
        <v>231</v>
      </c>
      <c r="K472" t="s">
        <v>491</v>
      </c>
      <c r="L472" t="s">
        <v>233</v>
      </c>
      <c r="M472" t="s">
        <v>234</v>
      </c>
      <c r="N472" t="s">
        <v>54</v>
      </c>
      <c r="O472" t="s">
        <v>235</v>
      </c>
      <c r="P472" t="s">
        <v>236</v>
      </c>
      <c r="Q472">
        <v>0</v>
      </c>
      <c r="R472" t="s">
        <v>237</v>
      </c>
    </row>
    <row r="473" spans="1:18" x14ac:dyDescent="0.25">
      <c r="A473" t="s">
        <v>722</v>
      </c>
      <c r="B473">
        <v>184</v>
      </c>
      <c r="C473" t="s">
        <v>487</v>
      </c>
      <c r="D473" t="s">
        <v>229</v>
      </c>
      <c r="E473" t="s">
        <v>371</v>
      </c>
      <c r="F473" t="s">
        <v>557</v>
      </c>
      <c r="G473" s="25">
        <v>44205</v>
      </c>
      <c r="H473">
        <v>2</v>
      </c>
      <c r="I473">
        <v>9</v>
      </c>
      <c r="J473" t="s">
        <v>231</v>
      </c>
      <c r="K473" t="s">
        <v>491</v>
      </c>
      <c r="L473" t="s">
        <v>233</v>
      </c>
      <c r="M473" t="s">
        <v>234</v>
      </c>
      <c r="N473" t="s">
        <v>54</v>
      </c>
      <c r="O473" t="s">
        <v>235</v>
      </c>
      <c r="P473" t="s">
        <v>236</v>
      </c>
      <c r="Q473">
        <v>0</v>
      </c>
      <c r="R473" t="s">
        <v>237</v>
      </c>
    </row>
    <row r="474" spans="1:18" x14ac:dyDescent="0.25">
      <c r="A474" t="s">
        <v>3342</v>
      </c>
      <c r="B474">
        <v>2472</v>
      </c>
      <c r="C474" t="s">
        <v>487</v>
      </c>
      <c r="D474" t="s">
        <v>247</v>
      </c>
      <c r="E474" t="s">
        <v>512</v>
      </c>
      <c r="F474" t="s">
        <v>3146</v>
      </c>
      <c r="G474" s="25">
        <v>44309</v>
      </c>
      <c r="H474">
        <v>23</v>
      </c>
      <c r="I474">
        <v>113</v>
      </c>
      <c r="J474" t="s">
        <v>231</v>
      </c>
      <c r="K474" t="s">
        <v>491</v>
      </c>
      <c r="L474" t="s">
        <v>233</v>
      </c>
      <c r="M474" t="s">
        <v>234</v>
      </c>
      <c r="N474" t="s">
        <v>54</v>
      </c>
      <c r="O474" t="s">
        <v>235</v>
      </c>
      <c r="P474" t="s">
        <v>236</v>
      </c>
      <c r="Q474">
        <v>25389</v>
      </c>
      <c r="R474" t="s">
        <v>237</v>
      </c>
    </row>
    <row r="475" spans="1:18" x14ac:dyDescent="0.25">
      <c r="A475" t="s">
        <v>3343</v>
      </c>
      <c r="B475">
        <v>2362</v>
      </c>
      <c r="C475" t="s">
        <v>487</v>
      </c>
      <c r="D475" t="s">
        <v>247</v>
      </c>
      <c r="E475" t="s">
        <v>381</v>
      </c>
      <c r="F475" t="s">
        <v>3107</v>
      </c>
      <c r="G475" s="25">
        <v>44304</v>
      </c>
      <c r="H475">
        <v>22</v>
      </c>
      <c r="I475">
        <v>108</v>
      </c>
      <c r="J475" t="s">
        <v>231</v>
      </c>
      <c r="K475" t="s">
        <v>491</v>
      </c>
      <c r="L475" t="s">
        <v>233</v>
      </c>
      <c r="M475" t="s">
        <v>234</v>
      </c>
      <c r="N475" t="s">
        <v>54</v>
      </c>
      <c r="O475" t="s">
        <v>235</v>
      </c>
      <c r="P475" t="s">
        <v>236</v>
      </c>
      <c r="Q475">
        <v>0</v>
      </c>
      <c r="R475" t="s">
        <v>237</v>
      </c>
    </row>
    <row r="476" spans="1:18" x14ac:dyDescent="0.25">
      <c r="A476" t="s">
        <v>3344</v>
      </c>
      <c r="B476">
        <v>2208</v>
      </c>
      <c r="C476" t="s">
        <v>487</v>
      </c>
      <c r="D476" t="s">
        <v>247</v>
      </c>
      <c r="E476" t="s">
        <v>229</v>
      </c>
      <c r="F476" t="s">
        <v>3063</v>
      </c>
      <c r="G476" s="25">
        <v>44297</v>
      </c>
      <c r="H476">
        <v>21</v>
      </c>
      <c r="I476">
        <v>101</v>
      </c>
      <c r="J476" t="s">
        <v>231</v>
      </c>
      <c r="K476" t="s">
        <v>491</v>
      </c>
      <c r="L476" t="s">
        <v>233</v>
      </c>
      <c r="M476" t="s">
        <v>234</v>
      </c>
      <c r="N476" t="s">
        <v>54</v>
      </c>
      <c r="O476" t="s">
        <v>235</v>
      </c>
      <c r="P476" t="s">
        <v>236</v>
      </c>
      <c r="Q476">
        <v>5375</v>
      </c>
      <c r="R476" t="s">
        <v>237</v>
      </c>
    </row>
    <row r="477" spans="1:18" x14ac:dyDescent="0.25">
      <c r="A477" t="s">
        <v>2207</v>
      </c>
      <c r="B477">
        <v>1003</v>
      </c>
      <c r="C477" t="s">
        <v>487</v>
      </c>
      <c r="D477" t="s">
        <v>256</v>
      </c>
      <c r="E477" t="s">
        <v>247</v>
      </c>
      <c r="F477" t="s">
        <v>1299</v>
      </c>
      <c r="G477" s="25">
        <v>44242</v>
      </c>
      <c r="H477">
        <v>10</v>
      </c>
      <c r="I477">
        <v>46</v>
      </c>
      <c r="J477" t="s">
        <v>432</v>
      </c>
      <c r="K477" t="s">
        <v>490</v>
      </c>
      <c r="L477" t="s">
        <v>65</v>
      </c>
      <c r="M477" t="s">
        <v>434</v>
      </c>
      <c r="N477" t="s">
        <v>64</v>
      </c>
      <c r="O477" t="s">
        <v>235</v>
      </c>
      <c r="P477" t="s">
        <v>442</v>
      </c>
      <c r="Q477">
        <v>160000</v>
      </c>
      <c r="R477" t="s">
        <v>237</v>
      </c>
    </row>
    <row r="478" spans="1:18" x14ac:dyDescent="0.25">
      <c r="A478" t="s">
        <v>315</v>
      </c>
      <c r="B478">
        <v>35</v>
      </c>
      <c r="C478" t="s">
        <v>487</v>
      </c>
      <c r="D478" t="s">
        <v>229</v>
      </c>
      <c r="E478" t="s">
        <v>231</v>
      </c>
      <c r="F478" t="s">
        <v>568</v>
      </c>
      <c r="G478" s="25">
        <v>44198</v>
      </c>
      <c r="H478">
        <v>1</v>
      </c>
      <c r="I478">
        <v>2</v>
      </c>
      <c r="J478" t="s">
        <v>432</v>
      </c>
      <c r="K478" t="s">
        <v>490</v>
      </c>
      <c r="L478" t="s">
        <v>65</v>
      </c>
      <c r="M478" t="s">
        <v>434</v>
      </c>
      <c r="N478" t="s">
        <v>64</v>
      </c>
      <c r="O478" t="s">
        <v>235</v>
      </c>
      <c r="P478" t="s">
        <v>442</v>
      </c>
      <c r="Q478">
        <v>0</v>
      </c>
      <c r="R478" t="s">
        <v>237</v>
      </c>
    </row>
    <row r="479" spans="1:18" x14ac:dyDescent="0.25">
      <c r="A479" t="s">
        <v>3345</v>
      </c>
      <c r="B479">
        <v>1861</v>
      </c>
      <c r="C479" t="s">
        <v>487</v>
      </c>
      <c r="D479" t="s">
        <v>322</v>
      </c>
      <c r="E479" t="s">
        <v>322</v>
      </c>
      <c r="F479" t="s">
        <v>2960</v>
      </c>
      <c r="G479" s="25">
        <v>44281</v>
      </c>
      <c r="H479">
        <v>17</v>
      </c>
      <c r="I479">
        <v>85</v>
      </c>
      <c r="J479" t="s">
        <v>432</v>
      </c>
      <c r="K479" t="s">
        <v>490</v>
      </c>
      <c r="L479" t="s">
        <v>65</v>
      </c>
      <c r="M479" t="s">
        <v>434</v>
      </c>
      <c r="N479" t="s">
        <v>64</v>
      </c>
      <c r="O479" t="s">
        <v>235</v>
      </c>
      <c r="P479" t="s">
        <v>442</v>
      </c>
      <c r="Q479">
        <v>611750</v>
      </c>
      <c r="R479" t="s">
        <v>237</v>
      </c>
    </row>
    <row r="480" spans="1:18" x14ac:dyDescent="0.25">
      <c r="A480" t="s">
        <v>2639</v>
      </c>
      <c r="B480">
        <v>1113</v>
      </c>
      <c r="C480" t="s">
        <v>487</v>
      </c>
      <c r="D480" t="s">
        <v>256</v>
      </c>
      <c r="E480" t="s">
        <v>515</v>
      </c>
      <c r="F480" t="s">
        <v>1329</v>
      </c>
      <c r="G480" s="25">
        <v>44247</v>
      </c>
      <c r="H480">
        <v>11</v>
      </c>
      <c r="I480">
        <v>51</v>
      </c>
      <c r="J480" t="s">
        <v>432</v>
      </c>
      <c r="K480" t="s">
        <v>490</v>
      </c>
      <c r="L480" t="s">
        <v>65</v>
      </c>
      <c r="M480" t="s">
        <v>434</v>
      </c>
      <c r="N480" t="s">
        <v>64</v>
      </c>
      <c r="O480" t="s">
        <v>235</v>
      </c>
      <c r="P480" t="s">
        <v>442</v>
      </c>
      <c r="Q480">
        <v>394125</v>
      </c>
      <c r="R480" t="s">
        <v>237</v>
      </c>
    </row>
    <row r="481" spans="1:18" x14ac:dyDescent="0.25">
      <c r="A481" t="s">
        <v>2148</v>
      </c>
      <c r="B481">
        <v>1338</v>
      </c>
      <c r="C481" t="s">
        <v>487</v>
      </c>
      <c r="D481" t="s">
        <v>261</v>
      </c>
      <c r="E481" t="s">
        <v>229</v>
      </c>
      <c r="F481" t="s">
        <v>1388</v>
      </c>
      <c r="G481" s="25">
        <v>44257</v>
      </c>
      <c r="H481">
        <v>13</v>
      </c>
      <c r="I481">
        <v>61</v>
      </c>
      <c r="J481" t="s">
        <v>432</v>
      </c>
      <c r="K481" t="s">
        <v>488</v>
      </c>
      <c r="L481" t="s">
        <v>433</v>
      </c>
      <c r="M481" t="s">
        <v>434</v>
      </c>
      <c r="N481" t="s">
        <v>74</v>
      </c>
      <c r="O481" t="s">
        <v>435</v>
      </c>
      <c r="P481" t="s">
        <v>433</v>
      </c>
      <c r="Q481">
        <v>39300</v>
      </c>
      <c r="R481" t="s">
        <v>436</v>
      </c>
    </row>
    <row r="482" spans="1:18" x14ac:dyDescent="0.25">
      <c r="A482" t="s">
        <v>263</v>
      </c>
      <c r="B482">
        <v>128</v>
      </c>
      <c r="C482" t="s">
        <v>487</v>
      </c>
      <c r="D482" t="s">
        <v>229</v>
      </c>
      <c r="E482" t="s">
        <v>247</v>
      </c>
      <c r="F482" t="s">
        <v>524</v>
      </c>
      <c r="G482" s="25">
        <v>44202</v>
      </c>
      <c r="H482">
        <v>2</v>
      </c>
      <c r="I482">
        <v>6</v>
      </c>
      <c r="J482" t="s">
        <v>432</v>
      </c>
      <c r="K482" t="s">
        <v>488</v>
      </c>
      <c r="L482" t="s">
        <v>433</v>
      </c>
      <c r="M482" t="s">
        <v>434</v>
      </c>
      <c r="N482" t="s">
        <v>74</v>
      </c>
      <c r="O482" t="s">
        <v>435</v>
      </c>
      <c r="P482" t="s">
        <v>433</v>
      </c>
      <c r="Q482">
        <v>8400</v>
      </c>
      <c r="R482" t="s">
        <v>436</v>
      </c>
    </row>
    <row r="483" spans="1:18" x14ac:dyDescent="0.25">
      <c r="A483" t="s">
        <v>3346</v>
      </c>
      <c r="B483">
        <v>2544</v>
      </c>
      <c r="C483" t="s">
        <v>487</v>
      </c>
      <c r="D483" t="s">
        <v>247</v>
      </c>
      <c r="E483" t="s">
        <v>620</v>
      </c>
      <c r="F483" t="s">
        <v>3162</v>
      </c>
      <c r="G483" s="25">
        <v>44312</v>
      </c>
      <c r="H483">
        <v>24</v>
      </c>
      <c r="I483">
        <v>116</v>
      </c>
      <c r="J483" t="s">
        <v>432</v>
      </c>
      <c r="K483" t="s">
        <v>489</v>
      </c>
      <c r="L483" t="s">
        <v>134</v>
      </c>
      <c r="M483" t="s">
        <v>434</v>
      </c>
      <c r="N483" t="s">
        <v>67</v>
      </c>
      <c r="O483" t="s">
        <v>235</v>
      </c>
      <c r="P483" t="s">
        <v>437</v>
      </c>
      <c r="Q483">
        <v>230625</v>
      </c>
      <c r="R483" t="s">
        <v>237</v>
      </c>
    </row>
    <row r="484" spans="1:18" x14ac:dyDescent="0.25">
      <c r="A484" t="s">
        <v>3347</v>
      </c>
      <c r="B484">
        <v>1928</v>
      </c>
      <c r="C484" t="s">
        <v>487</v>
      </c>
      <c r="D484" t="s">
        <v>322</v>
      </c>
      <c r="E484" t="s">
        <v>381</v>
      </c>
      <c r="F484" t="s">
        <v>2971</v>
      </c>
      <c r="G484" s="25">
        <v>44284</v>
      </c>
      <c r="H484">
        <v>18</v>
      </c>
      <c r="I484">
        <v>88</v>
      </c>
      <c r="J484" t="s">
        <v>432</v>
      </c>
      <c r="K484" t="s">
        <v>489</v>
      </c>
      <c r="L484" t="s">
        <v>134</v>
      </c>
      <c r="M484" t="s">
        <v>434</v>
      </c>
      <c r="N484" t="s">
        <v>67</v>
      </c>
      <c r="O484" t="s">
        <v>235</v>
      </c>
      <c r="P484" t="s">
        <v>437</v>
      </c>
      <c r="Q484">
        <v>543625</v>
      </c>
      <c r="R484" t="s">
        <v>237</v>
      </c>
    </row>
    <row r="485" spans="1:18" x14ac:dyDescent="0.25">
      <c r="A485" t="s">
        <v>1800</v>
      </c>
      <c r="B485">
        <v>1774</v>
      </c>
      <c r="C485" t="s">
        <v>487</v>
      </c>
      <c r="D485" t="s">
        <v>322</v>
      </c>
      <c r="E485" t="s">
        <v>229</v>
      </c>
      <c r="F485" t="s">
        <v>1643</v>
      </c>
      <c r="G485" s="25">
        <v>44277</v>
      </c>
      <c r="H485">
        <v>17</v>
      </c>
      <c r="I485">
        <v>81</v>
      </c>
      <c r="J485" t="s">
        <v>432</v>
      </c>
      <c r="K485" t="s">
        <v>489</v>
      </c>
      <c r="L485" t="s">
        <v>134</v>
      </c>
      <c r="M485" t="s">
        <v>434</v>
      </c>
      <c r="N485" t="s">
        <v>67</v>
      </c>
      <c r="O485" t="s">
        <v>235</v>
      </c>
      <c r="P485" t="s">
        <v>437</v>
      </c>
      <c r="Q485">
        <v>252000</v>
      </c>
      <c r="R485" t="s">
        <v>237</v>
      </c>
    </row>
    <row r="486" spans="1:18" x14ac:dyDescent="0.25">
      <c r="A486" t="s">
        <v>1905</v>
      </c>
      <c r="B486">
        <v>1466</v>
      </c>
      <c r="C486" t="s">
        <v>487</v>
      </c>
      <c r="D486" t="s">
        <v>261</v>
      </c>
      <c r="E486" t="s">
        <v>326</v>
      </c>
      <c r="F486" t="s">
        <v>1440</v>
      </c>
      <c r="G486" s="25">
        <v>44263</v>
      </c>
      <c r="H486">
        <v>14</v>
      </c>
      <c r="I486">
        <v>67</v>
      </c>
      <c r="J486" t="s">
        <v>432</v>
      </c>
      <c r="K486" t="s">
        <v>489</v>
      </c>
      <c r="L486" t="s">
        <v>134</v>
      </c>
      <c r="M486" t="s">
        <v>434</v>
      </c>
      <c r="N486" t="s">
        <v>67</v>
      </c>
      <c r="O486" t="s">
        <v>235</v>
      </c>
      <c r="P486" t="s">
        <v>437</v>
      </c>
      <c r="Q486">
        <v>344000</v>
      </c>
      <c r="R486" t="s">
        <v>237</v>
      </c>
    </row>
    <row r="487" spans="1:18" x14ac:dyDescent="0.25">
      <c r="A487" t="s">
        <v>1756</v>
      </c>
      <c r="B487">
        <v>938</v>
      </c>
      <c r="C487" t="s">
        <v>487</v>
      </c>
      <c r="D487" t="s">
        <v>256</v>
      </c>
      <c r="E487" t="s">
        <v>256</v>
      </c>
      <c r="F487" t="s">
        <v>1263</v>
      </c>
      <c r="G487" s="25">
        <v>44239</v>
      </c>
      <c r="H487">
        <v>9</v>
      </c>
      <c r="I487">
        <v>43</v>
      </c>
      <c r="J487" t="s">
        <v>432</v>
      </c>
      <c r="K487" t="s">
        <v>489</v>
      </c>
      <c r="L487" t="s">
        <v>134</v>
      </c>
      <c r="M487" t="s">
        <v>434</v>
      </c>
      <c r="N487" t="s">
        <v>67</v>
      </c>
      <c r="O487" t="s">
        <v>235</v>
      </c>
      <c r="P487" t="s">
        <v>437</v>
      </c>
      <c r="Q487">
        <v>208000</v>
      </c>
      <c r="R487" t="s">
        <v>237</v>
      </c>
    </row>
    <row r="488" spans="1:18" x14ac:dyDescent="0.25">
      <c r="A488" t="s">
        <v>2536</v>
      </c>
      <c r="B488">
        <v>564</v>
      </c>
      <c r="C488" t="s">
        <v>487</v>
      </c>
      <c r="D488" t="s">
        <v>231</v>
      </c>
      <c r="E488" t="s">
        <v>247</v>
      </c>
      <c r="F488" t="s">
        <v>1088</v>
      </c>
      <c r="G488" s="25">
        <v>44222</v>
      </c>
      <c r="H488">
        <v>6</v>
      </c>
      <c r="I488">
        <v>26</v>
      </c>
      <c r="J488" t="s">
        <v>432</v>
      </c>
      <c r="K488" t="s">
        <v>489</v>
      </c>
      <c r="L488" t="s">
        <v>134</v>
      </c>
      <c r="M488" t="s">
        <v>434</v>
      </c>
      <c r="N488" t="s">
        <v>67</v>
      </c>
      <c r="O488" t="s">
        <v>235</v>
      </c>
      <c r="P488" t="s">
        <v>437</v>
      </c>
      <c r="Q488">
        <v>8000</v>
      </c>
      <c r="R488" t="s">
        <v>237</v>
      </c>
    </row>
    <row r="489" spans="1:18" x14ac:dyDescent="0.25">
      <c r="A489" t="s">
        <v>2765</v>
      </c>
      <c r="B489">
        <v>1653</v>
      </c>
      <c r="C489" t="s">
        <v>487</v>
      </c>
      <c r="D489" t="s">
        <v>261</v>
      </c>
      <c r="E489" t="s">
        <v>620</v>
      </c>
      <c r="F489" t="s">
        <v>1545</v>
      </c>
      <c r="G489" s="25">
        <v>44272</v>
      </c>
      <c r="H489">
        <v>16</v>
      </c>
      <c r="I489">
        <v>76</v>
      </c>
      <c r="J489" t="s">
        <v>231</v>
      </c>
      <c r="K489" t="s">
        <v>509</v>
      </c>
      <c r="L489" t="s">
        <v>45</v>
      </c>
      <c r="M489" t="s">
        <v>234</v>
      </c>
      <c r="N489" t="s">
        <v>44</v>
      </c>
      <c r="O489" t="s">
        <v>21</v>
      </c>
      <c r="P489" t="s">
        <v>304</v>
      </c>
      <c r="Q489">
        <v>167</v>
      </c>
      <c r="R489" t="s">
        <v>237</v>
      </c>
    </row>
    <row r="490" spans="1:18" x14ac:dyDescent="0.25">
      <c r="A490" t="s">
        <v>2275</v>
      </c>
      <c r="B490">
        <v>1521</v>
      </c>
      <c r="C490" t="s">
        <v>487</v>
      </c>
      <c r="D490" t="s">
        <v>261</v>
      </c>
      <c r="E490" t="s">
        <v>239</v>
      </c>
      <c r="F490" t="s">
        <v>1703</v>
      </c>
      <c r="G490" s="25">
        <v>44266</v>
      </c>
      <c r="H490">
        <v>14</v>
      </c>
      <c r="I490">
        <v>70</v>
      </c>
      <c r="J490" t="s">
        <v>231</v>
      </c>
      <c r="K490" t="s">
        <v>509</v>
      </c>
      <c r="L490" t="s">
        <v>45</v>
      </c>
      <c r="M490" t="s">
        <v>234</v>
      </c>
      <c r="N490" t="s">
        <v>44</v>
      </c>
      <c r="O490" t="s">
        <v>21</v>
      </c>
      <c r="P490" t="s">
        <v>304</v>
      </c>
      <c r="Q490">
        <v>0</v>
      </c>
      <c r="R490" t="s">
        <v>237</v>
      </c>
    </row>
    <row r="491" spans="1:18" x14ac:dyDescent="0.25">
      <c r="A491" t="s">
        <v>2707</v>
      </c>
      <c r="B491">
        <v>1279</v>
      </c>
      <c r="C491" t="s">
        <v>487</v>
      </c>
      <c r="D491" t="s">
        <v>256</v>
      </c>
      <c r="E491" t="s">
        <v>531</v>
      </c>
      <c r="F491" t="s">
        <v>1373</v>
      </c>
      <c r="G491" s="25">
        <v>44255</v>
      </c>
      <c r="H491">
        <v>12</v>
      </c>
      <c r="I491">
        <v>59</v>
      </c>
      <c r="J491" t="s">
        <v>231</v>
      </c>
      <c r="K491" t="s">
        <v>509</v>
      </c>
      <c r="L491" t="s">
        <v>45</v>
      </c>
      <c r="M491" t="s">
        <v>234</v>
      </c>
      <c r="N491" t="s">
        <v>44</v>
      </c>
      <c r="O491" t="s">
        <v>21</v>
      </c>
      <c r="P491" t="s">
        <v>304</v>
      </c>
      <c r="Q491">
        <v>0</v>
      </c>
      <c r="R491" t="s">
        <v>237</v>
      </c>
    </row>
    <row r="492" spans="1:18" x14ac:dyDescent="0.25">
      <c r="A492" t="s">
        <v>678</v>
      </c>
      <c r="B492">
        <v>311</v>
      </c>
      <c r="C492" t="s">
        <v>487</v>
      </c>
      <c r="D492" t="s">
        <v>229</v>
      </c>
      <c r="E492" t="s">
        <v>575</v>
      </c>
      <c r="F492" t="s">
        <v>576</v>
      </c>
      <c r="G492" s="25">
        <v>44211</v>
      </c>
      <c r="H492">
        <v>3</v>
      </c>
      <c r="I492">
        <v>15</v>
      </c>
      <c r="J492" t="s">
        <v>231</v>
      </c>
      <c r="K492" t="s">
        <v>509</v>
      </c>
      <c r="L492" t="s">
        <v>45</v>
      </c>
      <c r="M492" t="s">
        <v>234</v>
      </c>
      <c r="N492" t="s">
        <v>44</v>
      </c>
      <c r="O492" t="s">
        <v>21</v>
      </c>
      <c r="P492" t="s">
        <v>304</v>
      </c>
      <c r="Q492">
        <v>0</v>
      </c>
      <c r="R492" t="s">
        <v>237</v>
      </c>
    </row>
    <row r="493" spans="1:18" x14ac:dyDescent="0.25">
      <c r="A493" t="s">
        <v>3348</v>
      </c>
      <c r="B493">
        <v>2643</v>
      </c>
      <c r="C493" t="s">
        <v>487</v>
      </c>
      <c r="D493" t="s">
        <v>326</v>
      </c>
      <c r="E493" t="s">
        <v>229</v>
      </c>
      <c r="F493" t="s">
        <v>3241</v>
      </c>
      <c r="G493" s="25">
        <v>44317</v>
      </c>
      <c r="H493">
        <v>25</v>
      </c>
      <c r="I493">
        <v>121</v>
      </c>
      <c r="J493" t="s">
        <v>231</v>
      </c>
      <c r="K493" t="s">
        <v>509</v>
      </c>
      <c r="L493" t="s">
        <v>45</v>
      </c>
      <c r="M493" t="s">
        <v>234</v>
      </c>
      <c r="N493" t="s">
        <v>44</v>
      </c>
      <c r="O493" t="s">
        <v>21</v>
      </c>
      <c r="P493" t="s">
        <v>304</v>
      </c>
      <c r="Q493">
        <v>16000</v>
      </c>
      <c r="R493" t="s">
        <v>237</v>
      </c>
    </row>
    <row r="494" spans="1:18" x14ac:dyDescent="0.25">
      <c r="A494" t="s">
        <v>3349</v>
      </c>
      <c r="B494">
        <v>2489</v>
      </c>
      <c r="C494" t="s">
        <v>487</v>
      </c>
      <c r="D494" t="s">
        <v>247</v>
      </c>
      <c r="E494" t="s">
        <v>537</v>
      </c>
      <c r="F494" t="s">
        <v>3153</v>
      </c>
      <c r="G494" s="25">
        <v>44310</v>
      </c>
      <c r="H494">
        <v>23</v>
      </c>
      <c r="I494">
        <v>114</v>
      </c>
      <c r="J494" t="s">
        <v>231</v>
      </c>
      <c r="K494" t="s">
        <v>509</v>
      </c>
      <c r="L494" t="s">
        <v>45</v>
      </c>
      <c r="M494" t="s">
        <v>234</v>
      </c>
      <c r="N494" t="s">
        <v>44</v>
      </c>
      <c r="O494" t="s">
        <v>21</v>
      </c>
      <c r="P494" t="s">
        <v>304</v>
      </c>
      <c r="Q494">
        <v>0</v>
      </c>
      <c r="R494" t="s">
        <v>237</v>
      </c>
    </row>
    <row r="495" spans="1:18" x14ac:dyDescent="0.25">
      <c r="A495" t="s">
        <v>2331</v>
      </c>
      <c r="B495">
        <v>1104</v>
      </c>
      <c r="C495" t="s">
        <v>487</v>
      </c>
      <c r="D495" t="s">
        <v>256</v>
      </c>
      <c r="E495" t="s">
        <v>515</v>
      </c>
      <c r="F495" t="s">
        <v>1329</v>
      </c>
      <c r="G495" s="25">
        <v>44247</v>
      </c>
      <c r="H495">
        <v>11</v>
      </c>
      <c r="I495">
        <v>51</v>
      </c>
      <c r="J495" t="s">
        <v>231</v>
      </c>
      <c r="K495" t="s">
        <v>508</v>
      </c>
      <c r="L495" t="s">
        <v>47</v>
      </c>
      <c r="M495" t="s">
        <v>234</v>
      </c>
      <c r="N495" t="s">
        <v>46</v>
      </c>
      <c r="O495" t="s">
        <v>21</v>
      </c>
      <c r="P495" t="s">
        <v>288</v>
      </c>
      <c r="Q495">
        <v>0</v>
      </c>
      <c r="R495" t="s">
        <v>237</v>
      </c>
    </row>
    <row r="496" spans="1:18" x14ac:dyDescent="0.25">
      <c r="A496" t="s">
        <v>2219</v>
      </c>
      <c r="B496">
        <v>994</v>
      </c>
      <c r="C496" t="s">
        <v>487</v>
      </c>
      <c r="D496" t="s">
        <v>256</v>
      </c>
      <c r="E496" t="s">
        <v>247</v>
      </c>
      <c r="F496" t="s">
        <v>1299</v>
      </c>
      <c r="G496" s="25">
        <v>44242</v>
      </c>
      <c r="H496">
        <v>10</v>
      </c>
      <c r="I496">
        <v>46</v>
      </c>
      <c r="J496" t="s">
        <v>231</v>
      </c>
      <c r="K496" t="s">
        <v>508</v>
      </c>
      <c r="L496" t="s">
        <v>47</v>
      </c>
      <c r="M496" t="s">
        <v>234</v>
      </c>
      <c r="N496" t="s">
        <v>46</v>
      </c>
      <c r="O496" t="s">
        <v>21</v>
      </c>
      <c r="P496" t="s">
        <v>288</v>
      </c>
      <c r="Q496">
        <v>16219</v>
      </c>
      <c r="R496" t="s">
        <v>237</v>
      </c>
    </row>
    <row r="497" spans="1:18" x14ac:dyDescent="0.25">
      <c r="A497" t="s">
        <v>1974</v>
      </c>
      <c r="B497">
        <v>796</v>
      </c>
      <c r="C497" t="s">
        <v>487</v>
      </c>
      <c r="D497" t="s">
        <v>231</v>
      </c>
      <c r="E497" t="s">
        <v>534</v>
      </c>
      <c r="F497" t="s">
        <v>1731</v>
      </c>
      <c r="G497" s="25">
        <v>44233</v>
      </c>
      <c r="H497">
        <v>8</v>
      </c>
      <c r="I497">
        <v>37</v>
      </c>
      <c r="J497" t="s">
        <v>231</v>
      </c>
      <c r="K497" t="s">
        <v>508</v>
      </c>
      <c r="L497" t="s">
        <v>47</v>
      </c>
      <c r="M497" t="s">
        <v>234</v>
      </c>
      <c r="N497" t="s">
        <v>46</v>
      </c>
      <c r="O497" t="s">
        <v>21</v>
      </c>
      <c r="P497" t="s">
        <v>288</v>
      </c>
      <c r="Q497">
        <v>0</v>
      </c>
      <c r="R497" t="s">
        <v>237</v>
      </c>
    </row>
    <row r="498" spans="1:18" x14ac:dyDescent="0.25">
      <c r="A498" t="s">
        <v>1606</v>
      </c>
      <c r="B498">
        <v>488</v>
      </c>
      <c r="C498" t="s">
        <v>487</v>
      </c>
      <c r="D498" t="s">
        <v>231</v>
      </c>
      <c r="E498" t="s">
        <v>256</v>
      </c>
      <c r="F498" t="s">
        <v>1064</v>
      </c>
      <c r="G498" s="25">
        <v>44219</v>
      </c>
      <c r="H498">
        <v>5</v>
      </c>
      <c r="I498">
        <v>23</v>
      </c>
      <c r="J498" t="s">
        <v>231</v>
      </c>
      <c r="K498" t="s">
        <v>508</v>
      </c>
      <c r="L498" t="s">
        <v>47</v>
      </c>
      <c r="M498" t="s">
        <v>234</v>
      </c>
      <c r="N498" t="s">
        <v>46</v>
      </c>
      <c r="O498" t="s">
        <v>21</v>
      </c>
      <c r="P498" t="s">
        <v>288</v>
      </c>
      <c r="Q498">
        <v>0</v>
      </c>
      <c r="R498" t="s">
        <v>237</v>
      </c>
    </row>
    <row r="499" spans="1:18" x14ac:dyDescent="0.25">
      <c r="A499" t="s">
        <v>788</v>
      </c>
      <c r="B499">
        <v>180</v>
      </c>
      <c r="C499" t="s">
        <v>487</v>
      </c>
      <c r="D499" t="s">
        <v>229</v>
      </c>
      <c r="E499" t="s">
        <v>371</v>
      </c>
      <c r="F499" t="s">
        <v>557</v>
      </c>
      <c r="G499" s="25">
        <v>44205</v>
      </c>
      <c r="H499">
        <v>2</v>
      </c>
      <c r="I499">
        <v>9</v>
      </c>
      <c r="J499" t="s">
        <v>231</v>
      </c>
      <c r="K499" t="s">
        <v>508</v>
      </c>
      <c r="L499" t="s">
        <v>47</v>
      </c>
      <c r="M499" t="s">
        <v>234</v>
      </c>
      <c r="N499" t="s">
        <v>46</v>
      </c>
      <c r="O499" t="s">
        <v>21</v>
      </c>
      <c r="P499" t="s">
        <v>288</v>
      </c>
      <c r="Q499">
        <v>0</v>
      </c>
      <c r="R499" t="s">
        <v>237</v>
      </c>
    </row>
    <row r="500" spans="1:18" x14ac:dyDescent="0.25">
      <c r="A500" t="s">
        <v>3350</v>
      </c>
      <c r="B500">
        <v>2358</v>
      </c>
      <c r="C500" t="s">
        <v>487</v>
      </c>
      <c r="D500" t="s">
        <v>247</v>
      </c>
      <c r="E500" t="s">
        <v>381</v>
      </c>
      <c r="F500" t="s">
        <v>3107</v>
      </c>
      <c r="G500" s="25">
        <v>44304</v>
      </c>
      <c r="H500">
        <v>22</v>
      </c>
      <c r="I500">
        <v>108</v>
      </c>
      <c r="J500" t="s">
        <v>231</v>
      </c>
      <c r="K500" t="s">
        <v>508</v>
      </c>
      <c r="L500" t="s">
        <v>47</v>
      </c>
      <c r="M500" t="s">
        <v>234</v>
      </c>
      <c r="N500" t="s">
        <v>46</v>
      </c>
      <c r="O500" t="s">
        <v>21</v>
      </c>
      <c r="P500" t="s">
        <v>288</v>
      </c>
      <c r="Q500">
        <v>0</v>
      </c>
      <c r="R500" t="s">
        <v>237</v>
      </c>
    </row>
    <row r="501" spans="1:18" x14ac:dyDescent="0.25">
      <c r="A501" t="s">
        <v>3351</v>
      </c>
      <c r="B501">
        <v>2006</v>
      </c>
      <c r="C501" t="s">
        <v>487</v>
      </c>
      <c r="D501" t="s">
        <v>322</v>
      </c>
      <c r="E501" t="s">
        <v>232</v>
      </c>
      <c r="F501" t="s">
        <v>2987</v>
      </c>
      <c r="G501" s="25">
        <v>44288</v>
      </c>
      <c r="H501">
        <v>19</v>
      </c>
      <c r="I501">
        <v>92</v>
      </c>
      <c r="J501" t="s">
        <v>231</v>
      </c>
      <c r="K501" t="s">
        <v>508</v>
      </c>
      <c r="L501" t="s">
        <v>47</v>
      </c>
      <c r="M501" t="s">
        <v>234</v>
      </c>
      <c r="N501" t="s">
        <v>46</v>
      </c>
      <c r="O501" t="s">
        <v>21</v>
      </c>
      <c r="P501" t="s">
        <v>288</v>
      </c>
      <c r="Q501">
        <v>0</v>
      </c>
      <c r="R501" t="s">
        <v>237</v>
      </c>
    </row>
    <row r="502" spans="1:18" x14ac:dyDescent="0.25">
      <c r="A502" t="s">
        <v>2033</v>
      </c>
      <c r="B502">
        <v>1171</v>
      </c>
      <c r="C502" t="s">
        <v>487</v>
      </c>
      <c r="D502" t="s">
        <v>256</v>
      </c>
      <c r="E502" t="s">
        <v>537</v>
      </c>
      <c r="F502" t="s">
        <v>1348</v>
      </c>
      <c r="G502" s="25">
        <v>44250</v>
      </c>
      <c r="H502">
        <v>11</v>
      </c>
      <c r="I502">
        <v>54</v>
      </c>
      <c r="J502" t="s">
        <v>231</v>
      </c>
      <c r="K502" t="s">
        <v>507</v>
      </c>
      <c r="L502" t="s">
        <v>49</v>
      </c>
      <c r="M502" t="s">
        <v>234</v>
      </c>
      <c r="N502" t="s">
        <v>48</v>
      </c>
      <c r="O502" t="s">
        <v>21</v>
      </c>
      <c r="P502" t="s">
        <v>413</v>
      </c>
      <c r="Q502">
        <v>0</v>
      </c>
      <c r="R502" t="s">
        <v>237</v>
      </c>
    </row>
    <row r="503" spans="1:18" x14ac:dyDescent="0.25">
      <c r="A503" t="s">
        <v>786</v>
      </c>
      <c r="B503">
        <v>203</v>
      </c>
      <c r="C503" t="s">
        <v>487</v>
      </c>
      <c r="D503" t="s">
        <v>229</v>
      </c>
      <c r="E503" t="s">
        <v>239</v>
      </c>
      <c r="F503" t="s">
        <v>578</v>
      </c>
      <c r="G503" s="25">
        <v>44206</v>
      </c>
      <c r="H503">
        <v>2</v>
      </c>
      <c r="I503">
        <v>10</v>
      </c>
      <c r="J503" t="s">
        <v>231</v>
      </c>
      <c r="K503" t="s">
        <v>507</v>
      </c>
      <c r="L503" t="s">
        <v>49</v>
      </c>
      <c r="M503" t="s">
        <v>234</v>
      </c>
      <c r="N503" t="s">
        <v>48</v>
      </c>
      <c r="O503" t="s">
        <v>21</v>
      </c>
      <c r="P503" t="s">
        <v>413</v>
      </c>
      <c r="Q503">
        <v>0</v>
      </c>
      <c r="R503" t="s">
        <v>237</v>
      </c>
    </row>
    <row r="504" spans="1:18" x14ac:dyDescent="0.25">
      <c r="A504" t="s">
        <v>3352</v>
      </c>
      <c r="B504">
        <v>2073</v>
      </c>
      <c r="C504" t="s">
        <v>487</v>
      </c>
      <c r="D504" t="s">
        <v>322</v>
      </c>
      <c r="E504" t="s">
        <v>575</v>
      </c>
      <c r="F504" t="s">
        <v>3014</v>
      </c>
      <c r="G504" s="25">
        <v>44291</v>
      </c>
      <c r="H504">
        <v>19</v>
      </c>
      <c r="I504">
        <v>95</v>
      </c>
      <c r="J504" t="s">
        <v>231</v>
      </c>
      <c r="K504" t="s">
        <v>507</v>
      </c>
      <c r="L504" t="s">
        <v>49</v>
      </c>
      <c r="M504" t="s">
        <v>234</v>
      </c>
      <c r="N504" t="s">
        <v>48</v>
      </c>
      <c r="O504" t="s">
        <v>21</v>
      </c>
      <c r="P504" t="s">
        <v>413</v>
      </c>
      <c r="Q504">
        <v>0</v>
      </c>
      <c r="R504" t="s">
        <v>237</v>
      </c>
    </row>
    <row r="505" spans="1:18" x14ac:dyDescent="0.25">
      <c r="A505" t="s">
        <v>2541</v>
      </c>
      <c r="B505">
        <v>1699</v>
      </c>
      <c r="C505" t="s">
        <v>487</v>
      </c>
      <c r="D505" t="s">
        <v>261</v>
      </c>
      <c r="E505" t="s">
        <v>552</v>
      </c>
      <c r="F505" t="s">
        <v>1585</v>
      </c>
      <c r="G505" s="25">
        <v>44274</v>
      </c>
      <c r="H505">
        <v>16</v>
      </c>
      <c r="I505">
        <v>78</v>
      </c>
      <c r="J505" t="s">
        <v>231</v>
      </c>
      <c r="K505" t="s">
        <v>507</v>
      </c>
      <c r="L505" t="s">
        <v>49</v>
      </c>
      <c r="M505" t="s">
        <v>234</v>
      </c>
      <c r="N505" t="s">
        <v>48</v>
      </c>
      <c r="O505" t="s">
        <v>21</v>
      </c>
      <c r="P505" t="s">
        <v>413</v>
      </c>
      <c r="Q505">
        <v>0</v>
      </c>
      <c r="R505" t="s">
        <v>237</v>
      </c>
    </row>
    <row r="506" spans="1:18" x14ac:dyDescent="0.25">
      <c r="A506" t="s">
        <v>3353</v>
      </c>
      <c r="B506">
        <v>2624</v>
      </c>
      <c r="C506" t="s">
        <v>487</v>
      </c>
      <c r="D506" t="s">
        <v>247</v>
      </c>
      <c r="E506" t="s">
        <v>408</v>
      </c>
      <c r="F506" t="s">
        <v>3178</v>
      </c>
      <c r="G506" s="25">
        <v>44316</v>
      </c>
      <c r="H506">
        <v>24</v>
      </c>
      <c r="I506">
        <v>120</v>
      </c>
      <c r="J506" t="s">
        <v>231</v>
      </c>
      <c r="K506" t="s">
        <v>506</v>
      </c>
      <c r="L506" t="s">
        <v>414</v>
      </c>
      <c r="M506" t="s">
        <v>234</v>
      </c>
      <c r="N506" t="s">
        <v>50</v>
      </c>
      <c r="O506" t="s">
        <v>21</v>
      </c>
      <c r="P506" t="s">
        <v>411</v>
      </c>
      <c r="Q506">
        <v>0</v>
      </c>
      <c r="R506" t="s">
        <v>237</v>
      </c>
    </row>
    <row r="507" spans="1:18" x14ac:dyDescent="0.25">
      <c r="A507" t="s">
        <v>2385</v>
      </c>
      <c r="B507">
        <v>886</v>
      </c>
      <c r="C507" t="s">
        <v>487</v>
      </c>
      <c r="D507" t="s">
        <v>256</v>
      </c>
      <c r="E507" t="s">
        <v>229</v>
      </c>
      <c r="F507" t="s">
        <v>1241</v>
      </c>
      <c r="G507" s="25">
        <v>44237</v>
      </c>
      <c r="H507">
        <v>9</v>
      </c>
      <c r="I507">
        <v>41</v>
      </c>
      <c r="J507" t="s">
        <v>231</v>
      </c>
      <c r="K507" t="s">
        <v>506</v>
      </c>
      <c r="L507" t="s">
        <v>414</v>
      </c>
      <c r="M507" t="s">
        <v>234</v>
      </c>
      <c r="N507" t="s">
        <v>50</v>
      </c>
      <c r="O507" t="s">
        <v>21</v>
      </c>
      <c r="P507" t="s">
        <v>411</v>
      </c>
      <c r="Q507">
        <v>0</v>
      </c>
      <c r="R507" t="s">
        <v>237</v>
      </c>
    </row>
    <row r="508" spans="1:18" x14ac:dyDescent="0.25">
      <c r="A508" t="s">
        <v>3354</v>
      </c>
      <c r="B508">
        <v>1959</v>
      </c>
      <c r="C508" t="s">
        <v>487</v>
      </c>
      <c r="D508" t="s">
        <v>322</v>
      </c>
      <c r="E508" t="s">
        <v>239</v>
      </c>
      <c r="F508" t="s">
        <v>2979</v>
      </c>
      <c r="G508" s="25">
        <v>44286</v>
      </c>
      <c r="H508">
        <v>18</v>
      </c>
      <c r="I508">
        <v>90</v>
      </c>
      <c r="J508" t="s">
        <v>231</v>
      </c>
      <c r="K508" t="s">
        <v>505</v>
      </c>
      <c r="L508" t="s">
        <v>41</v>
      </c>
      <c r="M508" t="s">
        <v>234</v>
      </c>
      <c r="N508" t="s">
        <v>40</v>
      </c>
      <c r="O508" t="s">
        <v>21</v>
      </c>
      <c r="P508" t="s">
        <v>266</v>
      </c>
      <c r="Q508">
        <v>0</v>
      </c>
      <c r="R508" t="s">
        <v>237</v>
      </c>
    </row>
    <row r="509" spans="1:18" x14ac:dyDescent="0.25">
      <c r="A509" t="s">
        <v>3355</v>
      </c>
      <c r="B509">
        <v>1938</v>
      </c>
      <c r="C509" t="s">
        <v>487</v>
      </c>
      <c r="D509" t="s">
        <v>322</v>
      </c>
      <c r="E509" t="s">
        <v>371</v>
      </c>
      <c r="F509" t="s">
        <v>2976</v>
      </c>
      <c r="G509" s="25">
        <v>44285</v>
      </c>
      <c r="H509">
        <v>18</v>
      </c>
      <c r="I509">
        <v>89</v>
      </c>
      <c r="J509" t="s">
        <v>231</v>
      </c>
      <c r="K509" t="s">
        <v>504</v>
      </c>
      <c r="L509" t="s">
        <v>43</v>
      </c>
      <c r="M509" t="s">
        <v>234</v>
      </c>
      <c r="N509" t="s">
        <v>42</v>
      </c>
      <c r="O509" t="s">
        <v>21</v>
      </c>
      <c r="P509" t="s">
        <v>236</v>
      </c>
      <c r="Q509">
        <v>0</v>
      </c>
      <c r="R509" t="s">
        <v>237</v>
      </c>
    </row>
    <row r="510" spans="1:18" x14ac:dyDescent="0.25">
      <c r="A510" t="s">
        <v>1819</v>
      </c>
      <c r="B510">
        <v>1564</v>
      </c>
      <c r="C510" t="s">
        <v>487</v>
      </c>
      <c r="D510" t="s">
        <v>261</v>
      </c>
      <c r="E510" t="s">
        <v>232</v>
      </c>
      <c r="F510" t="s">
        <v>1500</v>
      </c>
      <c r="G510" s="25">
        <v>44268</v>
      </c>
      <c r="H510">
        <v>15</v>
      </c>
      <c r="I510">
        <v>72</v>
      </c>
      <c r="J510" t="s">
        <v>231</v>
      </c>
      <c r="K510" t="s">
        <v>504</v>
      </c>
      <c r="L510" t="s">
        <v>43</v>
      </c>
      <c r="M510" t="s">
        <v>234</v>
      </c>
      <c r="N510" t="s">
        <v>42</v>
      </c>
      <c r="O510" t="s">
        <v>21</v>
      </c>
      <c r="P510" t="s">
        <v>236</v>
      </c>
      <c r="Q510">
        <v>40867</v>
      </c>
      <c r="R510" t="s">
        <v>237</v>
      </c>
    </row>
    <row r="511" spans="1:18" x14ac:dyDescent="0.25">
      <c r="A511" t="s">
        <v>1820</v>
      </c>
      <c r="B511">
        <v>1190</v>
      </c>
      <c r="C511" t="s">
        <v>487</v>
      </c>
      <c r="D511" t="s">
        <v>256</v>
      </c>
      <c r="E511" t="s">
        <v>575</v>
      </c>
      <c r="F511" t="s">
        <v>1668</v>
      </c>
      <c r="G511" s="25">
        <v>44251</v>
      </c>
      <c r="H511">
        <v>11</v>
      </c>
      <c r="I511">
        <v>55</v>
      </c>
      <c r="J511" t="s">
        <v>231</v>
      </c>
      <c r="K511" t="s">
        <v>504</v>
      </c>
      <c r="L511" t="s">
        <v>43</v>
      </c>
      <c r="M511" t="s">
        <v>234</v>
      </c>
      <c r="N511" t="s">
        <v>42</v>
      </c>
      <c r="O511" t="s">
        <v>21</v>
      </c>
      <c r="P511" t="s">
        <v>236</v>
      </c>
      <c r="Q511">
        <v>0</v>
      </c>
      <c r="R511" t="s">
        <v>237</v>
      </c>
    </row>
    <row r="512" spans="1:18" x14ac:dyDescent="0.25">
      <c r="A512" t="s">
        <v>2658</v>
      </c>
      <c r="B512">
        <v>728</v>
      </c>
      <c r="C512" t="s">
        <v>487</v>
      </c>
      <c r="D512" t="s">
        <v>231</v>
      </c>
      <c r="E512" t="s">
        <v>537</v>
      </c>
      <c r="F512" t="s">
        <v>1192</v>
      </c>
      <c r="G512" s="25">
        <v>44230</v>
      </c>
      <c r="H512">
        <v>7</v>
      </c>
      <c r="I512">
        <v>34</v>
      </c>
      <c r="J512" t="s">
        <v>231</v>
      </c>
      <c r="K512" t="s">
        <v>504</v>
      </c>
      <c r="L512" t="s">
        <v>43</v>
      </c>
      <c r="M512" t="s">
        <v>234</v>
      </c>
      <c r="N512" t="s">
        <v>42</v>
      </c>
      <c r="O512" t="s">
        <v>21</v>
      </c>
      <c r="P512" t="s">
        <v>236</v>
      </c>
      <c r="Q512">
        <v>31599</v>
      </c>
      <c r="R512" t="s">
        <v>237</v>
      </c>
    </row>
    <row r="513" spans="1:18" x14ac:dyDescent="0.25">
      <c r="A513" t="s">
        <v>2662</v>
      </c>
      <c r="B513">
        <v>889</v>
      </c>
      <c r="C513" t="s">
        <v>487</v>
      </c>
      <c r="D513" t="s">
        <v>256</v>
      </c>
      <c r="E513" t="s">
        <v>229</v>
      </c>
      <c r="F513" t="s">
        <v>1241</v>
      </c>
      <c r="G513" s="25">
        <v>44237</v>
      </c>
      <c r="H513">
        <v>9</v>
      </c>
      <c r="I513">
        <v>41</v>
      </c>
      <c r="J513" t="s">
        <v>231</v>
      </c>
      <c r="K513" t="s">
        <v>503</v>
      </c>
      <c r="L513" t="s">
        <v>303</v>
      </c>
      <c r="M513" t="s">
        <v>234</v>
      </c>
      <c r="N513" t="s">
        <v>56</v>
      </c>
      <c r="O513" t="s">
        <v>235</v>
      </c>
      <c r="P513" t="s">
        <v>304</v>
      </c>
      <c r="Q513">
        <v>0</v>
      </c>
      <c r="R513" t="s">
        <v>237</v>
      </c>
    </row>
    <row r="514" spans="1:18" x14ac:dyDescent="0.25">
      <c r="A514" t="s">
        <v>3356</v>
      </c>
      <c r="B514">
        <v>2627</v>
      </c>
      <c r="C514" t="s">
        <v>487</v>
      </c>
      <c r="D514" t="s">
        <v>247</v>
      </c>
      <c r="E514" t="s">
        <v>408</v>
      </c>
      <c r="F514" t="s">
        <v>3178</v>
      </c>
      <c r="G514" s="25">
        <v>44316</v>
      </c>
      <c r="H514">
        <v>24</v>
      </c>
      <c r="I514">
        <v>120</v>
      </c>
      <c r="J514" t="s">
        <v>231</v>
      </c>
      <c r="K514" t="s">
        <v>503</v>
      </c>
      <c r="L514" t="s">
        <v>303</v>
      </c>
      <c r="M514" t="s">
        <v>234</v>
      </c>
      <c r="N514" t="s">
        <v>56</v>
      </c>
      <c r="O514" t="s">
        <v>235</v>
      </c>
      <c r="P514" t="s">
        <v>304</v>
      </c>
      <c r="Q514">
        <v>0</v>
      </c>
      <c r="R514" t="s">
        <v>237</v>
      </c>
    </row>
    <row r="515" spans="1:18" x14ac:dyDescent="0.25">
      <c r="A515" t="s">
        <v>2349</v>
      </c>
      <c r="B515">
        <v>1044</v>
      </c>
      <c r="C515" t="s">
        <v>487</v>
      </c>
      <c r="D515" t="s">
        <v>256</v>
      </c>
      <c r="E515" t="s">
        <v>381</v>
      </c>
      <c r="F515" t="s">
        <v>1311</v>
      </c>
      <c r="G515" s="25">
        <v>44244</v>
      </c>
      <c r="H515">
        <v>10</v>
      </c>
      <c r="I515">
        <v>48</v>
      </c>
      <c r="J515" t="s">
        <v>231</v>
      </c>
      <c r="K515" t="s">
        <v>502</v>
      </c>
      <c r="L515" t="s">
        <v>287</v>
      </c>
      <c r="M515" t="s">
        <v>234</v>
      </c>
      <c r="N515" t="s">
        <v>58</v>
      </c>
      <c r="O515" t="s">
        <v>235</v>
      </c>
      <c r="P515" t="s">
        <v>288</v>
      </c>
      <c r="Q515">
        <v>24000</v>
      </c>
      <c r="R515" t="s">
        <v>237</v>
      </c>
    </row>
    <row r="516" spans="1:18" x14ac:dyDescent="0.25">
      <c r="A516" t="s">
        <v>351</v>
      </c>
      <c r="B516">
        <v>76</v>
      </c>
      <c r="C516" t="s">
        <v>487</v>
      </c>
      <c r="D516" t="s">
        <v>229</v>
      </c>
      <c r="E516" t="s">
        <v>261</v>
      </c>
      <c r="F516" t="s">
        <v>549</v>
      </c>
      <c r="G516" s="25">
        <v>44200</v>
      </c>
      <c r="H516">
        <v>1</v>
      </c>
      <c r="I516">
        <v>4</v>
      </c>
      <c r="J516" t="s">
        <v>231</v>
      </c>
      <c r="K516" t="s">
        <v>502</v>
      </c>
      <c r="L516" t="s">
        <v>287</v>
      </c>
      <c r="M516" t="s">
        <v>234</v>
      </c>
      <c r="N516" t="s">
        <v>58</v>
      </c>
      <c r="O516" t="s">
        <v>235</v>
      </c>
      <c r="P516" t="s">
        <v>288</v>
      </c>
      <c r="Q516">
        <v>0</v>
      </c>
      <c r="R516" t="s">
        <v>237</v>
      </c>
    </row>
    <row r="517" spans="1:18" x14ac:dyDescent="0.25">
      <c r="A517" t="s">
        <v>3357</v>
      </c>
      <c r="B517">
        <v>2254</v>
      </c>
      <c r="C517" t="s">
        <v>487</v>
      </c>
      <c r="D517" t="s">
        <v>247</v>
      </c>
      <c r="E517" t="s">
        <v>256</v>
      </c>
      <c r="F517" t="s">
        <v>3073</v>
      </c>
      <c r="G517" s="25">
        <v>44299</v>
      </c>
      <c r="H517">
        <v>21</v>
      </c>
      <c r="I517">
        <v>103</v>
      </c>
      <c r="J517" t="s">
        <v>231</v>
      </c>
      <c r="K517" t="s">
        <v>502</v>
      </c>
      <c r="L517" t="s">
        <v>287</v>
      </c>
      <c r="M517" t="s">
        <v>234</v>
      </c>
      <c r="N517" t="s">
        <v>58</v>
      </c>
      <c r="O517" t="s">
        <v>235</v>
      </c>
      <c r="P517" t="s">
        <v>288</v>
      </c>
      <c r="Q517">
        <v>19500</v>
      </c>
      <c r="R517" t="s">
        <v>237</v>
      </c>
    </row>
    <row r="518" spans="1:18" x14ac:dyDescent="0.25">
      <c r="A518" t="s">
        <v>3358</v>
      </c>
      <c r="B518">
        <v>1880</v>
      </c>
      <c r="C518" t="s">
        <v>487</v>
      </c>
      <c r="D518" t="s">
        <v>322</v>
      </c>
      <c r="E518" t="s">
        <v>247</v>
      </c>
      <c r="F518" t="s">
        <v>2963</v>
      </c>
      <c r="G518" s="25">
        <v>44282</v>
      </c>
      <c r="H518">
        <v>18</v>
      </c>
      <c r="I518">
        <v>86</v>
      </c>
      <c r="J518" t="s">
        <v>231</v>
      </c>
      <c r="K518" t="s">
        <v>502</v>
      </c>
      <c r="L518" t="s">
        <v>287</v>
      </c>
      <c r="M518" t="s">
        <v>234</v>
      </c>
      <c r="N518" t="s">
        <v>58</v>
      </c>
      <c r="O518" t="s">
        <v>235</v>
      </c>
      <c r="P518" t="s">
        <v>288</v>
      </c>
      <c r="Q518">
        <v>0</v>
      </c>
      <c r="R518" t="s">
        <v>237</v>
      </c>
    </row>
    <row r="519" spans="1:18" x14ac:dyDescent="0.25">
      <c r="A519" t="s">
        <v>2886</v>
      </c>
      <c r="B519">
        <v>847</v>
      </c>
      <c r="C519" t="s">
        <v>487</v>
      </c>
      <c r="D519" t="s">
        <v>231</v>
      </c>
      <c r="E519" t="s">
        <v>531</v>
      </c>
      <c r="F519" t="s">
        <v>1230</v>
      </c>
      <c r="G519" s="25">
        <v>44235</v>
      </c>
      <c r="H519">
        <v>8</v>
      </c>
      <c r="I519">
        <v>39</v>
      </c>
      <c r="J519" t="s">
        <v>231</v>
      </c>
      <c r="K519" t="s">
        <v>501</v>
      </c>
      <c r="L519" t="s">
        <v>412</v>
      </c>
      <c r="M519" t="s">
        <v>234</v>
      </c>
      <c r="N519" t="s">
        <v>60</v>
      </c>
      <c r="O519" t="s">
        <v>235</v>
      </c>
      <c r="P519" t="s">
        <v>413</v>
      </c>
      <c r="Q519">
        <v>0</v>
      </c>
      <c r="R519" t="s">
        <v>237</v>
      </c>
    </row>
    <row r="520" spans="1:18" x14ac:dyDescent="0.25">
      <c r="A520" t="s">
        <v>2401</v>
      </c>
      <c r="B520">
        <v>539</v>
      </c>
      <c r="C520" t="s">
        <v>487</v>
      </c>
      <c r="D520" t="s">
        <v>231</v>
      </c>
      <c r="E520" t="s">
        <v>322</v>
      </c>
      <c r="F520" t="s">
        <v>1085</v>
      </c>
      <c r="G520" s="25">
        <v>44221</v>
      </c>
      <c r="H520">
        <v>5</v>
      </c>
      <c r="I520">
        <v>25</v>
      </c>
      <c r="J520" t="s">
        <v>231</v>
      </c>
      <c r="K520" t="s">
        <v>501</v>
      </c>
      <c r="L520" t="s">
        <v>412</v>
      </c>
      <c r="M520" t="s">
        <v>234</v>
      </c>
      <c r="N520" t="s">
        <v>60</v>
      </c>
      <c r="O520" t="s">
        <v>235</v>
      </c>
      <c r="P520" t="s">
        <v>413</v>
      </c>
      <c r="Q520">
        <v>0</v>
      </c>
      <c r="R520" t="s">
        <v>237</v>
      </c>
    </row>
    <row r="521" spans="1:18" x14ac:dyDescent="0.25">
      <c r="A521" t="s">
        <v>3359</v>
      </c>
      <c r="B521">
        <v>2057</v>
      </c>
      <c r="C521" t="s">
        <v>487</v>
      </c>
      <c r="D521" t="s">
        <v>322</v>
      </c>
      <c r="E521" t="s">
        <v>537</v>
      </c>
      <c r="F521" t="s">
        <v>2999</v>
      </c>
      <c r="G521" s="25">
        <v>44290</v>
      </c>
      <c r="H521">
        <v>19</v>
      </c>
      <c r="I521">
        <v>94</v>
      </c>
      <c r="J521" t="s">
        <v>231</v>
      </c>
      <c r="K521" t="s">
        <v>501</v>
      </c>
      <c r="L521" t="s">
        <v>412</v>
      </c>
      <c r="M521" t="s">
        <v>234</v>
      </c>
      <c r="N521" t="s">
        <v>60</v>
      </c>
      <c r="O521" t="s">
        <v>235</v>
      </c>
      <c r="P521" t="s">
        <v>413</v>
      </c>
      <c r="Q521">
        <v>0</v>
      </c>
      <c r="R521" t="s">
        <v>237</v>
      </c>
    </row>
    <row r="522" spans="1:18" x14ac:dyDescent="0.25">
      <c r="A522" t="s">
        <v>2456</v>
      </c>
      <c r="B522">
        <v>1683</v>
      </c>
      <c r="C522" t="s">
        <v>487</v>
      </c>
      <c r="D522" t="s">
        <v>261</v>
      </c>
      <c r="E522" t="s">
        <v>534</v>
      </c>
      <c r="F522" t="s">
        <v>1563</v>
      </c>
      <c r="G522" s="25">
        <v>44273</v>
      </c>
      <c r="H522">
        <v>16</v>
      </c>
      <c r="I522">
        <v>77</v>
      </c>
      <c r="J522" t="s">
        <v>231</v>
      </c>
      <c r="K522" t="s">
        <v>501</v>
      </c>
      <c r="L522" t="s">
        <v>412</v>
      </c>
      <c r="M522" t="s">
        <v>234</v>
      </c>
      <c r="N522" t="s">
        <v>60</v>
      </c>
      <c r="O522" t="s">
        <v>235</v>
      </c>
      <c r="P522" t="s">
        <v>413</v>
      </c>
      <c r="Q522">
        <v>0</v>
      </c>
      <c r="R522" t="s">
        <v>237</v>
      </c>
    </row>
    <row r="523" spans="1:18" x14ac:dyDescent="0.25">
      <c r="A523" t="s">
        <v>1933</v>
      </c>
      <c r="B523">
        <v>1155</v>
      </c>
      <c r="C523" t="s">
        <v>487</v>
      </c>
      <c r="D523" t="s">
        <v>256</v>
      </c>
      <c r="E523" t="s">
        <v>512</v>
      </c>
      <c r="F523" t="s">
        <v>1342</v>
      </c>
      <c r="G523" s="25">
        <v>44249</v>
      </c>
      <c r="H523">
        <v>11</v>
      </c>
      <c r="I523">
        <v>53</v>
      </c>
      <c r="J523" t="s">
        <v>231</v>
      </c>
      <c r="K523" t="s">
        <v>501</v>
      </c>
      <c r="L523" t="s">
        <v>412</v>
      </c>
      <c r="M523" t="s">
        <v>234</v>
      </c>
      <c r="N523" t="s">
        <v>60</v>
      </c>
      <c r="O523" t="s">
        <v>235</v>
      </c>
      <c r="P523" t="s">
        <v>413</v>
      </c>
      <c r="Q523">
        <v>0</v>
      </c>
      <c r="R523" t="s">
        <v>237</v>
      </c>
    </row>
    <row r="524" spans="1:18" x14ac:dyDescent="0.25">
      <c r="A524" t="s">
        <v>3360</v>
      </c>
      <c r="B524">
        <v>2625</v>
      </c>
      <c r="C524" t="s">
        <v>487</v>
      </c>
      <c r="D524" t="s">
        <v>247</v>
      </c>
      <c r="E524" t="s">
        <v>408</v>
      </c>
      <c r="F524" t="s">
        <v>3178</v>
      </c>
      <c r="G524" s="25">
        <v>44316</v>
      </c>
      <c r="H524">
        <v>24</v>
      </c>
      <c r="I524">
        <v>120</v>
      </c>
      <c r="J524" t="s">
        <v>231</v>
      </c>
      <c r="K524" t="s">
        <v>500</v>
      </c>
      <c r="L524" t="s">
        <v>265</v>
      </c>
      <c r="M524" t="s">
        <v>234</v>
      </c>
      <c r="N524" t="s">
        <v>52</v>
      </c>
      <c r="O524" t="s">
        <v>235</v>
      </c>
      <c r="P524" t="s">
        <v>266</v>
      </c>
      <c r="Q524">
        <v>0</v>
      </c>
      <c r="R524" t="s">
        <v>237</v>
      </c>
    </row>
    <row r="525" spans="1:18" x14ac:dyDescent="0.25">
      <c r="A525" t="s">
        <v>2835</v>
      </c>
      <c r="B525">
        <v>887</v>
      </c>
      <c r="C525" t="s">
        <v>487</v>
      </c>
      <c r="D525" t="s">
        <v>256</v>
      </c>
      <c r="E525" t="s">
        <v>229</v>
      </c>
      <c r="F525" t="s">
        <v>1241</v>
      </c>
      <c r="G525" s="25">
        <v>44237</v>
      </c>
      <c r="H525">
        <v>9</v>
      </c>
      <c r="I525">
        <v>41</v>
      </c>
      <c r="J525" t="s">
        <v>231</v>
      </c>
      <c r="K525" t="s">
        <v>500</v>
      </c>
      <c r="L525" t="s">
        <v>265</v>
      </c>
      <c r="M525" t="s">
        <v>234</v>
      </c>
      <c r="N525" t="s">
        <v>52</v>
      </c>
      <c r="O525" t="s">
        <v>235</v>
      </c>
      <c r="P525" t="s">
        <v>266</v>
      </c>
      <c r="Q525">
        <v>0</v>
      </c>
      <c r="R525" t="s">
        <v>237</v>
      </c>
    </row>
    <row r="526" spans="1:18" x14ac:dyDescent="0.25">
      <c r="A526" t="s">
        <v>3361</v>
      </c>
      <c r="B526">
        <v>2366</v>
      </c>
      <c r="C526" t="s">
        <v>487</v>
      </c>
      <c r="D526" t="s">
        <v>247</v>
      </c>
      <c r="E526" t="s">
        <v>381</v>
      </c>
      <c r="F526" t="s">
        <v>3107</v>
      </c>
      <c r="G526" s="25">
        <v>44304</v>
      </c>
      <c r="H526">
        <v>22</v>
      </c>
      <c r="I526">
        <v>108</v>
      </c>
      <c r="J526" t="s">
        <v>231</v>
      </c>
      <c r="K526" t="s">
        <v>499</v>
      </c>
      <c r="L526" t="s">
        <v>410</v>
      </c>
      <c r="M526" t="s">
        <v>234</v>
      </c>
      <c r="N526" t="s">
        <v>62</v>
      </c>
      <c r="O526" t="s">
        <v>235</v>
      </c>
      <c r="P526" t="s">
        <v>411</v>
      </c>
      <c r="Q526">
        <v>0</v>
      </c>
      <c r="R526" t="s">
        <v>237</v>
      </c>
    </row>
    <row r="527" spans="1:18" x14ac:dyDescent="0.25">
      <c r="A527" t="s">
        <v>3362</v>
      </c>
      <c r="B527">
        <v>2014</v>
      </c>
      <c r="C527" t="s">
        <v>487</v>
      </c>
      <c r="D527" t="s">
        <v>322</v>
      </c>
      <c r="E527" t="s">
        <v>232</v>
      </c>
      <c r="F527" t="s">
        <v>2987</v>
      </c>
      <c r="G527" s="25">
        <v>44288</v>
      </c>
      <c r="H527">
        <v>19</v>
      </c>
      <c r="I527">
        <v>92</v>
      </c>
      <c r="J527" t="s">
        <v>231</v>
      </c>
      <c r="K527" t="s">
        <v>499</v>
      </c>
      <c r="L527" t="s">
        <v>410</v>
      </c>
      <c r="M527" t="s">
        <v>234</v>
      </c>
      <c r="N527" t="s">
        <v>62</v>
      </c>
      <c r="O527" t="s">
        <v>235</v>
      </c>
      <c r="P527" t="s">
        <v>411</v>
      </c>
      <c r="Q527">
        <v>0</v>
      </c>
      <c r="R527" t="s">
        <v>237</v>
      </c>
    </row>
    <row r="528" spans="1:18" x14ac:dyDescent="0.25">
      <c r="A528" t="s">
        <v>1938</v>
      </c>
      <c r="B528">
        <v>1398</v>
      </c>
      <c r="C528" t="s">
        <v>487</v>
      </c>
      <c r="D528" t="s">
        <v>261</v>
      </c>
      <c r="E528" t="s">
        <v>261</v>
      </c>
      <c r="F528" t="s">
        <v>1410</v>
      </c>
      <c r="G528" s="25">
        <v>44260</v>
      </c>
      <c r="H528">
        <v>13</v>
      </c>
      <c r="I528">
        <v>64</v>
      </c>
      <c r="J528" t="s">
        <v>231</v>
      </c>
      <c r="K528" t="s">
        <v>499</v>
      </c>
      <c r="L528" t="s">
        <v>410</v>
      </c>
      <c r="M528" t="s">
        <v>234</v>
      </c>
      <c r="N528" t="s">
        <v>62</v>
      </c>
      <c r="O528" t="s">
        <v>235</v>
      </c>
      <c r="P528" t="s">
        <v>411</v>
      </c>
      <c r="Q528">
        <v>0</v>
      </c>
      <c r="R528" t="s">
        <v>237</v>
      </c>
    </row>
    <row r="529" spans="1:18" x14ac:dyDescent="0.25">
      <c r="A529" t="s">
        <v>2245</v>
      </c>
      <c r="B529">
        <v>1112</v>
      </c>
      <c r="C529" t="s">
        <v>487</v>
      </c>
      <c r="D529" t="s">
        <v>256</v>
      </c>
      <c r="E529" t="s">
        <v>515</v>
      </c>
      <c r="F529" t="s">
        <v>1329</v>
      </c>
      <c r="G529" s="25">
        <v>44247</v>
      </c>
      <c r="H529">
        <v>11</v>
      </c>
      <c r="I529">
        <v>51</v>
      </c>
      <c r="J529" t="s">
        <v>231</v>
      </c>
      <c r="K529" t="s">
        <v>499</v>
      </c>
      <c r="L529" t="s">
        <v>410</v>
      </c>
      <c r="M529" t="s">
        <v>234</v>
      </c>
      <c r="N529" t="s">
        <v>62</v>
      </c>
      <c r="O529" t="s">
        <v>235</v>
      </c>
      <c r="P529" t="s">
        <v>411</v>
      </c>
      <c r="Q529">
        <v>0</v>
      </c>
      <c r="R529" t="s">
        <v>237</v>
      </c>
    </row>
    <row r="530" spans="1:18" x14ac:dyDescent="0.25">
      <c r="A530" t="s">
        <v>1873</v>
      </c>
      <c r="B530">
        <v>804</v>
      </c>
      <c r="C530" t="s">
        <v>487</v>
      </c>
      <c r="D530" t="s">
        <v>231</v>
      </c>
      <c r="E530" t="s">
        <v>534</v>
      </c>
      <c r="F530" t="s">
        <v>1731</v>
      </c>
      <c r="G530" s="25">
        <v>44233</v>
      </c>
      <c r="H530">
        <v>8</v>
      </c>
      <c r="I530">
        <v>37</v>
      </c>
      <c r="J530" t="s">
        <v>231</v>
      </c>
      <c r="K530" t="s">
        <v>499</v>
      </c>
      <c r="L530" t="s">
        <v>410</v>
      </c>
      <c r="M530" t="s">
        <v>234</v>
      </c>
      <c r="N530" t="s">
        <v>62</v>
      </c>
      <c r="O530" t="s">
        <v>235</v>
      </c>
      <c r="P530" t="s">
        <v>411</v>
      </c>
      <c r="Q530">
        <v>0</v>
      </c>
      <c r="R530" t="s">
        <v>237</v>
      </c>
    </row>
    <row r="531" spans="1:18" x14ac:dyDescent="0.25">
      <c r="A531" t="s">
        <v>1615</v>
      </c>
      <c r="B531">
        <v>496</v>
      </c>
      <c r="C531" t="s">
        <v>487</v>
      </c>
      <c r="D531" t="s">
        <v>231</v>
      </c>
      <c r="E531" t="s">
        <v>256</v>
      </c>
      <c r="F531" t="s">
        <v>1064</v>
      </c>
      <c r="G531" s="25">
        <v>44219</v>
      </c>
      <c r="H531">
        <v>5</v>
      </c>
      <c r="I531">
        <v>23</v>
      </c>
      <c r="J531" t="s">
        <v>231</v>
      </c>
      <c r="K531" t="s">
        <v>499</v>
      </c>
      <c r="L531" t="s">
        <v>410</v>
      </c>
      <c r="M531" t="s">
        <v>234</v>
      </c>
      <c r="N531" t="s">
        <v>62</v>
      </c>
      <c r="O531" t="s">
        <v>235</v>
      </c>
      <c r="P531" t="s">
        <v>411</v>
      </c>
      <c r="Q531">
        <v>0</v>
      </c>
      <c r="R531" t="s">
        <v>237</v>
      </c>
    </row>
    <row r="532" spans="1:18" x14ac:dyDescent="0.25">
      <c r="A532" t="s">
        <v>565</v>
      </c>
      <c r="B532">
        <v>188</v>
      </c>
      <c r="C532" t="s">
        <v>487</v>
      </c>
      <c r="D532" t="s">
        <v>229</v>
      </c>
      <c r="E532" t="s">
        <v>371</v>
      </c>
      <c r="F532" t="s">
        <v>557</v>
      </c>
      <c r="G532" s="25">
        <v>44205</v>
      </c>
      <c r="H532">
        <v>2</v>
      </c>
      <c r="I532">
        <v>9</v>
      </c>
      <c r="J532" t="s">
        <v>231</v>
      </c>
      <c r="K532" t="s">
        <v>499</v>
      </c>
      <c r="L532" t="s">
        <v>410</v>
      </c>
      <c r="M532" t="s">
        <v>234</v>
      </c>
      <c r="N532" t="s">
        <v>62</v>
      </c>
      <c r="O532" t="s">
        <v>235</v>
      </c>
      <c r="P532" t="s">
        <v>411</v>
      </c>
      <c r="Q532">
        <v>0</v>
      </c>
      <c r="R532" t="s">
        <v>237</v>
      </c>
    </row>
    <row r="533" spans="1:18" x14ac:dyDescent="0.25">
      <c r="A533" t="s">
        <v>3363</v>
      </c>
      <c r="B533">
        <v>2067</v>
      </c>
      <c r="C533" t="s">
        <v>487</v>
      </c>
      <c r="D533" t="s">
        <v>322</v>
      </c>
      <c r="E533" t="s">
        <v>537</v>
      </c>
      <c r="F533" t="s">
        <v>2999</v>
      </c>
      <c r="G533" s="25">
        <v>44290</v>
      </c>
      <c r="H533">
        <v>19</v>
      </c>
      <c r="I533">
        <v>94</v>
      </c>
      <c r="J533" t="s">
        <v>432</v>
      </c>
      <c r="K533" t="s">
        <v>498</v>
      </c>
      <c r="L533" t="s">
        <v>26</v>
      </c>
      <c r="M533" t="s">
        <v>434</v>
      </c>
      <c r="N533" t="s">
        <v>77</v>
      </c>
      <c r="O533" t="s">
        <v>435</v>
      </c>
      <c r="P533" t="s">
        <v>26</v>
      </c>
      <c r="Q533">
        <v>269548.75</v>
      </c>
      <c r="R533" t="s">
        <v>436</v>
      </c>
    </row>
    <row r="534" spans="1:18" x14ac:dyDescent="0.25">
      <c r="A534" t="s">
        <v>3364</v>
      </c>
      <c r="B534">
        <v>1825</v>
      </c>
      <c r="C534" t="s">
        <v>487</v>
      </c>
      <c r="D534" t="s">
        <v>322</v>
      </c>
      <c r="E534" t="s">
        <v>256</v>
      </c>
      <c r="F534" t="s">
        <v>2952</v>
      </c>
      <c r="G534" s="25">
        <v>44279</v>
      </c>
      <c r="H534">
        <v>17</v>
      </c>
      <c r="I534">
        <v>83</v>
      </c>
      <c r="J534" t="s">
        <v>432</v>
      </c>
      <c r="K534" t="s">
        <v>498</v>
      </c>
      <c r="L534" t="s">
        <v>26</v>
      </c>
      <c r="M534" t="s">
        <v>434</v>
      </c>
      <c r="N534" t="s">
        <v>77</v>
      </c>
      <c r="O534" t="s">
        <v>435</v>
      </c>
      <c r="P534" t="s">
        <v>26</v>
      </c>
      <c r="Q534">
        <v>72756.25</v>
      </c>
      <c r="R534" t="s">
        <v>436</v>
      </c>
    </row>
    <row r="535" spans="1:18" x14ac:dyDescent="0.25">
      <c r="A535" t="s">
        <v>2115</v>
      </c>
      <c r="B535">
        <v>505</v>
      </c>
      <c r="C535" t="s">
        <v>487</v>
      </c>
      <c r="D535" t="s">
        <v>231</v>
      </c>
      <c r="E535" t="s">
        <v>256</v>
      </c>
      <c r="F535" t="s">
        <v>1064</v>
      </c>
      <c r="G535" s="25">
        <v>44219</v>
      </c>
      <c r="H535">
        <v>5</v>
      </c>
      <c r="I535">
        <v>23</v>
      </c>
      <c r="J535" t="s">
        <v>432</v>
      </c>
      <c r="K535" t="s">
        <v>498</v>
      </c>
      <c r="L535" t="s">
        <v>26</v>
      </c>
      <c r="M535" t="s">
        <v>434</v>
      </c>
      <c r="N535" t="s">
        <v>77</v>
      </c>
      <c r="O535" t="s">
        <v>435</v>
      </c>
      <c r="P535" t="s">
        <v>26</v>
      </c>
      <c r="Q535">
        <v>8400</v>
      </c>
      <c r="R535" t="s">
        <v>436</v>
      </c>
    </row>
    <row r="536" spans="1:18" x14ac:dyDescent="0.25">
      <c r="A536" t="s">
        <v>814</v>
      </c>
      <c r="B536">
        <v>197</v>
      </c>
      <c r="C536" t="s">
        <v>487</v>
      </c>
      <c r="D536" t="s">
        <v>229</v>
      </c>
      <c r="E536" t="s">
        <v>371</v>
      </c>
      <c r="F536" t="s">
        <v>557</v>
      </c>
      <c r="G536" s="25">
        <v>44205</v>
      </c>
      <c r="H536">
        <v>2</v>
      </c>
      <c r="I536">
        <v>9</v>
      </c>
      <c r="J536" t="s">
        <v>432</v>
      </c>
      <c r="K536" t="s">
        <v>498</v>
      </c>
      <c r="L536" t="s">
        <v>26</v>
      </c>
      <c r="M536" t="s">
        <v>434</v>
      </c>
      <c r="N536" t="s">
        <v>77</v>
      </c>
      <c r="O536" t="s">
        <v>435</v>
      </c>
      <c r="P536" t="s">
        <v>26</v>
      </c>
      <c r="Q536">
        <v>29400</v>
      </c>
      <c r="R536" t="s">
        <v>436</v>
      </c>
    </row>
    <row r="537" spans="1:18" x14ac:dyDescent="0.25">
      <c r="A537" t="s">
        <v>2842</v>
      </c>
      <c r="B537">
        <v>503</v>
      </c>
      <c r="C537" t="s">
        <v>487</v>
      </c>
      <c r="D537" t="s">
        <v>231</v>
      </c>
      <c r="E537" t="s">
        <v>256</v>
      </c>
      <c r="F537" t="s">
        <v>1064</v>
      </c>
      <c r="G537" s="25">
        <v>44219</v>
      </c>
      <c r="H537">
        <v>5</v>
      </c>
      <c r="I537">
        <v>23</v>
      </c>
      <c r="J537" t="s">
        <v>432</v>
      </c>
      <c r="K537" t="s">
        <v>497</v>
      </c>
      <c r="L537" t="s">
        <v>438</v>
      </c>
      <c r="M537" t="s">
        <v>434</v>
      </c>
      <c r="N537" t="s">
        <v>75</v>
      </c>
      <c r="O537" t="s">
        <v>435</v>
      </c>
      <c r="P537" t="s">
        <v>438</v>
      </c>
      <c r="Q537">
        <v>0</v>
      </c>
      <c r="R537" t="s">
        <v>436</v>
      </c>
    </row>
    <row r="538" spans="1:18" x14ac:dyDescent="0.25">
      <c r="A538" t="s">
        <v>584</v>
      </c>
      <c r="B538">
        <v>195</v>
      </c>
      <c r="C538" t="s">
        <v>487</v>
      </c>
      <c r="D538" t="s">
        <v>229</v>
      </c>
      <c r="E538" t="s">
        <v>371</v>
      </c>
      <c r="F538" t="s">
        <v>557</v>
      </c>
      <c r="G538" s="25">
        <v>44205</v>
      </c>
      <c r="H538">
        <v>2</v>
      </c>
      <c r="I538">
        <v>9</v>
      </c>
      <c r="J538" t="s">
        <v>432</v>
      </c>
      <c r="K538" t="s">
        <v>497</v>
      </c>
      <c r="L538" t="s">
        <v>438</v>
      </c>
      <c r="M538" t="s">
        <v>434</v>
      </c>
      <c r="N538" t="s">
        <v>75</v>
      </c>
      <c r="O538" t="s">
        <v>435</v>
      </c>
      <c r="P538" t="s">
        <v>438</v>
      </c>
      <c r="Q538">
        <v>7200</v>
      </c>
      <c r="R538" t="s">
        <v>436</v>
      </c>
    </row>
    <row r="539" spans="1:18" x14ac:dyDescent="0.25">
      <c r="A539" t="s">
        <v>3365</v>
      </c>
      <c r="B539">
        <v>2373</v>
      </c>
      <c r="C539" t="s">
        <v>487</v>
      </c>
      <c r="D539" t="s">
        <v>247</v>
      </c>
      <c r="E539" t="s">
        <v>381</v>
      </c>
      <c r="F539" t="s">
        <v>3107</v>
      </c>
      <c r="G539" s="25">
        <v>44304</v>
      </c>
      <c r="H539">
        <v>22</v>
      </c>
      <c r="I539">
        <v>108</v>
      </c>
      <c r="J539" t="s">
        <v>432</v>
      </c>
      <c r="K539" t="s">
        <v>497</v>
      </c>
      <c r="L539" t="s">
        <v>438</v>
      </c>
      <c r="M539" t="s">
        <v>434</v>
      </c>
      <c r="N539" t="s">
        <v>75</v>
      </c>
      <c r="O539" t="s">
        <v>435</v>
      </c>
      <c r="P539" t="s">
        <v>438</v>
      </c>
      <c r="Q539">
        <v>34500</v>
      </c>
      <c r="R539" t="s">
        <v>436</v>
      </c>
    </row>
    <row r="540" spans="1:18" x14ac:dyDescent="0.25">
      <c r="A540" t="s">
        <v>3366</v>
      </c>
      <c r="B540">
        <v>2021</v>
      </c>
      <c r="C540" t="s">
        <v>487</v>
      </c>
      <c r="D540" t="s">
        <v>322</v>
      </c>
      <c r="E540" t="s">
        <v>232</v>
      </c>
      <c r="F540" t="s">
        <v>2987</v>
      </c>
      <c r="G540" s="25">
        <v>44288</v>
      </c>
      <c r="H540">
        <v>19</v>
      </c>
      <c r="I540">
        <v>92</v>
      </c>
      <c r="J540" t="s">
        <v>432</v>
      </c>
      <c r="K540" t="s">
        <v>497</v>
      </c>
      <c r="L540" t="s">
        <v>438</v>
      </c>
      <c r="M540" t="s">
        <v>434</v>
      </c>
      <c r="N540" t="s">
        <v>75</v>
      </c>
      <c r="O540" t="s">
        <v>435</v>
      </c>
      <c r="P540" t="s">
        <v>438</v>
      </c>
      <c r="Q540">
        <v>55200</v>
      </c>
      <c r="R540" t="s">
        <v>436</v>
      </c>
    </row>
    <row r="541" spans="1:18" x14ac:dyDescent="0.25">
      <c r="A541" t="s">
        <v>3367</v>
      </c>
      <c r="B541">
        <v>1867</v>
      </c>
      <c r="C541" t="s">
        <v>487</v>
      </c>
      <c r="D541" t="s">
        <v>322</v>
      </c>
      <c r="E541" t="s">
        <v>322</v>
      </c>
      <c r="F541" t="s">
        <v>2960</v>
      </c>
      <c r="G541" s="25">
        <v>44281</v>
      </c>
      <c r="H541">
        <v>17</v>
      </c>
      <c r="I541">
        <v>85</v>
      </c>
      <c r="J541" t="s">
        <v>432</v>
      </c>
      <c r="K541" t="s">
        <v>497</v>
      </c>
      <c r="L541" t="s">
        <v>438</v>
      </c>
      <c r="M541" t="s">
        <v>434</v>
      </c>
      <c r="N541" t="s">
        <v>75</v>
      </c>
      <c r="O541" t="s">
        <v>435</v>
      </c>
      <c r="P541" t="s">
        <v>438</v>
      </c>
      <c r="Q541">
        <v>64125</v>
      </c>
      <c r="R541" t="s">
        <v>436</v>
      </c>
    </row>
    <row r="542" spans="1:18" x14ac:dyDescent="0.25">
      <c r="A542" t="s">
        <v>2530</v>
      </c>
      <c r="B542">
        <v>675</v>
      </c>
      <c r="C542" t="s">
        <v>487</v>
      </c>
      <c r="D542" t="s">
        <v>231</v>
      </c>
      <c r="E542" t="s">
        <v>515</v>
      </c>
      <c r="F542" t="s">
        <v>1150</v>
      </c>
      <c r="G542" s="25">
        <v>44227</v>
      </c>
      <c r="H542">
        <v>7</v>
      </c>
      <c r="I542">
        <v>31</v>
      </c>
      <c r="J542" t="s">
        <v>432</v>
      </c>
      <c r="K542" t="s">
        <v>496</v>
      </c>
      <c r="L542" t="s">
        <v>69</v>
      </c>
      <c r="M542" t="s">
        <v>434</v>
      </c>
      <c r="N542" t="s">
        <v>68</v>
      </c>
      <c r="O542" t="s">
        <v>21</v>
      </c>
      <c r="P542" t="s">
        <v>439</v>
      </c>
      <c r="Q542">
        <v>216000</v>
      </c>
      <c r="R542" t="s">
        <v>237</v>
      </c>
    </row>
    <row r="543" spans="1:18" x14ac:dyDescent="0.25">
      <c r="A543" t="s">
        <v>3368</v>
      </c>
      <c r="B543">
        <v>2545</v>
      </c>
      <c r="C543" t="s">
        <v>487</v>
      </c>
      <c r="D543" t="s">
        <v>247</v>
      </c>
      <c r="E543" t="s">
        <v>620</v>
      </c>
      <c r="F543" t="s">
        <v>3162</v>
      </c>
      <c r="G543" s="25">
        <v>44312</v>
      </c>
      <c r="H543">
        <v>24</v>
      </c>
      <c r="I543">
        <v>116</v>
      </c>
      <c r="J543" t="s">
        <v>432</v>
      </c>
      <c r="K543" t="s">
        <v>496</v>
      </c>
      <c r="L543" t="s">
        <v>69</v>
      </c>
      <c r="M543" t="s">
        <v>434</v>
      </c>
      <c r="N543" t="s">
        <v>68</v>
      </c>
      <c r="O543" t="s">
        <v>21</v>
      </c>
      <c r="P543" t="s">
        <v>439</v>
      </c>
      <c r="Q543">
        <v>384000</v>
      </c>
      <c r="R543" t="s">
        <v>237</v>
      </c>
    </row>
    <row r="544" spans="1:18" x14ac:dyDescent="0.25">
      <c r="A544" t="s">
        <v>3369</v>
      </c>
      <c r="B544">
        <v>1929</v>
      </c>
      <c r="C544" t="s">
        <v>487</v>
      </c>
      <c r="D544" t="s">
        <v>322</v>
      </c>
      <c r="E544" t="s">
        <v>381</v>
      </c>
      <c r="F544" t="s">
        <v>2971</v>
      </c>
      <c r="G544" s="25">
        <v>44284</v>
      </c>
      <c r="H544">
        <v>18</v>
      </c>
      <c r="I544">
        <v>88</v>
      </c>
      <c r="J544" t="s">
        <v>432</v>
      </c>
      <c r="K544" t="s">
        <v>496</v>
      </c>
      <c r="L544" t="s">
        <v>69</v>
      </c>
      <c r="M544" t="s">
        <v>434</v>
      </c>
      <c r="N544" t="s">
        <v>68</v>
      </c>
      <c r="O544" t="s">
        <v>21</v>
      </c>
      <c r="P544" t="s">
        <v>439</v>
      </c>
      <c r="Q544">
        <v>681000</v>
      </c>
      <c r="R544" t="s">
        <v>237</v>
      </c>
    </row>
    <row r="545" spans="1:18" x14ac:dyDescent="0.25">
      <c r="A545" t="s">
        <v>2003</v>
      </c>
      <c r="B545">
        <v>1467</v>
      </c>
      <c r="C545" t="s">
        <v>487</v>
      </c>
      <c r="D545" t="s">
        <v>261</v>
      </c>
      <c r="E545" t="s">
        <v>326</v>
      </c>
      <c r="F545" t="s">
        <v>1440</v>
      </c>
      <c r="G545" s="25">
        <v>44263</v>
      </c>
      <c r="H545">
        <v>14</v>
      </c>
      <c r="I545">
        <v>67</v>
      </c>
      <c r="J545" t="s">
        <v>432</v>
      </c>
      <c r="K545" t="s">
        <v>496</v>
      </c>
      <c r="L545" t="s">
        <v>69</v>
      </c>
      <c r="M545" t="s">
        <v>434</v>
      </c>
      <c r="N545" t="s">
        <v>68</v>
      </c>
      <c r="O545" t="s">
        <v>21</v>
      </c>
      <c r="P545" t="s">
        <v>439</v>
      </c>
      <c r="Q545">
        <v>216875</v>
      </c>
      <c r="R545" t="s">
        <v>237</v>
      </c>
    </row>
    <row r="546" spans="1:18" x14ac:dyDescent="0.25">
      <c r="A546" t="s">
        <v>1884</v>
      </c>
      <c r="B546">
        <v>720</v>
      </c>
      <c r="C546" t="s">
        <v>487</v>
      </c>
      <c r="D546" t="s">
        <v>231</v>
      </c>
      <c r="E546" t="s">
        <v>512</v>
      </c>
      <c r="F546" t="s">
        <v>1174</v>
      </c>
      <c r="G546" s="25">
        <v>44229</v>
      </c>
      <c r="H546">
        <v>7</v>
      </c>
      <c r="I546">
        <v>33</v>
      </c>
      <c r="J546" t="s">
        <v>432</v>
      </c>
      <c r="K546" t="s">
        <v>495</v>
      </c>
      <c r="L546" t="s">
        <v>135</v>
      </c>
      <c r="M546" t="s">
        <v>434</v>
      </c>
      <c r="N546" t="s">
        <v>70</v>
      </c>
      <c r="O546" t="s">
        <v>21</v>
      </c>
      <c r="P546" t="s">
        <v>440</v>
      </c>
      <c r="Q546">
        <v>191250</v>
      </c>
      <c r="R546" t="s">
        <v>237</v>
      </c>
    </row>
    <row r="547" spans="1:18" x14ac:dyDescent="0.25">
      <c r="A547" t="s">
        <v>808</v>
      </c>
      <c r="B547">
        <v>346</v>
      </c>
      <c r="C547" t="s">
        <v>487</v>
      </c>
      <c r="D547" t="s">
        <v>229</v>
      </c>
      <c r="E547" t="s">
        <v>620</v>
      </c>
      <c r="F547" t="s">
        <v>621</v>
      </c>
      <c r="G547" s="25">
        <v>44212</v>
      </c>
      <c r="H547">
        <v>4</v>
      </c>
      <c r="I547">
        <v>16</v>
      </c>
      <c r="J547" t="s">
        <v>432</v>
      </c>
      <c r="K547" t="s">
        <v>495</v>
      </c>
      <c r="L547" t="s">
        <v>135</v>
      </c>
      <c r="M547" t="s">
        <v>434</v>
      </c>
      <c r="N547" t="s">
        <v>70</v>
      </c>
      <c r="O547" t="s">
        <v>21</v>
      </c>
      <c r="P547" t="s">
        <v>440</v>
      </c>
      <c r="Q547">
        <v>36750</v>
      </c>
      <c r="R547" t="s">
        <v>237</v>
      </c>
    </row>
    <row r="548" spans="1:18" x14ac:dyDescent="0.25">
      <c r="A548" t="s">
        <v>3370</v>
      </c>
      <c r="B548">
        <v>2194</v>
      </c>
      <c r="C548" t="s">
        <v>487</v>
      </c>
      <c r="D548" t="s">
        <v>322</v>
      </c>
      <c r="E548" t="s">
        <v>408</v>
      </c>
      <c r="F548" t="s">
        <v>3059</v>
      </c>
      <c r="G548" s="25">
        <v>44296</v>
      </c>
      <c r="H548">
        <v>20</v>
      </c>
      <c r="I548">
        <v>100</v>
      </c>
      <c r="J548" t="s">
        <v>432</v>
      </c>
      <c r="K548" t="s">
        <v>495</v>
      </c>
      <c r="L548" t="s">
        <v>135</v>
      </c>
      <c r="M548" t="s">
        <v>434</v>
      </c>
      <c r="N548" t="s">
        <v>70</v>
      </c>
      <c r="O548" t="s">
        <v>21</v>
      </c>
      <c r="P548" t="s">
        <v>440</v>
      </c>
      <c r="Q548">
        <v>561000</v>
      </c>
      <c r="R548" t="s">
        <v>237</v>
      </c>
    </row>
    <row r="549" spans="1:18" x14ac:dyDescent="0.25">
      <c r="A549" t="s">
        <v>2255</v>
      </c>
      <c r="B549">
        <v>1732</v>
      </c>
      <c r="C549" t="s">
        <v>487</v>
      </c>
      <c r="D549" t="s">
        <v>261</v>
      </c>
      <c r="E549" t="s">
        <v>531</v>
      </c>
      <c r="F549" t="s">
        <v>1588</v>
      </c>
      <c r="G549" s="25">
        <v>44275</v>
      </c>
      <c r="H549">
        <v>16</v>
      </c>
      <c r="I549">
        <v>79</v>
      </c>
      <c r="J549" t="s">
        <v>432</v>
      </c>
      <c r="K549" t="s">
        <v>495</v>
      </c>
      <c r="L549" t="s">
        <v>135</v>
      </c>
      <c r="M549" t="s">
        <v>434</v>
      </c>
      <c r="N549" t="s">
        <v>70</v>
      </c>
      <c r="O549" t="s">
        <v>21</v>
      </c>
      <c r="P549" t="s">
        <v>440</v>
      </c>
      <c r="Q549">
        <v>0</v>
      </c>
      <c r="R549" t="s">
        <v>237</v>
      </c>
    </row>
    <row r="550" spans="1:18" x14ac:dyDescent="0.25">
      <c r="A550" t="s">
        <v>2188</v>
      </c>
      <c r="B550">
        <v>1556</v>
      </c>
      <c r="C550" t="s">
        <v>487</v>
      </c>
      <c r="D550" t="s">
        <v>261</v>
      </c>
      <c r="E550" t="s">
        <v>515</v>
      </c>
      <c r="F550" t="s">
        <v>1493</v>
      </c>
      <c r="G550" s="25">
        <v>44267</v>
      </c>
      <c r="H550">
        <v>15</v>
      </c>
      <c r="I550">
        <v>71</v>
      </c>
      <c r="J550" t="s">
        <v>432</v>
      </c>
      <c r="K550" t="s">
        <v>495</v>
      </c>
      <c r="L550" t="s">
        <v>135</v>
      </c>
      <c r="M550" t="s">
        <v>434</v>
      </c>
      <c r="N550" t="s">
        <v>70</v>
      </c>
      <c r="O550" t="s">
        <v>21</v>
      </c>
      <c r="P550" t="s">
        <v>440</v>
      </c>
      <c r="Q550">
        <v>124750</v>
      </c>
      <c r="R550" t="s">
        <v>237</v>
      </c>
    </row>
    <row r="551" spans="1:18" x14ac:dyDescent="0.25">
      <c r="A551" t="s">
        <v>2368</v>
      </c>
      <c r="B551">
        <v>1182</v>
      </c>
      <c r="C551" t="s">
        <v>487</v>
      </c>
      <c r="D551" t="s">
        <v>256</v>
      </c>
      <c r="E551" t="s">
        <v>537</v>
      </c>
      <c r="F551" t="s">
        <v>1348</v>
      </c>
      <c r="G551" s="25">
        <v>44250</v>
      </c>
      <c r="H551">
        <v>11</v>
      </c>
      <c r="I551">
        <v>54</v>
      </c>
      <c r="J551" t="s">
        <v>432</v>
      </c>
      <c r="K551" t="s">
        <v>495</v>
      </c>
      <c r="L551" t="s">
        <v>135</v>
      </c>
      <c r="M551" t="s">
        <v>434</v>
      </c>
      <c r="N551" t="s">
        <v>70</v>
      </c>
      <c r="O551" t="s">
        <v>21</v>
      </c>
      <c r="P551" t="s">
        <v>440</v>
      </c>
      <c r="Q551">
        <v>481875</v>
      </c>
      <c r="R551" t="s">
        <v>237</v>
      </c>
    </row>
    <row r="552" spans="1:18" x14ac:dyDescent="0.25">
      <c r="A552" t="s">
        <v>710</v>
      </c>
      <c r="B552">
        <v>372</v>
      </c>
      <c r="C552" t="s">
        <v>487</v>
      </c>
      <c r="D552" t="s">
        <v>229</v>
      </c>
      <c r="E552" t="s">
        <v>534</v>
      </c>
      <c r="F552" t="s">
        <v>535</v>
      </c>
      <c r="G552" s="25">
        <v>44213</v>
      </c>
      <c r="H552">
        <v>4</v>
      </c>
      <c r="I552">
        <v>17</v>
      </c>
      <c r="J552" t="s">
        <v>432</v>
      </c>
      <c r="K552" t="s">
        <v>494</v>
      </c>
      <c r="L552" t="s">
        <v>25</v>
      </c>
      <c r="M552" t="s">
        <v>434</v>
      </c>
      <c r="N552" t="s">
        <v>76</v>
      </c>
      <c r="O552" t="s">
        <v>435</v>
      </c>
      <c r="P552" t="s">
        <v>25</v>
      </c>
      <c r="Q552">
        <v>0</v>
      </c>
      <c r="R552" t="s">
        <v>436</v>
      </c>
    </row>
    <row r="553" spans="1:18" x14ac:dyDescent="0.25">
      <c r="A553" t="s">
        <v>3371</v>
      </c>
      <c r="B553">
        <v>2550</v>
      </c>
      <c r="C553" t="s">
        <v>487</v>
      </c>
      <c r="D553" t="s">
        <v>247</v>
      </c>
      <c r="E553" t="s">
        <v>620</v>
      </c>
      <c r="F553" t="s">
        <v>3162</v>
      </c>
      <c r="G553" s="25">
        <v>44312</v>
      </c>
      <c r="H553">
        <v>24</v>
      </c>
      <c r="I553">
        <v>116</v>
      </c>
      <c r="J553" t="s">
        <v>432</v>
      </c>
      <c r="K553" t="s">
        <v>494</v>
      </c>
      <c r="L553" t="s">
        <v>25</v>
      </c>
      <c r="M553" t="s">
        <v>434</v>
      </c>
      <c r="N553" t="s">
        <v>76</v>
      </c>
      <c r="O553" t="s">
        <v>435</v>
      </c>
      <c r="P553" t="s">
        <v>25</v>
      </c>
      <c r="Q553">
        <v>32700</v>
      </c>
      <c r="R553" t="s">
        <v>436</v>
      </c>
    </row>
    <row r="554" spans="1:18" x14ac:dyDescent="0.25">
      <c r="A554" t="s">
        <v>2473</v>
      </c>
      <c r="B554">
        <v>1582</v>
      </c>
      <c r="C554" t="s">
        <v>487</v>
      </c>
      <c r="D554" t="s">
        <v>261</v>
      </c>
      <c r="E554" t="s">
        <v>232</v>
      </c>
      <c r="F554" t="s">
        <v>1500</v>
      </c>
      <c r="G554" s="25">
        <v>44268</v>
      </c>
      <c r="H554">
        <v>15</v>
      </c>
      <c r="I554">
        <v>72</v>
      </c>
      <c r="J554" t="s">
        <v>432</v>
      </c>
      <c r="K554" t="s">
        <v>494</v>
      </c>
      <c r="L554" t="s">
        <v>25</v>
      </c>
      <c r="M554" t="s">
        <v>434</v>
      </c>
      <c r="N554" t="s">
        <v>76</v>
      </c>
      <c r="O554" t="s">
        <v>435</v>
      </c>
      <c r="P554" t="s">
        <v>25</v>
      </c>
      <c r="Q554">
        <v>38100</v>
      </c>
      <c r="R554" t="s">
        <v>436</v>
      </c>
    </row>
    <row r="555" spans="1:18" x14ac:dyDescent="0.25">
      <c r="A555" t="s">
        <v>1953</v>
      </c>
      <c r="B555">
        <v>746</v>
      </c>
      <c r="C555" t="s">
        <v>487</v>
      </c>
      <c r="D555" t="s">
        <v>231</v>
      </c>
      <c r="E555" t="s">
        <v>537</v>
      </c>
      <c r="F555" t="s">
        <v>1192</v>
      </c>
      <c r="G555" s="25">
        <v>44230</v>
      </c>
      <c r="H555">
        <v>7</v>
      </c>
      <c r="I555">
        <v>34</v>
      </c>
      <c r="J555" t="s">
        <v>432</v>
      </c>
      <c r="K555" t="s">
        <v>494</v>
      </c>
      <c r="L555" t="s">
        <v>25</v>
      </c>
      <c r="M555" t="s">
        <v>434</v>
      </c>
      <c r="N555" t="s">
        <v>76</v>
      </c>
      <c r="O555" t="s">
        <v>435</v>
      </c>
      <c r="P555" t="s">
        <v>25</v>
      </c>
      <c r="Q555">
        <v>28800</v>
      </c>
      <c r="R555" t="s">
        <v>436</v>
      </c>
    </row>
    <row r="556" spans="1:18" x14ac:dyDescent="0.25">
      <c r="A556" t="s">
        <v>3372</v>
      </c>
      <c r="B556">
        <v>2420</v>
      </c>
      <c r="C556" t="s">
        <v>487</v>
      </c>
      <c r="D556" t="s">
        <v>247</v>
      </c>
      <c r="E556" t="s">
        <v>239</v>
      </c>
      <c r="F556" t="s">
        <v>3118</v>
      </c>
      <c r="G556" s="25">
        <v>44306</v>
      </c>
      <c r="H556">
        <v>22</v>
      </c>
      <c r="I556">
        <v>110</v>
      </c>
      <c r="J556" t="s">
        <v>432</v>
      </c>
      <c r="K556" t="s">
        <v>493</v>
      </c>
      <c r="L556" t="s">
        <v>441</v>
      </c>
      <c r="M556" t="s">
        <v>434</v>
      </c>
      <c r="N556" t="s">
        <v>78</v>
      </c>
      <c r="O556" t="s">
        <v>435</v>
      </c>
      <c r="P556" t="s">
        <v>441</v>
      </c>
      <c r="Q556">
        <v>188130</v>
      </c>
      <c r="R556" t="s">
        <v>436</v>
      </c>
    </row>
    <row r="557" spans="1:18" x14ac:dyDescent="0.25">
      <c r="A557" t="s">
        <v>1838</v>
      </c>
      <c r="B557">
        <v>1782</v>
      </c>
      <c r="C557" t="s">
        <v>487</v>
      </c>
      <c r="D557" t="s">
        <v>322</v>
      </c>
      <c r="E557" t="s">
        <v>229</v>
      </c>
      <c r="F557" t="s">
        <v>1643</v>
      </c>
      <c r="G557" s="25">
        <v>44277</v>
      </c>
      <c r="H557">
        <v>17</v>
      </c>
      <c r="I557">
        <v>81</v>
      </c>
      <c r="J557" t="s">
        <v>432</v>
      </c>
      <c r="K557" t="s">
        <v>493</v>
      </c>
      <c r="L557" t="s">
        <v>441</v>
      </c>
      <c r="M557" t="s">
        <v>434</v>
      </c>
      <c r="N557" t="s">
        <v>78</v>
      </c>
      <c r="O557" t="s">
        <v>435</v>
      </c>
      <c r="P557" t="s">
        <v>441</v>
      </c>
      <c r="Q557">
        <v>88200</v>
      </c>
      <c r="R557" t="s">
        <v>436</v>
      </c>
    </row>
    <row r="558" spans="1:18" x14ac:dyDescent="0.25">
      <c r="A558" t="s">
        <v>2690</v>
      </c>
      <c r="B558">
        <v>946</v>
      </c>
      <c r="C558" t="s">
        <v>487</v>
      </c>
      <c r="D558" t="s">
        <v>256</v>
      </c>
      <c r="E558" t="s">
        <v>256</v>
      </c>
      <c r="F558" t="s">
        <v>1263</v>
      </c>
      <c r="G558" s="25">
        <v>44239</v>
      </c>
      <c r="H558">
        <v>9</v>
      </c>
      <c r="I558">
        <v>43</v>
      </c>
      <c r="J558" t="s">
        <v>432</v>
      </c>
      <c r="K558" t="s">
        <v>493</v>
      </c>
      <c r="L558" t="s">
        <v>441</v>
      </c>
      <c r="M558" t="s">
        <v>434</v>
      </c>
      <c r="N558" t="s">
        <v>78</v>
      </c>
      <c r="O558" t="s">
        <v>435</v>
      </c>
      <c r="P558" t="s">
        <v>441</v>
      </c>
      <c r="Q558">
        <v>90300</v>
      </c>
      <c r="R558" t="s">
        <v>436</v>
      </c>
    </row>
    <row r="559" spans="1:18" x14ac:dyDescent="0.25">
      <c r="A559" t="s">
        <v>1700</v>
      </c>
      <c r="B559">
        <v>572</v>
      </c>
      <c r="C559" t="s">
        <v>487</v>
      </c>
      <c r="D559" t="s">
        <v>231</v>
      </c>
      <c r="E559" t="s">
        <v>247</v>
      </c>
      <c r="F559" t="s">
        <v>1088</v>
      </c>
      <c r="G559" s="25">
        <v>44222</v>
      </c>
      <c r="H559">
        <v>6</v>
      </c>
      <c r="I559">
        <v>26</v>
      </c>
      <c r="J559" t="s">
        <v>432</v>
      </c>
      <c r="K559" t="s">
        <v>493</v>
      </c>
      <c r="L559" t="s">
        <v>441</v>
      </c>
      <c r="M559" t="s">
        <v>434</v>
      </c>
      <c r="N559" t="s">
        <v>78</v>
      </c>
      <c r="O559" t="s">
        <v>435</v>
      </c>
      <c r="P559" t="s">
        <v>441</v>
      </c>
      <c r="Q559">
        <v>148400</v>
      </c>
      <c r="R559" t="s">
        <v>436</v>
      </c>
    </row>
    <row r="560" spans="1:18" x14ac:dyDescent="0.25">
      <c r="A560" t="s">
        <v>3373</v>
      </c>
      <c r="B560">
        <v>2019</v>
      </c>
      <c r="C560" t="s">
        <v>487</v>
      </c>
      <c r="D560" t="s">
        <v>322</v>
      </c>
      <c r="E560" t="s">
        <v>232</v>
      </c>
      <c r="F560" t="s">
        <v>2987</v>
      </c>
      <c r="G560" s="25">
        <v>44288</v>
      </c>
      <c r="H560">
        <v>19</v>
      </c>
      <c r="I560">
        <v>92</v>
      </c>
      <c r="J560" t="s">
        <v>432</v>
      </c>
      <c r="K560" t="s">
        <v>492</v>
      </c>
      <c r="L560" t="s">
        <v>24</v>
      </c>
      <c r="M560" t="s">
        <v>434</v>
      </c>
      <c r="N560" t="s">
        <v>71</v>
      </c>
      <c r="O560" t="s">
        <v>435</v>
      </c>
      <c r="P560" t="s">
        <v>24</v>
      </c>
      <c r="Q560">
        <v>74400</v>
      </c>
      <c r="R560" t="s">
        <v>436</v>
      </c>
    </row>
    <row r="561" spans="1:18" x14ac:dyDescent="0.25">
      <c r="A561" t="s">
        <v>2319</v>
      </c>
      <c r="B561">
        <v>1403</v>
      </c>
      <c r="C561" t="s">
        <v>487</v>
      </c>
      <c r="D561" t="s">
        <v>261</v>
      </c>
      <c r="E561" t="s">
        <v>261</v>
      </c>
      <c r="F561" t="s">
        <v>1410</v>
      </c>
      <c r="G561" s="25">
        <v>44260</v>
      </c>
      <c r="H561">
        <v>13</v>
      </c>
      <c r="I561">
        <v>64</v>
      </c>
      <c r="J561" t="s">
        <v>432</v>
      </c>
      <c r="K561" t="s">
        <v>492</v>
      </c>
      <c r="L561" t="s">
        <v>24</v>
      </c>
      <c r="M561" t="s">
        <v>434</v>
      </c>
      <c r="N561" t="s">
        <v>71</v>
      </c>
      <c r="O561" t="s">
        <v>435</v>
      </c>
      <c r="P561" t="s">
        <v>24</v>
      </c>
      <c r="Q561">
        <v>31500</v>
      </c>
      <c r="R561" t="s">
        <v>436</v>
      </c>
    </row>
    <row r="562" spans="1:18" x14ac:dyDescent="0.25">
      <c r="A562" t="s">
        <v>1792</v>
      </c>
      <c r="B562">
        <v>1117</v>
      </c>
      <c r="C562" t="s">
        <v>487</v>
      </c>
      <c r="D562" t="s">
        <v>256</v>
      </c>
      <c r="E562" t="s">
        <v>515</v>
      </c>
      <c r="F562" t="s">
        <v>1329</v>
      </c>
      <c r="G562" s="25">
        <v>44247</v>
      </c>
      <c r="H562">
        <v>11</v>
      </c>
      <c r="I562">
        <v>51</v>
      </c>
      <c r="J562" t="s">
        <v>432</v>
      </c>
      <c r="K562" t="s">
        <v>492</v>
      </c>
      <c r="L562" t="s">
        <v>24</v>
      </c>
      <c r="M562" t="s">
        <v>434</v>
      </c>
      <c r="N562" t="s">
        <v>71</v>
      </c>
      <c r="O562" t="s">
        <v>435</v>
      </c>
      <c r="P562" t="s">
        <v>24</v>
      </c>
      <c r="Q562">
        <v>53100</v>
      </c>
      <c r="R562" t="s">
        <v>436</v>
      </c>
    </row>
    <row r="563" spans="1:18" x14ac:dyDescent="0.25">
      <c r="A563" t="s">
        <v>1841</v>
      </c>
      <c r="B563">
        <v>809</v>
      </c>
      <c r="C563" t="s">
        <v>487</v>
      </c>
      <c r="D563" t="s">
        <v>231</v>
      </c>
      <c r="E563" t="s">
        <v>534</v>
      </c>
      <c r="F563" t="s">
        <v>1731</v>
      </c>
      <c r="G563" s="25">
        <v>44233</v>
      </c>
      <c r="H563">
        <v>8</v>
      </c>
      <c r="I563">
        <v>37</v>
      </c>
      <c r="J563" t="s">
        <v>432</v>
      </c>
      <c r="K563" t="s">
        <v>492</v>
      </c>
      <c r="L563" t="s">
        <v>24</v>
      </c>
      <c r="M563" t="s">
        <v>434</v>
      </c>
      <c r="N563" t="s">
        <v>71</v>
      </c>
      <c r="O563" t="s">
        <v>435</v>
      </c>
      <c r="P563" t="s">
        <v>24</v>
      </c>
      <c r="Q563">
        <v>14400</v>
      </c>
      <c r="R563" t="s">
        <v>436</v>
      </c>
    </row>
    <row r="564" spans="1:18" x14ac:dyDescent="0.25">
      <c r="A564" t="s">
        <v>1629</v>
      </c>
      <c r="B564">
        <v>501</v>
      </c>
      <c r="C564" t="s">
        <v>487</v>
      </c>
      <c r="D564" t="s">
        <v>231</v>
      </c>
      <c r="E564" t="s">
        <v>256</v>
      </c>
      <c r="F564" t="s">
        <v>1064</v>
      </c>
      <c r="G564" s="25">
        <v>44219</v>
      </c>
      <c r="H564">
        <v>5</v>
      </c>
      <c r="I564">
        <v>23</v>
      </c>
      <c r="J564" t="s">
        <v>432</v>
      </c>
      <c r="K564" t="s">
        <v>492</v>
      </c>
      <c r="L564" t="s">
        <v>24</v>
      </c>
      <c r="M564" t="s">
        <v>434</v>
      </c>
      <c r="N564" t="s">
        <v>71</v>
      </c>
      <c r="O564" t="s">
        <v>435</v>
      </c>
      <c r="P564" t="s">
        <v>24</v>
      </c>
      <c r="Q564">
        <v>0</v>
      </c>
      <c r="R564" t="s">
        <v>436</v>
      </c>
    </row>
    <row r="565" spans="1:18" x14ac:dyDescent="0.25">
      <c r="A565" t="s">
        <v>780</v>
      </c>
      <c r="B565">
        <v>193</v>
      </c>
      <c r="C565" t="s">
        <v>487</v>
      </c>
      <c r="D565" t="s">
        <v>229</v>
      </c>
      <c r="E565" t="s">
        <v>371</v>
      </c>
      <c r="F565" t="s">
        <v>557</v>
      </c>
      <c r="G565" s="25">
        <v>44205</v>
      </c>
      <c r="H565">
        <v>2</v>
      </c>
      <c r="I565">
        <v>9</v>
      </c>
      <c r="J565" t="s">
        <v>432</v>
      </c>
      <c r="K565" t="s">
        <v>492</v>
      </c>
      <c r="L565" t="s">
        <v>24</v>
      </c>
      <c r="M565" t="s">
        <v>434</v>
      </c>
      <c r="N565" t="s">
        <v>71</v>
      </c>
      <c r="O565" t="s">
        <v>435</v>
      </c>
      <c r="P565" t="s">
        <v>24</v>
      </c>
      <c r="Q565">
        <v>0</v>
      </c>
      <c r="R565" t="s">
        <v>436</v>
      </c>
    </row>
    <row r="566" spans="1:18" x14ac:dyDescent="0.25">
      <c r="A566" t="s">
        <v>3374</v>
      </c>
      <c r="B566">
        <v>2371</v>
      </c>
      <c r="C566" t="s">
        <v>487</v>
      </c>
      <c r="D566" t="s">
        <v>247</v>
      </c>
      <c r="E566" t="s">
        <v>381</v>
      </c>
      <c r="F566" t="s">
        <v>3107</v>
      </c>
      <c r="G566" s="25">
        <v>44304</v>
      </c>
      <c r="H566">
        <v>22</v>
      </c>
      <c r="I566">
        <v>108</v>
      </c>
      <c r="J566" t="s">
        <v>432</v>
      </c>
      <c r="K566" t="s">
        <v>492</v>
      </c>
      <c r="L566" t="s">
        <v>24</v>
      </c>
      <c r="M566" t="s">
        <v>434</v>
      </c>
      <c r="N566" t="s">
        <v>71</v>
      </c>
      <c r="O566" t="s">
        <v>435</v>
      </c>
      <c r="P566" t="s">
        <v>24</v>
      </c>
      <c r="Q566">
        <v>54300</v>
      </c>
      <c r="R566" t="s">
        <v>436</v>
      </c>
    </row>
    <row r="567" spans="1:18" x14ac:dyDescent="0.25">
      <c r="A567" t="s">
        <v>2264</v>
      </c>
      <c r="B567">
        <v>1658</v>
      </c>
      <c r="C567" t="s">
        <v>487</v>
      </c>
      <c r="D567" t="s">
        <v>261</v>
      </c>
      <c r="E567" t="s">
        <v>620</v>
      </c>
      <c r="F567" t="s">
        <v>1545</v>
      </c>
      <c r="G567" s="25">
        <v>44272</v>
      </c>
      <c r="H567">
        <v>16</v>
      </c>
      <c r="I567">
        <v>76</v>
      </c>
      <c r="J567" t="s">
        <v>231</v>
      </c>
      <c r="K567" t="s">
        <v>491</v>
      </c>
      <c r="L567" t="s">
        <v>233</v>
      </c>
      <c r="M567" t="s">
        <v>234</v>
      </c>
      <c r="N567" t="s">
        <v>54</v>
      </c>
      <c r="O567" t="s">
        <v>235</v>
      </c>
      <c r="P567" t="s">
        <v>236</v>
      </c>
      <c r="Q567">
        <v>0</v>
      </c>
      <c r="R567" t="s">
        <v>237</v>
      </c>
    </row>
    <row r="568" spans="1:18" x14ac:dyDescent="0.25">
      <c r="A568" t="s">
        <v>2141</v>
      </c>
      <c r="B568">
        <v>1416</v>
      </c>
      <c r="C568" t="s">
        <v>487</v>
      </c>
      <c r="D568" t="s">
        <v>261</v>
      </c>
      <c r="E568" t="s">
        <v>322</v>
      </c>
      <c r="F568" t="s">
        <v>1417</v>
      </c>
      <c r="G568" s="25">
        <v>44261</v>
      </c>
      <c r="H568">
        <v>13</v>
      </c>
      <c r="I568">
        <v>65</v>
      </c>
      <c r="J568" t="s">
        <v>231</v>
      </c>
      <c r="K568" t="s">
        <v>491</v>
      </c>
      <c r="L568" t="s">
        <v>233</v>
      </c>
      <c r="M568" t="s">
        <v>234</v>
      </c>
      <c r="N568" t="s">
        <v>54</v>
      </c>
      <c r="O568" t="s">
        <v>235</v>
      </c>
      <c r="P568" t="s">
        <v>236</v>
      </c>
      <c r="Q568">
        <v>0</v>
      </c>
      <c r="R568" t="s">
        <v>237</v>
      </c>
    </row>
    <row r="569" spans="1:18" x14ac:dyDescent="0.25">
      <c r="A569" t="s">
        <v>2420</v>
      </c>
      <c r="B569">
        <v>1130</v>
      </c>
      <c r="C569" t="s">
        <v>487</v>
      </c>
      <c r="D569" t="s">
        <v>256</v>
      </c>
      <c r="E569" t="s">
        <v>232</v>
      </c>
      <c r="F569" t="s">
        <v>1337</v>
      </c>
      <c r="G569" s="25">
        <v>44248</v>
      </c>
      <c r="H569">
        <v>11</v>
      </c>
      <c r="I569">
        <v>52</v>
      </c>
      <c r="J569" t="s">
        <v>231</v>
      </c>
      <c r="K569" t="s">
        <v>491</v>
      </c>
      <c r="L569" t="s">
        <v>233</v>
      </c>
      <c r="M569" t="s">
        <v>234</v>
      </c>
      <c r="N569" t="s">
        <v>54</v>
      </c>
      <c r="O569" t="s">
        <v>235</v>
      </c>
      <c r="P569" t="s">
        <v>236</v>
      </c>
      <c r="Q569">
        <v>0</v>
      </c>
      <c r="R569" t="s">
        <v>237</v>
      </c>
    </row>
    <row r="570" spans="1:18" x14ac:dyDescent="0.25">
      <c r="A570" t="s">
        <v>2067</v>
      </c>
      <c r="B570">
        <v>822</v>
      </c>
      <c r="C570" t="s">
        <v>487</v>
      </c>
      <c r="D570" t="s">
        <v>231</v>
      </c>
      <c r="E570" t="s">
        <v>552</v>
      </c>
      <c r="F570" t="s">
        <v>1222</v>
      </c>
      <c r="G570" s="25">
        <v>44234</v>
      </c>
      <c r="H570">
        <v>8</v>
      </c>
      <c r="I570">
        <v>38</v>
      </c>
      <c r="J570" t="s">
        <v>231</v>
      </c>
      <c r="K570" t="s">
        <v>491</v>
      </c>
      <c r="L570" t="s">
        <v>233</v>
      </c>
      <c r="M570" t="s">
        <v>234</v>
      </c>
      <c r="N570" t="s">
        <v>54</v>
      </c>
      <c r="O570" t="s">
        <v>235</v>
      </c>
      <c r="P570" t="s">
        <v>236</v>
      </c>
      <c r="Q570">
        <v>0</v>
      </c>
      <c r="R570" t="s">
        <v>237</v>
      </c>
    </row>
    <row r="571" spans="1:18" x14ac:dyDescent="0.25">
      <c r="A571" t="s">
        <v>2856</v>
      </c>
      <c r="B571">
        <v>514</v>
      </c>
      <c r="C571" t="s">
        <v>487</v>
      </c>
      <c r="D571" t="s">
        <v>231</v>
      </c>
      <c r="E571" t="s">
        <v>261</v>
      </c>
      <c r="F571" t="s">
        <v>1065</v>
      </c>
      <c r="G571" s="25">
        <v>44220</v>
      </c>
      <c r="H571">
        <v>5</v>
      </c>
      <c r="I571">
        <v>24</v>
      </c>
      <c r="J571" t="s">
        <v>231</v>
      </c>
      <c r="K571" t="s">
        <v>491</v>
      </c>
      <c r="L571" t="s">
        <v>233</v>
      </c>
      <c r="M571" t="s">
        <v>234</v>
      </c>
      <c r="N571" t="s">
        <v>54</v>
      </c>
      <c r="O571" t="s">
        <v>235</v>
      </c>
      <c r="P571" t="s">
        <v>236</v>
      </c>
      <c r="Q571">
        <v>0</v>
      </c>
      <c r="R571" t="s">
        <v>237</v>
      </c>
    </row>
    <row r="572" spans="1:18" x14ac:dyDescent="0.25">
      <c r="A572" t="s">
        <v>3375</v>
      </c>
      <c r="B572">
        <v>2384</v>
      </c>
      <c r="C572" t="s">
        <v>487</v>
      </c>
      <c r="D572" t="s">
        <v>247</v>
      </c>
      <c r="E572" t="s">
        <v>371</v>
      </c>
      <c r="F572" t="s">
        <v>3112</v>
      </c>
      <c r="G572" s="25">
        <v>44305</v>
      </c>
      <c r="H572">
        <v>22</v>
      </c>
      <c r="I572">
        <v>109</v>
      </c>
      <c r="J572" t="s">
        <v>231</v>
      </c>
      <c r="K572" t="s">
        <v>491</v>
      </c>
      <c r="L572" t="s">
        <v>233</v>
      </c>
      <c r="M572" t="s">
        <v>234</v>
      </c>
      <c r="N572" t="s">
        <v>54</v>
      </c>
      <c r="O572" t="s">
        <v>235</v>
      </c>
      <c r="P572" t="s">
        <v>236</v>
      </c>
      <c r="Q572">
        <v>0</v>
      </c>
      <c r="R572" t="s">
        <v>237</v>
      </c>
    </row>
    <row r="573" spans="1:18" x14ac:dyDescent="0.25">
      <c r="A573" t="s">
        <v>309</v>
      </c>
      <c r="B573">
        <v>57</v>
      </c>
      <c r="C573" t="s">
        <v>487</v>
      </c>
      <c r="D573" t="s">
        <v>229</v>
      </c>
      <c r="E573" t="s">
        <v>256</v>
      </c>
      <c r="F573" t="s">
        <v>525</v>
      </c>
      <c r="G573" s="25">
        <v>44199</v>
      </c>
      <c r="H573">
        <v>1</v>
      </c>
      <c r="I573">
        <v>3</v>
      </c>
      <c r="J573" t="s">
        <v>432</v>
      </c>
      <c r="K573" t="s">
        <v>490</v>
      </c>
      <c r="L573" t="s">
        <v>65</v>
      </c>
      <c r="M573" t="s">
        <v>434</v>
      </c>
      <c r="N573" t="s">
        <v>64</v>
      </c>
      <c r="O573" t="s">
        <v>235</v>
      </c>
      <c r="P573" t="s">
        <v>442</v>
      </c>
      <c r="Q573">
        <v>0</v>
      </c>
      <c r="R573" t="s">
        <v>237</v>
      </c>
    </row>
    <row r="574" spans="1:18" x14ac:dyDescent="0.25">
      <c r="A574" t="s">
        <v>3376</v>
      </c>
      <c r="B574">
        <v>2499</v>
      </c>
      <c r="C574" t="s">
        <v>487</v>
      </c>
      <c r="D574" t="s">
        <v>247</v>
      </c>
      <c r="E574" t="s">
        <v>537</v>
      </c>
      <c r="F574" t="s">
        <v>3153</v>
      </c>
      <c r="G574" s="25">
        <v>44310</v>
      </c>
      <c r="H574">
        <v>23</v>
      </c>
      <c r="I574">
        <v>114</v>
      </c>
      <c r="J574" t="s">
        <v>432</v>
      </c>
      <c r="K574" t="s">
        <v>490</v>
      </c>
      <c r="L574" t="s">
        <v>65</v>
      </c>
      <c r="M574" t="s">
        <v>434</v>
      </c>
      <c r="N574" t="s">
        <v>64</v>
      </c>
      <c r="O574" t="s">
        <v>235</v>
      </c>
      <c r="P574" t="s">
        <v>442</v>
      </c>
      <c r="Q574">
        <v>274750</v>
      </c>
      <c r="R574" t="s">
        <v>237</v>
      </c>
    </row>
    <row r="575" spans="1:18" x14ac:dyDescent="0.25">
      <c r="A575" t="s">
        <v>3377</v>
      </c>
      <c r="B575">
        <v>2328</v>
      </c>
      <c r="C575" t="s">
        <v>487</v>
      </c>
      <c r="D575" t="s">
        <v>247</v>
      </c>
      <c r="E575" t="s">
        <v>247</v>
      </c>
      <c r="F575" t="s">
        <v>3085</v>
      </c>
      <c r="G575" s="25">
        <v>44302</v>
      </c>
      <c r="H575">
        <v>22</v>
      </c>
      <c r="I575">
        <v>106</v>
      </c>
      <c r="J575" t="s">
        <v>432</v>
      </c>
      <c r="K575" t="s">
        <v>488</v>
      </c>
      <c r="L575" t="s">
        <v>433</v>
      </c>
      <c r="M575" t="s">
        <v>434</v>
      </c>
      <c r="N575" t="s">
        <v>74</v>
      </c>
      <c r="O575" t="s">
        <v>435</v>
      </c>
      <c r="P575" t="s">
        <v>433</v>
      </c>
      <c r="Q575">
        <v>41700</v>
      </c>
      <c r="R575" t="s">
        <v>436</v>
      </c>
    </row>
    <row r="576" spans="1:18" x14ac:dyDescent="0.25">
      <c r="A576" t="s">
        <v>2640</v>
      </c>
      <c r="B576">
        <v>1360</v>
      </c>
      <c r="C576" t="s">
        <v>487</v>
      </c>
      <c r="D576" t="s">
        <v>261</v>
      </c>
      <c r="E576" t="s">
        <v>231</v>
      </c>
      <c r="F576" t="s">
        <v>1400</v>
      </c>
      <c r="G576" s="25">
        <v>44258</v>
      </c>
      <c r="H576">
        <v>13</v>
      </c>
      <c r="I576">
        <v>62</v>
      </c>
      <c r="J576" t="s">
        <v>432</v>
      </c>
      <c r="K576" t="s">
        <v>488</v>
      </c>
      <c r="L576" t="s">
        <v>433</v>
      </c>
      <c r="M576" t="s">
        <v>434</v>
      </c>
      <c r="N576" t="s">
        <v>74</v>
      </c>
      <c r="O576" t="s">
        <v>435</v>
      </c>
      <c r="P576" t="s">
        <v>433</v>
      </c>
      <c r="Q576">
        <v>39300</v>
      </c>
      <c r="R576" t="s">
        <v>436</v>
      </c>
    </row>
    <row r="577" spans="1:18" x14ac:dyDescent="0.25">
      <c r="A577" t="s">
        <v>820</v>
      </c>
      <c r="B577">
        <v>150</v>
      </c>
      <c r="C577" t="s">
        <v>487</v>
      </c>
      <c r="D577" t="s">
        <v>229</v>
      </c>
      <c r="E577" t="s">
        <v>326</v>
      </c>
      <c r="F577" t="s">
        <v>522</v>
      </c>
      <c r="G577" s="25">
        <v>44203</v>
      </c>
      <c r="H577">
        <v>2</v>
      </c>
      <c r="I577">
        <v>7</v>
      </c>
      <c r="J577" t="s">
        <v>432</v>
      </c>
      <c r="K577" t="s">
        <v>488</v>
      </c>
      <c r="L577" t="s">
        <v>433</v>
      </c>
      <c r="M577" t="s">
        <v>434</v>
      </c>
      <c r="N577" t="s">
        <v>74</v>
      </c>
      <c r="O577" t="s">
        <v>435</v>
      </c>
      <c r="P577" t="s">
        <v>433</v>
      </c>
      <c r="Q577">
        <v>7200</v>
      </c>
      <c r="R577" t="s">
        <v>436</v>
      </c>
    </row>
    <row r="578" spans="1:18" x14ac:dyDescent="0.25">
      <c r="A578" t="s">
        <v>3378</v>
      </c>
      <c r="B578">
        <v>2566</v>
      </c>
      <c r="C578" t="s">
        <v>487</v>
      </c>
      <c r="D578" t="s">
        <v>247</v>
      </c>
      <c r="E578" t="s">
        <v>534</v>
      </c>
      <c r="F578" t="s">
        <v>3166</v>
      </c>
      <c r="G578" s="25">
        <v>44313</v>
      </c>
      <c r="H578">
        <v>24</v>
      </c>
      <c r="I578">
        <v>117</v>
      </c>
      <c r="J578" t="s">
        <v>432</v>
      </c>
      <c r="K578" t="s">
        <v>489</v>
      </c>
      <c r="L578" t="s">
        <v>134</v>
      </c>
      <c r="M578" t="s">
        <v>434</v>
      </c>
      <c r="N578" t="s">
        <v>67</v>
      </c>
      <c r="O578" t="s">
        <v>235</v>
      </c>
      <c r="P578" t="s">
        <v>437</v>
      </c>
      <c r="Q578">
        <v>206625</v>
      </c>
      <c r="R578" t="s">
        <v>237</v>
      </c>
    </row>
    <row r="579" spans="1:18" x14ac:dyDescent="0.25">
      <c r="A579" t="s">
        <v>3379</v>
      </c>
      <c r="B579">
        <v>2104</v>
      </c>
      <c r="C579" t="s">
        <v>487</v>
      </c>
      <c r="D579" t="s">
        <v>322</v>
      </c>
      <c r="E579" t="s">
        <v>620</v>
      </c>
      <c r="F579" t="s">
        <v>3025</v>
      </c>
      <c r="G579" s="25">
        <v>44292</v>
      </c>
      <c r="H579">
        <v>20</v>
      </c>
      <c r="I579">
        <v>96</v>
      </c>
      <c r="J579" t="s">
        <v>432</v>
      </c>
      <c r="K579" t="s">
        <v>489</v>
      </c>
      <c r="L579" t="s">
        <v>134</v>
      </c>
      <c r="M579" t="s">
        <v>434</v>
      </c>
      <c r="N579" t="s">
        <v>67</v>
      </c>
      <c r="O579" t="s">
        <v>235</v>
      </c>
      <c r="P579" t="s">
        <v>437</v>
      </c>
      <c r="Q579">
        <v>448000</v>
      </c>
      <c r="R579" t="s">
        <v>237</v>
      </c>
    </row>
    <row r="580" spans="1:18" x14ac:dyDescent="0.25">
      <c r="A580" t="s">
        <v>3380</v>
      </c>
      <c r="B580">
        <v>1796</v>
      </c>
      <c r="C580" t="s">
        <v>487</v>
      </c>
      <c r="D580" t="s">
        <v>322</v>
      </c>
      <c r="E580" t="s">
        <v>231</v>
      </c>
      <c r="F580" t="s">
        <v>2945</v>
      </c>
      <c r="G580" s="25">
        <v>44278</v>
      </c>
      <c r="H580">
        <v>17</v>
      </c>
      <c r="I580">
        <v>82</v>
      </c>
      <c r="J580" t="s">
        <v>432</v>
      </c>
      <c r="K580" t="s">
        <v>489</v>
      </c>
      <c r="L580" t="s">
        <v>134</v>
      </c>
      <c r="M580" t="s">
        <v>434</v>
      </c>
      <c r="N580" t="s">
        <v>67</v>
      </c>
      <c r="O580" t="s">
        <v>235</v>
      </c>
      <c r="P580" t="s">
        <v>437</v>
      </c>
      <c r="Q580">
        <v>228000</v>
      </c>
      <c r="R580" t="s">
        <v>237</v>
      </c>
    </row>
    <row r="581" spans="1:18" x14ac:dyDescent="0.25">
      <c r="A581" t="s">
        <v>2429</v>
      </c>
      <c r="B581">
        <v>1488</v>
      </c>
      <c r="C581" t="s">
        <v>487</v>
      </c>
      <c r="D581" t="s">
        <v>261</v>
      </c>
      <c r="E581" t="s">
        <v>381</v>
      </c>
      <c r="F581" t="s">
        <v>1458</v>
      </c>
      <c r="G581" s="25">
        <v>44264</v>
      </c>
      <c r="H581">
        <v>14</v>
      </c>
      <c r="I581">
        <v>68</v>
      </c>
      <c r="J581" t="s">
        <v>432</v>
      </c>
      <c r="K581" t="s">
        <v>489</v>
      </c>
      <c r="L581" t="s">
        <v>134</v>
      </c>
      <c r="M581" t="s">
        <v>434</v>
      </c>
      <c r="N581" t="s">
        <v>67</v>
      </c>
      <c r="O581" t="s">
        <v>235</v>
      </c>
      <c r="P581" t="s">
        <v>437</v>
      </c>
      <c r="Q581">
        <v>344000</v>
      </c>
      <c r="R581" t="s">
        <v>237</v>
      </c>
    </row>
    <row r="582" spans="1:18" x14ac:dyDescent="0.25">
      <c r="A582" t="s">
        <v>1757</v>
      </c>
      <c r="B582">
        <v>586</v>
      </c>
      <c r="C582" t="s">
        <v>487</v>
      </c>
      <c r="D582" t="s">
        <v>231</v>
      </c>
      <c r="E582" t="s">
        <v>326</v>
      </c>
      <c r="F582" t="s">
        <v>1095</v>
      </c>
      <c r="G582" s="25">
        <v>44223</v>
      </c>
      <c r="H582">
        <v>6</v>
      </c>
      <c r="I582">
        <v>27</v>
      </c>
      <c r="J582" t="s">
        <v>432</v>
      </c>
      <c r="K582" t="s">
        <v>489</v>
      </c>
      <c r="L582" t="s">
        <v>134</v>
      </c>
      <c r="M582" t="s">
        <v>434</v>
      </c>
      <c r="N582" t="s">
        <v>67</v>
      </c>
      <c r="O582" t="s">
        <v>235</v>
      </c>
      <c r="P582" t="s">
        <v>437</v>
      </c>
      <c r="Q582">
        <v>8000</v>
      </c>
      <c r="R582" t="s">
        <v>237</v>
      </c>
    </row>
    <row r="583" spans="1:18" x14ac:dyDescent="0.25">
      <c r="A583" t="s">
        <v>716</v>
      </c>
      <c r="B583">
        <v>234</v>
      </c>
      <c r="C583" t="s">
        <v>487</v>
      </c>
      <c r="D583" t="s">
        <v>229</v>
      </c>
      <c r="E583" t="s">
        <v>515</v>
      </c>
      <c r="F583" t="s">
        <v>516</v>
      </c>
      <c r="G583" s="25">
        <v>44207</v>
      </c>
      <c r="H583">
        <v>3</v>
      </c>
      <c r="I583">
        <v>11</v>
      </c>
      <c r="J583" t="s">
        <v>432</v>
      </c>
      <c r="K583" t="s">
        <v>489</v>
      </c>
      <c r="L583" t="s">
        <v>134</v>
      </c>
      <c r="M583" t="s">
        <v>434</v>
      </c>
      <c r="N583" t="s">
        <v>67</v>
      </c>
      <c r="O583" t="s">
        <v>235</v>
      </c>
      <c r="P583" t="s">
        <v>437</v>
      </c>
      <c r="Q583">
        <v>63000</v>
      </c>
      <c r="R583" t="s">
        <v>237</v>
      </c>
    </row>
    <row r="584" spans="1:18" x14ac:dyDescent="0.25">
      <c r="A584" t="s">
        <v>2643</v>
      </c>
      <c r="B584">
        <v>1675</v>
      </c>
      <c r="C584" t="s">
        <v>487</v>
      </c>
      <c r="D584" t="s">
        <v>261</v>
      </c>
      <c r="E584" t="s">
        <v>534</v>
      </c>
      <c r="F584" t="s">
        <v>1563</v>
      </c>
      <c r="G584" s="25">
        <v>44273</v>
      </c>
      <c r="H584">
        <v>16</v>
      </c>
      <c r="I584">
        <v>77</v>
      </c>
      <c r="J584" t="s">
        <v>231</v>
      </c>
      <c r="K584" t="s">
        <v>509</v>
      </c>
      <c r="L584" t="s">
        <v>45</v>
      </c>
      <c r="M584" t="s">
        <v>234</v>
      </c>
      <c r="N584" t="s">
        <v>44</v>
      </c>
      <c r="O584" t="s">
        <v>21</v>
      </c>
      <c r="P584" t="s">
        <v>304</v>
      </c>
      <c r="Q584">
        <v>167</v>
      </c>
      <c r="R584" t="s">
        <v>237</v>
      </c>
    </row>
    <row r="585" spans="1:18" x14ac:dyDescent="0.25">
      <c r="A585" t="s">
        <v>1720</v>
      </c>
      <c r="B585">
        <v>839</v>
      </c>
      <c r="C585" t="s">
        <v>487</v>
      </c>
      <c r="D585" t="s">
        <v>231</v>
      </c>
      <c r="E585" t="s">
        <v>531</v>
      </c>
      <c r="F585" t="s">
        <v>1230</v>
      </c>
      <c r="G585" s="25">
        <v>44235</v>
      </c>
      <c r="H585">
        <v>8</v>
      </c>
      <c r="I585">
        <v>39</v>
      </c>
      <c r="J585" t="s">
        <v>231</v>
      </c>
      <c r="K585" t="s">
        <v>509</v>
      </c>
      <c r="L585" t="s">
        <v>45</v>
      </c>
      <c r="M585" t="s">
        <v>234</v>
      </c>
      <c r="N585" t="s">
        <v>44</v>
      </c>
      <c r="O585" t="s">
        <v>21</v>
      </c>
      <c r="P585" t="s">
        <v>304</v>
      </c>
      <c r="Q585">
        <v>53743</v>
      </c>
      <c r="R585" t="s">
        <v>237</v>
      </c>
    </row>
    <row r="586" spans="1:18" x14ac:dyDescent="0.25">
      <c r="A586" t="s">
        <v>1639</v>
      </c>
      <c r="B586">
        <v>641</v>
      </c>
      <c r="C586" t="s">
        <v>487</v>
      </c>
      <c r="D586" t="s">
        <v>231</v>
      </c>
      <c r="E586" t="s">
        <v>239</v>
      </c>
      <c r="F586" t="s">
        <v>1139</v>
      </c>
      <c r="G586" s="25">
        <v>44226</v>
      </c>
      <c r="H586">
        <v>6</v>
      </c>
      <c r="I586">
        <v>30</v>
      </c>
      <c r="J586" t="s">
        <v>231</v>
      </c>
      <c r="K586" t="s">
        <v>509</v>
      </c>
      <c r="L586" t="s">
        <v>45</v>
      </c>
      <c r="M586" t="s">
        <v>234</v>
      </c>
      <c r="N586" t="s">
        <v>44</v>
      </c>
      <c r="O586" t="s">
        <v>21</v>
      </c>
      <c r="P586" t="s">
        <v>304</v>
      </c>
      <c r="Q586">
        <v>500</v>
      </c>
      <c r="R586" t="s">
        <v>237</v>
      </c>
    </row>
    <row r="587" spans="1:18" x14ac:dyDescent="0.25">
      <c r="A587" t="s">
        <v>3381</v>
      </c>
      <c r="B587">
        <v>2511</v>
      </c>
      <c r="C587" t="s">
        <v>487</v>
      </c>
      <c r="D587" t="s">
        <v>247</v>
      </c>
      <c r="E587" t="s">
        <v>575</v>
      </c>
      <c r="F587" t="s">
        <v>3158</v>
      </c>
      <c r="G587" s="25">
        <v>44311</v>
      </c>
      <c r="H587">
        <v>23</v>
      </c>
      <c r="I587">
        <v>115</v>
      </c>
      <c r="J587" t="s">
        <v>231</v>
      </c>
      <c r="K587" t="s">
        <v>509</v>
      </c>
      <c r="L587" t="s">
        <v>45</v>
      </c>
      <c r="M587" t="s">
        <v>234</v>
      </c>
      <c r="N587" t="s">
        <v>44</v>
      </c>
      <c r="O587" t="s">
        <v>21</v>
      </c>
      <c r="P587" t="s">
        <v>304</v>
      </c>
      <c r="Q587">
        <v>0</v>
      </c>
      <c r="R587" t="s">
        <v>237</v>
      </c>
    </row>
    <row r="588" spans="1:18" x14ac:dyDescent="0.25">
      <c r="A588" t="s">
        <v>2382</v>
      </c>
      <c r="B588">
        <v>1654</v>
      </c>
      <c r="C588" t="s">
        <v>487</v>
      </c>
      <c r="D588" t="s">
        <v>261</v>
      </c>
      <c r="E588" t="s">
        <v>620</v>
      </c>
      <c r="F588" t="s">
        <v>1545</v>
      </c>
      <c r="G588" s="25">
        <v>44272</v>
      </c>
      <c r="H588">
        <v>16</v>
      </c>
      <c r="I588">
        <v>76</v>
      </c>
      <c r="J588" t="s">
        <v>231</v>
      </c>
      <c r="K588" t="s">
        <v>508</v>
      </c>
      <c r="L588" t="s">
        <v>47</v>
      </c>
      <c r="M588" t="s">
        <v>234</v>
      </c>
      <c r="N588" t="s">
        <v>46</v>
      </c>
      <c r="O588" t="s">
        <v>21</v>
      </c>
      <c r="P588" t="s">
        <v>288</v>
      </c>
      <c r="Q588">
        <v>21688</v>
      </c>
      <c r="R588" t="s">
        <v>237</v>
      </c>
    </row>
    <row r="589" spans="1:18" x14ac:dyDescent="0.25">
      <c r="A589" t="s">
        <v>2822</v>
      </c>
      <c r="B589">
        <v>1126</v>
      </c>
      <c r="C589" t="s">
        <v>487</v>
      </c>
      <c r="D589" t="s">
        <v>256</v>
      </c>
      <c r="E589" t="s">
        <v>232</v>
      </c>
      <c r="F589" t="s">
        <v>1337</v>
      </c>
      <c r="G589" s="25">
        <v>44248</v>
      </c>
      <c r="H589">
        <v>11</v>
      </c>
      <c r="I589">
        <v>52</v>
      </c>
      <c r="J589" t="s">
        <v>231</v>
      </c>
      <c r="K589" t="s">
        <v>508</v>
      </c>
      <c r="L589" t="s">
        <v>47</v>
      </c>
      <c r="M589" t="s">
        <v>234</v>
      </c>
      <c r="N589" t="s">
        <v>46</v>
      </c>
      <c r="O589" t="s">
        <v>21</v>
      </c>
      <c r="P589" t="s">
        <v>288</v>
      </c>
      <c r="Q589">
        <v>0</v>
      </c>
      <c r="R589" t="s">
        <v>237</v>
      </c>
    </row>
    <row r="590" spans="1:18" x14ac:dyDescent="0.25">
      <c r="A590" t="s">
        <v>2503</v>
      </c>
      <c r="B590">
        <v>818</v>
      </c>
      <c r="C590" t="s">
        <v>487</v>
      </c>
      <c r="D590" t="s">
        <v>231</v>
      </c>
      <c r="E590" t="s">
        <v>552</v>
      </c>
      <c r="F590" t="s">
        <v>1222</v>
      </c>
      <c r="G590" s="25">
        <v>44234</v>
      </c>
      <c r="H590">
        <v>8</v>
      </c>
      <c r="I590">
        <v>38</v>
      </c>
      <c r="J590" t="s">
        <v>231</v>
      </c>
      <c r="K590" t="s">
        <v>508</v>
      </c>
      <c r="L590" t="s">
        <v>47</v>
      </c>
      <c r="M590" t="s">
        <v>234</v>
      </c>
      <c r="N590" t="s">
        <v>46</v>
      </c>
      <c r="O590" t="s">
        <v>21</v>
      </c>
      <c r="P590" t="s">
        <v>288</v>
      </c>
      <c r="Q590">
        <v>0</v>
      </c>
      <c r="R590" t="s">
        <v>237</v>
      </c>
    </row>
    <row r="591" spans="1:18" x14ac:dyDescent="0.25">
      <c r="A591" t="s">
        <v>1976</v>
      </c>
      <c r="B591">
        <v>510</v>
      </c>
      <c r="C591" t="s">
        <v>487</v>
      </c>
      <c r="D591" t="s">
        <v>231</v>
      </c>
      <c r="E591" t="s">
        <v>261</v>
      </c>
      <c r="F591" t="s">
        <v>1065</v>
      </c>
      <c r="G591" s="25">
        <v>44220</v>
      </c>
      <c r="H591">
        <v>5</v>
      </c>
      <c r="I591">
        <v>24</v>
      </c>
      <c r="J591" t="s">
        <v>231</v>
      </c>
      <c r="K591" t="s">
        <v>508</v>
      </c>
      <c r="L591" t="s">
        <v>47</v>
      </c>
      <c r="M591" t="s">
        <v>234</v>
      </c>
      <c r="N591" t="s">
        <v>46</v>
      </c>
      <c r="O591" t="s">
        <v>21</v>
      </c>
      <c r="P591" t="s">
        <v>288</v>
      </c>
      <c r="Q591">
        <v>0</v>
      </c>
      <c r="R591" t="s">
        <v>237</v>
      </c>
    </row>
    <row r="592" spans="1:18" x14ac:dyDescent="0.25">
      <c r="A592" t="s">
        <v>3382</v>
      </c>
      <c r="B592">
        <v>2380</v>
      </c>
      <c r="C592" t="s">
        <v>487</v>
      </c>
      <c r="D592" t="s">
        <v>247</v>
      </c>
      <c r="E592" t="s">
        <v>371</v>
      </c>
      <c r="F592" t="s">
        <v>3112</v>
      </c>
      <c r="G592" s="25">
        <v>44305</v>
      </c>
      <c r="H592">
        <v>22</v>
      </c>
      <c r="I592">
        <v>109</v>
      </c>
      <c r="J592" t="s">
        <v>231</v>
      </c>
      <c r="K592" t="s">
        <v>508</v>
      </c>
      <c r="L592" t="s">
        <v>47</v>
      </c>
      <c r="M592" t="s">
        <v>234</v>
      </c>
      <c r="N592" t="s">
        <v>46</v>
      </c>
      <c r="O592" t="s">
        <v>21</v>
      </c>
      <c r="P592" t="s">
        <v>288</v>
      </c>
      <c r="Q592">
        <v>0</v>
      </c>
      <c r="R592" t="s">
        <v>237</v>
      </c>
    </row>
    <row r="593" spans="1:18" x14ac:dyDescent="0.25">
      <c r="A593" t="s">
        <v>3383</v>
      </c>
      <c r="B593">
        <v>2028</v>
      </c>
      <c r="C593" t="s">
        <v>487</v>
      </c>
      <c r="D593" t="s">
        <v>322</v>
      </c>
      <c r="E593" t="s">
        <v>512</v>
      </c>
      <c r="F593" t="s">
        <v>2991</v>
      </c>
      <c r="G593" s="25">
        <v>44289</v>
      </c>
      <c r="H593">
        <v>19</v>
      </c>
      <c r="I593">
        <v>93</v>
      </c>
      <c r="J593" t="s">
        <v>231</v>
      </c>
      <c r="K593" t="s">
        <v>508</v>
      </c>
      <c r="L593" t="s">
        <v>47</v>
      </c>
      <c r="M593" t="s">
        <v>234</v>
      </c>
      <c r="N593" t="s">
        <v>46</v>
      </c>
      <c r="O593" t="s">
        <v>21</v>
      </c>
      <c r="P593" t="s">
        <v>288</v>
      </c>
      <c r="Q593">
        <v>0</v>
      </c>
      <c r="R593" t="s">
        <v>237</v>
      </c>
    </row>
    <row r="594" spans="1:18" x14ac:dyDescent="0.25">
      <c r="A594" t="s">
        <v>1919</v>
      </c>
      <c r="B594">
        <v>1193</v>
      </c>
      <c r="C594" t="s">
        <v>487</v>
      </c>
      <c r="D594" t="s">
        <v>256</v>
      </c>
      <c r="E594" t="s">
        <v>575</v>
      </c>
      <c r="F594" t="s">
        <v>1668</v>
      </c>
      <c r="G594" s="25">
        <v>44251</v>
      </c>
      <c r="H594">
        <v>11</v>
      </c>
      <c r="I594">
        <v>55</v>
      </c>
      <c r="J594" t="s">
        <v>231</v>
      </c>
      <c r="K594" t="s">
        <v>507</v>
      </c>
      <c r="L594" t="s">
        <v>49</v>
      </c>
      <c r="M594" t="s">
        <v>234</v>
      </c>
      <c r="N594" t="s">
        <v>48</v>
      </c>
      <c r="O594" t="s">
        <v>21</v>
      </c>
      <c r="P594" t="s">
        <v>413</v>
      </c>
      <c r="Q594">
        <v>0</v>
      </c>
      <c r="R594" t="s">
        <v>237</v>
      </c>
    </row>
    <row r="595" spans="1:18" x14ac:dyDescent="0.25">
      <c r="A595" t="s">
        <v>3384</v>
      </c>
      <c r="B595">
        <v>2403</v>
      </c>
      <c r="C595" t="s">
        <v>487</v>
      </c>
      <c r="D595" t="s">
        <v>247</v>
      </c>
      <c r="E595" t="s">
        <v>239</v>
      </c>
      <c r="F595" t="s">
        <v>3118</v>
      </c>
      <c r="G595" s="25">
        <v>44306</v>
      </c>
      <c r="H595">
        <v>22</v>
      </c>
      <c r="I595">
        <v>110</v>
      </c>
      <c r="J595" t="s">
        <v>231</v>
      </c>
      <c r="K595" t="s">
        <v>507</v>
      </c>
      <c r="L595" t="s">
        <v>49</v>
      </c>
      <c r="M595" t="s">
        <v>234</v>
      </c>
      <c r="N595" t="s">
        <v>48</v>
      </c>
      <c r="O595" t="s">
        <v>21</v>
      </c>
      <c r="P595" t="s">
        <v>413</v>
      </c>
      <c r="Q595">
        <v>0</v>
      </c>
      <c r="R595" t="s">
        <v>237</v>
      </c>
    </row>
    <row r="596" spans="1:18" x14ac:dyDescent="0.25">
      <c r="A596" t="s">
        <v>3385</v>
      </c>
      <c r="B596">
        <v>1941</v>
      </c>
      <c r="C596" t="s">
        <v>487</v>
      </c>
      <c r="D596" t="s">
        <v>322</v>
      </c>
      <c r="E596" t="s">
        <v>371</v>
      </c>
      <c r="F596" t="s">
        <v>2976</v>
      </c>
      <c r="G596" s="25">
        <v>44285</v>
      </c>
      <c r="H596">
        <v>18</v>
      </c>
      <c r="I596">
        <v>89</v>
      </c>
      <c r="J596" t="s">
        <v>231</v>
      </c>
      <c r="K596" t="s">
        <v>507</v>
      </c>
      <c r="L596" t="s">
        <v>49</v>
      </c>
      <c r="M596" t="s">
        <v>234</v>
      </c>
      <c r="N596" t="s">
        <v>48</v>
      </c>
      <c r="O596" t="s">
        <v>21</v>
      </c>
      <c r="P596" t="s">
        <v>413</v>
      </c>
      <c r="Q596">
        <v>0</v>
      </c>
      <c r="R596" t="s">
        <v>237</v>
      </c>
    </row>
    <row r="597" spans="1:18" x14ac:dyDescent="0.25">
      <c r="A597" t="s">
        <v>2089</v>
      </c>
      <c r="B597">
        <v>1436</v>
      </c>
      <c r="C597" t="s">
        <v>487</v>
      </c>
      <c r="D597" t="s">
        <v>261</v>
      </c>
      <c r="E597" t="s">
        <v>247</v>
      </c>
      <c r="F597" t="s">
        <v>1425</v>
      </c>
      <c r="G597" s="25">
        <v>44262</v>
      </c>
      <c r="H597">
        <v>14</v>
      </c>
      <c r="I597">
        <v>66</v>
      </c>
      <c r="J597" t="s">
        <v>231</v>
      </c>
      <c r="K597" t="s">
        <v>506</v>
      </c>
      <c r="L597" t="s">
        <v>414</v>
      </c>
      <c r="M597" t="s">
        <v>234</v>
      </c>
      <c r="N597" t="s">
        <v>50</v>
      </c>
      <c r="O597" t="s">
        <v>21</v>
      </c>
      <c r="P597" t="s">
        <v>411</v>
      </c>
      <c r="Q597">
        <v>0</v>
      </c>
      <c r="R597" t="s">
        <v>237</v>
      </c>
    </row>
    <row r="598" spans="1:18" x14ac:dyDescent="0.25">
      <c r="A598" t="s">
        <v>2865</v>
      </c>
      <c r="B598">
        <v>908</v>
      </c>
      <c r="C598" t="s">
        <v>487</v>
      </c>
      <c r="D598" t="s">
        <v>256</v>
      </c>
      <c r="E598" t="s">
        <v>231</v>
      </c>
      <c r="F598" t="s">
        <v>1249</v>
      </c>
      <c r="G598" s="25">
        <v>44238</v>
      </c>
      <c r="H598">
        <v>9</v>
      </c>
      <c r="I598">
        <v>42</v>
      </c>
      <c r="J598" t="s">
        <v>231</v>
      </c>
      <c r="K598" t="s">
        <v>506</v>
      </c>
      <c r="L598" t="s">
        <v>414</v>
      </c>
      <c r="M598" t="s">
        <v>234</v>
      </c>
      <c r="N598" t="s">
        <v>50</v>
      </c>
      <c r="O598" t="s">
        <v>21</v>
      </c>
      <c r="P598" t="s">
        <v>411</v>
      </c>
      <c r="Q598">
        <v>0</v>
      </c>
      <c r="R598" t="s">
        <v>237</v>
      </c>
    </row>
    <row r="599" spans="1:18" x14ac:dyDescent="0.25">
      <c r="A599" t="s">
        <v>839</v>
      </c>
      <c r="B599">
        <v>419</v>
      </c>
      <c r="C599" t="s">
        <v>487</v>
      </c>
      <c r="D599" t="s">
        <v>229</v>
      </c>
      <c r="E599" t="s">
        <v>408</v>
      </c>
      <c r="F599" t="s">
        <v>527</v>
      </c>
      <c r="G599" s="25">
        <v>44216</v>
      </c>
      <c r="H599">
        <v>4</v>
      </c>
      <c r="I599">
        <v>20</v>
      </c>
      <c r="J599" t="s">
        <v>231</v>
      </c>
      <c r="K599" t="s">
        <v>505</v>
      </c>
      <c r="L599" t="s">
        <v>41</v>
      </c>
      <c r="M599" t="s">
        <v>234</v>
      </c>
      <c r="N599" t="s">
        <v>40</v>
      </c>
      <c r="O599" t="s">
        <v>21</v>
      </c>
      <c r="P599" t="s">
        <v>266</v>
      </c>
      <c r="Q599">
        <v>0</v>
      </c>
      <c r="R599" t="s">
        <v>237</v>
      </c>
    </row>
    <row r="600" spans="1:18" x14ac:dyDescent="0.25">
      <c r="A600" t="s">
        <v>3386</v>
      </c>
      <c r="B600">
        <v>2092</v>
      </c>
      <c r="C600" t="s">
        <v>487</v>
      </c>
      <c r="D600" t="s">
        <v>322</v>
      </c>
      <c r="E600" t="s">
        <v>620</v>
      </c>
      <c r="F600" t="s">
        <v>3025</v>
      </c>
      <c r="G600" s="25">
        <v>44292</v>
      </c>
      <c r="H600">
        <v>20</v>
      </c>
      <c r="I600">
        <v>96</v>
      </c>
      <c r="J600" t="s">
        <v>231</v>
      </c>
      <c r="K600" t="s">
        <v>504</v>
      </c>
      <c r="L600" t="s">
        <v>43</v>
      </c>
      <c r="M600" t="s">
        <v>234</v>
      </c>
      <c r="N600" t="s">
        <v>42</v>
      </c>
      <c r="O600" t="s">
        <v>21</v>
      </c>
      <c r="P600" t="s">
        <v>236</v>
      </c>
      <c r="Q600">
        <v>6406</v>
      </c>
      <c r="R600" t="s">
        <v>237</v>
      </c>
    </row>
    <row r="601" spans="1:18" x14ac:dyDescent="0.25">
      <c r="A601" t="s">
        <v>2715</v>
      </c>
      <c r="B601">
        <v>1476</v>
      </c>
      <c r="C601" t="s">
        <v>487</v>
      </c>
      <c r="D601" t="s">
        <v>261</v>
      </c>
      <c r="E601" t="s">
        <v>381</v>
      </c>
      <c r="F601" t="s">
        <v>1458</v>
      </c>
      <c r="G601" s="25">
        <v>44264</v>
      </c>
      <c r="H601">
        <v>14</v>
      </c>
      <c r="I601">
        <v>68</v>
      </c>
      <c r="J601" t="s">
        <v>231</v>
      </c>
      <c r="K601" t="s">
        <v>504</v>
      </c>
      <c r="L601" t="s">
        <v>43</v>
      </c>
      <c r="M601" t="s">
        <v>234</v>
      </c>
      <c r="N601" t="s">
        <v>42</v>
      </c>
      <c r="O601" t="s">
        <v>21</v>
      </c>
      <c r="P601" t="s">
        <v>236</v>
      </c>
      <c r="Q601">
        <v>40482</v>
      </c>
      <c r="R601" t="s">
        <v>237</v>
      </c>
    </row>
    <row r="602" spans="1:18" x14ac:dyDescent="0.25">
      <c r="A602" t="s">
        <v>837</v>
      </c>
      <c r="B602">
        <v>376</v>
      </c>
      <c r="C602" t="s">
        <v>487</v>
      </c>
      <c r="D602" t="s">
        <v>229</v>
      </c>
      <c r="E602" t="s">
        <v>552</v>
      </c>
      <c r="F602" t="s">
        <v>553</v>
      </c>
      <c r="G602" s="25">
        <v>44214</v>
      </c>
      <c r="H602">
        <v>4</v>
      </c>
      <c r="I602">
        <v>18</v>
      </c>
      <c r="J602" t="s">
        <v>231</v>
      </c>
      <c r="K602" t="s">
        <v>504</v>
      </c>
      <c r="L602" t="s">
        <v>43</v>
      </c>
      <c r="M602" t="s">
        <v>234</v>
      </c>
      <c r="N602" t="s">
        <v>42</v>
      </c>
      <c r="O602" t="s">
        <v>21</v>
      </c>
      <c r="P602" t="s">
        <v>236</v>
      </c>
      <c r="Q602">
        <v>71</v>
      </c>
      <c r="R602" t="s">
        <v>237</v>
      </c>
    </row>
    <row r="603" spans="1:18" x14ac:dyDescent="0.25">
      <c r="A603" t="s">
        <v>1733</v>
      </c>
      <c r="B603">
        <v>1439</v>
      </c>
      <c r="C603" t="s">
        <v>487</v>
      </c>
      <c r="D603" t="s">
        <v>261</v>
      </c>
      <c r="E603" t="s">
        <v>247</v>
      </c>
      <c r="F603" t="s">
        <v>1425</v>
      </c>
      <c r="G603" s="25">
        <v>44262</v>
      </c>
      <c r="H603">
        <v>14</v>
      </c>
      <c r="I603">
        <v>66</v>
      </c>
      <c r="J603" t="s">
        <v>231</v>
      </c>
      <c r="K603" t="s">
        <v>503</v>
      </c>
      <c r="L603" t="s">
        <v>303</v>
      </c>
      <c r="M603" t="s">
        <v>234</v>
      </c>
      <c r="N603" t="s">
        <v>56</v>
      </c>
      <c r="O603" t="s">
        <v>235</v>
      </c>
      <c r="P603" t="s">
        <v>304</v>
      </c>
      <c r="Q603">
        <v>0</v>
      </c>
      <c r="R603" t="s">
        <v>237</v>
      </c>
    </row>
    <row r="604" spans="1:18" x14ac:dyDescent="0.25">
      <c r="A604" t="s">
        <v>1867</v>
      </c>
      <c r="B604">
        <v>911</v>
      </c>
      <c r="C604" t="s">
        <v>487</v>
      </c>
      <c r="D604" t="s">
        <v>256</v>
      </c>
      <c r="E604" t="s">
        <v>231</v>
      </c>
      <c r="F604" t="s">
        <v>1249</v>
      </c>
      <c r="G604" s="25">
        <v>44238</v>
      </c>
      <c r="H604">
        <v>9</v>
      </c>
      <c r="I604">
        <v>42</v>
      </c>
      <c r="J604" t="s">
        <v>231</v>
      </c>
      <c r="K604" t="s">
        <v>503</v>
      </c>
      <c r="L604" t="s">
        <v>303</v>
      </c>
      <c r="M604" t="s">
        <v>234</v>
      </c>
      <c r="N604" t="s">
        <v>56</v>
      </c>
      <c r="O604" t="s">
        <v>235</v>
      </c>
      <c r="P604" t="s">
        <v>304</v>
      </c>
      <c r="Q604">
        <v>0</v>
      </c>
      <c r="R604" t="s">
        <v>237</v>
      </c>
    </row>
    <row r="605" spans="1:18" x14ac:dyDescent="0.25">
      <c r="A605" t="s">
        <v>2232</v>
      </c>
      <c r="B605">
        <v>1550</v>
      </c>
      <c r="C605" t="s">
        <v>487</v>
      </c>
      <c r="D605" t="s">
        <v>261</v>
      </c>
      <c r="E605" t="s">
        <v>515</v>
      </c>
      <c r="F605" t="s">
        <v>1493</v>
      </c>
      <c r="G605" s="25">
        <v>44267</v>
      </c>
      <c r="H605">
        <v>15</v>
      </c>
      <c r="I605">
        <v>71</v>
      </c>
      <c r="J605" t="s">
        <v>231</v>
      </c>
      <c r="K605" t="s">
        <v>502</v>
      </c>
      <c r="L605" t="s">
        <v>287</v>
      </c>
      <c r="M605" t="s">
        <v>234</v>
      </c>
      <c r="N605" t="s">
        <v>58</v>
      </c>
      <c r="O605" t="s">
        <v>235</v>
      </c>
      <c r="P605" t="s">
        <v>288</v>
      </c>
      <c r="Q605">
        <v>0</v>
      </c>
      <c r="R605" t="s">
        <v>237</v>
      </c>
    </row>
    <row r="606" spans="1:18" x14ac:dyDescent="0.25">
      <c r="A606" t="s">
        <v>1991</v>
      </c>
      <c r="B606">
        <v>1066</v>
      </c>
      <c r="C606" t="s">
        <v>487</v>
      </c>
      <c r="D606" t="s">
        <v>256</v>
      </c>
      <c r="E606" t="s">
        <v>371</v>
      </c>
      <c r="F606" t="s">
        <v>1318</v>
      </c>
      <c r="G606" s="25">
        <v>44245</v>
      </c>
      <c r="H606">
        <v>10</v>
      </c>
      <c r="I606">
        <v>49</v>
      </c>
      <c r="J606" t="s">
        <v>231</v>
      </c>
      <c r="K606" t="s">
        <v>502</v>
      </c>
      <c r="L606" t="s">
        <v>287</v>
      </c>
      <c r="M606" t="s">
        <v>234</v>
      </c>
      <c r="N606" t="s">
        <v>58</v>
      </c>
      <c r="O606" t="s">
        <v>235</v>
      </c>
      <c r="P606" t="s">
        <v>288</v>
      </c>
      <c r="Q606">
        <v>23352</v>
      </c>
      <c r="R606" t="s">
        <v>237</v>
      </c>
    </row>
    <row r="607" spans="1:18" x14ac:dyDescent="0.25">
      <c r="A607" t="s">
        <v>2045</v>
      </c>
      <c r="B607">
        <v>714</v>
      </c>
      <c r="C607" t="s">
        <v>487</v>
      </c>
      <c r="D607" t="s">
        <v>231</v>
      </c>
      <c r="E607" t="s">
        <v>512</v>
      </c>
      <c r="F607" t="s">
        <v>1174</v>
      </c>
      <c r="G607" s="25">
        <v>44229</v>
      </c>
      <c r="H607">
        <v>7</v>
      </c>
      <c r="I607">
        <v>33</v>
      </c>
      <c r="J607" t="s">
        <v>231</v>
      </c>
      <c r="K607" t="s">
        <v>502</v>
      </c>
      <c r="L607" t="s">
        <v>287</v>
      </c>
      <c r="M607" t="s">
        <v>234</v>
      </c>
      <c r="N607" t="s">
        <v>58</v>
      </c>
      <c r="O607" t="s">
        <v>235</v>
      </c>
      <c r="P607" t="s">
        <v>288</v>
      </c>
      <c r="Q607">
        <v>0</v>
      </c>
      <c r="R607" t="s">
        <v>237</v>
      </c>
    </row>
    <row r="608" spans="1:18" x14ac:dyDescent="0.25">
      <c r="A608" t="s">
        <v>638</v>
      </c>
      <c r="B608">
        <v>340</v>
      </c>
      <c r="C608" t="s">
        <v>487</v>
      </c>
      <c r="D608" t="s">
        <v>229</v>
      </c>
      <c r="E608" t="s">
        <v>620</v>
      </c>
      <c r="F608" t="s">
        <v>621</v>
      </c>
      <c r="G608" s="25">
        <v>44212</v>
      </c>
      <c r="H608">
        <v>4</v>
      </c>
      <c r="I608">
        <v>16</v>
      </c>
      <c r="J608" t="s">
        <v>231</v>
      </c>
      <c r="K608" t="s">
        <v>502</v>
      </c>
      <c r="L608" t="s">
        <v>287</v>
      </c>
      <c r="M608" t="s">
        <v>234</v>
      </c>
      <c r="N608" t="s">
        <v>58</v>
      </c>
      <c r="O608" t="s">
        <v>235</v>
      </c>
      <c r="P608" t="s">
        <v>288</v>
      </c>
      <c r="Q608">
        <v>0</v>
      </c>
      <c r="R608" t="s">
        <v>237</v>
      </c>
    </row>
    <row r="609" spans="1:18" x14ac:dyDescent="0.25">
      <c r="A609" t="s">
        <v>250</v>
      </c>
      <c r="B609">
        <v>98</v>
      </c>
      <c r="C609" t="s">
        <v>487</v>
      </c>
      <c r="D609" t="s">
        <v>229</v>
      </c>
      <c r="E609" t="s">
        <v>322</v>
      </c>
      <c r="F609" t="s">
        <v>529</v>
      </c>
      <c r="G609" s="25">
        <v>44201</v>
      </c>
      <c r="H609">
        <v>1</v>
      </c>
      <c r="I609">
        <v>5</v>
      </c>
      <c r="J609" t="s">
        <v>231</v>
      </c>
      <c r="K609" t="s">
        <v>502</v>
      </c>
      <c r="L609" t="s">
        <v>287</v>
      </c>
      <c r="M609" t="s">
        <v>234</v>
      </c>
      <c r="N609" t="s">
        <v>58</v>
      </c>
      <c r="O609" t="s">
        <v>235</v>
      </c>
      <c r="P609" t="s">
        <v>288</v>
      </c>
      <c r="Q609">
        <v>0</v>
      </c>
      <c r="R609" t="s">
        <v>237</v>
      </c>
    </row>
    <row r="610" spans="1:18" x14ac:dyDescent="0.25">
      <c r="A610" t="s">
        <v>3387</v>
      </c>
      <c r="B610">
        <v>2276</v>
      </c>
      <c r="C610" t="s">
        <v>487</v>
      </c>
      <c r="D610" t="s">
        <v>247</v>
      </c>
      <c r="E610" t="s">
        <v>261</v>
      </c>
      <c r="F610" t="s">
        <v>3078</v>
      </c>
      <c r="G610" s="25">
        <v>44300</v>
      </c>
      <c r="H610">
        <v>21</v>
      </c>
      <c r="I610">
        <v>104</v>
      </c>
      <c r="J610" t="s">
        <v>231</v>
      </c>
      <c r="K610" t="s">
        <v>502</v>
      </c>
      <c r="L610" t="s">
        <v>287</v>
      </c>
      <c r="M610" t="s">
        <v>234</v>
      </c>
      <c r="N610" t="s">
        <v>58</v>
      </c>
      <c r="O610" t="s">
        <v>235</v>
      </c>
      <c r="P610" t="s">
        <v>288</v>
      </c>
      <c r="Q610">
        <v>10500</v>
      </c>
      <c r="R610" t="s">
        <v>237</v>
      </c>
    </row>
    <row r="611" spans="1:18" x14ac:dyDescent="0.25">
      <c r="A611" t="s">
        <v>3388</v>
      </c>
      <c r="B611">
        <v>1902</v>
      </c>
      <c r="C611" t="s">
        <v>487</v>
      </c>
      <c r="D611" t="s">
        <v>322</v>
      </c>
      <c r="E611" t="s">
        <v>326</v>
      </c>
      <c r="F611" t="s">
        <v>2967</v>
      </c>
      <c r="G611" s="25">
        <v>44283</v>
      </c>
      <c r="H611">
        <v>18</v>
      </c>
      <c r="I611">
        <v>87</v>
      </c>
      <c r="J611" t="s">
        <v>231</v>
      </c>
      <c r="K611" t="s">
        <v>502</v>
      </c>
      <c r="L611" t="s">
        <v>287</v>
      </c>
      <c r="M611" t="s">
        <v>234</v>
      </c>
      <c r="N611" t="s">
        <v>58</v>
      </c>
      <c r="O611" t="s">
        <v>235</v>
      </c>
      <c r="P611" t="s">
        <v>288</v>
      </c>
      <c r="Q611">
        <v>0</v>
      </c>
      <c r="R611" t="s">
        <v>237</v>
      </c>
    </row>
    <row r="612" spans="1:18" x14ac:dyDescent="0.25">
      <c r="A612" t="s">
        <v>637</v>
      </c>
      <c r="B612">
        <v>209</v>
      </c>
      <c r="C612" t="s">
        <v>487</v>
      </c>
      <c r="D612" t="s">
        <v>229</v>
      </c>
      <c r="E612" t="s">
        <v>239</v>
      </c>
      <c r="F612" t="s">
        <v>578</v>
      </c>
      <c r="G612" s="25">
        <v>44206</v>
      </c>
      <c r="H612">
        <v>2</v>
      </c>
      <c r="I612">
        <v>10</v>
      </c>
      <c r="J612" t="s">
        <v>231</v>
      </c>
      <c r="K612" t="s">
        <v>501</v>
      </c>
      <c r="L612" t="s">
        <v>412</v>
      </c>
      <c r="M612" t="s">
        <v>234</v>
      </c>
      <c r="N612" t="s">
        <v>60</v>
      </c>
      <c r="O612" t="s">
        <v>235</v>
      </c>
      <c r="P612" t="s">
        <v>413</v>
      </c>
      <c r="Q612">
        <v>0</v>
      </c>
      <c r="R612" t="s">
        <v>237</v>
      </c>
    </row>
    <row r="613" spans="1:18" x14ac:dyDescent="0.25">
      <c r="A613" t="s">
        <v>3389</v>
      </c>
      <c r="B613">
        <v>2079</v>
      </c>
      <c r="C613" t="s">
        <v>487</v>
      </c>
      <c r="D613" t="s">
        <v>322</v>
      </c>
      <c r="E613" t="s">
        <v>575</v>
      </c>
      <c r="F613" t="s">
        <v>3014</v>
      </c>
      <c r="G613" s="25">
        <v>44291</v>
      </c>
      <c r="H613">
        <v>19</v>
      </c>
      <c r="I613">
        <v>95</v>
      </c>
      <c r="J613" t="s">
        <v>231</v>
      </c>
      <c r="K613" t="s">
        <v>501</v>
      </c>
      <c r="L613" t="s">
        <v>412</v>
      </c>
      <c r="M613" t="s">
        <v>234</v>
      </c>
      <c r="N613" t="s">
        <v>60</v>
      </c>
      <c r="O613" t="s">
        <v>235</v>
      </c>
      <c r="P613" t="s">
        <v>413</v>
      </c>
      <c r="Q613">
        <v>0</v>
      </c>
      <c r="R613" t="s">
        <v>237</v>
      </c>
    </row>
    <row r="614" spans="1:18" x14ac:dyDescent="0.25">
      <c r="A614" t="s">
        <v>1660</v>
      </c>
      <c r="B614">
        <v>1705</v>
      </c>
      <c r="C614" t="s">
        <v>487</v>
      </c>
      <c r="D614" t="s">
        <v>261</v>
      </c>
      <c r="E614" t="s">
        <v>552</v>
      </c>
      <c r="F614" t="s">
        <v>1585</v>
      </c>
      <c r="G614" s="25">
        <v>44274</v>
      </c>
      <c r="H614">
        <v>16</v>
      </c>
      <c r="I614">
        <v>78</v>
      </c>
      <c r="J614" t="s">
        <v>231</v>
      </c>
      <c r="K614" t="s">
        <v>501</v>
      </c>
      <c r="L614" t="s">
        <v>412</v>
      </c>
      <c r="M614" t="s">
        <v>234</v>
      </c>
      <c r="N614" t="s">
        <v>60</v>
      </c>
      <c r="O614" t="s">
        <v>235</v>
      </c>
      <c r="P614" t="s">
        <v>413</v>
      </c>
      <c r="Q614">
        <v>0</v>
      </c>
      <c r="R614" t="s">
        <v>237</v>
      </c>
    </row>
    <row r="615" spans="1:18" x14ac:dyDescent="0.25">
      <c r="A615" t="s">
        <v>2454</v>
      </c>
      <c r="B615">
        <v>1177</v>
      </c>
      <c r="C615" t="s">
        <v>487</v>
      </c>
      <c r="D615" t="s">
        <v>256</v>
      </c>
      <c r="E615" t="s">
        <v>537</v>
      </c>
      <c r="F615" t="s">
        <v>1348</v>
      </c>
      <c r="G615" s="25">
        <v>44250</v>
      </c>
      <c r="H615">
        <v>11</v>
      </c>
      <c r="I615">
        <v>54</v>
      </c>
      <c r="J615" t="s">
        <v>231</v>
      </c>
      <c r="K615" t="s">
        <v>501</v>
      </c>
      <c r="L615" t="s">
        <v>412</v>
      </c>
      <c r="M615" t="s">
        <v>234</v>
      </c>
      <c r="N615" t="s">
        <v>60</v>
      </c>
      <c r="O615" t="s">
        <v>235</v>
      </c>
      <c r="P615" t="s">
        <v>413</v>
      </c>
      <c r="Q615">
        <v>0</v>
      </c>
      <c r="R615" t="s">
        <v>237</v>
      </c>
    </row>
    <row r="616" spans="1:18" x14ac:dyDescent="0.25">
      <c r="A616" t="s">
        <v>3390</v>
      </c>
      <c r="B616">
        <v>2185</v>
      </c>
      <c r="C616" t="s">
        <v>487</v>
      </c>
      <c r="D616" t="s">
        <v>322</v>
      </c>
      <c r="E616" t="s">
        <v>408</v>
      </c>
      <c r="F616" t="s">
        <v>3059</v>
      </c>
      <c r="G616" s="25">
        <v>44296</v>
      </c>
      <c r="H616">
        <v>20</v>
      </c>
      <c r="I616">
        <v>100</v>
      </c>
      <c r="J616" t="s">
        <v>231</v>
      </c>
      <c r="K616" t="s">
        <v>500</v>
      </c>
      <c r="L616" t="s">
        <v>265</v>
      </c>
      <c r="M616" t="s">
        <v>234</v>
      </c>
      <c r="N616" t="s">
        <v>52</v>
      </c>
      <c r="O616" t="s">
        <v>235</v>
      </c>
      <c r="P616" t="s">
        <v>266</v>
      </c>
      <c r="Q616">
        <v>9103</v>
      </c>
      <c r="R616" t="s">
        <v>237</v>
      </c>
    </row>
    <row r="617" spans="1:18" x14ac:dyDescent="0.25">
      <c r="A617" t="s">
        <v>1872</v>
      </c>
      <c r="B617">
        <v>1437</v>
      </c>
      <c r="C617" t="s">
        <v>487</v>
      </c>
      <c r="D617" t="s">
        <v>261</v>
      </c>
      <c r="E617" t="s">
        <v>247</v>
      </c>
      <c r="F617" t="s">
        <v>1425</v>
      </c>
      <c r="G617" s="25">
        <v>44262</v>
      </c>
      <c r="H617">
        <v>14</v>
      </c>
      <c r="I617">
        <v>66</v>
      </c>
      <c r="J617" t="s">
        <v>231</v>
      </c>
      <c r="K617" t="s">
        <v>500</v>
      </c>
      <c r="L617" t="s">
        <v>265</v>
      </c>
      <c r="M617" t="s">
        <v>234</v>
      </c>
      <c r="N617" t="s">
        <v>52</v>
      </c>
      <c r="O617" t="s">
        <v>235</v>
      </c>
      <c r="P617" t="s">
        <v>266</v>
      </c>
      <c r="Q617">
        <v>0</v>
      </c>
      <c r="R617" t="s">
        <v>237</v>
      </c>
    </row>
    <row r="618" spans="1:18" x14ac:dyDescent="0.25">
      <c r="A618" t="s">
        <v>2049</v>
      </c>
      <c r="B618">
        <v>909</v>
      </c>
      <c r="C618" t="s">
        <v>487</v>
      </c>
      <c r="D618" t="s">
        <v>256</v>
      </c>
      <c r="E618" t="s">
        <v>231</v>
      </c>
      <c r="F618" t="s">
        <v>1249</v>
      </c>
      <c r="G618" s="25">
        <v>44238</v>
      </c>
      <c r="H618">
        <v>9</v>
      </c>
      <c r="I618">
        <v>42</v>
      </c>
      <c r="J618" t="s">
        <v>231</v>
      </c>
      <c r="K618" t="s">
        <v>500</v>
      </c>
      <c r="L618" t="s">
        <v>265</v>
      </c>
      <c r="M618" t="s">
        <v>234</v>
      </c>
      <c r="N618" t="s">
        <v>52</v>
      </c>
      <c r="O618" t="s">
        <v>235</v>
      </c>
      <c r="P618" t="s">
        <v>266</v>
      </c>
      <c r="Q618">
        <v>0</v>
      </c>
      <c r="R618" t="s">
        <v>237</v>
      </c>
    </row>
    <row r="619" spans="1:18" x14ac:dyDescent="0.25">
      <c r="A619" t="s">
        <v>3391</v>
      </c>
      <c r="B619">
        <v>2388</v>
      </c>
      <c r="C619" t="s">
        <v>487</v>
      </c>
      <c r="D619" t="s">
        <v>247</v>
      </c>
      <c r="E619" t="s">
        <v>371</v>
      </c>
      <c r="F619" t="s">
        <v>3112</v>
      </c>
      <c r="G619" s="25">
        <v>44305</v>
      </c>
      <c r="H619">
        <v>22</v>
      </c>
      <c r="I619">
        <v>109</v>
      </c>
      <c r="J619" t="s">
        <v>231</v>
      </c>
      <c r="K619" t="s">
        <v>499</v>
      </c>
      <c r="L619" t="s">
        <v>410</v>
      </c>
      <c r="M619" t="s">
        <v>234</v>
      </c>
      <c r="N619" t="s">
        <v>62</v>
      </c>
      <c r="O619" t="s">
        <v>235</v>
      </c>
      <c r="P619" t="s">
        <v>411</v>
      </c>
      <c r="Q619">
        <v>0</v>
      </c>
      <c r="R619" t="s">
        <v>237</v>
      </c>
    </row>
    <row r="620" spans="1:18" x14ac:dyDescent="0.25">
      <c r="A620" t="s">
        <v>3392</v>
      </c>
      <c r="B620">
        <v>2036</v>
      </c>
      <c r="C620" t="s">
        <v>487</v>
      </c>
      <c r="D620" t="s">
        <v>322</v>
      </c>
      <c r="E620" t="s">
        <v>512</v>
      </c>
      <c r="F620" t="s">
        <v>2991</v>
      </c>
      <c r="G620" s="25">
        <v>44289</v>
      </c>
      <c r="H620">
        <v>19</v>
      </c>
      <c r="I620">
        <v>93</v>
      </c>
      <c r="J620" t="s">
        <v>231</v>
      </c>
      <c r="K620" t="s">
        <v>499</v>
      </c>
      <c r="L620" t="s">
        <v>410</v>
      </c>
      <c r="M620" t="s">
        <v>234</v>
      </c>
      <c r="N620" t="s">
        <v>62</v>
      </c>
      <c r="O620" t="s">
        <v>235</v>
      </c>
      <c r="P620" t="s">
        <v>411</v>
      </c>
      <c r="Q620">
        <v>0</v>
      </c>
      <c r="R620" t="s">
        <v>237</v>
      </c>
    </row>
    <row r="621" spans="1:18" x14ac:dyDescent="0.25">
      <c r="A621" t="s">
        <v>2562</v>
      </c>
      <c r="B621">
        <v>1662</v>
      </c>
      <c r="C621" t="s">
        <v>487</v>
      </c>
      <c r="D621" t="s">
        <v>261</v>
      </c>
      <c r="E621" t="s">
        <v>620</v>
      </c>
      <c r="F621" t="s">
        <v>1545</v>
      </c>
      <c r="G621" s="25">
        <v>44272</v>
      </c>
      <c r="H621">
        <v>16</v>
      </c>
      <c r="I621">
        <v>76</v>
      </c>
      <c r="J621" t="s">
        <v>231</v>
      </c>
      <c r="K621" t="s">
        <v>499</v>
      </c>
      <c r="L621" t="s">
        <v>410</v>
      </c>
      <c r="M621" t="s">
        <v>234</v>
      </c>
      <c r="N621" t="s">
        <v>62</v>
      </c>
      <c r="O621" t="s">
        <v>235</v>
      </c>
      <c r="P621" t="s">
        <v>411</v>
      </c>
      <c r="Q621">
        <v>0</v>
      </c>
      <c r="R621" t="s">
        <v>237</v>
      </c>
    </row>
    <row r="622" spans="1:18" x14ac:dyDescent="0.25">
      <c r="A622" t="s">
        <v>2459</v>
      </c>
      <c r="B622">
        <v>1420</v>
      </c>
      <c r="C622" t="s">
        <v>487</v>
      </c>
      <c r="D622" t="s">
        <v>261</v>
      </c>
      <c r="E622" t="s">
        <v>322</v>
      </c>
      <c r="F622" t="s">
        <v>1417</v>
      </c>
      <c r="G622" s="25">
        <v>44261</v>
      </c>
      <c r="H622">
        <v>13</v>
      </c>
      <c r="I622">
        <v>65</v>
      </c>
      <c r="J622" t="s">
        <v>231</v>
      </c>
      <c r="K622" t="s">
        <v>499</v>
      </c>
      <c r="L622" t="s">
        <v>410</v>
      </c>
      <c r="M622" t="s">
        <v>234</v>
      </c>
      <c r="N622" t="s">
        <v>62</v>
      </c>
      <c r="O622" t="s">
        <v>235</v>
      </c>
      <c r="P622" t="s">
        <v>411</v>
      </c>
      <c r="Q622">
        <v>0</v>
      </c>
      <c r="R622" t="s">
        <v>237</v>
      </c>
    </row>
    <row r="623" spans="1:18" x14ac:dyDescent="0.25">
      <c r="A623" t="s">
        <v>2732</v>
      </c>
      <c r="B623">
        <v>1134</v>
      </c>
      <c r="C623" t="s">
        <v>487</v>
      </c>
      <c r="D623" t="s">
        <v>256</v>
      </c>
      <c r="E623" t="s">
        <v>232</v>
      </c>
      <c r="F623" t="s">
        <v>1337</v>
      </c>
      <c r="G623" s="25">
        <v>44248</v>
      </c>
      <c r="H623">
        <v>11</v>
      </c>
      <c r="I623">
        <v>52</v>
      </c>
      <c r="J623" t="s">
        <v>231</v>
      </c>
      <c r="K623" t="s">
        <v>499</v>
      </c>
      <c r="L623" t="s">
        <v>410</v>
      </c>
      <c r="M623" t="s">
        <v>234</v>
      </c>
      <c r="N623" t="s">
        <v>62</v>
      </c>
      <c r="O623" t="s">
        <v>235</v>
      </c>
      <c r="P623" t="s">
        <v>411</v>
      </c>
      <c r="Q623">
        <v>0</v>
      </c>
      <c r="R623" t="s">
        <v>237</v>
      </c>
    </row>
    <row r="624" spans="1:18" x14ac:dyDescent="0.25">
      <c r="A624" t="s">
        <v>2403</v>
      </c>
      <c r="B624">
        <v>826</v>
      </c>
      <c r="C624" t="s">
        <v>487</v>
      </c>
      <c r="D624" t="s">
        <v>231</v>
      </c>
      <c r="E624" t="s">
        <v>552</v>
      </c>
      <c r="F624" t="s">
        <v>1222</v>
      </c>
      <c r="G624" s="25">
        <v>44234</v>
      </c>
      <c r="H624">
        <v>8</v>
      </c>
      <c r="I624">
        <v>38</v>
      </c>
      <c r="J624" t="s">
        <v>231</v>
      </c>
      <c r="K624" t="s">
        <v>499</v>
      </c>
      <c r="L624" t="s">
        <v>410</v>
      </c>
      <c r="M624" t="s">
        <v>234</v>
      </c>
      <c r="N624" t="s">
        <v>62</v>
      </c>
      <c r="O624" t="s">
        <v>235</v>
      </c>
      <c r="P624" t="s">
        <v>411</v>
      </c>
      <c r="Q624">
        <v>0</v>
      </c>
      <c r="R624" t="s">
        <v>237</v>
      </c>
    </row>
    <row r="625" spans="1:18" x14ac:dyDescent="0.25">
      <c r="A625" t="s">
        <v>1875</v>
      </c>
      <c r="B625">
        <v>518</v>
      </c>
      <c r="C625" t="s">
        <v>487</v>
      </c>
      <c r="D625" t="s">
        <v>231</v>
      </c>
      <c r="E625" t="s">
        <v>261</v>
      </c>
      <c r="F625" t="s">
        <v>1065</v>
      </c>
      <c r="G625" s="25">
        <v>44220</v>
      </c>
      <c r="H625">
        <v>5</v>
      </c>
      <c r="I625">
        <v>24</v>
      </c>
      <c r="J625" t="s">
        <v>231</v>
      </c>
      <c r="K625" t="s">
        <v>499</v>
      </c>
      <c r="L625" t="s">
        <v>410</v>
      </c>
      <c r="M625" t="s">
        <v>234</v>
      </c>
      <c r="N625" t="s">
        <v>62</v>
      </c>
      <c r="O625" t="s">
        <v>235</v>
      </c>
      <c r="P625" t="s">
        <v>411</v>
      </c>
      <c r="Q625">
        <v>0</v>
      </c>
      <c r="R625" t="s">
        <v>237</v>
      </c>
    </row>
    <row r="626" spans="1:18" x14ac:dyDescent="0.25">
      <c r="A626" t="s">
        <v>3393</v>
      </c>
      <c r="B626">
        <v>1847</v>
      </c>
      <c r="C626" t="s">
        <v>487</v>
      </c>
      <c r="D626" t="s">
        <v>322</v>
      </c>
      <c r="E626" t="s">
        <v>261</v>
      </c>
      <c r="F626" t="s">
        <v>2956</v>
      </c>
      <c r="G626" s="25">
        <v>44280</v>
      </c>
      <c r="H626">
        <v>17</v>
      </c>
      <c r="I626">
        <v>84</v>
      </c>
      <c r="J626" t="s">
        <v>432</v>
      </c>
      <c r="K626" t="s">
        <v>498</v>
      </c>
      <c r="L626" t="s">
        <v>26</v>
      </c>
      <c r="M626" t="s">
        <v>434</v>
      </c>
      <c r="N626" t="s">
        <v>77</v>
      </c>
      <c r="O626" t="s">
        <v>435</v>
      </c>
      <c r="P626" t="s">
        <v>26</v>
      </c>
      <c r="Q626">
        <v>340336.25</v>
      </c>
      <c r="R626" t="s">
        <v>436</v>
      </c>
    </row>
    <row r="627" spans="1:18" x14ac:dyDescent="0.25">
      <c r="A627" t="s">
        <v>2116</v>
      </c>
      <c r="B627">
        <v>1143</v>
      </c>
      <c r="C627" t="s">
        <v>487</v>
      </c>
      <c r="D627" t="s">
        <v>256</v>
      </c>
      <c r="E627" t="s">
        <v>232</v>
      </c>
      <c r="F627" t="s">
        <v>1337</v>
      </c>
      <c r="G627" s="25">
        <v>44248</v>
      </c>
      <c r="H627">
        <v>11</v>
      </c>
      <c r="I627">
        <v>52</v>
      </c>
      <c r="J627" t="s">
        <v>432</v>
      </c>
      <c r="K627" t="s">
        <v>498</v>
      </c>
      <c r="L627" t="s">
        <v>26</v>
      </c>
      <c r="M627" t="s">
        <v>434</v>
      </c>
      <c r="N627" t="s">
        <v>77</v>
      </c>
      <c r="O627" t="s">
        <v>435</v>
      </c>
      <c r="P627" t="s">
        <v>26</v>
      </c>
      <c r="Q627">
        <v>220500</v>
      </c>
      <c r="R627" t="s">
        <v>436</v>
      </c>
    </row>
    <row r="628" spans="1:18" x14ac:dyDescent="0.25">
      <c r="A628" t="s">
        <v>2182</v>
      </c>
      <c r="B628">
        <v>527</v>
      </c>
      <c r="C628" t="s">
        <v>487</v>
      </c>
      <c r="D628" t="s">
        <v>231</v>
      </c>
      <c r="E628" t="s">
        <v>261</v>
      </c>
      <c r="F628" t="s">
        <v>1065</v>
      </c>
      <c r="G628" s="25">
        <v>44220</v>
      </c>
      <c r="H628">
        <v>5</v>
      </c>
      <c r="I628">
        <v>24</v>
      </c>
      <c r="J628" t="s">
        <v>432</v>
      </c>
      <c r="K628" t="s">
        <v>498</v>
      </c>
      <c r="L628" t="s">
        <v>26</v>
      </c>
      <c r="M628" t="s">
        <v>434</v>
      </c>
      <c r="N628" t="s">
        <v>77</v>
      </c>
      <c r="O628" t="s">
        <v>435</v>
      </c>
      <c r="P628" t="s">
        <v>26</v>
      </c>
      <c r="Q628">
        <v>162400</v>
      </c>
      <c r="R628" t="s">
        <v>436</v>
      </c>
    </row>
    <row r="629" spans="1:18" x14ac:dyDescent="0.25">
      <c r="A629" t="s">
        <v>3394</v>
      </c>
      <c r="B629">
        <v>2661</v>
      </c>
      <c r="C629" t="s">
        <v>487</v>
      </c>
      <c r="D629" t="s">
        <v>326</v>
      </c>
      <c r="E629" t="s">
        <v>229</v>
      </c>
      <c r="F629" t="s">
        <v>3241</v>
      </c>
      <c r="G629" s="25">
        <v>44317</v>
      </c>
      <c r="H629">
        <v>25</v>
      </c>
      <c r="I629">
        <v>121</v>
      </c>
      <c r="J629" t="s">
        <v>432</v>
      </c>
      <c r="K629" t="s">
        <v>498</v>
      </c>
      <c r="L629" t="s">
        <v>26</v>
      </c>
      <c r="M629" t="s">
        <v>434</v>
      </c>
      <c r="N629" t="s">
        <v>77</v>
      </c>
      <c r="O629" t="s">
        <v>435</v>
      </c>
      <c r="P629" t="s">
        <v>26</v>
      </c>
      <c r="Q629">
        <v>116205</v>
      </c>
      <c r="R629" t="s">
        <v>436</v>
      </c>
    </row>
    <row r="630" spans="1:18" x14ac:dyDescent="0.25">
      <c r="A630" t="s">
        <v>2054</v>
      </c>
      <c r="B630">
        <v>1669</v>
      </c>
      <c r="C630" t="s">
        <v>487</v>
      </c>
      <c r="D630" t="s">
        <v>261</v>
      </c>
      <c r="E630" t="s">
        <v>620</v>
      </c>
      <c r="F630" t="s">
        <v>1545</v>
      </c>
      <c r="G630" s="25">
        <v>44272</v>
      </c>
      <c r="H630">
        <v>16</v>
      </c>
      <c r="I630">
        <v>76</v>
      </c>
      <c r="J630" t="s">
        <v>432</v>
      </c>
      <c r="K630" t="s">
        <v>497</v>
      </c>
      <c r="L630" t="s">
        <v>438</v>
      </c>
      <c r="M630" t="s">
        <v>434</v>
      </c>
      <c r="N630" t="s">
        <v>75</v>
      </c>
      <c r="O630" t="s">
        <v>435</v>
      </c>
      <c r="P630" t="s">
        <v>438</v>
      </c>
      <c r="Q630">
        <v>25800</v>
      </c>
      <c r="R630" t="s">
        <v>436</v>
      </c>
    </row>
    <row r="631" spans="1:18" x14ac:dyDescent="0.25">
      <c r="A631" t="s">
        <v>2001</v>
      </c>
      <c r="B631">
        <v>1141</v>
      </c>
      <c r="C631" t="s">
        <v>487</v>
      </c>
      <c r="D631" t="s">
        <v>256</v>
      </c>
      <c r="E631" t="s">
        <v>232</v>
      </c>
      <c r="F631" t="s">
        <v>1337</v>
      </c>
      <c r="G631" s="25">
        <v>44248</v>
      </c>
      <c r="H631">
        <v>11</v>
      </c>
      <c r="I631">
        <v>52</v>
      </c>
      <c r="J631" t="s">
        <v>432</v>
      </c>
      <c r="K631" t="s">
        <v>497</v>
      </c>
      <c r="L631" t="s">
        <v>438</v>
      </c>
      <c r="M631" t="s">
        <v>434</v>
      </c>
      <c r="N631" t="s">
        <v>75</v>
      </c>
      <c r="O631" t="s">
        <v>435</v>
      </c>
      <c r="P631" t="s">
        <v>438</v>
      </c>
      <c r="Q631">
        <v>43200</v>
      </c>
      <c r="R631" t="s">
        <v>436</v>
      </c>
    </row>
    <row r="632" spans="1:18" x14ac:dyDescent="0.25">
      <c r="A632" t="s">
        <v>2673</v>
      </c>
      <c r="B632">
        <v>833</v>
      </c>
      <c r="C632" t="s">
        <v>487</v>
      </c>
      <c r="D632" t="s">
        <v>231</v>
      </c>
      <c r="E632" t="s">
        <v>552</v>
      </c>
      <c r="F632" t="s">
        <v>1222</v>
      </c>
      <c r="G632" s="25">
        <v>44234</v>
      </c>
      <c r="H632">
        <v>8</v>
      </c>
      <c r="I632">
        <v>38</v>
      </c>
      <c r="J632" t="s">
        <v>432</v>
      </c>
      <c r="K632" t="s">
        <v>497</v>
      </c>
      <c r="L632" t="s">
        <v>438</v>
      </c>
      <c r="M632" t="s">
        <v>434</v>
      </c>
      <c r="N632" t="s">
        <v>75</v>
      </c>
      <c r="O632" t="s">
        <v>435</v>
      </c>
      <c r="P632" t="s">
        <v>438</v>
      </c>
      <c r="Q632">
        <v>19200</v>
      </c>
      <c r="R632" t="s">
        <v>436</v>
      </c>
    </row>
    <row r="633" spans="1:18" x14ac:dyDescent="0.25">
      <c r="A633" t="s">
        <v>2896</v>
      </c>
      <c r="B633">
        <v>525</v>
      </c>
      <c r="C633" t="s">
        <v>487</v>
      </c>
      <c r="D633" t="s">
        <v>231</v>
      </c>
      <c r="E633" t="s">
        <v>261</v>
      </c>
      <c r="F633" t="s">
        <v>1065</v>
      </c>
      <c r="G633" s="25">
        <v>44220</v>
      </c>
      <c r="H633">
        <v>5</v>
      </c>
      <c r="I633">
        <v>24</v>
      </c>
      <c r="J633" t="s">
        <v>432</v>
      </c>
      <c r="K633" t="s">
        <v>497</v>
      </c>
      <c r="L633" t="s">
        <v>438</v>
      </c>
      <c r="M633" t="s">
        <v>434</v>
      </c>
      <c r="N633" t="s">
        <v>75</v>
      </c>
      <c r="O633" t="s">
        <v>435</v>
      </c>
      <c r="P633" t="s">
        <v>438</v>
      </c>
      <c r="Q633">
        <v>38400</v>
      </c>
      <c r="R633" t="s">
        <v>436</v>
      </c>
    </row>
    <row r="634" spans="1:18" x14ac:dyDescent="0.25">
      <c r="A634" t="s">
        <v>3395</v>
      </c>
      <c r="B634">
        <v>2395</v>
      </c>
      <c r="C634" t="s">
        <v>487</v>
      </c>
      <c r="D634" t="s">
        <v>247</v>
      </c>
      <c r="E634" t="s">
        <v>371</v>
      </c>
      <c r="F634" t="s">
        <v>3112</v>
      </c>
      <c r="G634" s="25">
        <v>44305</v>
      </c>
      <c r="H634">
        <v>22</v>
      </c>
      <c r="I634">
        <v>109</v>
      </c>
      <c r="J634" t="s">
        <v>432</v>
      </c>
      <c r="K634" t="s">
        <v>497</v>
      </c>
      <c r="L634" t="s">
        <v>438</v>
      </c>
      <c r="M634" t="s">
        <v>434</v>
      </c>
      <c r="N634" t="s">
        <v>75</v>
      </c>
      <c r="O634" t="s">
        <v>435</v>
      </c>
      <c r="P634" t="s">
        <v>438</v>
      </c>
      <c r="Q634">
        <v>34500</v>
      </c>
      <c r="R634" t="s">
        <v>436</v>
      </c>
    </row>
    <row r="635" spans="1:18" x14ac:dyDescent="0.25">
      <c r="A635" t="s">
        <v>3396</v>
      </c>
      <c r="B635">
        <v>2043</v>
      </c>
      <c r="C635" t="s">
        <v>487</v>
      </c>
      <c r="D635" t="s">
        <v>322</v>
      </c>
      <c r="E635" t="s">
        <v>512</v>
      </c>
      <c r="F635" t="s">
        <v>2991</v>
      </c>
      <c r="G635" s="25">
        <v>44289</v>
      </c>
      <c r="H635">
        <v>19</v>
      </c>
      <c r="I635">
        <v>93</v>
      </c>
      <c r="J635" t="s">
        <v>432</v>
      </c>
      <c r="K635" t="s">
        <v>497</v>
      </c>
      <c r="L635" t="s">
        <v>438</v>
      </c>
      <c r="M635" t="s">
        <v>434</v>
      </c>
      <c r="N635" t="s">
        <v>75</v>
      </c>
      <c r="O635" t="s">
        <v>435</v>
      </c>
      <c r="P635" t="s">
        <v>438</v>
      </c>
      <c r="Q635">
        <v>55200</v>
      </c>
      <c r="R635" t="s">
        <v>436</v>
      </c>
    </row>
    <row r="636" spans="1:18" x14ac:dyDescent="0.25">
      <c r="A636" t="s">
        <v>2740</v>
      </c>
      <c r="B636">
        <v>1335</v>
      </c>
      <c r="C636" t="s">
        <v>487</v>
      </c>
      <c r="D636" t="s">
        <v>261</v>
      </c>
      <c r="E636" t="s">
        <v>229</v>
      </c>
      <c r="F636" t="s">
        <v>1388</v>
      </c>
      <c r="G636" s="25">
        <v>44257</v>
      </c>
      <c r="H636">
        <v>13</v>
      </c>
      <c r="I636">
        <v>61</v>
      </c>
      <c r="J636" t="s">
        <v>432</v>
      </c>
      <c r="K636" t="s">
        <v>496</v>
      </c>
      <c r="L636" t="s">
        <v>69</v>
      </c>
      <c r="M636" t="s">
        <v>434</v>
      </c>
      <c r="N636" t="s">
        <v>68</v>
      </c>
      <c r="O636" t="s">
        <v>21</v>
      </c>
      <c r="P636" t="s">
        <v>439</v>
      </c>
      <c r="Q636">
        <v>349250</v>
      </c>
      <c r="R636" t="s">
        <v>237</v>
      </c>
    </row>
    <row r="637" spans="1:18" x14ac:dyDescent="0.25">
      <c r="A637" t="s">
        <v>2569</v>
      </c>
      <c r="B637">
        <v>763</v>
      </c>
      <c r="C637" t="s">
        <v>487</v>
      </c>
      <c r="D637" t="s">
        <v>231</v>
      </c>
      <c r="E637" t="s">
        <v>575</v>
      </c>
      <c r="F637" t="s">
        <v>1210</v>
      </c>
      <c r="G637" s="25">
        <v>44231</v>
      </c>
      <c r="H637">
        <v>7</v>
      </c>
      <c r="I637">
        <v>35</v>
      </c>
      <c r="J637" t="s">
        <v>432</v>
      </c>
      <c r="K637" t="s">
        <v>496</v>
      </c>
      <c r="L637" t="s">
        <v>69</v>
      </c>
      <c r="M637" t="s">
        <v>434</v>
      </c>
      <c r="N637" t="s">
        <v>68</v>
      </c>
      <c r="O637" t="s">
        <v>21</v>
      </c>
      <c r="P637" t="s">
        <v>439</v>
      </c>
      <c r="Q637">
        <v>144000</v>
      </c>
      <c r="R637" t="s">
        <v>237</v>
      </c>
    </row>
    <row r="638" spans="1:18" x14ac:dyDescent="0.25">
      <c r="A638" t="s">
        <v>645</v>
      </c>
      <c r="B638">
        <v>389</v>
      </c>
      <c r="C638" t="s">
        <v>487</v>
      </c>
      <c r="D638" t="s">
        <v>229</v>
      </c>
      <c r="E638" t="s">
        <v>552</v>
      </c>
      <c r="F638" t="s">
        <v>553</v>
      </c>
      <c r="G638" s="25">
        <v>44214</v>
      </c>
      <c r="H638">
        <v>4</v>
      </c>
      <c r="I638">
        <v>18</v>
      </c>
      <c r="J638" t="s">
        <v>432</v>
      </c>
      <c r="K638" t="s">
        <v>496</v>
      </c>
      <c r="L638" t="s">
        <v>69</v>
      </c>
      <c r="M638" t="s">
        <v>434</v>
      </c>
      <c r="N638" t="s">
        <v>68</v>
      </c>
      <c r="O638" t="s">
        <v>21</v>
      </c>
      <c r="P638" t="s">
        <v>439</v>
      </c>
      <c r="Q638">
        <v>24000</v>
      </c>
      <c r="R638" t="s">
        <v>237</v>
      </c>
    </row>
    <row r="639" spans="1:18" x14ac:dyDescent="0.25">
      <c r="A639" t="s">
        <v>3397</v>
      </c>
      <c r="B639">
        <v>2567</v>
      </c>
      <c r="C639" t="s">
        <v>487</v>
      </c>
      <c r="D639" t="s">
        <v>247</v>
      </c>
      <c r="E639" t="s">
        <v>534</v>
      </c>
      <c r="F639" t="s">
        <v>3166</v>
      </c>
      <c r="G639" s="25">
        <v>44313</v>
      </c>
      <c r="H639">
        <v>24</v>
      </c>
      <c r="I639">
        <v>117</v>
      </c>
      <c r="J639" t="s">
        <v>432</v>
      </c>
      <c r="K639" t="s">
        <v>496</v>
      </c>
      <c r="L639" t="s">
        <v>69</v>
      </c>
      <c r="M639" t="s">
        <v>434</v>
      </c>
      <c r="N639" t="s">
        <v>68</v>
      </c>
      <c r="O639" t="s">
        <v>21</v>
      </c>
      <c r="P639" t="s">
        <v>439</v>
      </c>
      <c r="Q639">
        <v>384000</v>
      </c>
      <c r="R639" t="s">
        <v>237</v>
      </c>
    </row>
    <row r="640" spans="1:18" x14ac:dyDescent="0.25">
      <c r="A640" t="s">
        <v>2363</v>
      </c>
      <c r="B640">
        <v>1599</v>
      </c>
      <c r="C640" t="s">
        <v>487</v>
      </c>
      <c r="D640" t="s">
        <v>261</v>
      </c>
      <c r="E640" t="s">
        <v>512</v>
      </c>
      <c r="F640" t="s">
        <v>1518</v>
      </c>
      <c r="G640" s="25">
        <v>44269</v>
      </c>
      <c r="H640">
        <v>15</v>
      </c>
      <c r="I640">
        <v>73</v>
      </c>
      <c r="J640" t="s">
        <v>432</v>
      </c>
      <c r="K640" t="s">
        <v>496</v>
      </c>
      <c r="L640" t="s">
        <v>69</v>
      </c>
      <c r="M640" t="s">
        <v>434</v>
      </c>
      <c r="N640" t="s">
        <v>68</v>
      </c>
      <c r="O640" t="s">
        <v>21</v>
      </c>
      <c r="P640" t="s">
        <v>439</v>
      </c>
      <c r="Q640">
        <v>82000</v>
      </c>
      <c r="R640" t="s">
        <v>237</v>
      </c>
    </row>
    <row r="641" spans="1:18" x14ac:dyDescent="0.25">
      <c r="A641" t="s">
        <v>2251</v>
      </c>
      <c r="B641">
        <v>1489</v>
      </c>
      <c r="C641" t="s">
        <v>487</v>
      </c>
      <c r="D641" t="s">
        <v>261</v>
      </c>
      <c r="E641" t="s">
        <v>381</v>
      </c>
      <c r="F641" t="s">
        <v>1458</v>
      </c>
      <c r="G641" s="25">
        <v>44264</v>
      </c>
      <c r="H641">
        <v>14</v>
      </c>
      <c r="I641">
        <v>68</v>
      </c>
      <c r="J641" t="s">
        <v>432</v>
      </c>
      <c r="K641" t="s">
        <v>496</v>
      </c>
      <c r="L641" t="s">
        <v>69</v>
      </c>
      <c r="M641" t="s">
        <v>434</v>
      </c>
      <c r="N641" t="s">
        <v>68</v>
      </c>
      <c r="O641" t="s">
        <v>21</v>
      </c>
      <c r="P641" t="s">
        <v>439</v>
      </c>
      <c r="Q641">
        <v>192875</v>
      </c>
      <c r="R641" t="s">
        <v>237</v>
      </c>
    </row>
    <row r="642" spans="1:18" x14ac:dyDescent="0.25">
      <c r="A642" t="s">
        <v>2126</v>
      </c>
      <c r="B642">
        <v>742</v>
      </c>
      <c r="C642" t="s">
        <v>487</v>
      </c>
      <c r="D642" t="s">
        <v>231</v>
      </c>
      <c r="E642" t="s">
        <v>537</v>
      </c>
      <c r="F642" t="s">
        <v>1192</v>
      </c>
      <c r="G642" s="25">
        <v>44230</v>
      </c>
      <c r="H642">
        <v>7</v>
      </c>
      <c r="I642">
        <v>34</v>
      </c>
      <c r="J642" t="s">
        <v>432</v>
      </c>
      <c r="K642" t="s">
        <v>495</v>
      </c>
      <c r="L642" t="s">
        <v>135</v>
      </c>
      <c r="M642" t="s">
        <v>434</v>
      </c>
      <c r="N642" t="s">
        <v>70</v>
      </c>
      <c r="O642" t="s">
        <v>21</v>
      </c>
      <c r="P642" t="s">
        <v>440</v>
      </c>
      <c r="Q642">
        <v>167250</v>
      </c>
      <c r="R642" t="s">
        <v>237</v>
      </c>
    </row>
    <row r="643" spans="1:18" x14ac:dyDescent="0.25">
      <c r="A643" t="s">
        <v>2571</v>
      </c>
      <c r="B643">
        <v>1204</v>
      </c>
      <c r="C643" t="s">
        <v>487</v>
      </c>
      <c r="D643" t="s">
        <v>256</v>
      </c>
      <c r="E643" t="s">
        <v>575</v>
      </c>
      <c r="F643" t="s">
        <v>1668</v>
      </c>
      <c r="G643" s="25">
        <v>44251</v>
      </c>
      <c r="H643">
        <v>11</v>
      </c>
      <c r="I643">
        <v>55</v>
      </c>
      <c r="J643" t="s">
        <v>432</v>
      </c>
      <c r="K643" t="s">
        <v>495</v>
      </c>
      <c r="L643" t="s">
        <v>135</v>
      </c>
      <c r="M643" t="s">
        <v>434</v>
      </c>
      <c r="N643" t="s">
        <v>70</v>
      </c>
      <c r="O643" t="s">
        <v>21</v>
      </c>
      <c r="P643" t="s">
        <v>440</v>
      </c>
      <c r="Q643">
        <v>457875</v>
      </c>
      <c r="R643" t="s">
        <v>237</v>
      </c>
    </row>
    <row r="644" spans="1:18" x14ac:dyDescent="0.25">
      <c r="A644" t="s">
        <v>860</v>
      </c>
      <c r="B644">
        <v>394</v>
      </c>
      <c r="C644" t="s">
        <v>487</v>
      </c>
      <c r="D644" t="s">
        <v>229</v>
      </c>
      <c r="E644" t="s">
        <v>552</v>
      </c>
      <c r="F644" t="s">
        <v>553</v>
      </c>
      <c r="G644" s="25">
        <v>44214</v>
      </c>
      <c r="H644">
        <v>4</v>
      </c>
      <c r="I644">
        <v>18</v>
      </c>
      <c r="J644" t="s">
        <v>432</v>
      </c>
      <c r="K644" t="s">
        <v>494</v>
      </c>
      <c r="L644" t="s">
        <v>25</v>
      </c>
      <c r="M644" t="s">
        <v>434</v>
      </c>
      <c r="N644" t="s">
        <v>76</v>
      </c>
      <c r="O644" t="s">
        <v>435</v>
      </c>
      <c r="P644" t="s">
        <v>25</v>
      </c>
      <c r="Q644">
        <v>3600</v>
      </c>
      <c r="R644" t="s">
        <v>436</v>
      </c>
    </row>
    <row r="645" spans="1:18" x14ac:dyDescent="0.25">
      <c r="A645" t="s">
        <v>3398</v>
      </c>
      <c r="B645">
        <v>2572</v>
      </c>
      <c r="C645" t="s">
        <v>487</v>
      </c>
      <c r="D645" t="s">
        <v>247</v>
      </c>
      <c r="E645" t="s">
        <v>534</v>
      </c>
      <c r="F645" t="s">
        <v>3166</v>
      </c>
      <c r="G645" s="25">
        <v>44313</v>
      </c>
      <c r="H645">
        <v>24</v>
      </c>
      <c r="I645">
        <v>117</v>
      </c>
      <c r="J645" t="s">
        <v>432</v>
      </c>
      <c r="K645" t="s">
        <v>494</v>
      </c>
      <c r="L645" t="s">
        <v>25</v>
      </c>
      <c r="M645" t="s">
        <v>434</v>
      </c>
      <c r="N645" t="s">
        <v>76</v>
      </c>
      <c r="O645" t="s">
        <v>435</v>
      </c>
      <c r="P645" t="s">
        <v>25</v>
      </c>
      <c r="Q645">
        <v>32700</v>
      </c>
      <c r="R645" t="s">
        <v>436</v>
      </c>
    </row>
    <row r="646" spans="1:18" x14ac:dyDescent="0.25">
      <c r="A646" t="s">
        <v>1689</v>
      </c>
      <c r="B646">
        <v>1604</v>
      </c>
      <c r="C646" t="s">
        <v>487</v>
      </c>
      <c r="D646" t="s">
        <v>261</v>
      </c>
      <c r="E646" t="s">
        <v>512</v>
      </c>
      <c r="F646" t="s">
        <v>1518</v>
      </c>
      <c r="G646" s="25">
        <v>44269</v>
      </c>
      <c r="H646">
        <v>15</v>
      </c>
      <c r="I646">
        <v>73</v>
      </c>
      <c r="J646" t="s">
        <v>432</v>
      </c>
      <c r="K646" t="s">
        <v>494</v>
      </c>
      <c r="L646" t="s">
        <v>25</v>
      </c>
      <c r="M646" t="s">
        <v>434</v>
      </c>
      <c r="N646" t="s">
        <v>76</v>
      </c>
      <c r="O646" t="s">
        <v>435</v>
      </c>
      <c r="P646" t="s">
        <v>25</v>
      </c>
      <c r="Q646">
        <v>38100</v>
      </c>
      <c r="R646" t="s">
        <v>436</v>
      </c>
    </row>
    <row r="647" spans="1:18" x14ac:dyDescent="0.25">
      <c r="A647" t="s">
        <v>1950</v>
      </c>
      <c r="B647">
        <v>1516</v>
      </c>
      <c r="C647" t="s">
        <v>487</v>
      </c>
      <c r="D647" t="s">
        <v>261</v>
      </c>
      <c r="E647" t="s">
        <v>371</v>
      </c>
      <c r="F647" t="s">
        <v>1478</v>
      </c>
      <c r="G647" s="25">
        <v>44265</v>
      </c>
      <c r="H647">
        <v>14</v>
      </c>
      <c r="I647">
        <v>69</v>
      </c>
      <c r="J647" t="s">
        <v>432</v>
      </c>
      <c r="K647" t="s">
        <v>494</v>
      </c>
      <c r="L647" t="s">
        <v>25</v>
      </c>
      <c r="M647" t="s">
        <v>434</v>
      </c>
      <c r="N647" t="s">
        <v>76</v>
      </c>
      <c r="O647" t="s">
        <v>435</v>
      </c>
      <c r="P647" t="s">
        <v>25</v>
      </c>
      <c r="Q647">
        <v>38100</v>
      </c>
      <c r="R647" t="s">
        <v>436</v>
      </c>
    </row>
    <row r="648" spans="1:18" x14ac:dyDescent="0.25">
      <c r="A648" t="s">
        <v>2479</v>
      </c>
      <c r="B648">
        <v>768</v>
      </c>
      <c r="C648" t="s">
        <v>487</v>
      </c>
      <c r="D648" t="s">
        <v>231</v>
      </c>
      <c r="E648" t="s">
        <v>575</v>
      </c>
      <c r="F648" t="s">
        <v>1210</v>
      </c>
      <c r="G648" s="25">
        <v>44231</v>
      </c>
      <c r="H648">
        <v>7</v>
      </c>
      <c r="I648">
        <v>35</v>
      </c>
      <c r="J648" t="s">
        <v>432</v>
      </c>
      <c r="K648" t="s">
        <v>494</v>
      </c>
      <c r="L648" t="s">
        <v>25</v>
      </c>
      <c r="M648" t="s">
        <v>434</v>
      </c>
      <c r="N648" t="s">
        <v>76</v>
      </c>
      <c r="O648" t="s">
        <v>435</v>
      </c>
      <c r="P648" t="s">
        <v>25</v>
      </c>
      <c r="Q648">
        <v>28800</v>
      </c>
      <c r="R648" t="s">
        <v>436</v>
      </c>
    </row>
    <row r="649" spans="1:18" x14ac:dyDescent="0.25">
      <c r="A649" t="s">
        <v>3399</v>
      </c>
      <c r="B649">
        <v>1804</v>
      </c>
      <c r="C649" t="s">
        <v>487</v>
      </c>
      <c r="D649" t="s">
        <v>322</v>
      </c>
      <c r="E649" t="s">
        <v>231</v>
      </c>
      <c r="F649" t="s">
        <v>2945</v>
      </c>
      <c r="G649" s="25">
        <v>44278</v>
      </c>
      <c r="H649">
        <v>17</v>
      </c>
      <c r="I649">
        <v>82</v>
      </c>
      <c r="J649" t="s">
        <v>432</v>
      </c>
      <c r="K649" t="s">
        <v>493</v>
      </c>
      <c r="L649" t="s">
        <v>441</v>
      </c>
      <c r="M649" t="s">
        <v>434</v>
      </c>
      <c r="N649" t="s">
        <v>78</v>
      </c>
      <c r="O649" t="s">
        <v>435</v>
      </c>
      <c r="P649" t="s">
        <v>441</v>
      </c>
      <c r="Q649">
        <v>79800</v>
      </c>
      <c r="R649" t="s">
        <v>436</v>
      </c>
    </row>
    <row r="650" spans="1:18" x14ac:dyDescent="0.25">
      <c r="A650" t="s">
        <v>1695</v>
      </c>
      <c r="B650">
        <v>1254</v>
      </c>
      <c r="C650" t="s">
        <v>487</v>
      </c>
      <c r="D650" t="s">
        <v>256</v>
      </c>
      <c r="E650" t="s">
        <v>534</v>
      </c>
      <c r="F650" t="s">
        <v>1357</v>
      </c>
      <c r="G650" s="25">
        <v>44253</v>
      </c>
      <c r="H650">
        <v>12</v>
      </c>
      <c r="I650">
        <v>57</v>
      </c>
      <c r="J650" t="s">
        <v>432</v>
      </c>
      <c r="K650" t="s">
        <v>493</v>
      </c>
      <c r="L650" t="s">
        <v>441</v>
      </c>
      <c r="M650" t="s">
        <v>434</v>
      </c>
      <c r="N650" t="s">
        <v>78</v>
      </c>
      <c r="O650" t="s">
        <v>435</v>
      </c>
      <c r="P650" t="s">
        <v>441</v>
      </c>
      <c r="Q650">
        <v>197268.75</v>
      </c>
      <c r="R650" t="s">
        <v>436</v>
      </c>
    </row>
    <row r="651" spans="1:18" x14ac:dyDescent="0.25">
      <c r="A651" t="s">
        <v>1954</v>
      </c>
      <c r="B651">
        <v>1034</v>
      </c>
      <c r="C651" t="s">
        <v>487</v>
      </c>
      <c r="D651" t="s">
        <v>256</v>
      </c>
      <c r="E651" t="s">
        <v>326</v>
      </c>
      <c r="F651" t="s">
        <v>1305</v>
      </c>
      <c r="G651" s="25">
        <v>44243</v>
      </c>
      <c r="H651">
        <v>10</v>
      </c>
      <c r="I651">
        <v>47</v>
      </c>
      <c r="J651" t="s">
        <v>432</v>
      </c>
      <c r="K651" t="s">
        <v>493</v>
      </c>
      <c r="L651" t="s">
        <v>441</v>
      </c>
      <c r="M651" t="s">
        <v>434</v>
      </c>
      <c r="N651" t="s">
        <v>78</v>
      </c>
      <c r="O651" t="s">
        <v>435</v>
      </c>
      <c r="P651" t="s">
        <v>441</v>
      </c>
      <c r="Q651">
        <v>259787.5</v>
      </c>
      <c r="R651" t="s">
        <v>436</v>
      </c>
    </row>
    <row r="652" spans="1:18" x14ac:dyDescent="0.25">
      <c r="A652" t="s">
        <v>2810</v>
      </c>
      <c r="B652">
        <v>1425</v>
      </c>
      <c r="C652" t="s">
        <v>487</v>
      </c>
      <c r="D652" t="s">
        <v>261</v>
      </c>
      <c r="E652" t="s">
        <v>322</v>
      </c>
      <c r="F652" t="s">
        <v>1417</v>
      </c>
      <c r="G652" s="25">
        <v>44261</v>
      </c>
      <c r="H652">
        <v>13</v>
      </c>
      <c r="I652">
        <v>65</v>
      </c>
      <c r="J652" t="s">
        <v>432</v>
      </c>
      <c r="K652" t="s">
        <v>492</v>
      </c>
      <c r="L652" t="s">
        <v>24</v>
      </c>
      <c r="M652" t="s">
        <v>434</v>
      </c>
      <c r="N652" t="s">
        <v>71</v>
      </c>
      <c r="O652" t="s">
        <v>435</v>
      </c>
      <c r="P652" t="s">
        <v>24</v>
      </c>
      <c r="Q652">
        <v>31500</v>
      </c>
      <c r="R652" t="s">
        <v>436</v>
      </c>
    </row>
    <row r="653" spans="1:18" x14ac:dyDescent="0.25">
      <c r="A653" t="s">
        <v>2317</v>
      </c>
      <c r="B653">
        <v>1139</v>
      </c>
      <c r="C653" t="s">
        <v>487</v>
      </c>
      <c r="D653" t="s">
        <v>256</v>
      </c>
      <c r="E653" t="s">
        <v>232</v>
      </c>
      <c r="F653" t="s">
        <v>1337</v>
      </c>
      <c r="G653" s="25">
        <v>44248</v>
      </c>
      <c r="H653">
        <v>11</v>
      </c>
      <c r="I653">
        <v>52</v>
      </c>
      <c r="J653" t="s">
        <v>432</v>
      </c>
      <c r="K653" t="s">
        <v>492</v>
      </c>
      <c r="L653" t="s">
        <v>24</v>
      </c>
      <c r="M653" t="s">
        <v>434</v>
      </c>
      <c r="N653" t="s">
        <v>71</v>
      </c>
      <c r="O653" t="s">
        <v>435</v>
      </c>
      <c r="P653" t="s">
        <v>24</v>
      </c>
      <c r="Q653">
        <v>53100</v>
      </c>
      <c r="R653" t="s">
        <v>436</v>
      </c>
    </row>
    <row r="654" spans="1:18" x14ac:dyDescent="0.25">
      <c r="A654" t="s">
        <v>1793</v>
      </c>
      <c r="B654">
        <v>963</v>
      </c>
      <c r="C654" t="s">
        <v>487</v>
      </c>
      <c r="D654" t="s">
        <v>256</v>
      </c>
      <c r="E654" t="s">
        <v>261</v>
      </c>
      <c r="F654" t="s">
        <v>1276</v>
      </c>
      <c r="G654" s="25">
        <v>44240</v>
      </c>
      <c r="H654">
        <v>9</v>
      </c>
      <c r="I654">
        <v>44</v>
      </c>
      <c r="J654" t="s">
        <v>432</v>
      </c>
      <c r="K654" t="s">
        <v>492</v>
      </c>
      <c r="L654" t="s">
        <v>24</v>
      </c>
      <c r="M654" t="s">
        <v>434</v>
      </c>
      <c r="N654" t="s">
        <v>71</v>
      </c>
      <c r="O654" t="s">
        <v>435</v>
      </c>
      <c r="P654" t="s">
        <v>24</v>
      </c>
      <c r="Q654">
        <v>22387.5</v>
      </c>
      <c r="R654" t="s">
        <v>436</v>
      </c>
    </row>
    <row r="655" spans="1:18" x14ac:dyDescent="0.25">
      <c r="A655" t="s">
        <v>2907</v>
      </c>
      <c r="B655">
        <v>831</v>
      </c>
      <c r="C655" t="s">
        <v>487</v>
      </c>
      <c r="D655" t="s">
        <v>231</v>
      </c>
      <c r="E655" t="s">
        <v>552</v>
      </c>
      <c r="F655" t="s">
        <v>1222</v>
      </c>
      <c r="G655" s="25">
        <v>44234</v>
      </c>
      <c r="H655">
        <v>8</v>
      </c>
      <c r="I655">
        <v>38</v>
      </c>
      <c r="J655" t="s">
        <v>432</v>
      </c>
      <c r="K655" t="s">
        <v>492</v>
      </c>
      <c r="L655" t="s">
        <v>24</v>
      </c>
      <c r="M655" t="s">
        <v>434</v>
      </c>
      <c r="N655" t="s">
        <v>71</v>
      </c>
      <c r="O655" t="s">
        <v>435</v>
      </c>
      <c r="P655" t="s">
        <v>24</v>
      </c>
      <c r="Q655">
        <v>28800</v>
      </c>
      <c r="R655" t="s">
        <v>436</v>
      </c>
    </row>
    <row r="656" spans="1:18" x14ac:dyDescent="0.25">
      <c r="A656" t="s">
        <v>2416</v>
      </c>
      <c r="B656">
        <v>523</v>
      </c>
      <c r="C656" t="s">
        <v>487</v>
      </c>
      <c r="D656" t="s">
        <v>231</v>
      </c>
      <c r="E656" t="s">
        <v>261</v>
      </c>
      <c r="F656" t="s">
        <v>1065</v>
      </c>
      <c r="G656" s="25">
        <v>44220</v>
      </c>
      <c r="H656">
        <v>5</v>
      </c>
      <c r="I656">
        <v>24</v>
      </c>
      <c r="J656" t="s">
        <v>432</v>
      </c>
      <c r="K656" t="s">
        <v>492</v>
      </c>
      <c r="L656" t="s">
        <v>24</v>
      </c>
      <c r="M656" t="s">
        <v>434</v>
      </c>
      <c r="N656" t="s">
        <v>71</v>
      </c>
      <c r="O656" t="s">
        <v>435</v>
      </c>
      <c r="P656" t="s">
        <v>24</v>
      </c>
      <c r="Q656">
        <v>32400</v>
      </c>
      <c r="R656" t="s">
        <v>436</v>
      </c>
    </row>
    <row r="657" spans="1:18" x14ac:dyDescent="0.25">
      <c r="A657" t="s">
        <v>3400</v>
      </c>
      <c r="B657">
        <v>2503</v>
      </c>
      <c r="C657" t="s">
        <v>487</v>
      </c>
      <c r="D657" t="s">
        <v>247</v>
      </c>
      <c r="E657" t="s">
        <v>537</v>
      </c>
      <c r="F657" t="s">
        <v>3153</v>
      </c>
      <c r="G657" s="25">
        <v>44310</v>
      </c>
      <c r="H657">
        <v>23</v>
      </c>
      <c r="I657">
        <v>114</v>
      </c>
      <c r="J657" t="s">
        <v>432</v>
      </c>
      <c r="K657" t="s">
        <v>492</v>
      </c>
      <c r="L657" t="s">
        <v>24</v>
      </c>
      <c r="M657" t="s">
        <v>434</v>
      </c>
      <c r="N657" t="s">
        <v>71</v>
      </c>
      <c r="O657" t="s">
        <v>435</v>
      </c>
      <c r="P657" t="s">
        <v>24</v>
      </c>
      <c r="Q657">
        <v>52725</v>
      </c>
      <c r="R657" t="s">
        <v>436</v>
      </c>
    </row>
    <row r="658" spans="1:18" x14ac:dyDescent="0.25">
      <c r="A658" t="s">
        <v>3401</v>
      </c>
      <c r="B658">
        <v>2393</v>
      </c>
      <c r="C658" t="s">
        <v>487</v>
      </c>
      <c r="D658" t="s">
        <v>247</v>
      </c>
      <c r="E658" t="s">
        <v>371</v>
      </c>
      <c r="F658" t="s">
        <v>3112</v>
      </c>
      <c r="G658" s="25">
        <v>44305</v>
      </c>
      <c r="H658">
        <v>22</v>
      </c>
      <c r="I658">
        <v>109</v>
      </c>
      <c r="J658" t="s">
        <v>432</v>
      </c>
      <c r="K658" t="s">
        <v>492</v>
      </c>
      <c r="L658" t="s">
        <v>24</v>
      </c>
      <c r="M658" t="s">
        <v>434</v>
      </c>
      <c r="N658" t="s">
        <v>71</v>
      </c>
      <c r="O658" t="s">
        <v>435</v>
      </c>
      <c r="P658" t="s">
        <v>24</v>
      </c>
      <c r="Q658">
        <v>54300</v>
      </c>
      <c r="R658" t="s">
        <v>436</v>
      </c>
    </row>
    <row r="659" spans="1:18" x14ac:dyDescent="0.25">
      <c r="A659" t="s">
        <v>2138</v>
      </c>
      <c r="B659">
        <v>1680</v>
      </c>
      <c r="C659" t="s">
        <v>487</v>
      </c>
      <c r="D659" t="s">
        <v>261</v>
      </c>
      <c r="E659" t="s">
        <v>534</v>
      </c>
      <c r="F659" t="s">
        <v>1563</v>
      </c>
      <c r="G659" s="25">
        <v>44273</v>
      </c>
      <c r="H659">
        <v>16</v>
      </c>
      <c r="I659">
        <v>77</v>
      </c>
      <c r="J659" t="s">
        <v>231</v>
      </c>
      <c r="K659" t="s">
        <v>491</v>
      </c>
      <c r="L659" t="s">
        <v>233</v>
      </c>
      <c r="M659" t="s">
        <v>234</v>
      </c>
      <c r="N659" t="s">
        <v>54</v>
      </c>
      <c r="O659" t="s">
        <v>235</v>
      </c>
      <c r="P659" t="s">
        <v>236</v>
      </c>
      <c r="Q659">
        <v>0</v>
      </c>
      <c r="R659" t="s">
        <v>237</v>
      </c>
    </row>
    <row r="660" spans="1:18" x14ac:dyDescent="0.25">
      <c r="A660" t="s">
        <v>2915</v>
      </c>
      <c r="B660">
        <v>1152</v>
      </c>
      <c r="C660" t="s">
        <v>487</v>
      </c>
      <c r="D660" t="s">
        <v>256</v>
      </c>
      <c r="E660" t="s">
        <v>512</v>
      </c>
      <c r="F660" t="s">
        <v>1342</v>
      </c>
      <c r="G660" s="25">
        <v>44249</v>
      </c>
      <c r="H660">
        <v>11</v>
      </c>
      <c r="I660">
        <v>53</v>
      </c>
      <c r="J660" t="s">
        <v>231</v>
      </c>
      <c r="K660" t="s">
        <v>491</v>
      </c>
      <c r="L660" t="s">
        <v>233</v>
      </c>
      <c r="M660" t="s">
        <v>234</v>
      </c>
      <c r="N660" t="s">
        <v>54</v>
      </c>
      <c r="O660" t="s">
        <v>235</v>
      </c>
      <c r="P660" t="s">
        <v>236</v>
      </c>
      <c r="Q660">
        <v>0</v>
      </c>
      <c r="R660" t="s">
        <v>237</v>
      </c>
    </row>
    <row r="661" spans="1:18" x14ac:dyDescent="0.25">
      <c r="A661" t="s">
        <v>1794</v>
      </c>
      <c r="B661">
        <v>888</v>
      </c>
      <c r="C661" t="s">
        <v>487</v>
      </c>
      <c r="D661" t="s">
        <v>256</v>
      </c>
      <c r="E661" t="s">
        <v>229</v>
      </c>
      <c r="F661" t="s">
        <v>1241</v>
      </c>
      <c r="G661" s="25">
        <v>44237</v>
      </c>
      <c r="H661">
        <v>9</v>
      </c>
      <c r="I661">
        <v>41</v>
      </c>
      <c r="J661" t="s">
        <v>231</v>
      </c>
      <c r="K661" t="s">
        <v>491</v>
      </c>
      <c r="L661" t="s">
        <v>233</v>
      </c>
      <c r="M661" t="s">
        <v>234</v>
      </c>
      <c r="N661" t="s">
        <v>54</v>
      </c>
      <c r="O661" t="s">
        <v>235</v>
      </c>
      <c r="P661" t="s">
        <v>236</v>
      </c>
      <c r="Q661">
        <v>1250</v>
      </c>
      <c r="R661" t="s">
        <v>237</v>
      </c>
    </row>
    <row r="662" spans="1:18" x14ac:dyDescent="0.25">
      <c r="A662" t="s">
        <v>2579</v>
      </c>
      <c r="B662">
        <v>844</v>
      </c>
      <c r="C662" t="s">
        <v>487</v>
      </c>
      <c r="D662" t="s">
        <v>231</v>
      </c>
      <c r="E662" t="s">
        <v>531</v>
      </c>
      <c r="F662" t="s">
        <v>1230</v>
      </c>
      <c r="G662" s="25">
        <v>44235</v>
      </c>
      <c r="H662">
        <v>8</v>
      </c>
      <c r="I662">
        <v>39</v>
      </c>
      <c r="J662" t="s">
        <v>231</v>
      </c>
      <c r="K662" t="s">
        <v>491</v>
      </c>
      <c r="L662" t="s">
        <v>233</v>
      </c>
      <c r="M662" t="s">
        <v>234</v>
      </c>
      <c r="N662" t="s">
        <v>54</v>
      </c>
      <c r="O662" t="s">
        <v>235</v>
      </c>
      <c r="P662" t="s">
        <v>236</v>
      </c>
      <c r="Q662">
        <v>0</v>
      </c>
      <c r="R662" t="s">
        <v>237</v>
      </c>
    </row>
    <row r="663" spans="1:18" x14ac:dyDescent="0.25">
      <c r="A663" t="s">
        <v>2069</v>
      </c>
      <c r="B663">
        <v>536</v>
      </c>
      <c r="C663" t="s">
        <v>487</v>
      </c>
      <c r="D663" t="s">
        <v>231</v>
      </c>
      <c r="E663" t="s">
        <v>322</v>
      </c>
      <c r="F663" t="s">
        <v>1085</v>
      </c>
      <c r="G663" s="25">
        <v>44221</v>
      </c>
      <c r="H663">
        <v>5</v>
      </c>
      <c r="I663">
        <v>25</v>
      </c>
      <c r="J663" t="s">
        <v>231</v>
      </c>
      <c r="K663" t="s">
        <v>491</v>
      </c>
      <c r="L663" t="s">
        <v>233</v>
      </c>
      <c r="M663" t="s">
        <v>234</v>
      </c>
      <c r="N663" t="s">
        <v>54</v>
      </c>
      <c r="O663" t="s">
        <v>235</v>
      </c>
      <c r="P663" t="s">
        <v>236</v>
      </c>
      <c r="Q663">
        <v>0</v>
      </c>
      <c r="R663" t="s">
        <v>237</v>
      </c>
    </row>
    <row r="664" spans="1:18" x14ac:dyDescent="0.25">
      <c r="A664" t="s">
        <v>3402</v>
      </c>
      <c r="B664">
        <v>2054</v>
      </c>
      <c r="C664" t="s">
        <v>487</v>
      </c>
      <c r="D664" t="s">
        <v>322</v>
      </c>
      <c r="E664" t="s">
        <v>537</v>
      </c>
      <c r="F664" t="s">
        <v>2999</v>
      </c>
      <c r="G664" s="25">
        <v>44290</v>
      </c>
      <c r="H664">
        <v>19</v>
      </c>
      <c r="I664">
        <v>94</v>
      </c>
      <c r="J664" t="s">
        <v>231</v>
      </c>
      <c r="K664" t="s">
        <v>491</v>
      </c>
      <c r="L664" t="s">
        <v>233</v>
      </c>
      <c r="M664" t="s">
        <v>234</v>
      </c>
      <c r="N664" t="s">
        <v>54</v>
      </c>
      <c r="O664" t="s">
        <v>235</v>
      </c>
      <c r="P664" t="s">
        <v>236</v>
      </c>
      <c r="Q664">
        <v>0</v>
      </c>
      <c r="R664" t="s">
        <v>237</v>
      </c>
    </row>
    <row r="665" spans="1:18" x14ac:dyDescent="0.25">
      <c r="A665" t="s">
        <v>3403</v>
      </c>
      <c r="B665">
        <v>1878</v>
      </c>
      <c r="C665" t="s">
        <v>487</v>
      </c>
      <c r="D665" t="s">
        <v>322</v>
      </c>
      <c r="E665" t="s">
        <v>247</v>
      </c>
      <c r="F665" t="s">
        <v>2963</v>
      </c>
      <c r="G665" s="25">
        <v>44282</v>
      </c>
      <c r="H665">
        <v>18</v>
      </c>
      <c r="I665">
        <v>86</v>
      </c>
      <c r="J665" t="s">
        <v>231</v>
      </c>
      <c r="K665" t="s">
        <v>491</v>
      </c>
      <c r="L665" t="s">
        <v>233</v>
      </c>
      <c r="M665" t="s">
        <v>234</v>
      </c>
      <c r="N665" t="s">
        <v>54</v>
      </c>
      <c r="O665" t="s">
        <v>235</v>
      </c>
      <c r="P665" t="s">
        <v>236</v>
      </c>
      <c r="Q665">
        <v>1363</v>
      </c>
      <c r="R665" t="s">
        <v>237</v>
      </c>
    </row>
    <row r="666" spans="1:18" x14ac:dyDescent="0.25">
      <c r="A666" t="s">
        <v>1705</v>
      </c>
      <c r="B666">
        <v>695</v>
      </c>
      <c r="C666" t="s">
        <v>487</v>
      </c>
      <c r="D666" t="s">
        <v>231</v>
      </c>
      <c r="E666" t="s">
        <v>232</v>
      </c>
      <c r="F666" t="s">
        <v>1162</v>
      </c>
      <c r="G666" s="25">
        <v>44228</v>
      </c>
      <c r="H666">
        <v>7</v>
      </c>
      <c r="I666">
        <v>32</v>
      </c>
      <c r="J666" t="s">
        <v>432</v>
      </c>
      <c r="K666" t="s">
        <v>490</v>
      </c>
      <c r="L666" t="s">
        <v>65</v>
      </c>
      <c r="M666" t="s">
        <v>434</v>
      </c>
      <c r="N666" t="s">
        <v>64</v>
      </c>
      <c r="O666" t="s">
        <v>235</v>
      </c>
      <c r="P666" t="s">
        <v>442</v>
      </c>
      <c r="Q666">
        <v>240000</v>
      </c>
      <c r="R666" t="s">
        <v>237</v>
      </c>
    </row>
    <row r="667" spans="1:18" x14ac:dyDescent="0.25">
      <c r="A667" t="s">
        <v>334</v>
      </c>
      <c r="B667">
        <v>79</v>
      </c>
      <c r="C667" t="s">
        <v>487</v>
      </c>
      <c r="D667" t="s">
        <v>229</v>
      </c>
      <c r="E667" t="s">
        <v>261</v>
      </c>
      <c r="F667" t="s">
        <v>549</v>
      </c>
      <c r="G667" s="25">
        <v>44200</v>
      </c>
      <c r="H667">
        <v>1</v>
      </c>
      <c r="I667">
        <v>4</v>
      </c>
      <c r="J667" t="s">
        <v>432</v>
      </c>
      <c r="K667" t="s">
        <v>490</v>
      </c>
      <c r="L667" t="s">
        <v>65</v>
      </c>
      <c r="M667" t="s">
        <v>434</v>
      </c>
      <c r="N667" t="s">
        <v>64</v>
      </c>
      <c r="O667" t="s">
        <v>235</v>
      </c>
      <c r="P667" t="s">
        <v>442</v>
      </c>
      <c r="Q667">
        <v>96000</v>
      </c>
      <c r="R667" t="s">
        <v>237</v>
      </c>
    </row>
    <row r="668" spans="1:18" x14ac:dyDescent="0.25">
      <c r="A668" t="s">
        <v>3404</v>
      </c>
      <c r="B668">
        <v>2521</v>
      </c>
      <c r="C668" t="s">
        <v>487</v>
      </c>
      <c r="D668" t="s">
        <v>247</v>
      </c>
      <c r="E668" t="s">
        <v>575</v>
      </c>
      <c r="F668" t="s">
        <v>3158</v>
      </c>
      <c r="G668" s="25">
        <v>44311</v>
      </c>
      <c r="H668">
        <v>23</v>
      </c>
      <c r="I668">
        <v>115</v>
      </c>
      <c r="J668" t="s">
        <v>432</v>
      </c>
      <c r="K668" t="s">
        <v>490</v>
      </c>
      <c r="L668" t="s">
        <v>65</v>
      </c>
      <c r="M668" t="s">
        <v>434</v>
      </c>
      <c r="N668" t="s">
        <v>64</v>
      </c>
      <c r="O668" t="s">
        <v>235</v>
      </c>
      <c r="P668" t="s">
        <v>442</v>
      </c>
      <c r="Q668">
        <v>250750</v>
      </c>
      <c r="R668" t="s">
        <v>237</v>
      </c>
    </row>
    <row r="669" spans="1:18" x14ac:dyDescent="0.25">
      <c r="A669" t="s">
        <v>3405</v>
      </c>
      <c r="B669">
        <v>2257</v>
      </c>
      <c r="C669" t="s">
        <v>487</v>
      </c>
      <c r="D669" t="s">
        <v>247</v>
      </c>
      <c r="E669" t="s">
        <v>256</v>
      </c>
      <c r="F669" t="s">
        <v>3073</v>
      </c>
      <c r="G669" s="25">
        <v>44299</v>
      </c>
      <c r="H669">
        <v>21</v>
      </c>
      <c r="I669">
        <v>103</v>
      </c>
      <c r="J669" t="s">
        <v>432</v>
      </c>
      <c r="K669" t="s">
        <v>490</v>
      </c>
      <c r="L669" t="s">
        <v>65</v>
      </c>
      <c r="M669" t="s">
        <v>434</v>
      </c>
      <c r="N669" t="s">
        <v>64</v>
      </c>
      <c r="O669" t="s">
        <v>235</v>
      </c>
      <c r="P669" t="s">
        <v>442</v>
      </c>
      <c r="Q669">
        <v>338500</v>
      </c>
      <c r="R669" t="s">
        <v>237</v>
      </c>
    </row>
    <row r="670" spans="1:18" x14ac:dyDescent="0.25">
      <c r="A670" t="s">
        <v>3406</v>
      </c>
      <c r="B670">
        <v>2350</v>
      </c>
      <c r="C670" t="s">
        <v>487</v>
      </c>
      <c r="D670" t="s">
        <v>247</v>
      </c>
      <c r="E670" t="s">
        <v>326</v>
      </c>
      <c r="F670" t="s">
        <v>3091</v>
      </c>
      <c r="G670" s="25">
        <v>44303</v>
      </c>
      <c r="H670">
        <v>22</v>
      </c>
      <c r="I670">
        <v>107</v>
      </c>
      <c r="J670" t="s">
        <v>432</v>
      </c>
      <c r="K670" t="s">
        <v>488</v>
      </c>
      <c r="L670" t="s">
        <v>433</v>
      </c>
      <c r="M670" t="s">
        <v>434</v>
      </c>
      <c r="N670" t="s">
        <v>74</v>
      </c>
      <c r="O670" t="s">
        <v>435</v>
      </c>
      <c r="P670" t="s">
        <v>433</v>
      </c>
      <c r="Q670">
        <v>41700</v>
      </c>
      <c r="R670" t="s">
        <v>436</v>
      </c>
    </row>
    <row r="671" spans="1:18" x14ac:dyDescent="0.25">
      <c r="A671" t="s">
        <v>3407</v>
      </c>
      <c r="B671">
        <v>1998</v>
      </c>
      <c r="C671" t="s">
        <v>487</v>
      </c>
      <c r="D671" t="s">
        <v>322</v>
      </c>
      <c r="E671" t="s">
        <v>515</v>
      </c>
      <c r="F671" t="s">
        <v>2983</v>
      </c>
      <c r="G671" s="25">
        <v>44287</v>
      </c>
      <c r="H671">
        <v>19</v>
      </c>
      <c r="I671">
        <v>91</v>
      </c>
      <c r="J671" t="s">
        <v>432</v>
      </c>
      <c r="K671" t="s">
        <v>488</v>
      </c>
      <c r="L671" t="s">
        <v>433</v>
      </c>
      <c r="M671" t="s">
        <v>434</v>
      </c>
      <c r="N671" t="s">
        <v>74</v>
      </c>
      <c r="O671" t="s">
        <v>435</v>
      </c>
      <c r="P671" t="s">
        <v>433</v>
      </c>
      <c r="Q671">
        <v>55200</v>
      </c>
      <c r="R671" t="s">
        <v>436</v>
      </c>
    </row>
    <row r="672" spans="1:18" x14ac:dyDescent="0.25">
      <c r="A672" t="s">
        <v>1848</v>
      </c>
      <c r="B672">
        <v>1382</v>
      </c>
      <c r="C672" t="s">
        <v>487</v>
      </c>
      <c r="D672" t="s">
        <v>261</v>
      </c>
      <c r="E672" t="s">
        <v>256</v>
      </c>
      <c r="F672" t="s">
        <v>1402</v>
      </c>
      <c r="G672" s="25">
        <v>44259</v>
      </c>
      <c r="H672">
        <v>13</v>
      </c>
      <c r="I672">
        <v>63</v>
      </c>
      <c r="J672" t="s">
        <v>432</v>
      </c>
      <c r="K672" t="s">
        <v>488</v>
      </c>
      <c r="L672" t="s">
        <v>433</v>
      </c>
      <c r="M672" t="s">
        <v>434</v>
      </c>
      <c r="N672" t="s">
        <v>74</v>
      </c>
      <c r="O672" t="s">
        <v>435</v>
      </c>
      <c r="P672" t="s">
        <v>433</v>
      </c>
      <c r="Q672">
        <v>39300</v>
      </c>
      <c r="R672" t="s">
        <v>436</v>
      </c>
    </row>
    <row r="673" spans="1:18" x14ac:dyDescent="0.25">
      <c r="A673" t="s">
        <v>1967</v>
      </c>
      <c r="B673">
        <v>788</v>
      </c>
      <c r="C673" t="s">
        <v>487</v>
      </c>
      <c r="D673" t="s">
        <v>231</v>
      </c>
      <c r="E673" t="s">
        <v>620</v>
      </c>
      <c r="F673" t="s">
        <v>1215</v>
      </c>
      <c r="G673" s="25">
        <v>44232</v>
      </c>
      <c r="H673">
        <v>8</v>
      </c>
      <c r="I673">
        <v>36</v>
      </c>
      <c r="J673" t="s">
        <v>432</v>
      </c>
      <c r="K673" t="s">
        <v>488</v>
      </c>
      <c r="L673" t="s">
        <v>433</v>
      </c>
      <c r="M673" t="s">
        <v>434</v>
      </c>
      <c r="N673" t="s">
        <v>74</v>
      </c>
      <c r="O673" t="s">
        <v>435</v>
      </c>
      <c r="P673" t="s">
        <v>433</v>
      </c>
      <c r="Q673">
        <v>21600</v>
      </c>
      <c r="R673" t="s">
        <v>436</v>
      </c>
    </row>
    <row r="674" spans="1:18" x14ac:dyDescent="0.25">
      <c r="A674" t="s">
        <v>1587</v>
      </c>
      <c r="B674">
        <v>480</v>
      </c>
      <c r="C674" t="s">
        <v>487</v>
      </c>
      <c r="D674" t="s">
        <v>231</v>
      </c>
      <c r="E674" t="s">
        <v>231</v>
      </c>
      <c r="F674" t="s">
        <v>1080</v>
      </c>
      <c r="G674" s="25">
        <v>44218</v>
      </c>
      <c r="H674">
        <v>5</v>
      </c>
      <c r="I674">
        <v>22</v>
      </c>
      <c r="J674" t="s">
        <v>432</v>
      </c>
      <c r="K674" t="s">
        <v>488</v>
      </c>
      <c r="L674" t="s">
        <v>433</v>
      </c>
      <c r="M674" t="s">
        <v>434</v>
      </c>
      <c r="N674" t="s">
        <v>74</v>
      </c>
      <c r="O674" t="s">
        <v>435</v>
      </c>
      <c r="P674" t="s">
        <v>433</v>
      </c>
      <c r="Q674">
        <v>0</v>
      </c>
      <c r="R674" t="s">
        <v>436</v>
      </c>
    </row>
    <row r="675" spans="1:18" x14ac:dyDescent="0.25">
      <c r="A675" t="s">
        <v>660</v>
      </c>
      <c r="B675">
        <v>348</v>
      </c>
      <c r="C675" t="s">
        <v>487</v>
      </c>
      <c r="D675" t="s">
        <v>229</v>
      </c>
      <c r="E675" t="s">
        <v>620</v>
      </c>
      <c r="F675" t="s">
        <v>621</v>
      </c>
      <c r="G675" s="25">
        <v>44212</v>
      </c>
      <c r="H675">
        <v>4</v>
      </c>
      <c r="I675">
        <v>16</v>
      </c>
      <c r="J675" t="s">
        <v>432</v>
      </c>
      <c r="K675" t="s">
        <v>488</v>
      </c>
      <c r="L675" t="s">
        <v>433</v>
      </c>
      <c r="M675" t="s">
        <v>434</v>
      </c>
      <c r="N675" t="s">
        <v>74</v>
      </c>
      <c r="O675" t="s">
        <v>435</v>
      </c>
      <c r="P675" t="s">
        <v>433</v>
      </c>
      <c r="Q675">
        <v>1912.5</v>
      </c>
      <c r="R675" t="s">
        <v>436</v>
      </c>
    </row>
    <row r="676" spans="1:18" x14ac:dyDescent="0.25">
      <c r="A676" t="s">
        <v>517</v>
      </c>
      <c r="B676">
        <v>172</v>
      </c>
      <c r="C676" t="s">
        <v>487</v>
      </c>
      <c r="D676" t="s">
        <v>229</v>
      </c>
      <c r="E676" t="s">
        <v>381</v>
      </c>
      <c r="F676" t="s">
        <v>518</v>
      </c>
      <c r="G676" s="25">
        <v>44204</v>
      </c>
      <c r="H676">
        <v>2</v>
      </c>
      <c r="I676">
        <v>8</v>
      </c>
      <c r="J676" t="s">
        <v>432</v>
      </c>
      <c r="K676" t="s">
        <v>488</v>
      </c>
      <c r="L676" t="s">
        <v>433</v>
      </c>
      <c r="M676" t="s">
        <v>434</v>
      </c>
      <c r="N676" t="s">
        <v>74</v>
      </c>
      <c r="O676" t="s">
        <v>435</v>
      </c>
      <c r="P676" t="s">
        <v>433</v>
      </c>
      <c r="Q676">
        <v>7200</v>
      </c>
      <c r="R676" t="s">
        <v>436</v>
      </c>
    </row>
    <row r="677" spans="1:18" x14ac:dyDescent="0.25">
      <c r="A677" t="s">
        <v>3408</v>
      </c>
      <c r="B677">
        <v>2434</v>
      </c>
      <c r="C677" t="s">
        <v>487</v>
      </c>
      <c r="D677" t="s">
        <v>247</v>
      </c>
      <c r="E677" t="s">
        <v>515</v>
      </c>
      <c r="F677" t="s">
        <v>3134</v>
      </c>
      <c r="G677" s="25">
        <v>44307</v>
      </c>
      <c r="H677">
        <v>23</v>
      </c>
      <c r="I677">
        <v>111</v>
      </c>
      <c r="J677" t="s">
        <v>432</v>
      </c>
      <c r="K677" t="s">
        <v>489</v>
      </c>
      <c r="L677" t="s">
        <v>134</v>
      </c>
      <c r="M677" t="s">
        <v>434</v>
      </c>
      <c r="N677" t="s">
        <v>67</v>
      </c>
      <c r="O677" t="s">
        <v>235</v>
      </c>
      <c r="P677" t="s">
        <v>437</v>
      </c>
      <c r="Q677">
        <v>328000</v>
      </c>
      <c r="R677" t="s">
        <v>237</v>
      </c>
    </row>
    <row r="678" spans="1:18" x14ac:dyDescent="0.25">
      <c r="A678" t="s">
        <v>3409</v>
      </c>
      <c r="B678">
        <v>2126</v>
      </c>
      <c r="C678" t="s">
        <v>487</v>
      </c>
      <c r="D678" t="s">
        <v>322</v>
      </c>
      <c r="E678" t="s">
        <v>534</v>
      </c>
      <c r="F678" t="s">
        <v>3031</v>
      </c>
      <c r="G678" s="25">
        <v>44293</v>
      </c>
      <c r="H678">
        <v>20</v>
      </c>
      <c r="I678">
        <v>97</v>
      </c>
      <c r="J678" t="s">
        <v>432</v>
      </c>
      <c r="K678" t="s">
        <v>489</v>
      </c>
      <c r="L678" t="s">
        <v>134</v>
      </c>
      <c r="M678" t="s">
        <v>434</v>
      </c>
      <c r="N678" t="s">
        <v>67</v>
      </c>
      <c r="O678" t="s">
        <v>235</v>
      </c>
      <c r="P678" t="s">
        <v>437</v>
      </c>
      <c r="Q678">
        <v>448000</v>
      </c>
      <c r="R678" t="s">
        <v>237</v>
      </c>
    </row>
    <row r="679" spans="1:18" x14ac:dyDescent="0.25">
      <c r="A679" t="s">
        <v>2759</v>
      </c>
      <c r="B679">
        <v>1224</v>
      </c>
      <c r="C679" t="s">
        <v>487</v>
      </c>
      <c r="D679" t="s">
        <v>256</v>
      </c>
      <c r="E679" t="s">
        <v>620</v>
      </c>
      <c r="F679" t="s">
        <v>1350</v>
      </c>
      <c r="G679" s="25">
        <v>44252</v>
      </c>
      <c r="H679">
        <v>12</v>
      </c>
      <c r="I679">
        <v>56</v>
      </c>
      <c r="J679" t="s">
        <v>432</v>
      </c>
      <c r="K679" t="s">
        <v>489</v>
      </c>
      <c r="L679" t="s">
        <v>134</v>
      </c>
      <c r="M679" t="s">
        <v>434</v>
      </c>
      <c r="N679" t="s">
        <v>67</v>
      </c>
      <c r="O679" t="s">
        <v>235</v>
      </c>
      <c r="P679" t="s">
        <v>437</v>
      </c>
      <c r="Q679">
        <v>360000</v>
      </c>
      <c r="R679" t="s">
        <v>237</v>
      </c>
    </row>
    <row r="680" spans="1:18" x14ac:dyDescent="0.25">
      <c r="A680" t="s">
        <v>2706</v>
      </c>
      <c r="B680">
        <v>608</v>
      </c>
      <c r="C680" t="s">
        <v>487</v>
      </c>
      <c r="D680" t="s">
        <v>231</v>
      </c>
      <c r="E680" t="s">
        <v>381</v>
      </c>
      <c r="F680" t="s">
        <v>1099</v>
      </c>
      <c r="G680" s="25">
        <v>44224</v>
      </c>
      <c r="H680">
        <v>6</v>
      </c>
      <c r="I680">
        <v>28</v>
      </c>
      <c r="J680" t="s">
        <v>432</v>
      </c>
      <c r="K680" t="s">
        <v>489</v>
      </c>
      <c r="L680" t="s">
        <v>134</v>
      </c>
      <c r="M680" t="s">
        <v>434</v>
      </c>
      <c r="N680" t="s">
        <v>67</v>
      </c>
      <c r="O680" t="s">
        <v>235</v>
      </c>
      <c r="P680" t="s">
        <v>437</v>
      </c>
      <c r="Q680">
        <v>264000</v>
      </c>
      <c r="R680" t="s">
        <v>237</v>
      </c>
    </row>
    <row r="681" spans="1:18" x14ac:dyDescent="0.25">
      <c r="A681" t="s">
        <v>519</v>
      </c>
      <c r="B681">
        <v>256</v>
      </c>
      <c r="C681" t="s">
        <v>487</v>
      </c>
      <c r="D681" t="s">
        <v>229</v>
      </c>
      <c r="E681" t="s">
        <v>232</v>
      </c>
      <c r="F681" t="s">
        <v>520</v>
      </c>
      <c r="G681" s="25">
        <v>44208</v>
      </c>
      <c r="H681">
        <v>3</v>
      </c>
      <c r="I681">
        <v>12</v>
      </c>
      <c r="J681" t="s">
        <v>432</v>
      </c>
      <c r="K681" t="s">
        <v>489</v>
      </c>
      <c r="L681" t="s">
        <v>134</v>
      </c>
      <c r="M681" t="s">
        <v>434</v>
      </c>
      <c r="N681" t="s">
        <v>67</v>
      </c>
      <c r="O681" t="s">
        <v>235</v>
      </c>
      <c r="P681" t="s">
        <v>437</v>
      </c>
      <c r="Q681">
        <v>46000</v>
      </c>
      <c r="R681" t="s">
        <v>237</v>
      </c>
    </row>
    <row r="682" spans="1:18" x14ac:dyDescent="0.25">
      <c r="A682" t="s">
        <v>3410</v>
      </c>
      <c r="B682">
        <v>2181</v>
      </c>
      <c r="C682" t="s">
        <v>487</v>
      </c>
      <c r="D682" t="s">
        <v>322</v>
      </c>
      <c r="E682" t="s">
        <v>408</v>
      </c>
      <c r="F682" t="s">
        <v>3059</v>
      </c>
      <c r="G682" s="25">
        <v>44296</v>
      </c>
      <c r="H682">
        <v>20</v>
      </c>
      <c r="I682">
        <v>100</v>
      </c>
      <c r="J682" t="s">
        <v>231</v>
      </c>
      <c r="K682" t="s">
        <v>509</v>
      </c>
      <c r="L682" t="s">
        <v>45</v>
      </c>
      <c r="M682" t="s">
        <v>234</v>
      </c>
      <c r="N682" t="s">
        <v>44</v>
      </c>
      <c r="O682" t="s">
        <v>21</v>
      </c>
      <c r="P682" t="s">
        <v>304</v>
      </c>
      <c r="Q682">
        <v>0</v>
      </c>
      <c r="R682" t="s">
        <v>237</v>
      </c>
    </row>
    <row r="683" spans="1:18" x14ac:dyDescent="0.25">
      <c r="A683" t="s">
        <v>1852</v>
      </c>
      <c r="B683">
        <v>1697</v>
      </c>
      <c r="C683" t="s">
        <v>487</v>
      </c>
      <c r="D683" t="s">
        <v>261</v>
      </c>
      <c r="E683" t="s">
        <v>552</v>
      </c>
      <c r="F683" t="s">
        <v>1585</v>
      </c>
      <c r="G683" s="25">
        <v>44274</v>
      </c>
      <c r="H683">
        <v>16</v>
      </c>
      <c r="I683">
        <v>78</v>
      </c>
      <c r="J683" t="s">
        <v>231</v>
      </c>
      <c r="K683" t="s">
        <v>509</v>
      </c>
      <c r="L683" t="s">
        <v>45</v>
      </c>
      <c r="M683" t="s">
        <v>234</v>
      </c>
      <c r="N683" t="s">
        <v>44</v>
      </c>
      <c r="O683" t="s">
        <v>21</v>
      </c>
      <c r="P683" t="s">
        <v>304</v>
      </c>
      <c r="Q683">
        <v>167</v>
      </c>
      <c r="R683" t="s">
        <v>237</v>
      </c>
    </row>
    <row r="684" spans="1:18" x14ac:dyDescent="0.25">
      <c r="A684" t="s">
        <v>2025</v>
      </c>
      <c r="B684">
        <v>1148</v>
      </c>
      <c r="C684" t="s">
        <v>487</v>
      </c>
      <c r="D684" t="s">
        <v>256</v>
      </c>
      <c r="E684" t="s">
        <v>512</v>
      </c>
      <c r="F684" t="s">
        <v>1342</v>
      </c>
      <c r="G684" s="25">
        <v>44249</v>
      </c>
      <c r="H684">
        <v>11</v>
      </c>
      <c r="I684">
        <v>53</v>
      </c>
      <c r="J684" t="s">
        <v>231</v>
      </c>
      <c r="K684" t="s">
        <v>508</v>
      </c>
      <c r="L684" t="s">
        <v>47</v>
      </c>
      <c r="M684" t="s">
        <v>234</v>
      </c>
      <c r="N684" t="s">
        <v>46</v>
      </c>
      <c r="O684" t="s">
        <v>21</v>
      </c>
      <c r="P684" t="s">
        <v>288</v>
      </c>
      <c r="Q684">
        <v>0</v>
      </c>
      <c r="R684" t="s">
        <v>237</v>
      </c>
    </row>
    <row r="685" spans="1:18" x14ac:dyDescent="0.25">
      <c r="A685" t="s">
        <v>2505</v>
      </c>
      <c r="B685">
        <v>532</v>
      </c>
      <c r="C685" t="s">
        <v>487</v>
      </c>
      <c r="D685" t="s">
        <v>231</v>
      </c>
      <c r="E685" t="s">
        <v>322</v>
      </c>
      <c r="F685" t="s">
        <v>1085</v>
      </c>
      <c r="G685" s="25">
        <v>44221</v>
      </c>
      <c r="H685">
        <v>5</v>
      </c>
      <c r="I685">
        <v>25</v>
      </c>
      <c r="J685" t="s">
        <v>231</v>
      </c>
      <c r="K685" t="s">
        <v>508</v>
      </c>
      <c r="L685" t="s">
        <v>47</v>
      </c>
      <c r="M685" t="s">
        <v>234</v>
      </c>
      <c r="N685" t="s">
        <v>46</v>
      </c>
      <c r="O685" t="s">
        <v>21</v>
      </c>
      <c r="P685" t="s">
        <v>288</v>
      </c>
      <c r="Q685">
        <v>0</v>
      </c>
      <c r="R685" t="s">
        <v>237</v>
      </c>
    </row>
    <row r="686" spans="1:18" x14ac:dyDescent="0.25">
      <c r="A686" t="s">
        <v>3411</v>
      </c>
      <c r="B686">
        <v>2512</v>
      </c>
      <c r="C686" t="s">
        <v>487</v>
      </c>
      <c r="D686" t="s">
        <v>247</v>
      </c>
      <c r="E686" t="s">
        <v>575</v>
      </c>
      <c r="F686" t="s">
        <v>3158</v>
      </c>
      <c r="G686" s="25">
        <v>44311</v>
      </c>
      <c r="H686">
        <v>23</v>
      </c>
      <c r="I686">
        <v>115</v>
      </c>
      <c r="J686" t="s">
        <v>231</v>
      </c>
      <c r="K686" t="s">
        <v>508</v>
      </c>
      <c r="L686" t="s">
        <v>47</v>
      </c>
      <c r="M686" t="s">
        <v>234</v>
      </c>
      <c r="N686" t="s">
        <v>46</v>
      </c>
      <c r="O686" t="s">
        <v>21</v>
      </c>
      <c r="P686" t="s">
        <v>288</v>
      </c>
      <c r="Q686">
        <v>2041</v>
      </c>
      <c r="R686" t="s">
        <v>237</v>
      </c>
    </row>
    <row r="687" spans="1:18" x14ac:dyDescent="0.25">
      <c r="A687" t="s">
        <v>3412</v>
      </c>
      <c r="B687">
        <v>2050</v>
      </c>
      <c r="C687" t="s">
        <v>487</v>
      </c>
      <c r="D687" t="s">
        <v>322</v>
      </c>
      <c r="E687" t="s">
        <v>537</v>
      </c>
      <c r="F687" t="s">
        <v>2999</v>
      </c>
      <c r="G687" s="25">
        <v>44290</v>
      </c>
      <c r="H687">
        <v>19</v>
      </c>
      <c r="I687">
        <v>94</v>
      </c>
      <c r="J687" t="s">
        <v>231</v>
      </c>
      <c r="K687" t="s">
        <v>508</v>
      </c>
      <c r="L687" t="s">
        <v>47</v>
      </c>
      <c r="M687" t="s">
        <v>234</v>
      </c>
      <c r="N687" t="s">
        <v>46</v>
      </c>
      <c r="O687" t="s">
        <v>21</v>
      </c>
      <c r="P687" t="s">
        <v>288</v>
      </c>
      <c r="Q687">
        <v>0</v>
      </c>
      <c r="R687" t="s">
        <v>237</v>
      </c>
    </row>
    <row r="688" spans="1:18" x14ac:dyDescent="0.25">
      <c r="A688" t="s">
        <v>2035</v>
      </c>
      <c r="B688">
        <v>556</v>
      </c>
      <c r="C688" t="s">
        <v>487</v>
      </c>
      <c r="D688" t="s">
        <v>231</v>
      </c>
      <c r="E688" t="s">
        <v>247</v>
      </c>
      <c r="F688" t="s">
        <v>1088</v>
      </c>
      <c r="G688" s="25">
        <v>44222</v>
      </c>
      <c r="H688">
        <v>6</v>
      </c>
      <c r="I688">
        <v>26</v>
      </c>
      <c r="J688" t="s">
        <v>231</v>
      </c>
      <c r="K688" t="s">
        <v>506</v>
      </c>
      <c r="L688" t="s">
        <v>414</v>
      </c>
      <c r="M688" t="s">
        <v>234</v>
      </c>
      <c r="N688" t="s">
        <v>50</v>
      </c>
      <c r="O688" t="s">
        <v>21</v>
      </c>
      <c r="P688" t="s">
        <v>411</v>
      </c>
      <c r="Q688">
        <v>0</v>
      </c>
      <c r="R688" t="s">
        <v>237</v>
      </c>
    </row>
    <row r="689" spans="1:18" x14ac:dyDescent="0.25">
      <c r="A689" t="s">
        <v>1642</v>
      </c>
      <c r="B689">
        <v>1766</v>
      </c>
      <c r="C689" t="s">
        <v>487</v>
      </c>
      <c r="D689" t="s">
        <v>322</v>
      </c>
      <c r="E689" t="s">
        <v>229</v>
      </c>
      <c r="F689" t="s">
        <v>1643</v>
      </c>
      <c r="G689" s="25">
        <v>44277</v>
      </c>
      <c r="H689">
        <v>17</v>
      </c>
      <c r="I689">
        <v>81</v>
      </c>
      <c r="J689" t="s">
        <v>231</v>
      </c>
      <c r="K689" t="s">
        <v>506</v>
      </c>
      <c r="L689" t="s">
        <v>414</v>
      </c>
      <c r="M689" t="s">
        <v>234</v>
      </c>
      <c r="N689" t="s">
        <v>50</v>
      </c>
      <c r="O689" t="s">
        <v>21</v>
      </c>
      <c r="P689" t="s">
        <v>411</v>
      </c>
      <c r="Q689">
        <v>0</v>
      </c>
      <c r="R689" t="s">
        <v>237</v>
      </c>
    </row>
    <row r="690" spans="1:18" x14ac:dyDescent="0.25">
      <c r="A690" t="s">
        <v>2596</v>
      </c>
      <c r="B690">
        <v>1458</v>
      </c>
      <c r="C690" t="s">
        <v>487</v>
      </c>
      <c r="D690" t="s">
        <v>261</v>
      </c>
      <c r="E690" t="s">
        <v>326</v>
      </c>
      <c r="F690" t="s">
        <v>1440</v>
      </c>
      <c r="G690" s="25">
        <v>44263</v>
      </c>
      <c r="H690">
        <v>14</v>
      </c>
      <c r="I690">
        <v>67</v>
      </c>
      <c r="J690" t="s">
        <v>231</v>
      </c>
      <c r="K690" t="s">
        <v>506</v>
      </c>
      <c r="L690" t="s">
        <v>414</v>
      </c>
      <c r="M690" t="s">
        <v>234</v>
      </c>
      <c r="N690" t="s">
        <v>50</v>
      </c>
      <c r="O690" t="s">
        <v>21</v>
      </c>
      <c r="P690" t="s">
        <v>411</v>
      </c>
      <c r="Q690">
        <v>0</v>
      </c>
      <c r="R690" t="s">
        <v>237</v>
      </c>
    </row>
    <row r="691" spans="1:18" x14ac:dyDescent="0.25">
      <c r="A691" t="s">
        <v>2774</v>
      </c>
      <c r="B691">
        <v>930</v>
      </c>
      <c r="C691" t="s">
        <v>487</v>
      </c>
      <c r="D691" t="s">
        <v>256</v>
      </c>
      <c r="E691" t="s">
        <v>256</v>
      </c>
      <c r="F691" t="s">
        <v>1263</v>
      </c>
      <c r="G691" s="25">
        <v>44239</v>
      </c>
      <c r="H691">
        <v>9</v>
      </c>
      <c r="I691">
        <v>43</v>
      </c>
      <c r="J691" t="s">
        <v>231</v>
      </c>
      <c r="K691" t="s">
        <v>506</v>
      </c>
      <c r="L691" t="s">
        <v>414</v>
      </c>
      <c r="M691" t="s">
        <v>234</v>
      </c>
      <c r="N691" t="s">
        <v>50</v>
      </c>
      <c r="O691" t="s">
        <v>21</v>
      </c>
      <c r="P691" t="s">
        <v>411</v>
      </c>
      <c r="Q691">
        <v>0</v>
      </c>
      <c r="R691" t="s">
        <v>237</v>
      </c>
    </row>
    <row r="692" spans="1:18" x14ac:dyDescent="0.25">
      <c r="A692" t="s">
        <v>3413</v>
      </c>
      <c r="B692">
        <v>2619</v>
      </c>
      <c r="C692" t="s">
        <v>487</v>
      </c>
      <c r="D692" t="s">
        <v>247</v>
      </c>
      <c r="E692" t="s">
        <v>408</v>
      </c>
      <c r="F692" t="s">
        <v>3178</v>
      </c>
      <c r="G692" s="25">
        <v>44316</v>
      </c>
      <c r="H692">
        <v>24</v>
      </c>
      <c r="I692">
        <v>120</v>
      </c>
      <c r="J692" t="s">
        <v>231</v>
      </c>
      <c r="K692" t="s">
        <v>505</v>
      </c>
      <c r="L692" t="s">
        <v>41</v>
      </c>
      <c r="M692" t="s">
        <v>234</v>
      </c>
      <c r="N692" t="s">
        <v>40</v>
      </c>
      <c r="O692" t="s">
        <v>21</v>
      </c>
      <c r="P692" t="s">
        <v>266</v>
      </c>
      <c r="Q692">
        <v>0</v>
      </c>
      <c r="R692" t="s">
        <v>237</v>
      </c>
    </row>
    <row r="693" spans="1:18" x14ac:dyDescent="0.25">
      <c r="A693" t="s">
        <v>2227</v>
      </c>
      <c r="B693">
        <v>1673</v>
      </c>
      <c r="C693" t="s">
        <v>487</v>
      </c>
      <c r="D693" t="s">
        <v>261</v>
      </c>
      <c r="E693" t="s">
        <v>534</v>
      </c>
      <c r="F693" t="s">
        <v>1563</v>
      </c>
      <c r="G693" s="25">
        <v>44273</v>
      </c>
      <c r="H693">
        <v>16</v>
      </c>
      <c r="I693">
        <v>77</v>
      </c>
      <c r="J693" t="s">
        <v>231</v>
      </c>
      <c r="K693" t="s">
        <v>505</v>
      </c>
      <c r="L693" t="s">
        <v>41</v>
      </c>
      <c r="M693" t="s">
        <v>234</v>
      </c>
      <c r="N693" t="s">
        <v>40</v>
      </c>
      <c r="O693" t="s">
        <v>21</v>
      </c>
      <c r="P693" t="s">
        <v>266</v>
      </c>
      <c r="Q693">
        <v>37898</v>
      </c>
      <c r="R693" t="s">
        <v>237</v>
      </c>
    </row>
    <row r="694" spans="1:18" x14ac:dyDescent="0.25">
      <c r="A694" t="s">
        <v>2160</v>
      </c>
      <c r="B694">
        <v>881</v>
      </c>
      <c r="C694" t="s">
        <v>487</v>
      </c>
      <c r="D694" t="s">
        <v>256</v>
      </c>
      <c r="E694" t="s">
        <v>229</v>
      </c>
      <c r="F694" t="s">
        <v>1241</v>
      </c>
      <c r="G694" s="25">
        <v>44237</v>
      </c>
      <c r="H694">
        <v>9</v>
      </c>
      <c r="I694">
        <v>41</v>
      </c>
      <c r="J694" t="s">
        <v>231</v>
      </c>
      <c r="K694" t="s">
        <v>505</v>
      </c>
      <c r="L694" t="s">
        <v>41</v>
      </c>
      <c r="M694" t="s">
        <v>234</v>
      </c>
      <c r="N694" t="s">
        <v>40</v>
      </c>
      <c r="O694" t="s">
        <v>21</v>
      </c>
      <c r="P694" t="s">
        <v>266</v>
      </c>
      <c r="Q694">
        <v>0</v>
      </c>
      <c r="R694" t="s">
        <v>237</v>
      </c>
    </row>
    <row r="695" spans="1:18" x14ac:dyDescent="0.25">
      <c r="A695" t="s">
        <v>2096</v>
      </c>
      <c r="B695">
        <v>1212</v>
      </c>
      <c r="C695" t="s">
        <v>487</v>
      </c>
      <c r="D695" t="s">
        <v>256</v>
      </c>
      <c r="E695" t="s">
        <v>620</v>
      </c>
      <c r="F695" t="s">
        <v>1350</v>
      </c>
      <c r="G695" s="25">
        <v>44252</v>
      </c>
      <c r="H695">
        <v>12</v>
      </c>
      <c r="I695">
        <v>56</v>
      </c>
      <c r="J695" t="s">
        <v>231</v>
      </c>
      <c r="K695" t="s">
        <v>504</v>
      </c>
      <c r="L695" t="s">
        <v>43</v>
      </c>
      <c r="M695" t="s">
        <v>234</v>
      </c>
      <c r="N695" t="s">
        <v>42</v>
      </c>
      <c r="O695" t="s">
        <v>21</v>
      </c>
      <c r="P695" t="s">
        <v>236</v>
      </c>
      <c r="Q695">
        <v>10250</v>
      </c>
      <c r="R695" t="s">
        <v>237</v>
      </c>
    </row>
    <row r="696" spans="1:18" x14ac:dyDescent="0.25">
      <c r="A696" t="s">
        <v>560</v>
      </c>
      <c r="B696">
        <v>398</v>
      </c>
      <c r="C696" t="s">
        <v>487</v>
      </c>
      <c r="D696" t="s">
        <v>229</v>
      </c>
      <c r="E696" t="s">
        <v>531</v>
      </c>
      <c r="F696" t="s">
        <v>532</v>
      </c>
      <c r="G696" s="25">
        <v>44215</v>
      </c>
      <c r="H696">
        <v>4</v>
      </c>
      <c r="I696">
        <v>19</v>
      </c>
      <c r="J696" t="s">
        <v>231</v>
      </c>
      <c r="K696" t="s">
        <v>504</v>
      </c>
      <c r="L696" t="s">
        <v>43</v>
      </c>
      <c r="M696" t="s">
        <v>234</v>
      </c>
      <c r="N696" t="s">
        <v>42</v>
      </c>
      <c r="O696" t="s">
        <v>21</v>
      </c>
      <c r="P696" t="s">
        <v>236</v>
      </c>
      <c r="Q696">
        <v>71</v>
      </c>
      <c r="R696" t="s">
        <v>237</v>
      </c>
    </row>
    <row r="697" spans="1:18" x14ac:dyDescent="0.25">
      <c r="A697" t="s">
        <v>2342</v>
      </c>
      <c r="B697">
        <v>1769</v>
      </c>
      <c r="C697" t="s">
        <v>487</v>
      </c>
      <c r="D697" t="s">
        <v>322</v>
      </c>
      <c r="E697" t="s">
        <v>229</v>
      </c>
      <c r="F697" t="s">
        <v>1643</v>
      </c>
      <c r="G697" s="25">
        <v>44277</v>
      </c>
      <c r="H697">
        <v>17</v>
      </c>
      <c r="I697">
        <v>81</v>
      </c>
      <c r="J697" t="s">
        <v>231</v>
      </c>
      <c r="K697" t="s">
        <v>503</v>
      </c>
      <c r="L697" t="s">
        <v>303</v>
      </c>
      <c r="M697" t="s">
        <v>234</v>
      </c>
      <c r="N697" t="s">
        <v>56</v>
      </c>
      <c r="O697" t="s">
        <v>235</v>
      </c>
      <c r="P697" t="s">
        <v>304</v>
      </c>
      <c r="Q697">
        <v>6000</v>
      </c>
      <c r="R697" t="s">
        <v>237</v>
      </c>
    </row>
    <row r="698" spans="1:18" x14ac:dyDescent="0.25">
      <c r="A698" t="s">
        <v>2230</v>
      </c>
      <c r="B698">
        <v>1461</v>
      </c>
      <c r="C698" t="s">
        <v>487</v>
      </c>
      <c r="D698" t="s">
        <v>261</v>
      </c>
      <c r="E698" t="s">
        <v>326</v>
      </c>
      <c r="F698" t="s">
        <v>1440</v>
      </c>
      <c r="G698" s="25">
        <v>44263</v>
      </c>
      <c r="H698">
        <v>14</v>
      </c>
      <c r="I698">
        <v>67</v>
      </c>
      <c r="J698" t="s">
        <v>231</v>
      </c>
      <c r="K698" t="s">
        <v>503</v>
      </c>
      <c r="L698" t="s">
        <v>303</v>
      </c>
      <c r="M698" t="s">
        <v>234</v>
      </c>
      <c r="N698" t="s">
        <v>56</v>
      </c>
      <c r="O698" t="s">
        <v>235</v>
      </c>
      <c r="P698" t="s">
        <v>304</v>
      </c>
      <c r="Q698">
        <v>0</v>
      </c>
      <c r="R698" t="s">
        <v>237</v>
      </c>
    </row>
    <row r="699" spans="1:18" x14ac:dyDescent="0.25">
      <c r="A699" t="s">
        <v>2395</v>
      </c>
      <c r="B699">
        <v>933</v>
      </c>
      <c r="C699" t="s">
        <v>487</v>
      </c>
      <c r="D699" t="s">
        <v>256</v>
      </c>
      <c r="E699" t="s">
        <v>256</v>
      </c>
      <c r="F699" t="s">
        <v>1263</v>
      </c>
      <c r="G699" s="25">
        <v>44239</v>
      </c>
      <c r="H699">
        <v>9</v>
      </c>
      <c r="I699">
        <v>43</v>
      </c>
      <c r="J699" t="s">
        <v>231</v>
      </c>
      <c r="K699" t="s">
        <v>503</v>
      </c>
      <c r="L699" t="s">
        <v>303</v>
      </c>
      <c r="M699" t="s">
        <v>234</v>
      </c>
      <c r="N699" t="s">
        <v>56</v>
      </c>
      <c r="O699" t="s">
        <v>235</v>
      </c>
      <c r="P699" t="s">
        <v>304</v>
      </c>
      <c r="Q699">
        <v>0</v>
      </c>
      <c r="R699" t="s">
        <v>237</v>
      </c>
    </row>
    <row r="700" spans="1:18" x14ac:dyDescent="0.25">
      <c r="A700" t="s">
        <v>2718</v>
      </c>
      <c r="B700">
        <v>1572</v>
      </c>
      <c r="C700" t="s">
        <v>487</v>
      </c>
      <c r="D700" t="s">
        <v>261</v>
      </c>
      <c r="E700" t="s">
        <v>232</v>
      </c>
      <c r="F700" t="s">
        <v>1500</v>
      </c>
      <c r="G700" s="25">
        <v>44268</v>
      </c>
      <c r="H700">
        <v>15</v>
      </c>
      <c r="I700">
        <v>72</v>
      </c>
      <c r="J700" t="s">
        <v>231</v>
      </c>
      <c r="K700" t="s">
        <v>502</v>
      </c>
      <c r="L700" t="s">
        <v>287</v>
      </c>
      <c r="M700" t="s">
        <v>234</v>
      </c>
      <c r="N700" t="s">
        <v>58</v>
      </c>
      <c r="O700" t="s">
        <v>235</v>
      </c>
      <c r="P700" t="s">
        <v>288</v>
      </c>
      <c r="Q700">
        <v>0</v>
      </c>
      <c r="R700" t="s">
        <v>237</v>
      </c>
    </row>
    <row r="701" spans="1:18" x14ac:dyDescent="0.25">
      <c r="A701" t="s">
        <v>2554</v>
      </c>
      <c r="B701">
        <v>736</v>
      </c>
      <c r="C701" t="s">
        <v>487</v>
      </c>
      <c r="D701" t="s">
        <v>231</v>
      </c>
      <c r="E701" t="s">
        <v>537</v>
      </c>
      <c r="F701" t="s">
        <v>1192</v>
      </c>
      <c r="G701" s="25">
        <v>44230</v>
      </c>
      <c r="H701">
        <v>7</v>
      </c>
      <c r="I701">
        <v>34</v>
      </c>
      <c r="J701" t="s">
        <v>231</v>
      </c>
      <c r="K701" t="s">
        <v>502</v>
      </c>
      <c r="L701" t="s">
        <v>287</v>
      </c>
      <c r="M701" t="s">
        <v>234</v>
      </c>
      <c r="N701" t="s">
        <v>58</v>
      </c>
      <c r="O701" t="s">
        <v>235</v>
      </c>
      <c r="P701" t="s">
        <v>288</v>
      </c>
      <c r="Q701">
        <v>0</v>
      </c>
      <c r="R701" t="s">
        <v>237</v>
      </c>
    </row>
    <row r="702" spans="1:18" x14ac:dyDescent="0.25">
      <c r="A702" t="s">
        <v>693</v>
      </c>
      <c r="B702">
        <v>362</v>
      </c>
      <c r="C702" t="s">
        <v>487</v>
      </c>
      <c r="D702" t="s">
        <v>229</v>
      </c>
      <c r="E702" t="s">
        <v>534</v>
      </c>
      <c r="F702" t="s">
        <v>535</v>
      </c>
      <c r="G702" s="25">
        <v>44213</v>
      </c>
      <c r="H702">
        <v>4</v>
      </c>
      <c r="I702">
        <v>17</v>
      </c>
      <c r="J702" t="s">
        <v>231</v>
      </c>
      <c r="K702" t="s">
        <v>502</v>
      </c>
      <c r="L702" t="s">
        <v>287</v>
      </c>
      <c r="M702" t="s">
        <v>234</v>
      </c>
      <c r="N702" t="s">
        <v>58</v>
      </c>
      <c r="O702" t="s">
        <v>235</v>
      </c>
      <c r="P702" t="s">
        <v>288</v>
      </c>
      <c r="Q702">
        <v>0</v>
      </c>
      <c r="R702" t="s">
        <v>237</v>
      </c>
    </row>
    <row r="703" spans="1:18" x14ac:dyDescent="0.25">
      <c r="A703" t="s">
        <v>3414</v>
      </c>
      <c r="B703">
        <v>2540</v>
      </c>
      <c r="C703" t="s">
        <v>487</v>
      </c>
      <c r="D703" t="s">
        <v>247</v>
      </c>
      <c r="E703" t="s">
        <v>620</v>
      </c>
      <c r="F703" t="s">
        <v>3162</v>
      </c>
      <c r="G703" s="25">
        <v>44312</v>
      </c>
      <c r="H703">
        <v>24</v>
      </c>
      <c r="I703">
        <v>116</v>
      </c>
      <c r="J703" t="s">
        <v>231</v>
      </c>
      <c r="K703" t="s">
        <v>502</v>
      </c>
      <c r="L703" t="s">
        <v>287</v>
      </c>
      <c r="M703" t="s">
        <v>234</v>
      </c>
      <c r="N703" t="s">
        <v>58</v>
      </c>
      <c r="O703" t="s">
        <v>235</v>
      </c>
      <c r="P703" t="s">
        <v>288</v>
      </c>
      <c r="Q703">
        <v>0</v>
      </c>
      <c r="R703" t="s">
        <v>237</v>
      </c>
    </row>
    <row r="704" spans="1:18" x14ac:dyDescent="0.25">
      <c r="A704" t="s">
        <v>3415</v>
      </c>
      <c r="B704">
        <v>2298</v>
      </c>
      <c r="C704" t="s">
        <v>487</v>
      </c>
      <c r="D704" t="s">
        <v>247</v>
      </c>
      <c r="E704" t="s">
        <v>322</v>
      </c>
      <c r="F704" t="s">
        <v>3083</v>
      </c>
      <c r="G704" s="25">
        <v>44301</v>
      </c>
      <c r="H704">
        <v>21</v>
      </c>
      <c r="I704">
        <v>105</v>
      </c>
      <c r="J704" t="s">
        <v>231</v>
      </c>
      <c r="K704" t="s">
        <v>502</v>
      </c>
      <c r="L704" t="s">
        <v>287</v>
      </c>
      <c r="M704" t="s">
        <v>234</v>
      </c>
      <c r="N704" t="s">
        <v>58</v>
      </c>
      <c r="O704" t="s">
        <v>235</v>
      </c>
      <c r="P704" t="s">
        <v>288</v>
      </c>
      <c r="Q704">
        <v>1644</v>
      </c>
      <c r="R704" t="s">
        <v>237</v>
      </c>
    </row>
    <row r="705" spans="1:18" x14ac:dyDescent="0.25">
      <c r="A705" t="s">
        <v>3416</v>
      </c>
      <c r="B705">
        <v>1924</v>
      </c>
      <c r="C705" t="s">
        <v>487</v>
      </c>
      <c r="D705" t="s">
        <v>322</v>
      </c>
      <c r="E705" t="s">
        <v>381</v>
      </c>
      <c r="F705" t="s">
        <v>2971</v>
      </c>
      <c r="G705" s="25">
        <v>44284</v>
      </c>
      <c r="H705">
        <v>18</v>
      </c>
      <c r="I705">
        <v>88</v>
      </c>
      <c r="J705" t="s">
        <v>231</v>
      </c>
      <c r="K705" t="s">
        <v>502</v>
      </c>
      <c r="L705" t="s">
        <v>287</v>
      </c>
      <c r="M705" t="s">
        <v>234</v>
      </c>
      <c r="N705" t="s">
        <v>58</v>
      </c>
      <c r="O705" t="s">
        <v>235</v>
      </c>
      <c r="P705" t="s">
        <v>288</v>
      </c>
      <c r="Q705">
        <v>0</v>
      </c>
      <c r="R705" t="s">
        <v>237</v>
      </c>
    </row>
    <row r="706" spans="1:18" x14ac:dyDescent="0.25">
      <c r="A706" t="s">
        <v>3417</v>
      </c>
      <c r="B706">
        <v>2409</v>
      </c>
      <c r="C706" t="s">
        <v>487</v>
      </c>
      <c r="D706" t="s">
        <v>247</v>
      </c>
      <c r="E706" t="s">
        <v>239</v>
      </c>
      <c r="F706" t="s">
        <v>3118</v>
      </c>
      <c r="G706" s="25">
        <v>44306</v>
      </c>
      <c r="H706">
        <v>22</v>
      </c>
      <c r="I706">
        <v>110</v>
      </c>
      <c r="J706" t="s">
        <v>231</v>
      </c>
      <c r="K706" t="s">
        <v>501</v>
      </c>
      <c r="L706" t="s">
        <v>412</v>
      </c>
      <c r="M706" t="s">
        <v>234</v>
      </c>
      <c r="N706" t="s">
        <v>60</v>
      </c>
      <c r="O706" t="s">
        <v>235</v>
      </c>
      <c r="P706" t="s">
        <v>413</v>
      </c>
      <c r="Q706">
        <v>0</v>
      </c>
      <c r="R706" t="s">
        <v>237</v>
      </c>
    </row>
    <row r="707" spans="1:18" x14ac:dyDescent="0.25">
      <c r="A707" t="s">
        <v>3418</v>
      </c>
      <c r="B707">
        <v>1947</v>
      </c>
      <c r="C707" t="s">
        <v>487</v>
      </c>
      <c r="D707" t="s">
        <v>322</v>
      </c>
      <c r="E707" t="s">
        <v>371</v>
      </c>
      <c r="F707" t="s">
        <v>2976</v>
      </c>
      <c r="G707" s="25">
        <v>44285</v>
      </c>
      <c r="H707">
        <v>18</v>
      </c>
      <c r="I707">
        <v>89</v>
      </c>
      <c r="J707" t="s">
        <v>231</v>
      </c>
      <c r="K707" t="s">
        <v>501</v>
      </c>
      <c r="L707" t="s">
        <v>412</v>
      </c>
      <c r="M707" t="s">
        <v>234</v>
      </c>
      <c r="N707" t="s">
        <v>60</v>
      </c>
      <c r="O707" t="s">
        <v>235</v>
      </c>
      <c r="P707" t="s">
        <v>413</v>
      </c>
      <c r="Q707">
        <v>0</v>
      </c>
      <c r="R707" t="s">
        <v>237</v>
      </c>
    </row>
    <row r="708" spans="1:18" x14ac:dyDescent="0.25">
      <c r="A708" t="s">
        <v>2352</v>
      </c>
      <c r="B708">
        <v>1199</v>
      </c>
      <c r="C708" t="s">
        <v>487</v>
      </c>
      <c r="D708" t="s">
        <v>256</v>
      </c>
      <c r="E708" t="s">
        <v>575</v>
      </c>
      <c r="F708" t="s">
        <v>1668</v>
      </c>
      <c r="G708" s="25">
        <v>44251</v>
      </c>
      <c r="H708">
        <v>11</v>
      </c>
      <c r="I708">
        <v>55</v>
      </c>
      <c r="J708" t="s">
        <v>231</v>
      </c>
      <c r="K708" t="s">
        <v>501</v>
      </c>
      <c r="L708" t="s">
        <v>412</v>
      </c>
      <c r="M708" t="s">
        <v>234</v>
      </c>
      <c r="N708" t="s">
        <v>60</v>
      </c>
      <c r="O708" t="s">
        <v>235</v>
      </c>
      <c r="P708" t="s">
        <v>413</v>
      </c>
      <c r="Q708">
        <v>0</v>
      </c>
      <c r="R708" t="s">
        <v>237</v>
      </c>
    </row>
    <row r="709" spans="1:18" x14ac:dyDescent="0.25">
      <c r="A709" t="s">
        <v>2667</v>
      </c>
      <c r="B709">
        <v>557</v>
      </c>
      <c r="C709" t="s">
        <v>487</v>
      </c>
      <c r="D709" t="s">
        <v>231</v>
      </c>
      <c r="E709" t="s">
        <v>247</v>
      </c>
      <c r="F709" t="s">
        <v>1088</v>
      </c>
      <c r="G709" s="25">
        <v>44222</v>
      </c>
      <c r="H709">
        <v>6</v>
      </c>
      <c r="I709">
        <v>26</v>
      </c>
      <c r="J709" t="s">
        <v>231</v>
      </c>
      <c r="K709" t="s">
        <v>500</v>
      </c>
      <c r="L709" t="s">
        <v>265</v>
      </c>
      <c r="M709" t="s">
        <v>234</v>
      </c>
      <c r="N709" t="s">
        <v>52</v>
      </c>
      <c r="O709" t="s">
        <v>235</v>
      </c>
      <c r="P709" t="s">
        <v>266</v>
      </c>
      <c r="Q709">
        <v>16000</v>
      </c>
      <c r="R709" t="s">
        <v>237</v>
      </c>
    </row>
    <row r="710" spans="1:18" x14ac:dyDescent="0.25">
      <c r="A710" t="s">
        <v>3419</v>
      </c>
      <c r="B710">
        <v>2537</v>
      </c>
      <c r="C710" t="s">
        <v>487</v>
      </c>
      <c r="D710" t="s">
        <v>247</v>
      </c>
      <c r="E710" t="s">
        <v>620</v>
      </c>
      <c r="F710" t="s">
        <v>3162</v>
      </c>
      <c r="G710" s="25">
        <v>44312</v>
      </c>
      <c r="H710">
        <v>24</v>
      </c>
      <c r="I710">
        <v>116</v>
      </c>
      <c r="J710" t="s">
        <v>231</v>
      </c>
      <c r="K710" t="s">
        <v>500</v>
      </c>
      <c r="L710" t="s">
        <v>265</v>
      </c>
      <c r="M710" t="s">
        <v>234</v>
      </c>
      <c r="N710" t="s">
        <v>52</v>
      </c>
      <c r="O710" t="s">
        <v>235</v>
      </c>
      <c r="P710" t="s">
        <v>266</v>
      </c>
      <c r="Q710">
        <v>22381</v>
      </c>
      <c r="R710" t="s">
        <v>237</v>
      </c>
    </row>
    <row r="711" spans="1:18" x14ac:dyDescent="0.25">
      <c r="A711" t="s">
        <v>2402</v>
      </c>
      <c r="B711">
        <v>1459</v>
      </c>
      <c r="C711" t="s">
        <v>487</v>
      </c>
      <c r="D711" t="s">
        <v>261</v>
      </c>
      <c r="E711" t="s">
        <v>326</v>
      </c>
      <c r="F711" t="s">
        <v>1440</v>
      </c>
      <c r="G711" s="25">
        <v>44263</v>
      </c>
      <c r="H711">
        <v>14</v>
      </c>
      <c r="I711">
        <v>67</v>
      </c>
      <c r="J711" t="s">
        <v>231</v>
      </c>
      <c r="K711" t="s">
        <v>500</v>
      </c>
      <c r="L711" t="s">
        <v>265</v>
      </c>
      <c r="M711" t="s">
        <v>234</v>
      </c>
      <c r="N711" t="s">
        <v>52</v>
      </c>
      <c r="O711" t="s">
        <v>235</v>
      </c>
      <c r="P711" t="s">
        <v>266</v>
      </c>
      <c r="Q711">
        <v>0</v>
      </c>
      <c r="R711" t="s">
        <v>237</v>
      </c>
    </row>
    <row r="712" spans="1:18" x14ac:dyDescent="0.25">
      <c r="A712" t="s">
        <v>2559</v>
      </c>
      <c r="B712">
        <v>931</v>
      </c>
      <c r="C712" t="s">
        <v>487</v>
      </c>
      <c r="D712" t="s">
        <v>256</v>
      </c>
      <c r="E712" t="s">
        <v>256</v>
      </c>
      <c r="F712" t="s">
        <v>1263</v>
      </c>
      <c r="G712" s="25">
        <v>44239</v>
      </c>
      <c r="H712">
        <v>9</v>
      </c>
      <c r="I712">
        <v>43</v>
      </c>
      <c r="J712" t="s">
        <v>231</v>
      </c>
      <c r="K712" t="s">
        <v>500</v>
      </c>
      <c r="L712" t="s">
        <v>265</v>
      </c>
      <c r="M712" t="s">
        <v>234</v>
      </c>
      <c r="N712" t="s">
        <v>52</v>
      </c>
      <c r="O712" t="s">
        <v>235</v>
      </c>
      <c r="P712" t="s">
        <v>266</v>
      </c>
      <c r="Q712">
        <v>0</v>
      </c>
      <c r="R712" t="s">
        <v>237</v>
      </c>
    </row>
    <row r="713" spans="1:18" x14ac:dyDescent="0.25">
      <c r="A713" t="s">
        <v>3420</v>
      </c>
      <c r="B713">
        <v>2058</v>
      </c>
      <c r="C713" t="s">
        <v>487</v>
      </c>
      <c r="D713" t="s">
        <v>322</v>
      </c>
      <c r="E713" t="s">
        <v>537</v>
      </c>
      <c r="F713" t="s">
        <v>2999</v>
      </c>
      <c r="G713" s="25">
        <v>44290</v>
      </c>
      <c r="H713">
        <v>19</v>
      </c>
      <c r="I713">
        <v>94</v>
      </c>
      <c r="J713" t="s">
        <v>231</v>
      </c>
      <c r="K713" t="s">
        <v>499</v>
      </c>
      <c r="L713" t="s">
        <v>410</v>
      </c>
      <c r="M713" t="s">
        <v>234</v>
      </c>
      <c r="N713" t="s">
        <v>62</v>
      </c>
      <c r="O713" t="s">
        <v>235</v>
      </c>
      <c r="P713" t="s">
        <v>411</v>
      </c>
      <c r="Q713">
        <v>0</v>
      </c>
      <c r="R713" t="s">
        <v>237</v>
      </c>
    </row>
    <row r="714" spans="1:18" x14ac:dyDescent="0.25">
      <c r="A714" t="s">
        <v>1781</v>
      </c>
      <c r="B714">
        <v>1684</v>
      </c>
      <c r="C714" t="s">
        <v>487</v>
      </c>
      <c r="D714" t="s">
        <v>261</v>
      </c>
      <c r="E714" t="s">
        <v>534</v>
      </c>
      <c r="F714" t="s">
        <v>1563</v>
      </c>
      <c r="G714" s="25">
        <v>44273</v>
      </c>
      <c r="H714">
        <v>16</v>
      </c>
      <c r="I714">
        <v>77</v>
      </c>
      <c r="J714" t="s">
        <v>231</v>
      </c>
      <c r="K714" t="s">
        <v>499</v>
      </c>
      <c r="L714" t="s">
        <v>410</v>
      </c>
      <c r="M714" t="s">
        <v>234</v>
      </c>
      <c r="N714" t="s">
        <v>62</v>
      </c>
      <c r="O714" t="s">
        <v>235</v>
      </c>
      <c r="P714" t="s">
        <v>411</v>
      </c>
      <c r="Q714">
        <v>0</v>
      </c>
      <c r="R714" t="s">
        <v>237</v>
      </c>
    </row>
    <row r="715" spans="1:18" x14ac:dyDescent="0.25">
      <c r="A715" t="s">
        <v>1939</v>
      </c>
      <c r="B715">
        <v>1156</v>
      </c>
      <c r="C715" t="s">
        <v>487</v>
      </c>
      <c r="D715" t="s">
        <v>256</v>
      </c>
      <c r="E715" t="s">
        <v>512</v>
      </c>
      <c r="F715" t="s">
        <v>1342</v>
      </c>
      <c r="G715" s="25">
        <v>44249</v>
      </c>
      <c r="H715">
        <v>11</v>
      </c>
      <c r="I715">
        <v>53</v>
      </c>
      <c r="J715" t="s">
        <v>231</v>
      </c>
      <c r="K715" t="s">
        <v>499</v>
      </c>
      <c r="L715" t="s">
        <v>410</v>
      </c>
      <c r="M715" t="s">
        <v>234</v>
      </c>
      <c r="N715" t="s">
        <v>62</v>
      </c>
      <c r="O715" t="s">
        <v>235</v>
      </c>
      <c r="P715" t="s">
        <v>411</v>
      </c>
      <c r="Q715">
        <v>0</v>
      </c>
      <c r="R715" t="s">
        <v>237</v>
      </c>
    </row>
    <row r="716" spans="1:18" x14ac:dyDescent="0.25">
      <c r="A716" t="s">
        <v>2889</v>
      </c>
      <c r="B716">
        <v>848</v>
      </c>
      <c r="C716" t="s">
        <v>487</v>
      </c>
      <c r="D716" t="s">
        <v>231</v>
      </c>
      <c r="E716" t="s">
        <v>531</v>
      </c>
      <c r="F716" t="s">
        <v>1230</v>
      </c>
      <c r="G716" s="25">
        <v>44235</v>
      </c>
      <c r="H716">
        <v>8</v>
      </c>
      <c r="I716">
        <v>39</v>
      </c>
      <c r="J716" t="s">
        <v>231</v>
      </c>
      <c r="K716" t="s">
        <v>499</v>
      </c>
      <c r="L716" t="s">
        <v>410</v>
      </c>
      <c r="M716" t="s">
        <v>234</v>
      </c>
      <c r="N716" t="s">
        <v>62</v>
      </c>
      <c r="O716" t="s">
        <v>235</v>
      </c>
      <c r="P716" t="s">
        <v>411</v>
      </c>
      <c r="Q716">
        <v>0</v>
      </c>
      <c r="R716" t="s">
        <v>237</v>
      </c>
    </row>
    <row r="717" spans="1:18" x14ac:dyDescent="0.25">
      <c r="A717" t="s">
        <v>2404</v>
      </c>
      <c r="B717">
        <v>540</v>
      </c>
      <c r="C717" t="s">
        <v>487</v>
      </c>
      <c r="D717" t="s">
        <v>231</v>
      </c>
      <c r="E717" t="s">
        <v>322</v>
      </c>
      <c r="F717" t="s">
        <v>1085</v>
      </c>
      <c r="G717" s="25">
        <v>44221</v>
      </c>
      <c r="H717">
        <v>5</v>
      </c>
      <c r="I717">
        <v>25</v>
      </c>
      <c r="J717" t="s">
        <v>231</v>
      </c>
      <c r="K717" t="s">
        <v>499</v>
      </c>
      <c r="L717" t="s">
        <v>410</v>
      </c>
      <c r="M717" t="s">
        <v>234</v>
      </c>
      <c r="N717" t="s">
        <v>62</v>
      </c>
      <c r="O717" t="s">
        <v>235</v>
      </c>
      <c r="P717" t="s">
        <v>411</v>
      </c>
      <c r="Q717">
        <v>0</v>
      </c>
      <c r="R717" t="s">
        <v>237</v>
      </c>
    </row>
    <row r="718" spans="1:18" x14ac:dyDescent="0.25">
      <c r="A718" t="s">
        <v>3421</v>
      </c>
      <c r="B718">
        <v>2265</v>
      </c>
      <c r="C718" t="s">
        <v>487</v>
      </c>
      <c r="D718" t="s">
        <v>247</v>
      </c>
      <c r="E718" t="s">
        <v>256</v>
      </c>
      <c r="F718" t="s">
        <v>3073</v>
      </c>
      <c r="G718" s="25">
        <v>44299</v>
      </c>
      <c r="H718">
        <v>21</v>
      </c>
      <c r="I718">
        <v>103</v>
      </c>
      <c r="J718" t="s">
        <v>432</v>
      </c>
      <c r="K718" t="s">
        <v>498</v>
      </c>
      <c r="L718" t="s">
        <v>26</v>
      </c>
      <c r="M718" t="s">
        <v>434</v>
      </c>
      <c r="N718" t="s">
        <v>77</v>
      </c>
      <c r="O718" t="s">
        <v>435</v>
      </c>
      <c r="P718" t="s">
        <v>26</v>
      </c>
      <c r="Q718">
        <v>216655</v>
      </c>
      <c r="R718" t="s">
        <v>436</v>
      </c>
    </row>
    <row r="719" spans="1:18" x14ac:dyDescent="0.25">
      <c r="A719" t="s">
        <v>2306</v>
      </c>
      <c r="B719">
        <v>791</v>
      </c>
      <c r="C719" t="s">
        <v>487</v>
      </c>
      <c r="D719" t="s">
        <v>231</v>
      </c>
      <c r="E719" t="s">
        <v>620</v>
      </c>
      <c r="F719" t="s">
        <v>1215</v>
      </c>
      <c r="G719" s="25">
        <v>44232</v>
      </c>
      <c r="H719">
        <v>8</v>
      </c>
      <c r="I719">
        <v>36</v>
      </c>
      <c r="J719" t="s">
        <v>432</v>
      </c>
      <c r="K719" t="s">
        <v>498</v>
      </c>
      <c r="L719" t="s">
        <v>26</v>
      </c>
      <c r="M719" t="s">
        <v>434</v>
      </c>
      <c r="N719" t="s">
        <v>77</v>
      </c>
      <c r="O719" t="s">
        <v>435</v>
      </c>
      <c r="P719" t="s">
        <v>26</v>
      </c>
      <c r="Q719">
        <v>105546.875</v>
      </c>
      <c r="R719" t="s">
        <v>436</v>
      </c>
    </row>
    <row r="720" spans="1:18" x14ac:dyDescent="0.25">
      <c r="A720" t="s">
        <v>586</v>
      </c>
      <c r="B720">
        <v>439</v>
      </c>
      <c r="C720" t="s">
        <v>487</v>
      </c>
      <c r="D720" t="s">
        <v>229</v>
      </c>
      <c r="E720" t="s">
        <v>408</v>
      </c>
      <c r="F720" t="s">
        <v>527</v>
      </c>
      <c r="G720" s="25">
        <v>44216</v>
      </c>
      <c r="H720">
        <v>4</v>
      </c>
      <c r="I720">
        <v>20</v>
      </c>
      <c r="J720" t="s">
        <v>432</v>
      </c>
      <c r="K720" t="s">
        <v>498</v>
      </c>
      <c r="L720" t="s">
        <v>26</v>
      </c>
      <c r="M720" t="s">
        <v>434</v>
      </c>
      <c r="N720" t="s">
        <v>77</v>
      </c>
      <c r="O720" t="s">
        <v>435</v>
      </c>
      <c r="P720" t="s">
        <v>26</v>
      </c>
      <c r="Q720">
        <v>16865.625</v>
      </c>
      <c r="R720" t="s">
        <v>436</v>
      </c>
    </row>
    <row r="721" spans="1:18" x14ac:dyDescent="0.25">
      <c r="A721" t="s">
        <v>3422</v>
      </c>
      <c r="B721">
        <v>2551</v>
      </c>
      <c r="C721" t="s">
        <v>487</v>
      </c>
      <c r="D721" t="s">
        <v>247</v>
      </c>
      <c r="E721" t="s">
        <v>620</v>
      </c>
      <c r="F721" t="s">
        <v>3162</v>
      </c>
      <c r="G721" s="25">
        <v>44312</v>
      </c>
      <c r="H721">
        <v>24</v>
      </c>
      <c r="I721">
        <v>116</v>
      </c>
      <c r="J721" t="s">
        <v>432</v>
      </c>
      <c r="K721" t="s">
        <v>498</v>
      </c>
      <c r="L721" t="s">
        <v>26</v>
      </c>
      <c r="M721" t="s">
        <v>434</v>
      </c>
      <c r="N721" t="s">
        <v>77</v>
      </c>
      <c r="O721" t="s">
        <v>435</v>
      </c>
      <c r="P721" t="s">
        <v>26</v>
      </c>
      <c r="Q721">
        <v>147923.75</v>
      </c>
      <c r="R721" t="s">
        <v>436</v>
      </c>
    </row>
    <row r="722" spans="1:18" x14ac:dyDescent="0.25">
      <c r="A722" t="s">
        <v>2566</v>
      </c>
      <c r="B722">
        <v>1691</v>
      </c>
      <c r="C722" t="s">
        <v>487</v>
      </c>
      <c r="D722" t="s">
        <v>261</v>
      </c>
      <c r="E722" t="s">
        <v>534</v>
      </c>
      <c r="F722" t="s">
        <v>1563</v>
      </c>
      <c r="G722" s="25">
        <v>44273</v>
      </c>
      <c r="H722">
        <v>16</v>
      </c>
      <c r="I722">
        <v>77</v>
      </c>
      <c r="J722" t="s">
        <v>432</v>
      </c>
      <c r="K722" t="s">
        <v>497</v>
      </c>
      <c r="L722" t="s">
        <v>438</v>
      </c>
      <c r="M722" t="s">
        <v>434</v>
      </c>
      <c r="N722" t="s">
        <v>75</v>
      </c>
      <c r="O722" t="s">
        <v>435</v>
      </c>
      <c r="P722" t="s">
        <v>438</v>
      </c>
      <c r="Q722">
        <v>25800</v>
      </c>
      <c r="R722" t="s">
        <v>436</v>
      </c>
    </row>
    <row r="723" spans="1:18" x14ac:dyDescent="0.25">
      <c r="A723" t="s">
        <v>2525</v>
      </c>
      <c r="B723">
        <v>1163</v>
      </c>
      <c r="C723" t="s">
        <v>487</v>
      </c>
      <c r="D723" t="s">
        <v>256</v>
      </c>
      <c r="E723" t="s">
        <v>512</v>
      </c>
      <c r="F723" t="s">
        <v>1342</v>
      </c>
      <c r="G723" s="25">
        <v>44249</v>
      </c>
      <c r="H723">
        <v>11</v>
      </c>
      <c r="I723">
        <v>53</v>
      </c>
      <c r="J723" t="s">
        <v>432</v>
      </c>
      <c r="K723" t="s">
        <v>497</v>
      </c>
      <c r="L723" t="s">
        <v>438</v>
      </c>
      <c r="M723" t="s">
        <v>434</v>
      </c>
      <c r="N723" t="s">
        <v>75</v>
      </c>
      <c r="O723" t="s">
        <v>435</v>
      </c>
      <c r="P723" t="s">
        <v>438</v>
      </c>
      <c r="Q723">
        <v>43200</v>
      </c>
      <c r="R723" t="s">
        <v>436</v>
      </c>
    </row>
    <row r="724" spans="1:18" x14ac:dyDescent="0.25">
      <c r="A724" t="s">
        <v>1879</v>
      </c>
      <c r="B724">
        <v>855</v>
      </c>
      <c r="C724" t="s">
        <v>487</v>
      </c>
      <c r="D724" t="s">
        <v>231</v>
      </c>
      <c r="E724" t="s">
        <v>531</v>
      </c>
      <c r="F724" t="s">
        <v>1230</v>
      </c>
      <c r="G724" s="25">
        <v>44235</v>
      </c>
      <c r="H724">
        <v>8</v>
      </c>
      <c r="I724">
        <v>39</v>
      </c>
      <c r="J724" t="s">
        <v>432</v>
      </c>
      <c r="K724" t="s">
        <v>497</v>
      </c>
      <c r="L724" t="s">
        <v>438</v>
      </c>
      <c r="M724" t="s">
        <v>434</v>
      </c>
      <c r="N724" t="s">
        <v>75</v>
      </c>
      <c r="O724" t="s">
        <v>435</v>
      </c>
      <c r="P724" t="s">
        <v>438</v>
      </c>
      <c r="Q724">
        <v>19200</v>
      </c>
      <c r="R724" t="s">
        <v>436</v>
      </c>
    </row>
    <row r="725" spans="1:18" x14ac:dyDescent="0.25">
      <c r="A725" t="s">
        <v>2119</v>
      </c>
      <c r="B725">
        <v>657</v>
      </c>
      <c r="C725" t="s">
        <v>487</v>
      </c>
      <c r="D725" t="s">
        <v>231</v>
      </c>
      <c r="E725" t="s">
        <v>239</v>
      </c>
      <c r="F725" t="s">
        <v>1139</v>
      </c>
      <c r="G725" s="25">
        <v>44226</v>
      </c>
      <c r="H725">
        <v>6</v>
      </c>
      <c r="I725">
        <v>30</v>
      </c>
      <c r="J725" t="s">
        <v>432</v>
      </c>
      <c r="K725" t="s">
        <v>497</v>
      </c>
      <c r="L725" t="s">
        <v>438</v>
      </c>
      <c r="M725" t="s">
        <v>434</v>
      </c>
      <c r="N725" t="s">
        <v>75</v>
      </c>
      <c r="O725" t="s">
        <v>435</v>
      </c>
      <c r="P725" t="s">
        <v>438</v>
      </c>
      <c r="Q725">
        <v>31125</v>
      </c>
      <c r="R725" t="s">
        <v>436</v>
      </c>
    </row>
    <row r="726" spans="1:18" x14ac:dyDescent="0.25">
      <c r="A726" t="s">
        <v>3423</v>
      </c>
      <c r="B726">
        <v>2065</v>
      </c>
      <c r="C726" t="s">
        <v>487</v>
      </c>
      <c r="D726" t="s">
        <v>322</v>
      </c>
      <c r="E726" t="s">
        <v>537</v>
      </c>
      <c r="F726" t="s">
        <v>2999</v>
      </c>
      <c r="G726" s="25">
        <v>44290</v>
      </c>
      <c r="H726">
        <v>19</v>
      </c>
      <c r="I726">
        <v>94</v>
      </c>
      <c r="J726" t="s">
        <v>432</v>
      </c>
      <c r="K726" t="s">
        <v>497</v>
      </c>
      <c r="L726" t="s">
        <v>438</v>
      </c>
      <c r="M726" t="s">
        <v>434</v>
      </c>
      <c r="N726" t="s">
        <v>75</v>
      </c>
      <c r="O726" t="s">
        <v>435</v>
      </c>
      <c r="P726" t="s">
        <v>438</v>
      </c>
      <c r="Q726">
        <v>55200</v>
      </c>
      <c r="R726" t="s">
        <v>436</v>
      </c>
    </row>
    <row r="727" spans="1:18" x14ac:dyDescent="0.25">
      <c r="A727" t="s">
        <v>698</v>
      </c>
      <c r="B727">
        <v>411</v>
      </c>
      <c r="C727" t="s">
        <v>487</v>
      </c>
      <c r="D727" t="s">
        <v>229</v>
      </c>
      <c r="E727" t="s">
        <v>531</v>
      </c>
      <c r="F727" t="s">
        <v>532</v>
      </c>
      <c r="G727" s="25">
        <v>44215</v>
      </c>
      <c r="H727">
        <v>4</v>
      </c>
      <c r="I727">
        <v>19</v>
      </c>
      <c r="J727" t="s">
        <v>432</v>
      </c>
      <c r="K727" t="s">
        <v>496</v>
      </c>
      <c r="L727" t="s">
        <v>69</v>
      </c>
      <c r="M727" t="s">
        <v>434</v>
      </c>
      <c r="N727" t="s">
        <v>68</v>
      </c>
      <c r="O727" t="s">
        <v>21</v>
      </c>
      <c r="P727" t="s">
        <v>439</v>
      </c>
      <c r="Q727">
        <v>24000</v>
      </c>
      <c r="R727" t="s">
        <v>237</v>
      </c>
    </row>
    <row r="728" spans="1:18" x14ac:dyDescent="0.25">
      <c r="A728" t="s">
        <v>3424</v>
      </c>
      <c r="B728">
        <v>2589</v>
      </c>
      <c r="C728" t="s">
        <v>487</v>
      </c>
      <c r="D728" t="s">
        <v>247</v>
      </c>
      <c r="E728" t="s">
        <v>552</v>
      </c>
      <c r="F728" t="s">
        <v>3170</v>
      </c>
      <c r="G728" s="25">
        <v>44314</v>
      </c>
      <c r="H728">
        <v>24</v>
      </c>
      <c r="I728">
        <v>118</v>
      </c>
      <c r="J728" t="s">
        <v>432</v>
      </c>
      <c r="K728" t="s">
        <v>496</v>
      </c>
      <c r="L728" t="s">
        <v>69</v>
      </c>
      <c r="M728" t="s">
        <v>434</v>
      </c>
      <c r="N728" t="s">
        <v>68</v>
      </c>
      <c r="O728" t="s">
        <v>21</v>
      </c>
      <c r="P728" t="s">
        <v>439</v>
      </c>
      <c r="Q728">
        <v>384000</v>
      </c>
      <c r="R728" t="s">
        <v>237</v>
      </c>
    </row>
    <row r="729" spans="1:18" x14ac:dyDescent="0.25">
      <c r="A729" t="s">
        <v>3425</v>
      </c>
      <c r="B729">
        <v>2325</v>
      </c>
      <c r="C729" t="s">
        <v>487</v>
      </c>
      <c r="D729" t="s">
        <v>247</v>
      </c>
      <c r="E729" t="s">
        <v>247</v>
      </c>
      <c r="F729" t="s">
        <v>3085</v>
      </c>
      <c r="G729" s="25">
        <v>44302</v>
      </c>
      <c r="H729">
        <v>22</v>
      </c>
      <c r="I729">
        <v>106</v>
      </c>
      <c r="J729" t="s">
        <v>432</v>
      </c>
      <c r="K729" t="s">
        <v>496</v>
      </c>
      <c r="L729" t="s">
        <v>69</v>
      </c>
      <c r="M729" t="s">
        <v>434</v>
      </c>
      <c r="N729" t="s">
        <v>68</v>
      </c>
      <c r="O729" t="s">
        <v>21</v>
      </c>
      <c r="P729" t="s">
        <v>439</v>
      </c>
      <c r="Q729">
        <v>507250</v>
      </c>
      <c r="R729" t="s">
        <v>237</v>
      </c>
    </row>
    <row r="730" spans="1:18" x14ac:dyDescent="0.25">
      <c r="A730" t="s">
        <v>2362</v>
      </c>
      <c r="B730">
        <v>1621</v>
      </c>
      <c r="C730" t="s">
        <v>487</v>
      </c>
      <c r="D730" t="s">
        <v>261</v>
      </c>
      <c r="E730" t="s">
        <v>537</v>
      </c>
      <c r="F730" t="s">
        <v>1530</v>
      </c>
      <c r="G730" s="25">
        <v>44270</v>
      </c>
      <c r="H730">
        <v>15</v>
      </c>
      <c r="I730">
        <v>74</v>
      </c>
      <c r="J730" t="s">
        <v>432</v>
      </c>
      <c r="K730" t="s">
        <v>496</v>
      </c>
      <c r="L730" t="s">
        <v>69</v>
      </c>
      <c r="M730" t="s">
        <v>434</v>
      </c>
      <c r="N730" t="s">
        <v>68</v>
      </c>
      <c r="O730" t="s">
        <v>21</v>
      </c>
      <c r="P730" t="s">
        <v>439</v>
      </c>
      <c r="Q730">
        <v>60500</v>
      </c>
      <c r="R730" t="s">
        <v>237</v>
      </c>
    </row>
    <row r="731" spans="1:18" x14ac:dyDescent="0.25">
      <c r="A731" t="s">
        <v>2848</v>
      </c>
      <c r="B731">
        <v>588</v>
      </c>
      <c r="C731" t="s">
        <v>487</v>
      </c>
      <c r="D731" t="s">
        <v>231</v>
      </c>
      <c r="E731" t="s">
        <v>326</v>
      </c>
      <c r="F731" t="s">
        <v>1095</v>
      </c>
      <c r="G731" s="25">
        <v>44223</v>
      </c>
      <c r="H731">
        <v>6</v>
      </c>
      <c r="I731">
        <v>27</v>
      </c>
      <c r="J731" t="s">
        <v>432</v>
      </c>
      <c r="K731" t="s">
        <v>495</v>
      </c>
      <c r="L731" t="s">
        <v>135</v>
      </c>
      <c r="M731" t="s">
        <v>434</v>
      </c>
      <c r="N731" t="s">
        <v>70</v>
      </c>
      <c r="O731" t="s">
        <v>21</v>
      </c>
      <c r="P731" t="s">
        <v>440</v>
      </c>
      <c r="Q731">
        <v>43625</v>
      </c>
      <c r="R731" t="s">
        <v>237</v>
      </c>
    </row>
    <row r="732" spans="1:18" x14ac:dyDescent="0.25">
      <c r="A732" t="s">
        <v>364</v>
      </c>
      <c r="B732">
        <v>126</v>
      </c>
      <c r="C732" t="s">
        <v>487</v>
      </c>
      <c r="D732" t="s">
        <v>229</v>
      </c>
      <c r="E732" t="s">
        <v>247</v>
      </c>
      <c r="F732" t="s">
        <v>524</v>
      </c>
      <c r="G732" s="25">
        <v>44202</v>
      </c>
      <c r="H732">
        <v>2</v>
      </c>
      <c r="I732">
        <v>6</v>
      </c>
      <c r="J732" t="s">
        <v>432</v>
      </c>
      <c r="K732" t="s">
        <v>495</v>
      </c>
      <c r="L732" t="s">
        <v>135</v>
      </c>
      <c r="M732" t="s">
        <v>434</v>
      </c>
      <c r="N732" t="s">
        <v>70</v>
      </c>
      <c r="O732" t="s">
        <v>21</v>
      </c>
      <c r="P732" t="s">
        <v>440</v>
      </c>
      <c r="Q732">
        <v>56000</v>
      </c>
      <c r="R732" t="s">
        <v>237</v>
      </c>
    </row>
    <row r="733" spans="1:18" x14ac:dyDescent="0.25">
      <c r="A733" t="s">
        <v>3426</v>
      </c>
      <c r="B733">
        <v>2106</v>
      </c>
      <c r="C733" t="s">
        <v>487</v>
      </c>
      <c r="D733" t="s">
        <v>322</v>
      </c>
      <c r="E733" t="s">
        <v>620</v>
      </c>
      <c r="F733" t="s">
        <v>3025</v>
      </c>
      <c r="G733" s="25">
        <v>44292</v>
      </c>
      <c r="H733">
        <v>20</v>
      </c>
      <c r="I733">
        <v>96</v>
      </c>
      <c r="J733" t="s">
        <v>432</v>
      </c>
      <c r="K733" t="s">
        <v>495</v>
      </c>
      <c r="L733" t="s">
        <v>135</v>
      </c>
      <c r="M733" t="s">
        <v>434</v>
      </c>
      <c r="N733" t="s">
        <v>70</v>
      </c>
      <c r="O733" t="s">
        <v>21</v>
      </c>
      <c r="P733" t="s">
        <v>440</v>
      </c>
      <c r="Q733">
        <v>600125</v>
      </c>
      <c r="R733" t="s">
        <v>237</v>
      </c>
    </row>
    <row r="734" spans="1:18" x14ac:dyDescent="0.25">
      <c r="A734" t="s">
        <v>709</v>
      </c>
      <c r="B734">
        <v>416</v>
      </c>
      <c r="C734" t="s">
        <v>487</v>
      </c>
      <c r="D734" t="s">
        <v>229</v>
      </c>
      <c r="E734" t="s">
        <v>531</v>
      </c>
      <c r="F734" t="s">
        <v>532</v>
      </c>
      <c r="G734" s="25">
        <v>44215</v>
      </c>
      <c r="H734">
        <v>4</v>
      </c>
      <c r="I734">
        <v>19</v>
      </c>
      <c r="J734" t="s">
        <v>432</v>
      </c>
      <c r="K734" t="s">
        <v>494</v>
      </c>
      <c r="L734" t="s">
        <v>25</v>
      </c>
      <c r="M734" t="s">
        <v>434</v>
      </c>
      <c r="N734" t="s">
        <v>76</v>
      </c>
      <c r="O734" t="s">
        <v>435</v>
      </c>
      <c r="P734" t="s">
        <v>25</v>
      </c>
      <c r="Q734">
        <v>10800</v>
      </c>
      <c r="R734" t="s">
        <v>436</v>
      </c>
    </row>
    <row r="735" spans="1:18" x14ac:dyDescent="0.25">
      <c r="A735" t="s">
        <v>3427</v>
      </c>
      <c r="B735">
        <v>2330</v>
      </c>
      <c r="C735" t="s">
        <v>487</v>
      </c>
      <c r="D735" t="s">
        <v>247</v>
      </c>
      <c r="E735" t="s">
        <v>247</v>
      </c>
      <c r="F735" t="s">
        <v>3085</v>
      </c>
      <c r="G735" s="25">
        <v>44302</v>
      </c>
      <c r="H735">
        <v>22</v>
      </c>
      <c r="I735">
        <v>106</v>
      </c>
      <c r="J735" t="s">
        <v>432</v>
      </c>
      <c r="K735" t="s">
        <v>494</v>
      </c>
      <c r="L735" t="s">
        <v>25</v>
      </c>
      <c r="M735" t="s">
        <v>434</v>
      </c>
      <c r="N735" t="s">
        <v>76</v>
      </c>
      <c r="O735" t="s">
        <v>435</v>
      </c>
      <c r="P735" t="s">
        <v>25</v>
      </c>
      <c r="Q735">
        <v>38250</v>
      </c>
      <c r="R735" t="s">
        <v>436</v>
      </c>
    </row>
    <row r="736" spans="1:18" x14ac:dyDescent="0.25">
      <c r="A736" t="s">
        <v>3428</v>
      </c>
      <c r="B736">
        <v>2222</v>
      </c>
      <c r="C736" t="s">
        <v>487</v>
      </c>
      <c r="D736" t="s">
        <v>247</v>
      </c>
      <c r="E736" t="s">
        <v>229</v>
      </c>
      <c r="F736" t="s">
        <v>3063</v>
      </c>
      <c r="G736" s="25">
        <v>44297</v>
      </c>
      <c r="H736">
        <v>21</v>
      </c>
      <c r="I736">
        <v>101</v>
      </c>
      <c r="J736" t="s">
        <v>432</v>
      </c>
      <c r="K736" t="s">
        <v>493</v>
      </c>
      <c r="L736" t="s">
        <v>441</v>
      </c>
      <c r="M736" t="s">
        <v>434</v>
      </c>
      <c r="N736" t="s">
        <v>78</v>
      </c>
      <c r="O736" t="s">
        <v>435</v>
      </c>
      <c r="P736" t="s">
        <v>441</v>
      </c>
      <c r="Q736">
        <v>232098.75</v>
      </c>
      <c r="R736" t="s">
        <v>436</v>
      </c>
    </row>
    <row r="737" spans="1:18" x14ac:dyDescent="0.25">
      <c r="A737" t="s">
        <v>2803</v>
      </c>
      <c r="B737">
        <v>1122</v>
      </c>
      <c r="C737" t="s">
        <v>487</v>
      </c>
      <c r="D737" t="s">
        <v>256</v>
      </c>
      <c r="E737" t="s">
        <v>515</v>
      </c>
      <c r="F737" t="s">
        <v>1329</v>
      </c>
      <c r="G737" s="25">
        <v>44247</v>
      </c>
      <c r="H737">
        <v>11</v>
      </c>
      <c r="I737">
        <v>51</v>
      </c>
      <c r="J737" t="s">
        <v>432</v>
      </c>
      <c r="K737" t="s">
        <v>493</v>
      </c>
      <c r="L737" t="s">
        <v>441</v>
      </c>
      <c r="M737" t="s">
        <v>434</v>
      </c>
      <c r="N737" t="s">
        <v>78</v>
      </c>
      <c r="O737" t="s">
        <v>435</v>
      </c>
      <c r="P737" t="s">
        <v>441</v>
      </c>
      <c r="Q737">
        <v>227543.75</v>
      </c>
      <c r="R737" t="s">
        <v>436</v>
      </c>
    </row>
    <row r="738" spans="1:18" x14ac:dyDescent="0.25">
      <c r="A738" t="s">
        <v>1697</v>
      </c>
      <c r="B738">
        <v>1056</v>
      </c>
      <c r="C738" t="s">
        <v>487</v>
      </c>
      <c r="D738" t="s">
        <v>256</v>
      </c>
      <c r="E738" t="s">
        <v>381</v>
      </c>
      <c r="F738" t="s">
        <v>1311</v>
      </c>
      <c r="G738" s="25">
        <v>44244</v>
      </c>
      <c r="H738">
        <v>10</v>
      </c>
      <c r="I738">
        <v>48</v>
      </c>
      <c r="J738" t="s">
        <v>432</v>
      </c>
      <c r="K738" t="s">
        <v>493</v>
      </c>
      <c r="L738" t="s">
        <v>441</v>
      </c>
      <c r="M738" t="s">
        <v>434</v>
      </c>
      <c r="N738" t="s">
        <v>78</v>
      </c>
      <c r="O738" t="s">
        <v>435</v>
      </c>
      <c r="P738" t="s">
        <v>441</v>
      </c>
      <c r="Q738">
        <v>251387.5</v>
      </c>
      <c r="R738" t="s">
        <v>436</v>
      </c>
    </row>
    <row r="739" spans="1:18" x14ac:dyDescent="0.25">
      <c r="A739" t="s">
        <v>1699</v>
      </c>
      <c r="B739">
        <v>902</v>
      </c>
      <c r="C739" t="s">
        <v>487</v>
      </c>
      <c r="D739" t="s">
        <v>256</v>
      </c>
      <c r="E739" t="s">
        <v>229</v>
      </c>
      <c r="F739" t="s">
        <v>1241</v>
      </c>
      <c r="G739" s="25">
        <v>44237</v>
      </c>
      <c r="H739">
        <v>9</v>
      </c>
      <c r="I739">
        <v>41</v>
      </c>
      <c r="J739" t="s">
        <v>432</v>
      </c>
      <c r="K739" t="s">
        <v>493</v>
      </c>
      <c r="L739" t="s">
        <v>441</v>
      </c>
      <c r="M739" t="s">
        <v>434</v>
      </c>
      <c r="N739" t="s">
        <v>78</v>
      </c>
      <c r="O739" t="s">
        <v>435</v>
      </c>
      <c r="P739" t="s">
        <v>441</v>
      </c>
      <c r="Q739">
        <v>106662.5</v>
      </c>
      <c r="R739" t="s">
        <v>436</v>
      </c>
    </row>
    <row r="740" spans="1:18" x14ac:dyDescent="0.25">
      <c r="A740" t="s">
        <v>589</v>
      </c>
      <c r="B740">
        <v>330</v>
      </c>
      <c r="C740" t="s">
        <v>487</v>
      </c>
      <c r="D740" t="s">
        <v>229</v>
      </c>
      <c r="E740" t="s">
        <v>575</v>
      </c>
      <c r="F740" t="s">
        <v>576</v>
      </c>
      <c r="G740" s="25">
        <v>44211</v>
      </c>
      <c r="H740">
        <v>3</v>
      </c>
      <c r="I740">
        <v>15</v>
      </c>
      <c r="J740" t="s">
        <v>432</v>
      </c>
      <c r="K740" t="s">
        <v>493</v>
      </c>
      <c r="L740" t="s">
        <v>441</v>
      </c>
      <c r="M740" t="s">
        <v>434</v>
      </c>
      <c r="N740" t="s">
        <v>78</v>
      </c>
      <c r="O740" t="s">
        <v>435</v>
      </c>
      <c r="P740" t="s">
        <v>441</v>
      </c>
      <c r="Q740">
        <v>18353.125</v>
      </c>
      <c r="R740" t="s">
        <v>436</v>
      </c>
    </row>
    <row r="741" spans="1:18" x14ac:dyDescent="0.25">
      <c r="A741" t="s">
        <v>817</v>
      </c>
      <c r="B741">
        <v>264</v>
      </c>
      <c r="C741" t="s">
        <v>487</v>
      </c>
      <c r="D741" t="s">
        <v>229</v>
      </c>
      <c r="E741" t="s">
        <v>232</v>
      </c>
      <c r="F741" t="s">
        <v>520</v>
      </c>
      <c r="G741" s="25">
        <v>44208</v>
      </c>
      <c r="H741">
        <v>3</v>
      </c>
      <c r="I741">
        <v>12</v>
      </c>
      <c r="J741" t="s">
        <v>432</v>
      </c>
      <c r="K741" t="s">
        <v>493</v>
      </c>
      <c r="L741" t="s">
        <v>441</v>
      </c>
      <c r="M741" t="s">
        <v>434</v>
      </c>
      <c r="N741" t="s">
        <v>78</v>
      </c>
      <c r="O741" t="s">
        <v>435</v>
      </c>
      <c r="P741" t="s">
        <v>441</v>
      </c>
      <c r="Q741">
        <v>28700</v>
      </c>
      <c r="R741" t="s">
        <v>436</v>
      </c>
    </row>
    <row r="742" spans="1:18" x14ac:dyDescent="0.25">
      <c r="A742" t="s">
        <v>3429</v>
      </c>
      <c r="B742">
        <v>2063</v>
      </c>
      <c r="C742" t="s">
        <v>487</v>
      </c>
      <c r="D742" t="s">
        <v>322</v>
      </c>
      <c r="E742" t="s">
        <v>537</v>
      </c>
      <c r="F742" t="s">
        <v>2999</v>
      </c>
      <c r="G742" s="25">
        <v>44290</v>
      </c>
      <c r="H742">
        <v>19</v>
      </c>
      <c r="I742">
        <v>94</v>
      </c>
      <c r="J742" t="s">
        <v>432</v>
      </c>
      <c r="K742" t="s">
        <v>492</v>
      </c>
      <c r="L742" t="s">
        <v>24</v>
      </c>
      <c r="M742" t="s">
        <v>434</v>
      </c>
      <c r="N742" t="s">
        <v>71</v>
      </c>
      <c r="O742" t="s">
        <v>435</v>
      </c>
      <c r="P742" t="s">
        <v>24</v>
      </c>
      <c r="Q742">
        <v>69900</v>
      </c>
      <c r="R742" t="s">
        <v>436</v>
      </c>
    </row>
    <row r="743" spans="1:18" x14ac:dyDescent="0.25">
      <c r="A743" t="s">
        <v>2534</v>
      </c>
      <c r="B743">
        <v>1689</v>
      </c>
      <c r="C743" t="s">
        <v>487</v>
      </c>
      <c r="D743" t="s">
        <v>261</v>
      </c>
      <c r="E743" t="s">
        <v>534</v>
      </c>
      <c r="F743" t="s">
        <v>1563</v>
      </c>
      <c r="G743" s="25">
        <v>44273</v>
      </c>
      <c r="H743">
        <v>16</v>
      </c>
      <c r="I743">
        <v>77</v>
      </c>
      <c r="J743" t="s">
        <v>432</v>
      </c>
      <c r="K743" t="s">
        <v>492</v>
      </c>
      <c r="L743" t="s">
        <v>24</v>
      </c>
      <c r="M743" t="s">
        <v>434</v>
      </c>
      <c r="N743" t="s">
        <v>71</v>
      </c>
      <c r="O743" t="s">
        <v>435</v>
      </c>
      <c r="P743" t="s">
        <v>24</v>
      </c>
      <c r="Q743">
        <v>11400</v>
      </c>
      <c r="R743" t="s">
        <v>436</v>
      </c>
    </row>
    <row r="744" spans="1:18" x14ac:dyDescent="0.25">
      <c r="A744" t="s">
        <v>1957</v>
      </c>
      <c r="B744">
        <v>985</v>
      </c>
      <c r="C744" t="s">
        <v>487</v>
      </c>
      <c r="D744" t="s">
        <v>256</v>
      </c>
      <c r="E744" t="s">
        <v>322</v>
      </c>
      <c r="F744" t="s">
        <v>1288</v>
      </c>
      <c r="G744" s="25">
        <v>44241</v>
      </c>
      <c r="H744">
        <v>9</v>
      </c>
      <c r="I744">
        <v>45</v>
      </c>
      <c r="J744" t="s">
        <v>432</v>
      </c>
      <c r="K744" t="s">
        <v>492</v>
      </c>
      <c r="L744" t="s">
        <v>24</v>
      </c>
      <c r="M744" t="s">
        <v>434</v>
      </c>
      <c r="N744" t="s">
        <v>71</v>
      </c>
      <c r="O744" t="s">
        <v>435</v>
      </c>
      <c r="P744" t="s">
        <v>24</v>
      </c>
      <c r="Q744">
        <v>53887.5</v>
      </c>
      <c r="R744" t="s">
        <v>436</v>
      </c>
    </row>
    <row r="745" spans="1:18" x14ac:dyDescent="0.25">
      <c r="A745" t="s">
        <v>2135</v>
      </c>
      <c r="B745">
        <v>853</v>
      </c>
      <c r="C745" t="s">
        <v>487</v>
      </c>
      <c r="D745" t="s">
        <v>231</v>
      </c>
      <c r="E745" t="s">
        <v>531</v>
      </c>
      <c r="F745" t="s">
        <v>1230</v>
      </c>
      <c r="G745" s="25">
        <v>44235</v>
      </c>
      <c r="H745">
        <v>8</v>
      </c>
      <c r="I745">
        <v>39</v>
      </c>
      <c r="J745" t="s">
        <v>432</v>
      </c>
      <c r="K745" t="s">
        <v>492</v>
      </c>
      <c r="L745" t="s">
        <v>24</v>
      </c>
      <c r="M745" t="s">
        <v>434</v>
      </c>
      <c r="N745" t="s">
        <v>71</v>
      </c>
      <c r="O745" t="s">
        <v>435</v>
      </c>
      <c r="P745" t="s">
        <v>24</v>
      </c>
      <c r="Q745">
        <v>28800</v>
      </c>
      <c r="R745" t="s">
        <v>436</v>
      </c>
    </row>
    <row r="746" spans="1:18" x14ac:dyDescent="0.25">
      <c r="A746" t="s">
        <v>2910</v>
      </c>
      <c r="B746">
        <v>545</v>
      </c>
      <c r="C746" t="s">
        <v>487</v>
      </c>
      <c r="D746" t="s">
        <v>231</v>
      </c>
      <c r="E746" t="s">
        <v>322</v>
      </c>
      <c r="F746" t="s">
        <v>1085</v>
      </c>
      <c r="G746" s="25">
        <v>44221</v>
      </c>
      <c r="H746">
        <v>5</v>
      </c>
      <c r="I746">
        <v>25</v>
      </c>
      <c r="J746" t="s">
        <v>432</v>
      </c>
      <c r="K746" t="s">
        <v>492</v>
      </c>
      <c r="L746" t="s">
        <v>24</v>
      </c>
      <c r="M746" t="s">
        <v>434</v>
      </c>
      <c r="N746" t="s">
        <v>71</v>
      </c>
      <c r="O746" t="s">
        <v>435</v>
      </c>
      <c r="P746" t="s">
        <v>24</v>
      </c>
      <c r="Q746">
        <v>32400</v>
      </c>
      <c r="R746" t="s">
        <v>436</v>
      </c>
    </row>
    <row r="747" spans="1:18" x14ac:dyDescent="0.25">
      <c r="A747" t="s">
        <v>3430</v>
      </c>
      <c r="B747">
        <v>2525</v>
      </c>
      <c r="C747" t="s">
        <v>487</v>
      </c>
      <c r="D747" t="s">
        <v>247</v>
      </c>
      <c r="E747" t="s">
        <v>575</v>
      </c>
      <c r="F747" t="s">
        <v>3158</v>
      </c>
      <c r="G747" s="25">
        <v>44311</v>
      </c>
      <c r="H747">
        <v>23</v>
      </c>
      <c r="I747">
        <v>115</v>
      </c>
      <c r="J747" t="s">
        <v>432</v>
      </c>
      <c r="K747" t="s">
        <v>492</v>
      </c>
      <c r="L747" t="s">
        <v>24</v>
      </c>
      <c r="M747" t="s">
        <v>434</v>
      </c>
      <c r="N747" t="s">
        <v>71</v>
      </c>
      <c r="O747" t="s">
        <v>435</v>
      </c>
      <c r="P747" t="s">
        <v>24</v>
      </c>
      <c r="Q747">
        <v>45525</v>
      </c>
      <c r="R747" t="s">
        <v>436</v>
      </c>
    </row>
    <row r="748" spans="1:18" x14ac:dyDescent="0.25">
      <c r="A748" t="s">
        <v>2635</v>
      </c>
      <c r="B748">
        <v>1702</v>
      </c>
      <c r="C748" t="s">
        <v>487</v>
      </c>
      <c r="D748" t="s">
        <v>261</v>
      </c>
      <c r="E748" t="s">
        <v>552</v>
      </c>
      <c r="F748" t="s">
        <v>1585</v>
      </c>
      <c r="G748" s="25">
        <v>44274</v>
      </c>
      <c r="H748">
        <v>16</v>
      </c>
      <c r="I748">
        <v>78</v>
      </c>
      <c r="J748" t="s">
        <v>231</v>
      </c>
      <c r="K748" t="s">
        <v>491</v>
      </c>
      <c r="L748" t="s">
        <v>233</v>
      </c>
      <c r="M748" t="s">
        <v>234</v>
      </c>
      <c r="N748" t="s">
        <v>54</v>
      </c>
      <c r="O748" t="s">
        <v>235</v>
      </c>
      <c r="P748" t="s">
        <v>236</v>
      </c>
      <c r="Q748">
        <v>0</v>
      </c>
      <c r="R748" t="s">
        <v>237</v>
      </c>
    </row>
    <row r="749" spans="1:18" x14ac:dyDescent="0.25">
      <c r="A749" t="s">
        <v>2812</v>
      </c>
      <c r="B749">
        <v>1174</v>
      </c>
      <c r="C749" t="s">
        <v>487</v>
      </c>
      <c r="D749" t="s">
        <v>256</v>
      </c>
      <c r="E749" t="s">
        <v>537</v>
      </c>
      <c r="F749" t="s">
        <v>1348</v>
      </c>
      <c r="G749" s="25">
        <v>44250</v>
      </c>
      <c r="H749">
        <v>11</v>
      </c>
      <c r="I749">
        <v>54</v>
      </c>
      <c r="J749" t="s">
        <v>231</v>
      </c>
      <c r="K749" t="s">
        <v>491</v>
      </c>
      <c r="L749" t="s">
        <v>233</v>
      </c>
      <c r="M749" t="s">
        <v>234</v>
      </c>
      <c r="N749" t="s">
        <v>54</v>
      </c>
      <c r="O749" t="s">
        <v>235</v>
      </c>
      <c r="P749" t="s">
        <v>236</v>
      </c>
      <c r="Q749">
        <v>0</v>
      </c>
      <c r="R749" t="s">
        <v>237</v>
      </c>
    </row>
    <row r="750" spans="1:18" x14ac:dyDescent="0.25">
      <c r="A750" t="s">
        <v>1961</v>
      </c>
      <c r="B750">
        <v>910</v>
      </c>
      <c r="C750" t="s">
        <v>487</v>
      </c>
      <c r="D750" t="s">
        <v>256</v>
      </c>
      <c r="E750" t="s">
        <v>231</v>
      </c>
      <c r="F750" t="s">
        <v>1249</v>
      </c>
      <c r="G750" s="25">
        <v>44238</v>
      </c>
      <c r="H750">
        <v>9</v>
      </c>
      <c r="I750">
        <v>42</v>
      </c>
      <c r="J750" t="s">
        <v>231</v>
      </c>
      <c r="K750" t="s">
        <v>491</v>
      </c>
      <c r="L750" t="s">
        <v>233</v>
      </c>
      <c r="M750" t="s">
        <v>234</v>
      </c>
      <c r="N750" t="s">
        <v>54</v>
      </c>
      <c r="O750" t="s">
        <v>235</v>
      </c>
      <c r="P750" t="s">
        <v>236</v>
      </c>
      <c r="Q750">
        <v>25250</v>
      </c>
      <c r="R750" t="s">
        <v>237</v>
      </c>
    </row>
    <row r="751" spans="1:18" x14ac:dyDescent="0.25">
      <c r="A751" t="s">
        <v>778</v>
      </c>
      <c r="B751">
        <v>206</v>
      </c>
      <c r="C751" t="s">
        <v>487</v>
      </c>
      <c r="D751" t="s">
        <v>229</v>
      </c>
      <c r="E751" t="s">
        <v>239</v>
      </c>
      <c r="F751" t="s">
        <v>578</v>
      </c>
      <c r="G751" s="25">
        <v>44206</v>
      </c>
      <c r="H751">
        <v>2</v>
      </c>
      <c r="I751">
        <v>10</v>
      </c>
      <c r="J751" t="s">
        <v>231</v>
      </c>
      <c r="K751" t="s">
        <v>491</v>
      </c>
      <c r="L751" t="s">
        <v>233</v>
      </c>
      <c r="M751" t="s">
        <v>234</v>
      </c>
      <c r="N751" t="s">
        <v>54</v>
      </c>
      <c r="O751" t="s">
        <v>235</v>
      </c>
      <c r="P751" t="s">
        <v>236</v>
      </c>
      <c r="Q751">
        <v>0</v>
      </c>
      <c r="R751" t="s">
        <v>237</v>
      </c>
    </row>
    <row r="752" spans="1:18" x14ac:dyDescent="0.25">
      <c r="A752" t="s">
        <v>3431</v>
      </c>
      <c r="B752">
        <v>2076</v>
      </c>
      <c r="C752" t="s">
        <v>487</v>
      </c>
      <c r="D752" t="s">
        <v>322</v>
      </c>
      <c r="E752" t="s">
        <v>575</v>
      </c>
      <c r="F752" t="s">
        <v>3014</v>
      </c>
      <c r="G752" s="25">
        <v>44291</v>
      </c>
      <c r="H752">
        <v>19</v>
      </c>
      <c r="I752">
        <v>95</v>
      </c>
      <c r="J752" t="s">
        <v>231</v>
      </c>
      <c r="K752" t="s">
        <v>491</v>
      </c>
      <c r="L752" t="s">
        <v>233</v>
      </c>
      <c r="M752" t="s">
        <v>234</v>
      </c>
      <c r="N752" t="s">
        <v>54</v>
      </c>
      <c r="O752" t="s">
        <v>235</v>
      </c>
      <c r="P752" t="s">
        <v>236</v>
      </c>
      <c r="Q752">
        <v>0</v>
      </c>
      <c r="R752" t="s">
        <v>237</v>
      </c>
    </row>
    <row r="753" spans="1:18" x14ac:dyDescent="0.25">
      <c r="A753" t="s">
        <v>3432</v>
      </c>
      <c r="B753">
        <v>1900</v>
      </c>
      <c r="C753" t="s">
        <v>487</v>
      </c>
      <c r="D753" t="s">
        <v>322</v>
      </c>
      <c r="E753" t="s">
        <v>326</v>
      </c>
      <c r="F753" t="s">
        <v>2967</v>
      </c>
      <c r="G753" s="25">
        <v>44283</v>
      </c>
      <c r="H753">
        <v>18</v>
      </c>
      <c r="I753">
        <v>87</v>
      </c>
      <c r="J753" t="s">
        <v>231</v>
      </c>
      <c r="K753" t="s">
        <v>491</v>
      </c>
      <c r="L753" t="s">
        <v>233</v>
      </c>
      <c r="M753" t="s">
        <v>234</v>
      </c>
      <c r="N753" t="s">
        <v>54</v>
      </c>
      <c r="O753" t="s">
        <v>235</v>
      </c>
      <c r="P753" t="s">
        <v>236</v>
      </c>
      <c r="Q753">
        <v>14375</v>
      </c>
      <c r="R753" t="s">
        <v>237</v>
      </c>
    </row>
    <row r="754" spans="1:18" x14ac:dyDescent="0.25">
      <c r="A754" t="s">
        <v>1847</v>
      </c>
      <c r="B754">
        <v>1069</v>
      </c>
      <c r="C754" t="s">
        <v>487</v>
      </c>
      <c r="D754" t="s">
        <v>256</v>
      </c>
      <c r="E754" t="s">
        <v>371</v>
      </c>
      <c r="F754" t="s">
        <v>1318</v>
      </c>
      <c r="G754" s="25">
        <v>44245</v>
      </c>
      <c r="H754">
        <v>10</v>
      </c>
      <c r="I754">
        <v>49</v>
      </c>
      <c r="J754" t="s">
        <v>432</v>
      </c>
      <c r="K754" t="s">
        <v>490</v>
      </c>
      <c r="L754" t="s">
        <v>65</v>
      </c>
      <c r="M754" t="s">
        <v>434</v>
      </c>
      <c r="N754" t="s">
        <v>64</v>
      </c>
      <c r="O754" t="s">
        <v>235</v>
      </c>
      <c r="P754" t="s">
        <v>442</v>
      </c>
      <c r="Q754">
        <v>440000</v>
      </c>
      <c r="R754" t="s">
        <v>237</v>
      </c>
    </row>
    <row r="755" spans="1:18" x14ac:dyDescent="0.25">
      <c r="A755" t="s">
        <v>2203</v>
      </c>
      <c r="B755">
        <v>717</v>
      </c>
      <c r="C755" t="s">
        <v>487</v>
      </c>
      <c r="D755" t="s">
        <v>231</v>
      </c>
      <c r="E755" t="s">
        <v>512</v>
      </c>
      <c r="F755" t="s">
        <v>1174</v>
      </c>
      <c r="G755" s="25">
        <v>44229</v>
      </c>
      <c r="H755">
        <v>7</v>
      </c>
      <c r="I755">
        <v>33</v>
      </c>
      <c r="J755" t="s">
        <v>432</v>
      </c>
      <c r="K755" t="s">
        <v>490</v>
      </c>
      <c r="L755" t="s">
        <v>65</v>
      </c>
      <c r="M755" t="s">
        <v>434</v>
      </c>
      <c r="N755" t="s">
        <v>64</v>
      </c>
      <c r="O755" t="s">
        <v>235</v>
      </c>
      <c r="P755" t="s">
        <v>442</v>
      </c>
      <c r="Q755">
        <v>240000</v>
      </c>
      <c r="R755" t="s">
        <v>237</v>
      </c>
    </row>
    <row r="756" spans="1:18" x14ac:dyDescent="0.25">
      <c r="A756" t="s">
        <v>666</v>
      </c>
      <c r="B756">
        <v>343</v>
      </c>
      <c r="C756" t="s">
        <v>487</v>
      </c>
      <c r="D756" t="s">
        <v>229</v>
      </c>
      <c r="E756" t="s">
        <v>620</v>
      </c>
      <c r="F756" t="s">
        <v>621</v>
      </c>
      <c r="G756" s="25">
        <v>44212</v>
      </c>
      <c r="H756">
        <v>4</v>
      </c>
      <c r="I756">
        <v>16</v>
      </c>
      <c r="J756" t="s">
        <v>432</v>
      </c>
      <c r="K756" t="s">
        <v>490</v>
      </c>
      <c r="L756" t="s">
        <v>65</v>
      </c>
      <c r="M756" t="s">
        <v>434</v>
      </c>
      <c r="N756" t="s">
        <v>64</v>
      </c>
      <c r="O756" t="s">
        <v>235</v>
      </c>
      <c r="P756" t="s">
        <v>442</v>
      </c>
      <c r="Q756">
        <v>24000</v>
      </c>
      <c r="R756" t="s">
        <v>237</v>
      </c>
    </row>
    <row r="757" spans="1:18" x14ac:dyDescent="0.25">
      <c r="A757" t="s">
        <v>248</v>
      </c>
      <c r="B757">
        <v>101</v>
      </c>
      <c r="C757" t="s">
        <v>487</v>
      </c>
      <c r="D757" t="s">
        <v>229</v>
      </c>
      <c r="E757" t="s">
        <v>322</v>
      </c>
      <c r="F757" t="s">
        <v>529</v>
      </c>
      <c r="G757" s="25">
        <v>44201</v>
      </c>
      <c r="H757">
        <v>1</v>
      </c>
      <c r="I757">
        <v>5</v>
      </c>
      <c r="J757" t="s">
        <v>432</v>
      </c>
      <c r="K757" t="s">
        <v>490</v>
      </c>
      <c r="L757" t="s">
        <v>65</v>
      </c>
      <c r="M757" t="s">
        <v>434</v>
      </c>
      <c r="N757" t="s">
        <v>64</v>
      </c>
      <c r="O757" t="s">
        <v>235</v>
      </c>
      <c r="P757" t="s">
        <v>442</v>
      </c>
      <c r="Q757">
        <v>96000</v>
      </c>
      <c r="R757" t="s">
        <v>237</v>
      </c>
    </row>
    <row r="758" spans="1:18" x14ac:dyDescent="0.25">
      <c r="A758" t="s">
        <v>3433</v>
      </c>
      <c r="B758">
        <v>2279</v>
      </c>
      <c r="C758" t="s">
        <v>487</v>
      </c>
      <c r="D758" t="s">
        <v>247</v>
      </c>
      <c r="E758" t="s">
        <v>261</v>
      </c>
      <c r="F758" t="s">
        <v>3078</v>
      </c>
      <c r="G758" s="25">
        <v>44300</v>
      </c>
      <c r="H758">
        <v>21</v>
      </c>
      <c r="I758">
        <v>104</v>
      </c>
      <c r="J758" t="s">
        <v>432</v>
      </c>
      <c r="K758" t="s">
        <v>490</v>
      </c>
      <c r="L758" t="s">
        <v>65</v>
      </c>
      <c r="M758" t="s">
        <v>434</v>
      </c>
      <c r="N758" t="s">
        <v>64</v>
      </c>
      <c r="O758" t="s">
        <v>235</v>
      </c>
      <c r="P758" t="s">
        <v>442</v>
      </c>
      <c r="Q758">
        <v>328000</v>
      </c>
      <c r="R758" t="s">
        <v>237</v>
      </c>
    </row>
    <row r="759" spans="1:18" x14ac:dyDescent="0.25">
      <c r="A759" t="s">
        <v>3434</v>
      </c>
      <c r="B759">
        <v>2191</v>
      </c>
      <c r="C759" t="s">
        <v>487</v>
      </c>
      <c r="D759" t="s">
        <v>322</v>
      </c>
      <c r="E759" t="s">
        <v>408</v>
      </c>
      <c r="F759" t="s">
        <v>3059</v>
      </c>
      <c r="G759" s="25">
        <v>44296</v>
      </c>
      <c r="H759">
        <v>20</v>
      </c>
      <c r="I759">
        <v>100</v>
      </c>
      <c r="J759" t="s">
        <v>432</v>
      </c>
      <c r="K759" t="s">
        <v>490</v>
      </c>
      <c r="L759" t="s">
        <v>65</v>
      </c>
      <c r="M759" t="s">
        <v>434</v>
      </c>
      <c r="N759" t="s">
        <v>64</v>
      </c>
      <c r="O759" t="s">
        <v>235</v>
      </c>
      <c r="P759" t="s">
        <v>442</v>
      </c>
      <c r="Q759">
        <v>402750</v>
      </c>
      <c r="R759" t="s">
        <v>237</v>
      </c>
    </row>
    <row r="760" spans="1:18" x14ac:dyDescent="0.25">
      <c r="A760" t="s">
        <v>1707</v>
      </c>
      <c r="B760">
        <v>1553</v>
      </c>
      <c r="C760" t="s">
        <v>487</v>
      </c>
      <c r="D760" t="s">
        <v>261</v>
      </c>
      <c r="E760" t="s">
        <v>515</v>
      </c>
      <c r="F760" t="s">
        <v>1493</v>
      </c>
      <c r="G760" s="25">
        <v>44267</v>
      </c>
      <c r="H760">
        <v>15</v>
      </c>
      <c r="I760">
        <v>71</v>
      </c>
      <c r="J760" t="s">
        <v>432</v>
      </c>
      <c r="K760" t="s">
        <v>490</v>
      </c>
      <c r="L760" t="s">
        <v>65</v>
      </c>
      <c r="M760" t="s">
        <v>434</v>
      </c>
      <c r="N760" t="s">
        <v>64</v>
      </c>
      <c r="O760" t="s">
        <v>235</v>
      </c>
      <c r="P760" t="s">
        <v>442</v>
      </c>
      <c r="Q760">
        <v>344000</v>
      </c>
      <c r="R760" t="s">
        <v>237</v>
      </c>
    </row>
    <row r="761" spans="1:18" x14ac:dyDescent="0.25">
      <c r="A761" t="s">
        <v>3435</v>
      </c>
      <c r="B761">
        <v>2020</v>
      </c>
      <c r="C761" t="s">
        <v>487</v>
      </c>
      <c r="D761" t="s">
        <v>322</v>
      </c>
      <c r="E761" t="s">
        <v>232</v>
      </c>
      <c r="F761" t="s">
        <v>2987</v>
      </c>
      <c r="G761" s="25">
        <v>44288</v>
      </c>
      <c r="H761">
        <v>19</v>
      </c>
      <c r="I761">
        <v>92</v>
      </c>
      <c r="J761" t="s">
        <v>432</v>
      </c>
      <c r="K761" t="s">
        <v>488</v>
      </c>
      <c r="L761" t="s">
        <v>433</v>
      </c>
      <c r="M761" t="s">
        <v>434</v>
      </c>
      <c r="N761" t="s">
        <v>74</v>
      </c>
      <c r="O761" t="s">
        <v>435</v>
      </c>
      <c r="P761" t="s">
        <v>433</v>
      </c>
      <c r="Q761">
        <v>55200</v>
      </c>
      <c r="R761" t="s">
        <v>436</v>
      </c>
    </row>
    <row r="762" spans="1:18" x14ac:dyDescent="0.25">
      <c r="A762" t="s">
        <v>2378</v>
      </c>
      <c r="B762">
        <v>1404</v>
      </c>
      <c r="C762" t="s">
        <v>487</v>
      </c>
      <c r="D762" t="s">
        <v>261</v>
      </c>
      <c r="E762" t="s">
        <v>261</v>
      </c>
      <c r="F762" t="s">
        <v>1410</v>
      </c>
      <c r="G762" s="25">
        <v>44260</v>
      </c>
      <c r="H762">
        <v>13</v>
      </c>
      <c r="I762">
        <v>64</v>
      </c>
      <c r="J762" t="s">
        <v>432</v>
      </c>
      <c r="K762" t="s">
        <v>488</v>
      </c>
      <c r="L762" t="s">
        <v>433</v>
      </c>
      <c r="M762" t="s">
        <v>434</v>
      </c>
      <c r="N762" t="s">
        <v>74</v>
      </c>
      <c r="O762" t="s">
        <v>435</v>
      </c>
      <c r="P762" t="s">
        <v>433</v>
      </c>
      <c r="Q762">
        <v>39300</v>
      </c>
      <c r="R762" t="s">
        <v>436</v>
      </c>
    </row>
    <row r="763" spans="1:18" x14ac:dyDescent="0.25">
      <c r="A763" t="s">
        <v>2073</v>
      </c>
      <c r="B763">
        <v>1272</v>
      </c>
      <c r="C763" t="s">
        <v>487</v>
      </c>
      <c r="D763" t="s">
        <v>256</v>
      </c>
      <c r="E763" t="s">
        <v>552</v>
      </c>
      <c r="F763" t="s">
        <v>1365</v>
      </c>
      <c r="G763" s="25">
        <v>44254</v>
      </c>
      <c r="H763">
        <v>12</v>
      </c>
      <c r="I763">
        <v>58</v>
      </c>
      <c r="J763" t="s">
        <v>432</v>
      </c>
      <c r="K763" t="s">
        <v>488</v>
      </c>
      <c r="L763" t="s">
        <v>433</v>
      </c>
      <c r="M763" t="s">
        <v>434</v>
      </c>
      <c r="N763" t="s">
        <v>74</v>
      </c>
      <c r="O763" t="s">
        <v>435</v>
      </c>
      <c r="P763" t="s">
        <v>433</v>
      </c>
      <c r="Q763">
        <v>42825</v>
      </c>
      <c r="R763" t="s">
        <v>436</v>
      </c>
    </row>
    <row r="764" spans="1:18" x14ac:dyDescent="0.25">
      <c r="A764" t="s">
        <v>2859</v>
      </c>
      <c r="B764">
        <v>1118</v>
      </c>
      <c r="C764" t="s">
        <v>487</v>
      </c>
      <c r="D764" t="s">
        <v>256</v>
      </c>
      <c r="E764" t="s">
        <v>515</v>
      </c>
      <c r="F764" t="s">
        <v>1329</v>
      </c>
      <c r="G764" s="25">
        <v>44247</v>
      </c>
      <c r="H764">
        <v>11</v>
      </c>
      <c r="I764">
        <v>51</v>
      </c>
      <c r="J764" t="s">
        <v>432</v>
      </c>
      <c r="K764" t="s">
        <v>488</v>
      </c>
      <c r="L764" t="s">
        <v>433</v>
      </c>
      <c r="M764" t="s">
        <v>434</v>
      </c>
      <c r="N764" t="s">
        <v>74</v>
      </c>
      <c r="O764" t="s">
        <v>435</v>
      </c>
      <c r="P764" t="s">
        <v>433</v>
      </c>
      <c r="Q764">
        <v>48000</v>
      </c>
      <c r="R764" t="s">
        <v>436</v>
      </c>
    </row>
    <row r="765" spans="1:18" x14ac:dyDescent="0.25">
      <c r="A765" t="s">
        <v>2492</v>
      </c>
      <c r="B765">
        <v>810</v>
      </c>
      <c r="C765" t="s">
        <v>487</v>
      </c>
      <c r="D765" t="s">
        <v>231</v>
      </c>
      <c r="E765" t="s">
        <v>534</v>
      </c>
      <c r="F765" t="s">
        <v>1731</v>
      </c>
      <c r="G765" s="25">
        <v>44233</v>
      </c>
      <c r="H765">
        <v>8</v>
      </c>
      <c r="I765">
        <v>37</v>
      </c>
      <c r="J765" t="s">
        <v>432</v>
      </c>
      <c r="K765" t="s">
        <v>488</v>
      </c>
      <c r="L765" t="s">
        <v>433</v>
      </c>
      <c r="M765" t="s">
        <v>434</v>
      </c>
      <c r="N765" t="s">
        <v>74</v>
      </c>
      <c r="O765" t="s">
        <v>435</v>
      </c>
      <c r="P765" t="s">
        <v>433</v>
      </c>
      <c r="Q765">
        <v>21600</v>
      </c>
      <c r="R765" t="s">
        <v>436</v>
      </c>
    </row>
    <row r="766" spans="1:18" x14ac:dyDescent="0.25">
      <c r="A766" t="s">
        <v>2758</v>
      </c>
      <c r="B766">
        <v>502</v>
      </c>
      <c r="C766" t="s">
        <v>487</v>
      </c>
      <c r="D766" t="s">
        <v>231</v>
      </c>
      <c r="E766" t="s">
        <v>256</v>
      </c>
      <c r="F766" t="s">
        <v>1064</v>
      </c>
      <c r="G766" s="25">
        <v>44219</v>
      </c>
      <c r="H766">
        <v>5</v>
      </c>
      <c r="I766">
        <v>23</v>
      </c>
      <c r="J766" t="s">
        <v>432</v>
      </c>
      <c r="K766" t="s">
        <v>488</v>
      </c>
      <c r="L766" t="s">
        <v>433</v>
      </c>
      <c r="M766" t="s">
        <v>434</v>
      </c>
      <c r="N766" t="s">
        <v>74</v>
      </c>
      <c r="O766" t="s">
        <v>435</v>
      </c>
      <c r="P766" t="s">
        <v>433</v>
      </c>
      <c r="Q766">
        <v>0</v>
      </c>
      <c r="R766" t="s">
        <v>436</v>
      </c>
    </row>
    <row r="767" spans="1:18" x14ac:dyDescent="0.25">
      <c r="A767" t="s">
        <v>596</v>
      </c>
      <c r="B767">
        <v>194</v>
      </c>
      <c r="C767" t="s">
        <v>487</v>
      </c>
      <c r="D767" t="s">
        <v>229</v>
      </c>
      <c r="E767" t="s">
        <v>371</v>
      </c>
      <c r="F767" t="s">
        <v>557</v>
      </c>
      <c r="G767" s="25">
        <v>44205</v>
      </c>
      <c r="H767">
        <v>2</v>
      </c>
      <c r="I767">
        <v>9</v>
      </c>
      <c r="J767" t="s">
        <v>432</v>
      </c>
      <c r="K767" t="s">
        <v>488</v>
      </c>
      <c r="L767" t="s">
        <v>433</v>
      </c>
      <c r="M767" t="s">
        <v>434</v>
      </c>
      <c r="N767" t="s">
        <v>74</v>
      </c>
      <c r="O767" t="s">
        <v>435</v>
      </c>
      <c r="P767" t="s">
        <v>433</v>
      </c>
      <c r="Q767">
        <v>7200</v>
      </c>
      <c r="R767" t="s">
        <v>436</v>
      </c>
    </row>
    <row r="768" spans="1:18" x14ac:dyDescent="0.25">
      <c r="A768" t="s">
        <v>1909</v>
      </c>
      <c r="B768">
        <v>630</v>
      </c>
      <c r="C768" t="s">
        <v>487</v>
      </c>
      <c r="D768" t="s">
        <v>231</v>
      </c>
      <c r="E768" t="s">
        <v>371</v>
      </c>
      <c r="F768" t="s">
        <v>1124</v>
      </c>
      <c r="G768" s="25">
        <v>44225</v>
      </c>
      <c r="H768">
        <v>6</v>
      </c>
      <c r="I768">
        <v>29</v>
      </c>
      <c r="J768" t="s">
        <v>432</v>
      </c>
      <c r="K768" t="s">
        <v>489</v>
      </c>
      <c r="L768" t="s">
        <v>134</v>
      </c>
      <c r="M768" t="s">
        <v>434</v>
      </c>
      <c r="N768" t="s">
        <v>67</v>
      </c>
      <c r="O768" t="s">
        <v>235</v>
      </c>
      <c r="P768" t="s">
        <v>437</v>
      </c>
      <c r="Q768">
        <v>264000</v>
      </c>
      <c r="R768" t="s">
        <v>237</v>
      </c>
    </row>
    <row r="769" spans="1:18" x14ac:dyDescent="0.25">
      <c r="A769" t="s">
        <v>821</v>
      </c>
      <c r="B769">
        <v>278</v>
      </c>
      <c r="C769" t="s">
        <v>487</v>
      </c>
      <c r="D769" t="s">
        <v>229</v>
      </c>
      <c r="E769" t="s">
        <v>512</v>
      </c>
      <c r="F769" t="s">
        <v>513</v>
      </c>
      <c r="G769" s="25">
        <v>44209</v>
      </c>
      <c r="H769">
        <v>3</v>
      </c>
      <c r="I769">
        <v>13</v>
      </c>
      <c r="J769" t="s">
        <v>432</v>
      </c>
      <c r="K769" t="s">
        <v>489</v>
      </c>
      <c r="L769" t="s">
        <v>134</v>
      </c>
      <c r="M769" t="s">
        <v>434</v>
      </c>
      <c r="N769" t="s">
        <v>67</v>
      </c>
      <c r="O769" t="s">
        <v>235</v>
      </c>
      <c r="P769" t="s">
        <v>437</v>
      </c>
      <c r="Q769">
        <v>24000</v>
      </c>
      <c r="R769" t="s">
        <v>237</v>
      </c>
    </row>
    <row r="770" spans="1:18" x14ac:dyDescent="0.25">
      <c r="A770" t="s">
        <v>3436</v>
      </c>
      <c r="B770">
        <v>2401</v>
      </c>
      <c r="C770" t="s">
        <v>487</v>
      </c>
      <c r="D770" t="s">
        <v>247</v>
      </c>
      <c r="E770" t="s">
        <v>239</v>
      </c>
      <c r="F770" t="s">
        <v>3118</v>
      </c>
      <c r="G770" s="25">
        <v>44306</v>
      </c>
      <c r="H770">
        <v>22</v>
      </c>
      <c r="I770">
        <v>110</v>
      </c>
      <c r="J770" t="s">
        <v>231</v>
      </c>
      <c r="K770" t="s">
        <v>509</v>
      </c>
      <c r="L770" t="s">
        <v>45</v>
      </c>
      <c r="M770" t="s">
        <v>234</v>
      </c>
      <c r="N770" t="s">
        <v>44</v>
      </c>
      <c r="O770" t="s">
        <v>21</v>
      </c>
      <c r="P770" t="s">
        <v>304</v>
      </c>
      <c r="Q770">
        <v>19659</v>
      </c>
      <c r="R770" t="s">
        <v>237</v>
      </c>
    </row>
    <row r="771" spans="1:18" x14ac:dyDescent="0.25">
      <c r="A771" t="s">
        <v>2648</v>
      </c>
      <c r="B771">
        <v>1544</v>
      </c>
      <c r="C771" t="s">
        <v>487</v>
      </c>
      <c r="D771" t="s">
        <v>261</v>
      </c>
      <c r="E771" t="s">
        <v>515</v>
      </c>
      <c r="F771" t="s">
        <v>1493</v>
      </c>
      <c r="G771" s="25">
        <v>44267</v>
      </c>
      <c r="H771">
        <v>15</v>
      </c>
      <c r="I771">
        <v>71</v>
      </c>
      <c r="J771" t="s">
        <v>231</v>
      </c>
      <c r="K771" t="s">
        <v>508</v>
      </c>
      <c r="L771" t="s">
        <v>47</v>
      </c>
      <c r="M771" t="s">
        <v>234</v>
      </c>
      <c r="N771" t="s">
        <v>46</v>
      </c>
      <c r="O771" t="s">
        <v>21</v>
      </c>
      <c r="P771" t="s">
        <v>288</v>
      </c>
      <c r="Q771">
        <v>1171</v>
      </c>
      <c r="R771" t="s">
        <v>237</v>
      </c>
    </row>
    <row r="772" spans="1:18" x14ac:dyDescent="0.25">
      <c r="A772" t="s">
        <v>1915</v>
      </c>
      <c r="B772">
        <v>1170</v>
      </c>
      <c r="C772" t="s">
        <v>487</v>
      </c>
      <c r="D772" t="s">
        <v>256</v>
      </c>
      <c r="E772" t="s">
        <v>537</v>
      </c>
      <c r="F772" t="s">
        <v>1348</v>
      </c>
      <c r="G772" s="25">
        <v>44250</v>
      </c>
      <c r="H772">
        <v>11</v>
      </c>
      <c r="I772">
        <v>54</v>
      </c>
      <c r="J772" t="s">
        <v>231</v>
      </c>
      <c r="K772" t="s">
        <v>508</v>
      </c>
      <c r="L772" t="s">
        <v>47</v>
      </c>
      <c r="M772" t="s">
        <v>234</v>
      </c>
      <c r="N772" t="s">
        <v>46</v>
      </c>
      <c r="O772" t="s">
        <v>21</v>
      </c>
      <c r="P772" t="s">
        <v>288</v>
      </c>
      <c r="Q772">
        <v>0</v>
      </c>
      <c r="R772" t="s">
        <v>237</v>
      </c>
    </row>
    <row r="773" spans="1:18" x14ac:dyDescent="0.25">
      <c r="A773" t="s">
        <v>611</v>
      </c>
      <c r="B773">
        <v>202</v>
      </c>
      <c r="C773" t="s">
        <v>487</v>
      </c>
      <c r="D773" t="s">
        <v>229</v>
      </c>
      <c r="E773" t="s">
        <v>239</v>
      </c>
      <c r="F773" t="s">
        <v>578</v>
      </c>
      <c r="G773" s="25">
        <v>44206</v>
      </c>
      <c r="H773">
        <v>2</v>
      </c>
      <c r="I773">
        <v>10</v>
      </c>
      <c r="J773" t="s">
        <v>231</v>
      </c>
      <c r="K773" t="s">
        <v>508</v>
      </c>
      <c r="L773" t="s">
        <v>47</v>
      </c>
      <c r="M773" t="s">
        <v>234</v>
      </c>
      <c r="N773" t="s">
        <v>46</v>
      </c>
      <c r="O773" t="s">
        <v>21</v>
      </c>
      <c r="P773" t="s">
        <v>288</v>
      </c>
      <c r="Q773">
        <v>16000</v>
      </c>
      <c r="R773" t="s">
        <v>237</v>
      </c>
    </row>
    <row r="774" spans="1:18" x14ac:dyDescent="0.25">
      <c r="A774" t="s">
        <v>3437</v>
      </c>
      <c r="B774">
        <v>2072</v>
      </c>
      <c r="C774" t="s">
        <v>487</v>
      </c>
      <c r="D774" t="s">
        <v>322</v>
      </c>
      <c r="E774" t="s">
        <v>575</v>
      </c>
      <c r="F774" t="s">
        <v>3014</v>
      </c>
      <c r="G774" s="25">
        <v>44291</v>
      </c>
      <c r="H774">
        <v>19</v>
      </c>
      <c r="I774">
        <v>95</v>
      </c>
      <c r="J774" t="s">
        <v>231</v>
      </c>
      <c r="K774" t="s">
        <v>508</v>
      </c>
      <c r="L774" t="s">
        <v>47</v>
      </c>
      <c r="M774" t="s">
        <v>234</v>
      </c>
      <c r="N774" t="s">
        <v>46</v>
      </c>
      <c r="O774" t="s">
        <v>21</v>
      </c>
      <c r="P774" t="s">
        <v>288</v>
      </c>
      <c r="Q774">
        <v>0</v>
      </c>
      <c r="R774" t="s">
        <v>237</v>
      </c>
    </row>
    <row r="775" spans="1:18" x14ac:dyDescent="0.25">
      <c r="A775" t="s">
        <v>2438</v>
      </c>
      <c r="B775">
        <v>1698</v>
      </c>
      <c r="C775" t="s">
        <v>487</v>
      </c>
      <c r="D775" t="s">
        <v>261</v>
      </c>
      <c r="E775" t="s">
        <v>552</v>
      </c>
      <c r="F775" t="s">
        <v>1585</v>
      </c>
      <c r="G775" s="25">
        <v>44274</v>
      </c>
      <c r="H775">
        <v>16</v>
      </c>
      <c r="I775">
        <v>78</v>
      </c>
      <c r="J775" t="s">
        <v>231</v>
      </c>
      <c r="K775" t="s">
        <v>508</v>
      </c>
      <c r="L775" t="s">
        <v>47</v>
      </c>
      <c r="M775" t="s">
        <v>234</v>
      </c>
      <c r="N775" t="s">
        <v>46</v>
      </c>
      <c r="O775" t="s">
        <v>21</v>
      </c>
      <c r="P775" t="s">
        <v>288</v>
      </c>
      <c r="Q775">
        <v>27556</v>
      </c>
      <c r="R775" t="s">
        <v>237</v>
      </c>
    </row>
    <row r="776" spans="1:18" x14ac:dyDescent="0.25">
      <c r="A776" t="s">
        <v>2545</v>
      </c>
      <c r="B776">
        <v>578</v>
      </c>
      <c r="C776" t="s">
        <v>487</v>
      </c>
      <c r="D776" t="s">
        <v>231</v>
      </c>
      <c r="E776" t="s">
        <v>326</v>
      </c>
      <c r="F776" t="s">
        <v>1095</v>
      </c>
      <c r="G776" s="25">
        <v>44223</v>
      </c>
      <c r="H776">
        <v>6</v>
      </c>
      <c r="I776">
        <v>27</v>
      </c>
      <c r="J776" t="s">
        <v>231</v>
      </c>
      <c r="K776" t="s">
        <v>506</v>
      </c>
      <c r="L776" t="s">
        <v>414</v>
      </c>
      <c r="M776" t="s">
        <v>234</v>
      </c>
      <c r="N776" t="s">
        <v>50</v>
      </c>
      <c r="O776" t="s">
        <v>21</v>
      </c>
      <c r="P776" t="s">
        <v>411</v>
      </c>
      <c r="Q776">
        <v>0</v>
      </c>
      <c r="R776" t="s">
        <v>237</v>
      </c>
    </row>
    <row r="777" spans="1:18" x14ac:dyDescent="0.25">
      <c r="A777" t="s">
        <v>729</v>
      </c>
      <c r="B777">
        <v>226</v>
      </c>
      <c r="C777" t="s">
        <v>487</v>
      </c>
      <c r="D777" t="s">
        <v>229</v>
      </c>
      <c r="E777" t="s">
        <v>515</v>
      </c>
      <c r="F777" t="s">
        <v>516</v>
      </c>
      <c r="G777" s="25">
        <v>44207</v>
      </c>
      <c r="H777">
        <v>3</v>
      </c>
      <c r="I777">
        <v>11</v>
      </c>
      <c r="J777" t="s">
        <v>231</v>
      </c>
      <c r="K777" t="s">
        <v>506</v>
      </c>
      <c r="L777" t="s">
        <v>414</v>
      </c>
      <c r="M777" t="s">
        <v>234</v>
      </c>
      <c r="N777" t="s">
        <v>50</v>
      </c>
      <c r="O777" t="s">
        <v>21</v>
      </c>
      <c r="P777" t="s">
        <v>411</v>
      </c>
      <c r="Q777">
        <v>0</v>
      </c>
      <c r="R777" t="s">
        <v>237</v>
      </c>
    </row>
    <row r="778" spans="1:18" x14ac:dyDescent="0.25">
      <c r="A778" t="s">
        <v>3438</v>
      </c>
      <c r="B778">
        <v>2096</v>
      </c>
      <c r="C778" t="s">
        <v>487</v>
      </c>
      <c r="D778" t="s">
        <v>322</v>
      </c>
      <c r="E778" t="s">
        <v>620</v>
      </c>
      <c r="F778" t="s">
        <v>3025</v>
      </c>
      <c r="G778" s="25">
        <v>44292</v>
      </c>
      <c r="H778">
        <v>20</v>
      </c>
      <c r="I778">
        <v>96</v>
      </c>
      <c r="J778" t="s">
        <v>231</v>
      </c>
      <c r="K778" t="s">
        <v>506</v>
      </c>
      <c r="L778" t="s">
        <v>414</v>
      </c>
      <c r="M778" t="s">
        <v>234</v>
      </c>
      <c r="N778" t="s">
        <v>50</v>
      </c>
      <c r="O778" t="s">
        <v>21</v>
      </c>
      <c r="P778" t="s">
        <v>411</v>
      </c>
      <c r="Q778">
        <v>0</v>
      </c>
      <c r="R778" t="s">
        <v>237</v>
      </c>
    </row>
    <row r="779" spans="1:18" x14ac:dyDescent="0.25">
      <c r="A779" t="s">
        <v>3439</v>
      </c>
      <c r="B779">
        <v>1788</v>
      </c>
      <c r="C779" t="s">
        <v>487</v>
      </c>
      <c r="D779" t="s">
        <v>322</v>
      </c>
      <c r="E779" t="s">
        <v>231</v>
      </c>
      <c r="F779" t="s">
        <v>2945</v>
      </c>
      <c r="G779" s="25">
        <v>44278</v>
      </c>
      <c r="H779">
        <v>17</v>
      </c>
      <c r="I779">
        <v>82</v>
      </c>
      <c r="J779" t="s">
        <v>231</v>
      </c>
      <c r="K779" t="s">
        <v>506</v>
      </c>
      <c r="L779" t="s">
        <v>414</v>
      </c>
      <c r="M779" t="s">
        <v>234</v>
      </c>
      <c r="N779" t="s">
        <v>50</v>
      </c>
      <c r="O779" t="s">
        <v>21</v>
      </c>
      <c r="P779" t="s">
        <v>411</v>
      </c>
      <c r="Q779">
        <v>0</v>
      </c>
      <c r="R779" t="s">
        <v>237</v>
      </c>
    </row>
    <row r="780" spans="1:18" x14ac:dyDescent="0.25">
      <c r="A780" t="s">
        <v>1811</v>
      </c>
      <c r="B780">
        <v>1480</v>
      </c>
      <c r="C780" t="s">
        <v>487</v>
      </c>
      <c r="D780" t="s">
        <v>261</v>
      </c>
      <c r="E780" t="s">
        <v>381</v>
      </c>
      <c r="F780" t="s">
        <v>1458</v>
      </c>
      <c r="G780" s="25">
        <v>44264</v>
      </c>
      <c r="H780">
        <v>14</v>
      </c>
      <c r="I780">
        <v>68</v>
      </c>
      <c r="J780" t="s">
        <v>231</v>
      </c>
      <c r="K780" t="s">
        <v>506</v>
      </c>
      <c r="L780" t="s">
        <v>414</v>
      </c>
      <c r="M780" t="s">
        <v>234</v>
      </c>
      <c r="N780" t="s">
        <v>50</v>
      </c>
      <c r="O780" t="s">
        <v>21</v>
      </c>
      <c r="P780" t="s">
        <v>411</v>
      </c>
      <c r="Q780">
        <v>0</v>
      </c>
      <c r="R780" t="s">
        <v>237</v>
      </c>
    </row>
    <row r="781" spans="1:18" x14ac:dyDescent="0.25">
      <c r="A781" t="s">
        <v>1983</v>
      </c>
      <c r="B781">
        <v>952</v>
      </c>
      <c r="C781" t="s">
        <v>487</v>
      </c>
      <c r="D781" t="s">
        <v>256</v>
      </c>
      <c r="E781" t="s">
        <v>261</v>
      </c>
      <c r="F781" t="s">
        <v>1276</v>
      </c>
      <c r="G781" s="25">
        <v>44240</v>
      </c>
      <c r="H781">
        <v>9</v>
      </c>
      <c r="I781">
        <v>44</v>
      </c>
      <c r="J781" t="s">
        <v>231</v>
      </c>
      <c r="K781" t="s">
        <v>506</v>
      </c>
      <c r="L781" t="s">
        <v>414</v>
      </c>
      <c r="M781" t="s">
        <v>234</v>
      </c>
      <c r="N781" t="s">
        <v>50</v>
      </c>
      <c r="O781" t="s">
        <v>21</v>
      </c>
      <c r="P781" t="s">
        <v>411</v>
      </c>
      <c r="Q781">
        <v>0</v>
      </c>
      <c r="R781" t="s">
        <v>237</v>
      </c>
    </row>
    <row r="782" spans="1:18" x14ac:dyDescent="0.25">
      <c r="A782" t="s">
        <v>3440</v>
      </c>
      <c r="B782">
        <v>2267</v>
      </c>
      <c r="C782" t="s">
        <v>487</v>
      </c>
      <c r="D782" t="s">
        <v>247</v>
      </c>
      <c r="E782" t="s">
        <v>261</v>
      </c>
      <c r="F782" t="s">
        <v>3078</v>
      </c>
      <c r="G782" s="25">
        <v>44300</v>
      </c>
      <c r="H782">
        <v>21</v>
      </c>
      <c r="I782">
        <v>104</v>
      </c>
      <c r="J782" t="s">
        <v>231</v>
      </c>
      <c r="K782" t="s">
        <v>505</v>
      </c>
      <c r="L782" t="s">
        <v>41</v>
      </c>
      <c r="M782" t="s">
        <v>234</v>
      </c>
      <c r="N782" t="s">
        <v>40</v>
      </c>
      <c r="O782" t="s">
        <v>21</v>
      </c>
      <c r="P782" t="s">
        <v>266</v>
      </c>
      <c r="Q782">
        <v>9625</v>
      </c>
      <c r="R782" t="s">
        <v>237</v>
      </c>
    </row>
    <row r="783" spans="1:18" x14ac:dyDescent="0.25">
      <c r="A783" t="s">
        <v>2650</v>
      </c>
      <c r="B783">
        <v>1695</v>
      </c>
      <c r="C783" t="s">
        <v>487</v>
      </c>
      <c r="D783" t="s">
        <v>261</v>
      </c>
      <c r="E783" t="s">
        <v>552</v>
      </c>
      <c r="F783" t="s">
        <v>1585</v>
      </c>
      <c r="G783" s="25">
        <v>44274</v>
      </c>
      <c r="H783">
        <v>16</v>
      </c>
      <c r="I783">
        <v>78</v>
      </c>
      <c r="J783" t="s">
        <v>231</v>
      </c>
      <c r="K783" t="s">
        <v>505</v>
      </c>
      <c r="L783" t="s">
        <v>41</v>
      </c>
      <c r="M783" t="s">
        <v>234</v>
      </c>
      <c r="N783" t="s">
        <v>40</v>
      </c>
      <c r="O783" t="s">
        <v>21</v>
      </c>
      <c r="P783" t="s">
        <v>266</v>
      </c>
      <c r="Q783">
        <v>34434</v>
      </c>
      <c r="R783" t="s">
        <v>237</v>
      </c>
    </row>
    <row r="784" spans="1:18" x14ac:dyDescent="0.25">
      <c r="A784" t="s">
        <v>2656</v>
      </c>
      <c r="B784">
        <v>903</v>
      </c>
      <c r="C784" t="s">
        <v>487</v>
      </c>
      <c r="D784" t="s">
        <v>256</v>
      </c>
      <c r="E784" t="s">
        <v>231</v>
      </c>
      <c r="F784" t="s">
        <v>1249</v>
      </c>
      <c r="G784" s="25">
        <v>44238</v>
      </c>
      <c r="H784">
        <v>9</v>
      </c>
      <c r="I784">
        <v>42</v>
      </c>
      <c r="J784" t="s">
        <v>231</v>
      </c>
      <c r="K784" t="s">
        <v>505</v>
      </c>
      <c r="L784" t="s">
        <v>41</v>
      </c>
      <c r="M784" t="s">
        <v>234</v>
      </c>
      <c r="N784" t="s">
        <v>40</v>
      </c>
      <c r="O784" t="s">
        <v>21</v>
      </c>
      <c r="P784" t="s">
        <v>266</v>
      </c>
      <c r="Q784">
        <v>0</v>
      </c>
      <c r="R784" t="s">
        <v>237</v>
      </c>
    </row>
    <row r="785" spans="1:18" x14ac:dyDescent="0.25">
      <c r="A785" t="s">
        <v>626</v>
      </c>
      <c r="B785">
        <v>156</v>
      </c>
      <c r="C785" t="s">
        <v>487</v>
      </c>
      <c r="D785" t="s">
        <v>229</v>
      </c>
      <c r="E785" t="s">
        <v>381</v>
      </c>
      <c r="F785" t="s">
        <v>518</v>
      </c>
      <c r="G785" s="25">
        <v>44204</v>
      </c>
      <c r="H785">
        <v>2</v>
      </c>
      <c r="I785">
        <v>8</v>
      </c>
      <c r="J785" t="s">
        <v>231</v>
      </c>
      <c r="K785" t="s">
        <v>504</v>
      </c>
      <c r="L785" t="s">
        <v>43</v>
      </c>
      <c r="M785" t="s">
        <v>234</v>
      </c>
      <c r="N785" t="s">
        <v>42</v>
      </c>
      <c r="O785" t="s">
        <v>21</v>
      </c>
      <c r="P785" t="s">
        <v>236</v>
      </c>
      <c r="Q785">
        <v>1009</v>
      </c>
      <c r="R785" t="s">
        <v>237</v>
      </c>
    </row>
    <row r="786" spans="1:18" x14ac:dyDescent="0.25">
      <c r="A786" t="s">
        <v>335</v>
      </c>
      <c r="B786">
        <v>2</v>
      </c>
      <c r="C786" t="s">
        <v>487</v>
      </c>
      <c r="D786" t="s">
        <v>229</v>
      </c>
      <c r="E786" t="s">
        <v>229</v>
      </c>
      <c r="F786" t="s">
        <v>230</v>
      </c>
      <c r="G786" s="25">
        <v>44197</v>
      </c>
      <c r="H786">
        <v>1</v>
      </c>
      <c r="I786">
        <v>1</v>
      </c>
      <c r="J786" t="s">
        <v>231</v>
      </c>
      <c r="K786" t="s">
        <v>504</v>
      </c>
      <c r="L786" t="s">
        <v>43</v>
      </c>
      <c r="M786" t="s">
        <v>234</v>
      </c>
      <c r="N786" t="s">
        <v>42</v>
      </c>
      <c r="O786" t="s">
        <v>21</v>
      </c>
      <c r="P786" t="s">
        <v>236</v>
      </c>
      <c r="Q786">
        <v>0</v>
      </c>
      <c r="R786" t="s">
        <v>237</v>
      </c>
    </row>
    <row r="787" spans="1:18" x14ac:dyDescent="0.25">
      <c r="A787" t="s">
        <v>3441</v>
      </c>
      <c r="B787">
        <v>1791</v>
      </c>
      <c r="C787" t="s">
        <v>487</v>
      </c>
      <c r="D787" t="s">
        <v>322</v>
      </c>
      <c r="E787" t="s">
        <v>231</v>
      </c>
      <c r="F787" t="s">
        <v>2945</v>
      </c>
      <c r="G787" s="25">
        <v>44278</v>
      </c>
      <c r="H787">
        <v>17</v>
      </c>
      <c r="I787">
        <v>82</v>
      </c>
      <c r="J787" t="s">
        <v>231</v>
      </c>
      <c r="K787" t="s">
        <v>503</v>
      </c>
      <c r="L787" t="s">
        <v>303</v>
      </c>
      <c r="M787" t="s">
        <v>234</v>
      </c>
      <c r="N787" t="s">
        <v>56</v>
      </c>
      <c r="O787" t="s">
        <v>235</v>
      </c>
      <c r="P787" t="s">
        <v>304</v>
      </c>
      <c r="Q787">
        <v>24000</v>
      </c>
      <c r="R787" t="s">
        <v>237</v>
      </c>
    </row>
    <row r="788" spans="1:18" x14ac:dyDescent="0.25">
      <c r="A788" t="s">
        <v>2098</v>
      </c>
      <c r="B788">
        <v>1483</v>
      </c>
      <c r="C788" t="s">
        <v>487</v>
      </c>
      <c r="D788" t="s">
        <v>261</v>
      </c>
      <c r="E788" t="s">
        <v>381</v>
      </c>
      <c r="F788" t="s">
        <v>1458</v>
      </c>
      <c r="G788" s="25">
        <v>44264</v>
      </c>
      <c r="H788">
        <v>14</v>
      </c>
      <c r="I788">
        <v>68</v>
      </c>
      <c r="J788" t="s">
        <v>231</v>
      </c>
      <c r="K788" t="s">
        <v>503</v>
      </c>
      <c r="L788" t="s">
        <v>303</v>
      </c>
      <c r="M788" t="s">
        <v>234</v>
      </c>
      <c r="N788" t="s">
        <v>56</v>
      </c>
      <c r="O788" t="s">
        <v>235</v>
      </c>
      <c r="P788" t="s">
        <v>304</v>
      </c>
      <c r="Q788">
        <v>0</v>
      </c>
      <c r="R788" t="s">
        <v>237</v>
      </c>
    </row>
    <row r="789" spans="1:18" x14ac:dyDescent="0.25">
      <c r="A789" t="s">
        <v>2882</v>
      </c>
      <c r="B789">
        <v>955</v>
      </c>
      <c r="C789" t="s">
        <v>487</v>
      </c>
      <c r="D789" t="s">
        <v>256</v>
      </c>
      <c r="E789" t="s">
        <v>261</v>
      </c>
      <c r="F789" t="s">
        <v>1276</v>
      </c>
      <c r="G789" s="25">
        <v>44240</v>
      </c>
      <c r="H789">
        <v>9</v>
      </c>
      <c r="I789">
        <v>44</v>
      </c>
      <c r="J789" t="s">
        <v>231</v>
      </c>
      <c r="K789" t="s">
        <v>503</v>
      </c>
      <c r="L789" t="s">
        <v>303</v>
      </c>
      <c r="M789" t="s">
        <v>234</v>
      </c>
      <c r="N789" t="s">
        <v>56</v>
      </c>
      <c r="O789" t="s">
        <v>235</v>
      </c>
      <c r="P789" t="s">
        <v>304</v>
      </c>
      <c r="Q789">
        <v>0</v>
      </c>
      <c r="R789" t="s">
        <v>237</v>
      </c>
    </row>
    <row r="790" spans="1:18" x14ac:dyDescent="0.25">
      <c r="A790" t="s">
        <v>2165</v>
      </c>
      <c r="B790">
        <v>581</v>
      </c>
      <c r="C790" t="s">
        <v>487</v>
      </c>
      <c r="D790" t="s">
        <v>231</v>
      </c>
      <c r="E790" t="s">
        <v>326</v>
      </c>
      <c r="F790" t="s">
        <v>1095</v>
      </c>
      <c r="G790" s="25">
        <v>44223</v>
      </c>
      <c r="H790">
        <v>6</v>
      </c>
      <c r="I790">
        <v>27</v>
      </c>
      <c r="J790" t="s">
        <v>231</v>
      </c>
      <c r="K790" t="s">
        <v>503</v>
      </c>
      <c r="L790" t="s">
        <v>303</v>
      </c>
      <c r="M790" t="s">
        <v>234</v>
      </c>
      <c r="N790" t="s">
        <v>56</v>
      </c>
      <c r="O790" t="s">
        <v>235</v>
      </c>
      <c r="P790" t="s">
        <v>304</v>
      </c>
      <c r="Q790">
        <v>0</v>
      </c>
      <c r="R790" t="s">
        <v>237</v>
      </c>
    </row>
    <row r="791" spans="1:18" x14ac:dyDescent="0.25">
      <c r="A791" t="s">
        <v>737</v>
      </c>
      <c r="B791">
        <v>229</v>
      </c>
      <c r="C791" t="s">
        <v>487</v>
      </c>
      <c r="D791" t="s">
        <v>229</v>
      </c>
      <c r="E791" t="s">
        <v>515</v>
      </c>
      <c r="F791" t="s">
        <v>516</v>
      </c>
      <c r="G791" s="25">
        <v>44207</v>
      </c>
      <c r="H791">
        <v>3</v>
      </c>
      <c r="I791">
        <v>11</v>
      </c>
      <c r="J791" t="s">
        <v>231</v>
      </c>
      <c r="K791" t="s">
        <v>503</v>
      </c>
      <c r="L791" t="s">
        <v>303</v>
      </c>
      <c r="M791" t="s">
        <v>234</v>
      </c>
      <c r="N791" t="s">
        <v>56</v>
      </c>
      <c r="O791" t="s">
        <v>235</v>
      </c>
      <c r="P791" t="s">
        <v>304</v>
      </c>
      <c r="Q791">
        <v>0</v>
      </c>
      <c r="R791" t="s">
        <v>237</v>
      </c>
    </row>
    <row r="792" spans="1:18" x14ac:dyDescent="0.25">
      <c r="A792" t="s">
        <v>3442</v>
      </c>
      <c r="B792">
        <v>2099</v>
      </c>
      <c r="C792" t="s">
        <v>487</v>
      </c>
      <c r="D792" t="s">
        <v>322</v>
      </c>
      <c r="E792" t="s">
        <v>620</v>
      </c>
      <c r="F792" t="s">
        <v>3025</v>
      </c>
      <c r="G792" s="25">
        <v>44292</v>
      </c>
      <c r="H792">
        <v>20</v>
      </c>
      <c r="I792">
        <v>96</v>
      </c>
      <c r="J792" t="s">
        <v>231</v>
      </c>
      <c r="K792" t="s">
        <v>503</v>
      </c>
      <c r="L792" t="s">
        <v>303</v>
      </c>
      <c r="M792" t="s">
        <v>234</v>
      </c>
      <c r="N792" t="s">
        <v>56</v>
      </c>
      <c r="O792" t="s">
        <v>235</v>
      </c>
      <c r="P792" t="s">
        <v>304</v>
      </c>
      <c r="Q792">
        <v>0</v>
      </c>
      <c r="R792" t="s">
        <v>237</v>
      </c>
    </row>
    <row r="793" spans="1:18" x14ac:dyDescent="0.25">
      <c r="A793" t="s">
        <v>1930</v>
      </c>
      <c r="B793">
        <v>1594</v>
      </c>
      <c r="C793" t="s">
        <v>487</v>
      </c>
      <c r="D793" t="s">
        <v>261</v>
      </c>
      <c r="E793" t="s">
        <v>512</v>
      </c>
      <c r="F793" t="s">
        <v>1518</v>
      </c>
      <c r="G793" s="25">
        <v>44269</v>
      </c>
      <c r="H793">
        <v>15</v>
      </c>
      <c r="I793">
        <v>73</v>
      </c>
      <c r="J793" t="s">
        <v>231</v>
      </c>
      <c r="K793" t="s">
        <v>502</v>
      </c>
      <c r="L793" t="s">
        <v>287</v>
      </c>
      <c r="M793" t="s">
        <v>234</v>
      </c>
      <c r="N793" t="s">
        <v>58</v>
      </c>
      <c r="O793" t="s">
        <v>235</v>
      </c>
      <c r="P793" t="s">
        <v>288</v>
      </c>
      <c r="Q793">
        <v>0</v>
      </c>
      <c r="R793" t="s">
        <v>237</v>
      </c>
    </row>
    <row r="794" spans="1:18" x14ac:dyDescent="0.25">
      <c r="A794" t="s">
        <v>2883</v>
      </c>
      <c r="B794">
        <v>1506</v>
      </c>
      <c r="C794" t="s">
        <v>487</v>
      </c>
      <c r="D794" t="s">
        <v>261</v>
      </c>
      <c r="E794" t="s">
        <v>371</v>
      </c>
      <c r="F794" t="s">
        <v>1478</v>
      </c>
      <c r="G794" s="25">
        <v>44265</v>
      </c>
      <c r="H794">
        <v>14</v>
      </c>
      <c r="I794">
        <v>69</v>
      </c>
      <c r="J794" t="s">
        <v>231</v>
      </c>
      <c r="K794" t="s">
        <v>502</v>
      </c>
      <c r="L794" t="s">
        <v>287</v>
      </c>
      <c r="M794" t="s">
        <v>234</v>
      </c>
      <c r="N794" t="s">
        <v>58</v>
      </c>
      <c r="O794" t="s">
        <v>235</v>
      </c>
      <c r="P794" t="s">
        <v>288</v>
      </c>
      <c r="Q794">
        <v>0</v>
      </c>
      <c r="R794" t="s">
        <v>237</v>
      </c>
    </row>
    <row r="795" spans="1:18" x14ac:dyDescent="0.25">
      <c r="A795" t="s">
        <v>1776</v>
      </c>
      <c r="B795">
        <v>758</v>
      </c>
      <c r="C795" t="s">
        <v>487</v>
      </c>
      <c r="D795" t="s">
        <v>231</v>
      </c>
      <c r="E795" t="s">
        <v>575</v>
      </c>
      <c r="F795" t="s">
        <v>1210</v>
      </c>
      <c r="G795" s="25">
        <v>44231</v>
      </c>
      <c r="H795">
        <v>7</v>
      </c>
      <c r="I795">
        <v>35</v>
      </c>
      <c r="J795" t="s">
        <v>231</v>
      </c>
      <c r="K795" t="s">
        <v>502</v>
      </c>
      <c r="L795" t="s">
        <v>287</v>
      </c>
      <c r="M795" t="s">
        <v>234</v>
      </c>
      <c r="N795" t="s">
        <v>58</v>
      </c>
      <c r="O795" t="s">
        <v>235</v>
      </c>
      <c r="P795" t="s">
        <v>288</v>
      </c>
      <c r="Q795">
        <v>0</v>
      </c>
      <c r="R795" t="s">
        <v>237</v>
      </c>
    </row>
    <row r="796" spans="1:18" x14ac:dyDescent="0.25">
      <c r="A796" t="s">
        <v>753</v>
      </c>
      <c r="B796">
        <v>384</v>
      </c>
      <c r="C796" t="s">
        <v>487</v>
      </c>
      <c r="D796" t="s">
        <v>229</v>
      </c>
      <c r="E796" t="s">
        <v>552</v>
      </c>
      <c r="F796" t="s">
        <v>553</v>
      </c>
      <c r="G796" s="25">
        <v>44214</v>
      </c>
      <c r="H796">
        <v>4</v>
      </c>
      <c r="I796">
        <v>18</v>
      </c>
      <c r="J796" t="s">
        <v>231</v>
      </c>
      <c r="K796" t="s">
        <v>502</v>
      </c>
      <c r="L796" t="s">
        <v>287</v>
      </c>
      <c r="M796" t="s">
        <v>234</v>
      </c>
      <c r="N796" t="s">
        <v>58</v>
      </c>
      <c r="O796" t="s">
        <v>235</v>
      </c>
      <c r="P796" t="s">
        <v>288</v>
      </c>
      <c r="Q796">
        <v>0</v>
      </c>
      <c r="R796" t="s">
        <v>237</v>
      </c>
    </row>
    <row r="797" spans="1:18" x14ac:dyDescent="0.25">
      <c r="A797" t="s">
        <v>3443</v>
      </c>
      <c r="B797">
        <v>2562</v>
      </c>
      <c r="C797" t="s">
        <v>487</v>
      </c>
      <c r="D797" t="s">
        <v>247</v>
      </c>
      <c r="E797" t="s">
        <v>534</v>
      </c>
      <c r="F797" t="s">
        <v>3166</v>
      </c>
      <c r="G797" s="25">
        <v>44313</v>
      </c>
      <c r="H797">
        <v>24</v>
      </c>
      <c r="I797">
        <v>117</v>
      </c>
      <c r="J797" t="s">
        <v>231</v>
      </c>
      <c r="K797" t="s">
        <v>502</v>
      </c>
      <c r="L797" t="s">
        <v>287</v>
      </c>
      <c r="M797" t="s">
        <v>234</v>
      </c>
      <c r="N797" t="s">
        <v>58</v>
      </c>
      <c r="O797" t="s">
        <v>235</v>
      </c>
      <c r="P797" t="s">
        <v>288</v>
      </c>
      <c r="Q797">
        <v>0</v>
      </c>
      <c r="R797" t="s">
        <v>237</v>
      </c>
    </row>
    <row r="798" spans="1:18" x14ac:dyDescent="0.25">
      <c r="A798" t="s">
        <v>2354</v>
      </c>
      <c r="B798">
        <v>579</v>
      </c>
      <c r="C798" t="s">
        <v>487</v>
      </c>
      <c r="D798" t="s">
        <v>231</v>
      </c>
      <c r="E798" t="s">
        <v>326</v>
      </c>
      <c r="F798" t="s">
        <v>1095</v>
      </c>
      <c r="G798" s="25">
        <v>44223</v>
      </c>
      <c r="H798">
        <v>6</v>
      </c>
      <c r="I798">
        <v>27</v>
      </c>
      <c r="J798" t="s">
        <v>231</v>
      </c>
      <c r="K798" t="s">
        <v>500</v>
      </c>
      <c r="L798" t="s">
        <v>265</v>
      </c>
      <c r="M798" t="s">
        <v>234</v>
      </c>
      <c r="N798" t="s">
        <v>52</v>
      </c>
      <c r="O798" t="s">
        <v>235</v>
      </c>
      <c r="P798" t="s">
        <v>266</v>
      </c>
      <c r="Q798">
        <v>0</v>
      </c>
      <c r="R798" t="s">
        <v>237</v>
      </c>
    </row>
    <row r="799" spans="1:18" x14ac:dyDescent="0.25">
      <c r="A799" t="s">
        <v>634</v>
      </c>
      <c r="B799">
        <v>227</v>
      </c>
      <c r="C799" t="s">
        <v>487</v>
      </c>
      <c r="D799" t="s">
        <v>229</v>
      </c>
      <c r="E799" t="s">
        <v>515</v>
      </c>
      <c r="F799" t="s">
        <v>516</v>
      </c>
      <c r="G799" s="25">
        <v>44207</v>
      </c>
      <c r="H799">
        <v>3</v>
      </c>
      <c r="I799">
        <v>11</v>
      </c>
      <c r="J799" t="s">
        <v>231</v>
      </c>
      <c r="K799" t="s">
        <v>500</v>
      </c>
      <c r="L799" t="s">
        <v>265</v>
      </c>
      <c r="M799" t="s">
        <v>234</v>
      </c>
      <c r="N799" t="s">
        <v>52</v>
      </c>
      <c r="O799" t="s">
        <v>235</v>
      </c>
      <c r="P799" t="s">
        <v>266</v>
      </c>
      <c r="Q799">
        <v>0</v>
      </c>
      <c r="R799" t="s">
        <v>237</v>
      </c>
    </row>
    <row r="800" spans="1:18" x14ac:dyDescent="0.25">
      <c r="A800" t="s">
        <v>3444</v>
      </c>
      <c r="B800">
        <v>2559</v>
      </c>
      <c r="C800" t="s">
        <v>487</v>
      </c>
      <c r="D800" t="s">
        <v>247</v>
      </c>
      <c r="E800" t="s">
        <v>534</v>
      </c>
      <c r="F800" t="s">
        <v>3166</v>
      </c>
      <c r="G800" s="25">
        <v>44313</v>
      </c>
      <c r="H800">
        <v>24</v>
      </c>
      <c r="I800">
        <v>117</v>
      </c>
      <c r="J800" t="s">
        <v>231</v>
      </c>
      <c r="K800" t="s">
        <v>500</v>
      </c>
      <c r="L800" t="s">
        <v>265</v>
      </c>
      <c r="M800" t="s">
        <v>234</v>
      </c>
      <c r="N800" t="s">
        <v>52</v>
      </c>
      <c r="O800" t="s">
        <v>235</v>
      </c>
      <c r="P800" t="s">
        <v>266</v>
      </c>
      <c r="Q800">
        <v>497</v>
      </c>
      <c r="R800" t="s">
        <v>237</v>
      </c>
    </row>
    <row r="801" spans="1:18" x14ac:dyDescent="0.25">
      <c r="A801" t="s">
        <v>3445</v>
      </c>
      <c r="B801">
        <v>2097</v>
      </c>
      <c r="C801" t="s">
        <v>487</v>
      </c>
      <c r="D801" t="s">
        <v>322</v>
      </c>
      <c r="E801" t="s">
        <v>620</v>
      </c>
      <c r="F801" t="s">
        <v>3025</v>
      </c>
      <c r="G801" s="25">
        <v>44292</v>
      </c>
      <c r="H801">
        <v>20</v>
      </c>
      <c r="I801">
        <v>96</v>
      </c>
      <c r="J801" t="s">
        <v>231</v>
      </c>
      <c r="K801" t="s">
        <v>500</v>
      </c>
      <c r="L801" t="s">
        <v>265</v>
      </c>
      <c r="M801" t="s">
        <v>234</v>
      </c>
      <c r="N801" t="s">
        <v>52</v>
      </c>
      <c r="O801" t="s">
        <v>235</v>
      </c>
      <c r="P801" t="s">
        <v>266</v>
      </c>
      <c r="Q801">
        <v>0</v>
      </c>
      <c r="R801" t="s">
        <v>237</v>
      </c>
    </row>
    <row r="802" spans="1:18" x14ac:dyDescent="0.25">
      <c r="A802" t="s">
        <v>3446</v>
      </c>
      <c r="B802">
        <v>1789</v>
      </c>
      <c r="C802" t="s">
        <v>487</v>
      </c>
      <c r="D802" t="s">
        <v>322</v>
      </c>
      <c r="E802" t="s">
        <v>231</v>
      </c>
      <c r="F802" t="s">
        <v>2945</v>
      </c>
      <c r="G802" s="25">
        <v>44278</v>
      </c>
      <c r="H802">
        <v>17</v>
      </c>
      <c r="I802">
        <v>82</v>
      </c>
      <c r="J802" t="s">
        <v>231</v>
      </c>
      <c r="K802" t="s">
        <v>500</v>
      </c>
      <c r="L802" t="s">
        <v>265</v>
      </c>
      <c r="M802" t="s">
        <v>234</v>
      </c>
      <c r="N802" t="s">
        <v>52</v>
      </c>
      <c r="O802" t="s">
        <v>235</v>
      </c>
      <c r="P802" t="s">
        <v>266</v>
      </c>
      <c r="Q802">
        <v>0</v>
      </c>
      <c r="R802" t="s">
        <v>237</v>
      </c>
    </row>
    <row r="803" spans="1:18" x14ac:dyDescent="0.25">
      <c r="A803" t="s">
        <v>2299</v>
      </c>
      <c r="B803">
        <v>1481</v>
      </c>
      <c r="C803" t="s">
        <v>487</v>
      </c>
      <c r="D803" t="s">
        <v>261</v>
      </c>
      <c r="E803" t="s">
        <v>381</v>
      </c>
      <c r="F803" t="s">
        <v>1458</v>
      </c>
      <c r="G803" s="25">
        <v>44264</v>
      </c>
      <c r="H803">
        <v>14</v>
      </c>
      <c r="I803">
        <v>68</v>
      </c>
      <c r="J803" t="s">
        <v>231</v>
      </c>
      <c r="K803" t="s">
        <v>500</v>
      </c>
      <c r="L803" t="s">
        <v>265</v>
      </c>
      <c r="M803" t="s">
        <v>234</v>
      </c>
      <c r="N803" t="s">
        <v>52</v>
      </c>
      <c r="O803" t="s">
        <v>235</v>
      </c>
      <c r="P803" t="s">
        <v>266</v>
      </c>
      <c r="Q803">
        <v>0</v>
      </c>
      <c r="R803" t="s">
        <v>237</v>
      </c>
    </row>
    <row r="804" spans="1:18" x14ac:dyDescent="0.25">
      <c r="A804" t="s">
        <v>3447</v>
      </c>
      <c r="B804">
        <v>2080</v>
      </c>
      <c r="C804" t="s">
        <v>487</v>
      </c>
      <c r="D804" t="s">
        <v>322</v>
      </c>
      <c r="E804" t="s">
        <v>575</v>
      </c>
      <c r="F804" t="s">
        <v>3014</v>
      </c>
      <c r="G804" s="25">
        <v>44291</v>
      </c>
      <c r="H804">
        <v>19</v>
      </c>
      <c r="I804">
        <v>95</v>
      </c>
      <c r="J804" t="s">
        <v>231</v>
      </c>
      <c r="K804" t="s">
        <v>499</v>
      </c>
      <c r="L804" t="s">
        <v>410</v>
      </c>
      <c r="M804" t="s">
        <v>234</v>
      </c>
      <c r="N804" t="s">
        <v>62</v>
      </c>
      <c r="O804" t="s">
        <v>235</v>
      </c>
      <c r="P804" t="s">
        <v>411</v>
      </c>
      <c r="Q804">
        <v>0</v>
      </c>
      <c r="R804" t="s">
        <v>237</v>
      </c>
    </row>
    <row r="805" spans="1:18" x14ac:dyDescent="0.25">
      <c r="A805" t="s">
        <v>2301</v>
      </c>
      <c r="B805">
        <v>1706</v>
      </c>
      <c r="C805" t="s">
        <v>487</v>
      </c>
      <c r="D805" t="s">
        <v>261</v>
      </c>
      <c r="E805" t="s">
        <v>552</v>
      </c>
      <c r="F805" t="s">
        <v>1585</v>
      </c>
      <c r="G805" s="25">
        <v>44274</v>
      </c>
      <c r="H805">
        <v>16</v>
      </c>
      <c r="I805">
        <v>78</v>
      </c>
      <c r="J805" t="s">
        <v>231</v>
      </c>
      <c r="K805" t="s">
        <v>499</v>
      </c>
      <c r="L805" t="s">
        <v>410</v>
      </c>
      <c r="M805" t="s">
        <v>234</v>
      </c>
      <c r="N805" t="s">
        <v>62</v>
      </c>
      <c r="O805" t="s">
        <v>235</v>
      </c>
      <c r="P805" t="s">
        <v>411</v>
      </c>
      <c r="Q805">
        <v>0</v>
      </c>
      <c r="R805" t="s">
        <v>237</v>
      </c>
    </row>
    <row r="806" spans="1:18" x14ac:dyDescent="0.25">
      <c r="A806" t="s">
        <v>2462</v>
      </c>
      <c r="B806">
        <v>1178</v>
      </c>
      <c r="C806" t="s">
        <v>487</v>
      </c>
      <c r="D806" t="s">
        <v>256</v>
      </c>
      <c r="E806" t="s">
        <v>537</v>
      </c>
      <c r="F806" t="s">
        <v>1348</v>
      </c>
      <c r="G806" s="25">
        <v>44250</v>
      </c>
      <c r="H806">
        <v>11</v>
      </c>
      <c r="I806">
        <v>54</v>
      </c>
      <c r="J806" t="s">
        <v>231</v>
      </c>
      <c r="K806" t="s">
        <v>499</v>
      </c>
      <c r="L806" t="s">
        <v>410</v>
      </c>
      <c r="M806" t="s">
        <v>234</v>
      </c>
      <c r="N806" t="s">
        <v>62</v>
      </c>
      <c r="O806" t="s">
        <v>235</v>
      </c>
      <c r="P806" t="s">
        <v>411</v>
      </c>
      <c r="Q806">
        <v>0</v>
      </c>
      <c r="R806" t="s">
        <v>237</v>
      </c>
    </row>
    <row r="807" spans="1:18" x14ac:dyDescent="0.25">
      <c r="A807" t="s">
        <v>631</v>
      </c>
      <c r="B807">
        <v>210</v>
      </c>
      <c r="C807" t="s">
        <v>487</v>
      </c>
      <c r="D807" t="s">
        <v>229</v>
      </c>
      <c r="E807" t="s">
        <v>239</v>
      </c>
      <c r="F807" t="s">
        <v>578</v>
      </c>
      <c r="G807" s="25">
        <v>44206</v>
      </c>
      <c r="H807">
        <v>2</v>
      </c>
      <c r="I807">
        <v>10</v>
      </c>
      <c r="J807" t="s">
        <v>231</v>
      </c>
      <c r="K807" t="s">
        <v>499</v>
      </c>
      <c r="L807" t="s">
        <v>410</v>
      </c>
      <c r="M807" t="s">
        <v>234</v>
      </c>
      <c r="N807" t="s">
        <v>62</v>
      </c>
      <c r="O807" t="s">
        <v>235</v>
      </c>
      <c r="P807" t="s">
        <v>411</v>
      </c>
      <c r="Q807">
        <v>0</v>
      </c>
      <c r="R807" t="s">
        <v>237</v>
      </c>
    </row>
    <row r="808" spans="1:18" x14ac:dyDescent="0.25">
      <c r="A808" t="s">
        <v>3448</v>
      </c>
      <c r="B808">
        <v>2089</v>
      </c>
      <c r="C808" t="s">
        <v>487</v>
      </c>
      <c r="D808" t="s">
        <v>322</v>
      </c>
      <c r="E808" t="s">
        <v>575</v>
      </c>
      <c r="F808" t="s">
        <v>3014</v>
      </c>
      <c r="G808" s="25">
        <v>44291</v>
      </c>
      <c r="H808">
        <v>19</v>
      </c>
      <c r="I808">
        <v>95</v>
      </c>
      <c r="J808" t="s">
        <v>432</v>
      </c>
      <c r="K808" t="s">
        <v>498</v>
      </c>
      <c r="L808" t="s">
        <v>26</v>
      </c>
      <c r="M808" t="s">
        <v>434</v>
      </c>
      <c r="N808" t="s">
        <v>77</v>
      </c>
      <c r="O808" t="s">
        <v>435</v>
      </c>
      <c r="P808" t="s">
        <v>26</v>
      </c>
      <c r="Q808">
        <v>265480</v>
      </c>
      <c r="R808" t="s">
        <v>436</v>
      </c>
    </row>
    <row r="809" spans="1:18" x14ac:dyDescent="0.25">
      <c r="A809" t="s">
        <v>2734</v>
      </c>
      <c r="B809">
        <v>1671</v>
      </c>
      <c r="C809" t="s">
        <v>487</v>
      </c>
      <c r="D809" t="s">
        <v>261</v>
      </c>
      <c r="E809" t="s">
        <v>620</v>
      </c>
      <c r="F809" t="s">
        <v>1545</v>
      </c>
      <c r="G809" s="25">
        <v>44272</v>
      </c>
      <c r="H809">
        <v>16</v>
      </c>
      <c r="I809">
        <v>76</v>
      </c>
      <c r="J809" t="s">
        <v>432</v>
      </c>
      <c r="K809" t="s">
        <v>498</v>
      </c>
      <c r="L809" t="s">
        <v>26</v>
      </c>
      <c r="M809" t="s">
        <v>434</v>
      </c>
      <c r="N809" t="s">
        <v>77</v>
      </c>
      <c r="O809" t="s">
        <v>435</v>
      </c>
      <c r="P809" t="s">
        <v>26</v>
      </c>
      <c r="Q809">
        <v>117731.25</v>
      </c>
      <c r="R809" t="s">
        <v>436</v>
      </c>
    </row>
    <row r="810" spans="1:18" x14ac:dyDescent="0.25">
      <c r="A810" t="s">
        <v>1677</v>
      </c>
      <c r="B810">
        <v>967</v>
      </c>
      <c r="C810" t="s">
        <v>487</v>
      </c>
      <c r="D810" t="s">
        <v>256</v>
      </c>
      <c r="E810" t="s">
        <v>261</v>
      </c>
      <c r="F810" t="s">
        <v>1276</v>
      </c>
      <c r="G810" s="25">
        <v>44240</v>
      </c>
      <c r="H810">
        <v>9</v>
      </c>
      <c r="I810">
        <v>44</v>
      </c>
      <c r="J810" t="s">
        <v>432</v>
      </c>
      <c r="K810" t="s">
        <v>498</v>
      </c>
      <c r="L810" t="s">
        <v>26</v>
      </c>
      <c r="M810" t="s">
        <v>434</v>
      </c>
      <c r="N810" t="s">
        <v>77</v>
      </c>
      <c r="O810" t="s">
        <v>435</v>
      </c>
      <c r="P810" t="s">
        <v>26</v>
      </c>
      <c r="Q810">
        <v>82818.75</v>
      </c>
      <c r="R810" t="s">
        <v>436</v>
      </c>
    </row>
    <row r="811" spans="1:18" x14ac:dyDescent="0.25">
      <c r="A811" t="s">
        <v>2053</v>
      </c>
      <c r="B811">
        <v>813</v>
      </c>
      <c r="C811" t="s">
        <v>487</v>
      </c>
      <c r="D811" t="s">
        <v>231</v>
      </c>
      <c r="E811" t="s">
        <v>534</v>
      </c>
      <c r="F811" t="s">
        <v>1731</v>
      </c>
      <c r="G811" s="25">
        <v>44233</v>
      </c>
      <c r="H811">
        <v>8</v>
      </c>
      <c r="I811">
        <v>37</v>
      </c>
      <c r="J811" t="s">
        <v>432</v>
      </c>
      <c r="K811" t="s">
        <v>498</v>
      </c>
      <c r="L811" t="s">
        <v>26</v>
      </c>
      <c r="M811" t="s">
        <v>434</v>
      </c>
      <c r="N811" t="s">
        <v>77</v>
      </c>
      <c r="O811" t="s">
        <v>435</v>
      </c>
      <c r="P811" t="s">
        <v>26</v>
      </c>
      <c r="Q811">
        <v>101346.875</v>
      </c>
      <c r="R811" t="s">
        <v>436</v>
      </c>
    </row>
    <row r="812" spans="1:18" x14ac:dyDescent="0.25">
      <c r="A812" t="s">
        <v>653</v>
      </c>
      <c r="B812">
        <v>219</v>
      </c>
      <c r="C812" t="s">
        <v>487</v>
      </c>
      <c r="D812" t="s">
        <v>229</v>
      </c>
      <c r="E812" t="s">
        <v>239</v>
      </c>
      <c r="F812" t="s">
        <v>578</v>
      </c>
      <c r="G812" s="25">
        <v>44206</v>
      </c>
      <c r="H812">
        <v>2</v>
      </c>
      <c r="I812">
        <v>10</v>
      </c>
      <c r="J812" t="s">
        <v>432</v>
      </c>
      <c r="K812" t="s">
        <v>498</v>
      </c>
      <c r="L812" t="s">
        <v>26</v>
      </c>
      <c r="M812" t="s">
        <v>434</v>
      </c>
      <c r="N812" t="s">
        <v>77</v>
      </c>
      <c r="O812" t="s">
        <v>435</v>
      </c>
      <c r="P812" t="s">
        <v>26</v>
      </c>
      <c r="Q812">
        <v>26600</v>
      </c>
      <c r="R812" t="s">
        <v>436</v>
      </c>
    </row>
    <row r="813" spans="1:18" x14ac:dyDescent="0.25">
      <c r="A813" t="s">
        <v>3449</v>
      </c>
      <c r="B813">
        <v>2573</v>
      </c>
      <c r="C813" t="s">
        <v>487</v>
      </c>
      <c r="D813" t="s">
        <v>247</v>
      </c>
      <c r="E813" t="s">
        <v>534</v>
      </c>
      <c r="F813" t="s">
        <v>3166</v>
      </c>
      <c r="G813" s="25">
        <v>44313</v>
      </c>
      <c r="H813">
        <v>24</v>
      </c>
      <c r="I813">
        <v>117</v>
      </c>
      <c r="J813" t="s">
        <v>432</v>
      </c>
      <c r="K813" t="s">
        <v>498</v>
      </c>
      <c r="L813" t="s">
        <v>26</v>
      </c>
      <c r="M813" t="s">
        <v>434</v>
      </c>
      <c r="N813" t="s">
        <v>77</v>
      </c>
      <c r="O813" t="s">
        <v>435</v>
      </c>
      <c r="P813" t="s">
        <v>26</v>
      </c>
      <c r="Q813">
        <v>139523.75</v>
      </c>
      <c r="R813" t="s">
        <v>436</v>
      </c>
    </row>
    <row r="814" spans="1:18" x14ac:dyDescent="0.25">
      <c r="A814" t="s">
        <v>1784</v>
      </c>
      <c r="B814">
        <v>1713</v>
      </c>
      <c r="C814" t="s">
        <v>487</v>
      </c>
      <c r="D814" t="s">
        <v>261</v>
      </c>
      <c r="E814" t="s">
        <v>552</v>
      </c>
      <c r="F814" t="s">
        <v>1585</v>
      </c>
      <c r="G814" s="25">
        <v>44274</v>
      </c>
      <c r="H814">
        <v>16</v>
      </c>
      <c r="I814">
        <v>78</v>
      </c>
      <c r="J814" t="s">
        <v>432</v>
      </c>
      <c r="K814" t="s">
        <v>497</v>
      </c>
      <c r="L814" t="s">
        <v>438</v>
      </c>
      <c r="M814" t="s">
        <v>434</v>
      </c>
      <c r="N814" t="s">
        <v>75</v>
      </c>
      <c r="O814" t="s">
        <v>435</v>
      </c>
      <c r="P814" t="s">
        <v>438</v>
      </c>
      <c r="Q814">
        <v>25800</v>
      </c>
      <c r="R814" t="s">
        <v>436</v>
      </c>
    </row>
    <row r="815" spans="1:18" x14ac:dyDescent="0.25">
      <c r="A815" t="s">
        <v>1745</v>
      </c>
      <c r="B815">
        <v>1185</v>
      </c>
      <c r="C815" t="s">
        <v>487</v>
      </c>
      <c r="D815" t="s">
        <v>256</v>
      </c>
      <c r="E815" t="s">
        <v>537</v>
      </c>
      <c r="F815" t="s">
        <v>1348</v>
      </c>
      <c r="G815" s="25">
        <v>44250</v>
      </c>
      <c r="H815">
        <v>11</v>
      </c>
      <c r="I815">
        <v>54</v>
      </c>
      <c r="J815" t="s">
        <v>432</v>
      </c>
      <c r="K815" t="s">
        <v>497</v>
      </c>
      <c r="L815" t="s">
        <v>438</v>
      </c>
      <c r="M815" t="s">
        <v>434</v>
      </c>
      <c r="N815" t="s">
        <v>75</v>
      </c>
      <c r="O815" t="s">
        <v>435</v>
      </c>
      <c r="P815" t="s">
        <v>438</v>
      </c>
      <c r="Q815">
        <v>43200</v>
      </c>
      <c r="R815" t="s">
        <v>436</v>
      </c>
    </row>
    <row r="816" spans="1:18" x14ac:dyDescent="0.25">
      <c r="A816" t="s">
        <v>650</v>
      </c>
      <c r="B816">
        <v>217</v>
      </c>
      <c r="C816" t="s">
        <v>487</v>
      </c>
      <c r="D816" t="s">
        <v>229</v>
      </c>
      <c r="E816" t="s">
        <v>239</v>
      </c>
      <c r="F816" t="s">
        <v>578</v>
      </c>
      <c r="G816" s="25">
        <v>44206</v>
      </c>
      <c r="H816">
        <v>2</v>
      </c>
      <c r="I816">
        <v>10</v>
      </c>
      <c r="J816" t="s">
        <v>432</v>
      </c>
      <c r="K816" t="s">
        <v>497</v>
      </c>
      <c r="L816" t="s">
        <v>438</v>
      </c>
      <c r="M816" t="s">
        <v>434</v>
      </c>
      <c r="N816" t="s">
        <v>75</v>
      </c>
      <c r="O816" t="s">
        <v>435</v>
      </c>
      <c r="P816" t="s">
        <v>438</v>
      </c>
      <c r="Q816">
        <v>7200</v>
      </c>
      <c r="R816" t="s">
        <v>436</v>
      </c>
    </row>
    <row r="817" spans="1:18" x14ac:dyDescent="0.25">
      <c r="A817" t="s">
        <v>3450</v>
      </c>
      <c r="B817">
        <v>2197</v>
      </c>
      <c r="C817" t="s">
        <v>487</v>
      </c>
      <c r="D817" t="s">
        <v>322</v>
      </c>
      <c r="E817" t="s">
        <v>408</v>
      </c>
      <c r="F817" t="s">
        <v>3059</v>
      </c>
      <c r="G817" s="25">
        <v>44296</v>
      </c>
      <c r="H817">
        <v>20</v>
      </c>
      <c r="I817">
        <v>100</v>
      </c>
      <c r="J817" t="s">
        <v>432</v>
      </c>
      <c r="K817" t="s">
        <v>497</v>
      </c>
      <c r="L817" t="s">
        <v>438</v>
      </c>
      <c r="M817" t="s">
        <v>434</v>
      </c>
      <c r="N817" t="s">
        <v>75</v>
      </c>
      <c r="O817" t="s">
        <v>435</v>
      </c>
      <c r="P817" t="s">
        <v>438</v>
      </c>
      <c r="Q817">
        <v>46125</v>
      </c>
      <c r="R817" t="s">
        <v>436</v>
      </c>
    </row>
    <row r="818" spans="1:18" x14ac:dyDescent="0.25">
      <c r="A818" t="s">
        <v>3451</v>
      </c>
      <c r="B818">
        <v>2087</v>
      </c>
      <c r="C818" t="s">
        <v>487</v>
      </c>
      <c r="D818" t="s">
        <v>322</v>
      </c>
      <c r="E818" t="s">
        <v>575</v>
      </c>
      <c r="F818" t="s">
        <v>3014</v>
      </c>
      <c r="G818" s="25">
        <v>44291</v>
      </c>
      <c r="H818">
        <v>19</v>
      </c>
      <c r="I818">
        <v>95</v>
      </c>
      <c r="J818" t="s">
        <v>432</v>
      </c>
      <c r="K818" t="s">
        <v>497</v>
      </c>
      <c r="L818" t="s">
        <v>438</v>
      </c>
      <c r="M818" t="s">
        <v>434</v>
      </c>
      <c r="N818" t="s">
        <v>75</v>
      </c>
      <c r="O818" t="s">
        <v>435</v>
      </c>
      <c r="P818" t="s">
        <v>438</v>
      </c>
      <c r="Q818">
        <v>55200</v>
      </c>
      <c r="R818" t="s">
        <v>436</v>
      </c>
    </row>
    <row r="819" spans="1:18" x14ac:dyDescent="0.25">
      <c r="A819" t="s">
        <v>3452</v>
      </c>
      <c r="B819">
        <v>2611</v>
      </c>
      <c r="C819" t="s">
        <v>487</v>
      </c>
      <c r="D819" t="s">
        <v>247</v>
      </c>
      <c r="E819" t="s">
        <v>531</v>
      </c>
      <c r="F819" t="s">
        <v>3173</v>
      </c>
      <c r="G819" s="25">
        <v>44315</v>
      </c>
      <c r="H819">
        <v>24</v>
      </c>
      <c r="I819">
        <v>119</v>
      </c>
      <c r="J819" t="s">
        <v>432</v>
      </c>
      <c r="K819" t="s">
        <v>496</v>
      </c>
      <c r="L819" t="s">
        <v>69</v>
      </c>
      <c r="M819" t="s">
        <v>434</v>
      </c>
      <c r="N819" t="s">
        <v>68</v>
      </c>
      <c r="O819" t="s">
        <v>21</v>
      </c>
      <c r="P819" t="s">
        <v>439</v>
      </c>
      <c r="Q819">
        <v>384000</v>
      </c>
      <c r="R819" t="s">
        <v>237</v>
      </c>
    </row>
    <row r="820" spans="1:18" x14ac:dyDescent="0.25">
      <c r="A820" t="s">
        <v>3453</v>
      </c>
      <c r="B820">
        <v>2347</v>
      </c>
      <c r="C820" t="s">
        <v>487</v>
      </c>
      <c r="D820" t="s">
        <v>247</v>
      </c>
      <c r="E820" t="s">
        <v>326</v>
      </c>
      <c r="F820" t="s">
        <v>3091</v>
      </c>
      <c r="G820" s="25">
        <v>44303</v>
      </c>
      <c r="H820">
        <v>22</v>
      </c>
      <c r="I820">
        <v>107</v>
      </c>
      <c r="J820" t="s">
        <v>432</v>
      </c>
      <c r="K820" t="s">
        <v>496</v>
      </c>
      <c r="L820" t="s">
        <v>69</v>
      </c>
      <c r="M820" t="s">
        <v>434</v>
      </c>
      <c r="N820" t="s">
        <v>68</v>
      </c>
      <c r="O820" t="s">
        <v>21</v>
      </c>
      <c r="P820" t="s">
        <v>439</v>
      </c>
      <c r="Q820">
        <v>483250</v>
      </c>
      <c r="R820" t="s">
        <v>237</v>
      </c>
    </row>
    <row r="821" spans="1:18" x14ac:dyDescent="0.25">
      <c r="A821" t="s">
        <v>2002</v>
      </c>
      <c r="B821">
        <v>1643</v>
      </c>
      <c r="C821" t="s">
        <v>487</v>
      </c>
      <c r="D821" t="s">
        <v>261</v>
      </c>
      <c r="E821" t="s">
        <v>575</v>
      </c>
      <c r="F821" t="s">
        <v>1537</v>
      </c>
      <c r="G821" s="25">
        <v>44271</v>
      </c>
      <c r="H821">
        <v>15</v>
      </c>
      <c r="I821">
        <v>75</v>
      </c>
      <c r="J821" t="s">
        <v>432</v>
      </c>
      <c r="K821" t="s">
        <v>496</v>
      </c>
      <c r="L821" t="s">
        <v>69</v>
      </c>
      <c r="M821" t="s">
        <v>434</v>
      </c>
      <c r="N821" t="s">
        <v>68</v>
      </c>
      <c r="O821" t="s">
        <v>21</v>
      </c>
      <c r="P821" t="s">
        <v>439</v>
      </c>
      <c r="Q821">
        <v>48000</v>
      </c>
      <c r="R821" t="s">
        <v>237</v>
      </c>
    </row>
    <row r="822" spans="1:18" x14ac:dyDescent="0.25">
      <c r="A822" t="s">
        <v>2257</v>
      </c>
      <c r="B822">
        <v>610</v>
      </c>
      <c r="C822" t="s">
        <v>487</v>
      </c>
      <c r="D822" t="s">
        <v>231</v>
      </c>
      <c r="E822" t="s">
        <v>381</v>
      </c>
      <c r="F822" t="s">
        <v>1099</v>
      </c>
      <c r="G822" s="25">
        <v>44224</v>
      </c>
      <c r="H822">
        <v>6</v>
      </c>
      <c r="I822">
        <v>28</v>
      </c>
      <c r="J822" t="s">
        <v>432</v>
      </c>
      <c r="K822" t="s">
        <v>495</v>
      </c>
      <c r="L822" t="s">
        <v>135</v>
      </c>
      <c r="M822" t="s">
        <v>434</v>
      </c>
      <c r="N822" t="s">
        <v>70</v>
      </c>
      <c r="O822" t="s">
        <v>21</v>
      </c>
      <c r="P822" t="s">
        <v>440</v>
      </c>
      <c r="Q822">
        <v>275625</v>
      </c>
      <c r="R822" t="s">
        <v>237</v>
      </c>
    </row>
    <row r="823" spans="1:18" x14ac:dyDescent="0.25">
      <c r="A823" t="s">
        <v>757</v>
      </c>
      <c r="B823">
        <v>456</v>
      </c>
      <c r="C823" t="s">
        <v>487</v>
      </c>
      <c r="D823" t="s">
        <v>231</v>
      </c>
      <c r="E823" t="s">
        <v>229</v>
      </c>
      <c r="F823" t="s">
        <v>541</v>
      </c>
      <c r="G823" s="25">
        <v>44217</v>
      </c>
      <c r="H823">
        <v>5</v>
      </c>
      <c r="I823">
        <v>21</v>
      </c>
      <c r="J823" t="s">
        <v>432</v>
      </c>
      <c r="K823" t="s">
        <v>495</v>
      </c>
      <c r="L823" t="s">
        <v>135</v>
      </c>
      <c r="M823" t="s">
        <v>434</v>
      </c>
      <c r="N823" t="s">
        <v>70</v>
      </c>
      <c r="O823" t="s">
        <v>21</v>
      </c>
      <c r="P823" t="s">
        <v>440</v>
      </c>
      <c r="Q823">
        <v>0</v>
      </c>
      <c r="R823" t="s">
        <v>237</v>
      </c>
    </row>
    <row r="824" spans="1:18" x14ac:dyDescent="0.25">
      <c r="A824" t="s">
        <v>756</v>
      </c>
      <c r="B824">
        <v>148</v>
      </c>
      <c r="C824" t="s">
        <v>487</v>
      </c>
      <c r="D824" t="s">
        <v>229</v>
      </c>
      <c r="E824" t="s">
        <v>326</v>
      </c>
      <c r="F824" t="s">
        <v>522</v>
      </c>
      <c r="G824" s="25">
        <v>44203</v>
      </c>
      <c r="H824">
        <v>2</v>
      </c>
      <c r="I824">
        <v>7</v>
      </c>
      <c r="J824" t="s">
        <v>432</v>
      </c>
      <c r="K824" t="s">
        <v>495</v>
      </c>
      <c r="L824" t="s">
        <v>135</v>
      </c>
      <c r="M824" t="s">
        <v>434</v>
      </c>
      <c r="N824" t="s">
        <v>70</v>
      </c>
      <c r="O824" t="s">
        <v>21</v>
      </c>
      <c r="P824" t="s">
        <v>440</v>
      </c>
      <c r="Q824">
        <v>40000</v>
      </c>
      <c r="R824" t="s">
        <v>237</v>
      </c>
    </row>
    <row r="825" spans="1:18" x14ac:dyDescent="0.25">
      <c r="A825" t="s">
        <v>3454</v>
      </c>
      <c r="B825">
        <v>2352</v>
      </c>
      <c r="C825" t="s">
        <v>487</v>
      </c>
      <c r="D825" t="s">
        <v>247</v>
      </c>
      <c r="E825" t="s">
        <v>326</v>
      </c>
      <c r="F825" t="s">
        <v>3091</v>
      </c>
      <c r="G825" s="25">
        <v>44303</v>
      </c>
      <c r="H825">
        <v>22</v>
      </c>
      <c r="I825">
        <v>107</v>
      </c>
      <c r="J825" t="s">
        <v>432</v>
      </c>
      <c r="K825" t="s">
        <v>494</v>
      </c>
      <c r="L825" t="s">
        <v>25</v>
      </c>
      <c r="M825" t="s">
        <v>434</v>
      </c>
      <c r="N825" t="s">
        <v>76</v>
      </c>
      <c r="O825" t="s">
        <v>435</v>
      </c>
      <c r="P825" t="s">
        <v>25</v>
      </c>
      <c r="Q825">
        <v>38250</v>
      </c>
      <c r="R825" t="s">
        <v>436</v>
      </c>
    </row>
    <row r="826" spans="1:18" x14ac:dyDescent="0.25">
      <c r="A826" t="s">
        <v>2481</v>
      </c>
      <c r="B826">
        <v>1648</v>
      </c>
      <c r="C826" t="s">
        <v>487</v>
      </c>
      <c r="D826" t="s">
        <v>261</v>
      </c>
      <c r="E826" t="s">
        <v>575</v>
      </c>
      <c r="F826" t="s">
        <v>1537</v>
      </c>
      <c r="G826" s="25">
        <v>44271</v>
      </c>
      <c r="H826">
        <v>15</v>
      </c>
      <c r="I826">
        <v>75</v>
      </c>
      <c r="J826" t="s">
        <v>432</v>
      </c>
      <c r="K826" t="s">
        <v>494</v>
      </c>
      <c r="L826" t="s">
        <v>25</v>
      </c>
      <c r="M826" t="s">
        <v>434</v>
      </c>
      <c r="N826" t="s">
        <v>76</v>
      </c>
      <c r="O826" t="s">
        <v>435</v>
      </c>
      <c r="P826" t="s">
        <v>25</v>
      </c>
      <c r="Q826">
        <v>33000</v>
      </c>
      <c r="R826" t="s">
        <v>436</v>
      </c>
    </row>
    <row r="827" spans="1:18" x14ac:dyDescent="0.25">
      <c r="A827" t="s">
        <v>3455</v>
      </c>
      <c r="B827">
        <v>2244</v>
      </c>
      <c r="C827" t="s">
        <v>487</v>
      </c>
      <c r="D827" t="s">
        <v>247</v>
      </c>
      <c r="E827" t="s">
        <v>231</v>
      </c>
      <c r="F827" t="s">
        <v>3070</v>
      </c>
      <c r="G827" s="25">
        <v>44298</v>
      </c>
      <c r="H827">
        <v>21</v>
      </c>
      <c r="I827">
        <v>102</v>
      </c>
      <c r="J827" t="s">
        <v>432</v>
      </c>
      <c r="K827" t="s">
        <v>493</v>
      </c>
      <c r="L827" t="s">
        <v>441</v>
      </c>
      <c r="M827" t="s">
        <v>434</v>
      </c>
      <c r="N827" t="s">
        <v>78</v>
      </c>
      <c r="O827" t="s">
        <v>435</v>
      </c>
      <c r="P827" t="s">
        <v>441</v>
      </c>
      <c r="Q827">
        <v>223698.75</v>
      </c>
      <c r="R827" t="s">
        <v>436</v>
      </c>
    </row>
    <row r="828" spans="1:18" x14ac:dyDescent="0.25">
      <c r="A828" t="s">
        <v>2577</v>
      </c>
      <c r="B828">
        <v>1166</v>
      </c>
      <c r="C828" t="s">
        <v>487</v>
      </c>
      <c r="D828" t="s">
        <v>256</v>
      </c>
      <c r="E828" t="s">
        <v>512</v>
      </c>
      <c r="F828" t="s">
        <v>1342</v>
      </c>
      <c r="G828" s="25">
        <v>44249</v>
      </c>
      <c r="H828">
        <v>11</v>
      </c>
      <c r="I828">
        <v>53</v>
      </c>
      <c r="J828" t="s">
        <v>432</v>
      </c>
      <c r="K828" t="s">
        <v>493</v>
      </c>
      <c r="L828" t="s">
        <v>441</v>
      </c>
      <c r="M828" t="s">
        <v>434</v>
      </c>
      <c r="N828" t="s">
        <v>78</v>
      </c>
      <c r="O828" t="s">
        <v>435</v>
      </c>
      <c r="P828" t="s">
        <v>441</v>
      </c>
      <c r="Q828">
        <v>214528.125</v>
      </c>
      <c r="R828" t="s">
        <v>436</v>
      </c>
    </row>
    <row r="829" spans="1:18" x14ac:dyDescent="0.25">
      <c r="A829" t="s">
        <v>2009</v>
      </c>
      <c r="B829">
        <v>924</v>
      </c>
      <c r="C829" t="s">
        <v>487</v>
      </c>
      <c r="D829" t="s">
        <v>256</v>
      </c>
      <c r="E829" t="s">
        <v>231</v>
      </c>
      <c r="F829" t="s">
        <v>1249</v>
      </c>
      <c r="G829" s="25">
        <v>44238</v>
      </c>
      <c r="H829">
        <v>9</v>
      </c>
      <c r="I829">
        <v>42</v>
      </c>
      <c r="J829" t="s">
        <v>432</v>
      </c>
      <c r="K829" t="s">
        <v>493</v>
      </c>
      <c r="L829" t="s">
        <v>441</v>
      </c>
      <c r="M829" t="s">
        <v>434</v>
      </c>
      <c r="N829" t="s">
        <v>78</v>
      </c>
      <c r="O829" t="s">
        <v>435</v>
      </c>
      <c r="P829" t="s">
        <v>441</v>
      </c>
      <c r="Q829">
        <v>98262.5</v>
      </c>
      <c r="R829" t="s">
        <v>436</v>
      </c>
    </row>
    <row r="830" spans="1:18" x14ac:dyDescent="0.25">
      <c r="A830" t="s">
        <v>657</v>
      </c>
      <c r="B830">
        <v>286</v>
      </c>
      <c r="C830" t="s">
        <v>487</v>
      </c>
      <c r="D830" t="s">
        <v>229</v>
      </c>
      <c r="E830" t="s">
        <v>512</v>
      </c>
      <c r="F830" t="s">
        <v>513</v>
      </c>
      <c r="G830" s="25">
        <v>44209</v>
      </c>
      <c r="H830">
        <v>3</v>
      </c>
      <c r="I830">
        <v>13</v>
      </c>
      <c r="J830" t="s">
        <v>432</v>
      </c>
      <c r="K830" t="s">
        <v>493</v>
      </c>
      <c r="L830" t="s">
        <v>441</v>
      </c>
      <c r="M830" t="s">
        <v>434</v>
      </c>
      <c r="N830" t="s">
        <v>78</v>
      </c>
      <c r="O830" t="s">
        <v>435</v>
      </c>
      <c r="P830" t="s">
        <v>441</v>
      </c>
      <c r="Q830">
        <v>21000</v>
      </c>
      <c r="R830" t="s">
        <v>436</v>
      </c>
    </row>
    <row r="831" spans="1:18" x14ac:dyDescent="0.25">
      <c r="A831" t="s">
        <v>3456</v>
      </c>
      <c r="B831">
        <v>2085</v>
      </c>
      <c r="C831" t="s">
        <v>487</v>
      </c>
      <c r="D831" t="s">
        <v>322</v>
      </c>
      <c r="E831" t="s">
        <v>575</v>
      </c>
      <c r="F831" t="s">
        <v>3014</v>
      </c>
      <c r="G831" s="25">
        <v>44291</v>
      </c>
      <c r="H831">
        <v>19</v>
      </c>
      <c r="I831">
        <v>95</v>
      </c>
      <c r="J831" t="s">
        <v>432</v>
      </c>
      <c r="K831" t="s">
        <v>492</v>
      </c>
      <c r="L831" t="s">
        <v>24</v>
      </c>
      <c r="M831" t="s">
        <v>434</v>
      </c>
      <c r="N831" t="s">
        <v>71</v>
      </c>
      <c r="O831" t="s">
        <v>435</v>
      </c>
      <c r="P831" t="s">
        <v>24</v>
      </c>
      <c r="Q831">
        <v>69900</v>
      </c>
      <c r="R831" t="s">
        <v>436</v>
      </c>
    </row>
    <row r="832" spans="1:18" x14ac:dyDescent="0.25">
      <c r="A832" t="s">
        <v>1959</v>
      </c>
      <c r="B832">
        <v>1755</v>
      </c>
      <c r="C832" t="s">
        <v>487</v>
      </c>
      <c r="D832" t="s">
        <v>261</v>
      </c>
      <c r="E832" t="s">
        <v>408</v>
      </c>
      <c r="F832" t="s">
        <v>1595</v>
      </c>
      <c r="G832" s="25">
        <v>44276</v>
      </c>
      <c r="H832">
        <v>16</v>
      </c>
      <c r="I832">
        <v>80</v>
      </c>
      <c r="J832" t="s">
        <v>432</v>
      </c>
      <c r="K832" t="s">
        <v>492</v>
      </c>
      <c r="L832" t="s">
        <v>24</v>
      </c>
      <c r="M832" t="s">
        <v>434</v>
      </c>
      <c r="N832" t="s">
        <v>71</v>
      </c>
      <c r="O832" t="s">
        <v>435</v>
      </c>
      <c r="P832" t="s">
        <v>24</v>
      </c>
      <c r="Q832">
        <v>4237.5</v>
      </c>
      <c r="R832" t="s">
        <v>436</v>
      </c>
    </row>
    <row r="833" spans="1:18" x14ac:dyDescent="0.25">
      <c r="A833" t="s">
        <v>2417</v>
      </c>
      <c r="B833">
        <v>1711</v>
      </c>
      <c r="C833" t="s">
        <v>487</v>
      </c>
      <c r="D833" t="s">
        <v>261</v>
      </c>
      <c r="E833" t="s">
        <v>552</v>
      </c>
      <c r="F833" t="s">
        <v>1585</v>
      </c>
      <c r="G833" s="25">
        <v>44274</v>
      </c>
      <c r="H833">
        <v>16</v>
      </c>
      <c r="I833">
        <v>78</v>
      </c>
      <c r="J833" t="s">
        <v>432</v>
      </c>
      <c r="K833" t="s">
        <v>492</v>
      </c>
      <c r="L833" t="s">
        <v>24</v>
      </c>
      <c r="M833" t="s">
        <v>434</v>
      </c>
      <c r="N833" t="s">
        <v>71</v>
      </c>
      <c r="O833" t="s">
        <v>435</v>
      </c>
      <c r="P833" t="s">
        <v>24</v>
      </c>
      <c r="Q833">
        <v>11400</v>
      </c>
      <c r="R833" t="s">
        <v>436</v>
      </c>
    </row>
    <row r="834" spans="1:18" x14ac:dyDescent="0.25">
      <c r="A834" t="s">
        <v>2808</v>
      </c>
      <c r="B834">
        <v>1645</v>
      </c>
      <c r="C834" t="s">
        <v>487</v>
      </c>
      <c r="D834" t="s">
        <v>261</v>
      </c>
      <c r="E834" t="s">
        <v>575</v>
      </c>
      <c r="F834" t="s">
        <v>1537</v>
      </c>
      <c r="G834" s="25">
        <v>44271</v>
      </c>
      <c r="H834">
        <v>15</v>
      </c>
      <c r="I834">
        <v>75</v>
      </c>
      <c r="J834" t="s">
        <v>432</v>
      </c>
      <c r="K834" t="s">
        <v>492</v>
      </c>
      <c r="L834" t="s">
        <v>24</v>
      </c>
      <c r="M834" t="s">
        <v>434</v>
      </c>
      <c r="N834" t="s">
        <v>71</v>
      </c>
      <c r="O834" t="s">
        <v>435</v>
      </c>
      <c r="P834" t="s">
        <v>24</v>
      </c>
      <c r="Q834">
        <v>23512.5</v>
      </c>
      <c r="R834" t="s">
        <v>436</v>
      </c>
    </row>
    <row r="835" spans="1:18" x14ac:dyDescent="0.25">
      <c r="A835" t="s">
        <v>2201</v>
      </c>
      <c r="B835">
        <v>1249</v>
      </c>
      <c r="C835" t="s">
        <v>487</v>
      </c>
      <c r="D835" t="s">
        <v>256</v>
      </c>
      <c r="E835" t="s">
        <v>534</v>
      </c>
      <c r="F835" t="s">
        <v>1357</v>
      </c>
      <c r="G835" s="25">
        <v>44253</v>
      </c>
      <c r="H835">
        <v>12</v>
      </c>
      <c r="I835">
        <v>57</v>
      </c>
      <c r="J835" t="s">
        <v>432</v>
      </c>
      <c r="K835" t="s">
        <v>492</v>
      </c>
      <c r="L835" t="s">
        <v>24</v>
      </c>
      <c r="M835" t="s">
        <v>434</v>
      </c>
      <c r="N835" t="s">
        <v>71</v>
      </c>
      <c r="O835" t="s">
        <v>435</v>
      </c>
      <c r="P835" t="s">
        <v>24</v>
      </c>
      <c r="Q835">
        <v>40387.5</v>
      </c>
      <c r="R835" t="s">
        <v>436</v>
      </c>
    </row>
    <row r="836" spans="1:18" x14ac:dyDescent="0.25">
      <c r="A836" t="s">
        <v>725</v>
      </c>
      <c r="B836">
        <v>215</v>
      </c>
      <c r="C836" t="s">
        <v>487</v>
      </c>
      <c r="D836" t="s">
        <v>229</v>
      </c>
      <c r="E836" t="s">
        <v>239</v>
      </c>
      <c r="F836" t="s">
        <v>578</v>
      </c>
      <c r="G836" s="25">
        <v>44206</v>
      </c>
      <c r="H836">
        <v>2</v>
      </c>
      <c r="I836">
        <v>10</v>
      </c>
      <c r="J836" t="s">
        <v>432</v>
      </c>
      <c r="K836" t="s">
        <v>492</v>
      </c>
      <c r="L836" t="s">
        <v>24</v>
      </c>
      <c r="M836" t="s">
        <v>434</v>
      </c>
      <c r="N836" t="s">
        <v>71</v>
      </c>
      <c r="O836" t="s">
        <v>435</v>
      </c>
      <c r="P836" t="s">
        <v>24</v>
      </c>
      <c r="Q836">
        <v>0</v>
      </c>
      <c r="R836" t="s">
        <v>436</v>
      </c>
    </row>
    <row r="837" spans="1:18" x14ac:dyDescent="0.25">
      <c r="A837" t="s">
        <v>2018</v>
      </c>
      <c r="B837">
        <v>1196</v>
      </c>
      <c r="C837" t="s">
        <v>487</v>
      </c>
      <c r="D837" t="s">
        <v>256</v>
      </c>
      <c r="E837" t="s">
        <v>575</v>
      </c>
      <c r="F837" t="s">
        <v>1668</v>
      </c>
      <c r="G837" s="25">
        <v>44251</v>
      </c>
      <c r="H837">
        <v>11</v>
      </c>
      <c r="I837">
        <v>55</v>
      </c>
      <c r="J837" t="s">
        <v>231</v>
      </c>
      <c r="K837" t="s">
        <v>491</v>
      </c>
      <c r="L837" t="s">
        <v>233</v>
      </c>
      <c r="M837" t="s">
        <v>234</v>
      </c>
      <c r="N837" t="s">
        <v>54</v>
      </c>
      <c r="O837" t="s">
        <v>235</v>
      </c>
      <c r="P837" t="s">
        <v>236</v>
      </c>
      <c r="Q837">
        <v>0</v>
      </c>
      <c r="R837" t="s">
        <v>237</v>
      </c>
    </row>
    <row r="838" spans="1:18" x14ac:dyDescent="0.25">
      <c r="A838" t="s">
        <v>2017</v>
      </c>
      <c r="B838">
        <v>932</v>
      </c>
      <c r="C838" t="s">
        <v>487</v>
      </c>
      <c r="D838" t="s">
        <v>256</v>
      </c>
      <c r="E838" t="s">
        <v>256</v>
      </c>
      <c r="F838" t="s">
        <v>1263</v>
      </c>
      <c r="G838" s="25">
        <v>44239</v>
      </c>
      <c r="H838">
        <v>9</v>
      </c>
      <c r="I838">
        <v>43</v>
      </c>
      <c r="J838" t="s">
        <v>231</v>
      </c>
      <c r="K838" t="s">
        <v>491</v>
      </c>
      <c r="L838" t="s">
        <v>233</v>
      </c>
      <c r="M838" t="s">
        <v>234</v>
      </c>
      <c r="N838" t="s">
        <v>54</v>
      </c>
      <c r="O838" t="s">
        <v>235</v>
      </c>
      <c r="P838" t="s">
        <v>236</v>
      </c>
      <c r="Q838">
        <v>22750</v>
      </c>
      <c r="R838" t="s">
        <v>237</v>
      </c>
    </row>
    <row r="839" spans="1:18" x14ac:dyDescent="0.25">
      <c r="A839" t="s">
        <v>3457</v>
      </c>
      <c r="B839">
        <v>2406</v>
      </c>
      <c r="C839" t="s">
        <v>487</v>
      </c>
      <c r="D839" t="s">
        <v>247</v>
      </c>
      <c r="E839" t="s">
        <v>239</v>
      </c>
      <c r="F839" t="s">
        <v>3118</v>
      </c>
      <c r="G839" s="25">
        <v>44306</v>
      </c>
      <c r="H839">
        <v>22</v>
      </c>
      <c r="I839">
        <v>110</v>
      </c>
      <c r="J839" t="s">
        <v>231</v>
      </c>
      <c r="K839" t="s">
        <v>491</v>
      </c>
      <c r="L839" t="s">
        <v>233</v>
      </c>
      <c r="M839" t="s">
        <v>234</v>
      </c>
      <c r="N839" t="s">
        <v>54</v>
      </c>
      <c r="O839" t="s">
        <v>235</v>
      </c>
      <c r="P839" t="s">
        <v>236</v>
      </c>
      <c r="Q839">
        <v>0</v>
      </c>
      <c r="R839" t="s">
        <v>237</v>
      </c>
    </row>
    <row r="840" spans="1:18" x14ac:dyDescent="0.25">
      <c r="A840" t="s">
        <v>2070</v>
      </c>
      <c r="B840">
        <v>739</v>
      </c>
      <c r="C840" t="s">
        <v>487</v>
      </c>
      <c r="D840" t="s">
        <v>231</v>
      </c>
      <c r="E840" t="s">
        <v>537</v>
      </c>
      <c r="F840" t="s">
        <v>1192</v>
      </c>
      <c r="G840" s="25">
        <v>44230</v>
      </c>
      <c r="H840">
        <v>7</v>
      </c>
      <c r="I840">
        <v>34</v>
      </c>
      <c r="J840" t="s">
        <v>432</v>
      </c>
      <c r="K840" t="s">
        <v>490</v>
      </c>
      <c r="L840" t="s">
        <v>65</v>
      </c>
      <c r="M840" t="s">
        <v>434</v>
      </c>
      <c r="N840" t="s">
        <v>64</v>
      </c>
      <c r="O840" t="s">
        <v>235</v>
      </c>
      <c r="P840" t="s">
        <v>442</v>
      </c>
      <c r="Q840">
        <v>240000</v>
      </c>
      <c r="R840" t="s">
        <v>237</v>
      </c>
    </row>
    <row r="841" spans="1:18" x14ac:dyDescent="0.25">
      <c r="A841" t="s">
        <v>719</v>
      </c>
      <c r="B841">
        <v>365</v>
      </c>
      <c r="C841" t="s">
        <v>487</v>
      </c>
      <c r="D841" t="s">
        <v>229</v>
      </c>
      <c r="E841" t="s">
        <v>534</v>
      </c>
      <c r="F841" t="s">
        <v>535</v>
      </c>
      <c r="G841" s="25">
        <v>44213</v>
      </c>
      <c r="H841">
        <v>4</v>
      </c>
      <c r="I841">
        <v>17</v>
      </c>
      <c r="J841" t="s">
        <v>432</v>
      </c>
      <c r="K841" t="s">
        <v>490</v>
      </c>
      <c r="L841" t="s">
        <v>65</v>
      </c>
      <c r="M841" t="s">
        <v>434</v>
      </c>
      <c r="N841" t="s">
        <v>64</v>
      </c>
      <c r="O841" t="s">
        <v>235</v>
      </c>
      <c r="P841" t="s">
        <v>442</v>
      </c>
      <c r="Q841">
        <v>24000</v>
      </c>
      <c r="R841" t="s">
        <v>237</v>
      </c>
    </row>
    <row r="842" spans="1:18" x14ac:dyDescent="0.25">
      <c r="A842" t="s">
        <v>3458</v>
      </c>
      <c r="B842">
        <v>2301</v>
      </c>
      <c r="C842" t="s">
        <v>487</v>
      </c>
      <c r="D842" t="s">
        <v>247</v>
      </c>
      <c r="E842" t="s">
        <v>322</v>
      </c>
      <c r="F842" t="s">
        <v>3083</v>
      </c>
      <c r="G842" s="25">
        <v>44301</v>
      </c>
      <c r="H842">
        <v>21</v>
      </c>
      <c r="I842">
        <v>105</v>
      </c>
      <c r="J842" t="s">
        <v>432</v>
      </c>
      <c r="K842" t="s">
        <v>490</v>
      </c>
      <c r="L842" t="s">
        <v>65</v>
      </c>
      <c r="M842" t="s">
        <v>434</v>
      </c>
      <c r="N842" t="s">
        <v>64</v>
      </c>
      <c r="O842" t="s">
        <v>235</v>
      </c>
      <c r="P842" t="s">
        <v>442</v>
      </c>
      <c r="Q842">
        <v>328000</v>
      </c>
      <c r="R842" t="s">
        <v>237</v>
      </c>
    </row>
    <row r="843" spans="1:18" x14ac:dyDescent="0.25">
      <c r="A843" t="s">
        <v>2204</v>
      </c>
      <c r="B843">
        <v>1575</v>
      </c>
      <c r="C843" t="s">
        <v>487</v>
      </c>
      <c r="D843" t="s">
        <v>261</v>
      </c>
      <c r="E843" t="s">
        <v>232</v>
      </c>
      <c r="F843" t="s">
        <v>1500</v>
      </c>
      <c r="G843" s="25">
        <v>44268</v>
      </c>
      <c r="H843">
        <v>15</v>
      </c>
      <c r="I843">
        <v>72</v>
      </c>
      <c r="J843" t="s">
        <v>432</v>
      </c>
      <c r="K843" t="s">
        <v>490</v>
      </c>
      <c r="L843" t="s">
        <v>65</v>
      </c>
      <c r="M843" t="s">
        <v>434</v>
      </c>
      <c r="N843" t="s">
        <v>64</v>
      </c>
      <c r="O843" t="s">
        <v>235</v>
      </c>
      <c r="P843" t="s">
        <v>442</v>
      </c>
      <c r="Q843">
        <v>344000</v>
      </c>
      <c r="R843" t="s">
        <v>237</v>
      </c>
    </row>
    <row r="844" spans="1:18" x14ac:dyDescent="0.25">
      <c r="A844" t="s">
        <v>3459</v>
      </c>
      <c r="B844">
        <v>2042</v>
      </c>
      <c r="C844" t="s">
        <v>487</v>
      </c>
      <c r="D844" t="s">
        <v>322</v>
      </c>
      <c r="E844" t="s">
        <v>512</v>
      </c>
      <c r="F844" t="s">
        <v>2991</v>
      </c>
      <c r="G844" s="25">
        <v>44289</v>
      </c>
      <c r="H844">
        <v>19</v>
      </c>
      <c r="I844">
        <v>93</v>
      </c>
      <c r="J844" t="s">
        <v>432</v>
      </c>
      <c r="K844" t="s">
        <v>488</v>
      </c>
      <c r="L844" t="s">
        <v>433</v>
      </c>
      <c r="M844" t="s">
        <v>434</v>
      </c>
      <c r="N844" t="s">
        <v>74</v>
      </c>
      <c r="O844" t="s">
        <v>435</v>
      </c>
      <c r="P844" t="s">
        <v>433</v>
      </c>
      <c r="Q844">
        <v>55200</v>
      </c>
      <c r="R844" t="s">
        <v>436</v>
      </c>
    </row>
    <row r="845" spans="1:18" x14ac:dyDescent="0.25">
      <c r="A845" t="s">
        <v>2583</v>
      </c>
      <c r="B845">
        <v>1668</v>
      </c>
      <c r="C845" t="s">
        <v>487</v>
      </c>
      <c r="D845" t="s">
        <v>261</v>
      </c>
      <c r="E845" t="s">
        <v>620</v>
      </c>
      <c r="F845" t="s">
        <v>1545</v>
      </c>
      <c r="G845" s="25">
        <v>44272</v>
      </c>
      <c r="H845">
        <v>16</v>
      </c>
      <c r="I845">
        <v>76</v>
      </c>
      <c r="J845" t="s">
        <v>432</v>
      </c>
      <c r="K845" t="s">
        <v>488</v>
      </c>
      <c r="L845" t="s">
        <v>433</v>
      </c>
      <c r="M845" t="s">
        <v>434</v>
      </c>
      <c r="N845" t="s">
        <v>74</v>
      </c>
      <c r="O845" t="s">
        <v>435</v>
      </c>
      <c r="P845" t="s">
        <v>433</v>
      </c>
      <c r="Q845">
        <v>25800</v>
      </c>
      <c r="R845" t="s">
        <v>436</v>
      </c>
    </row>
    <row r="846" spans="1:18" x14ac:dyDescent="0.25">
      <c r="A846" t="s">
        <v>2271</v>
      </c>
      <c r="B846">
        <v>1426</v>
      </c>
      <c r="C846" t="s">
        <v>487</v>
      </c>
      <c r="D846" t="s">
        <v>261</v>
      </c>
      <c r="E846" t="s">
        <v>322</v>
      </c>
      <c r="F846" t="s">
        <v>1417</v>
      </c>
      <c r="G846" s="25">
        <v>44261</v>
      </c>
      <c r="H846">
        <v>13</v>
      </c>
      <c r="I846">
        <v>65</v>
      </c>
      <c r="J846" t="s">
        <v>432</v>
      </c>
      <c r="K846" t="s">
        <v>488</v>
      </c>
      <c r="L846" t="s">
        <v>433</v>
      </c>
      <c r="M846" t="s">
        <v>434</v>
      </c>
      <c r="N846" t="s">
        <v>74</v>
      </c>
      <c r="O846" t="s">
        <v>435</v>
      </c>
      <c r="P846" t="s">
        <v>433</v>
      </c>
      <c r="Q846">
        <v>39300</v>
      </c>
      <c r="R846" t="s">
        <v>436</v>
      </c>
    </row>
    <row r="847" spans="1:18" x14ac:dyDescent="0.25">
      <c r="A847" t="s">
        <v>2074</v>
      </c>
      <c r="B847">
        <v>1140</v>
      </c>
      <c r="C847" t="s">
        <v>487</v>
      </c>
      <c r="D847" t="s">
        <v>256</v>
      </c>
      <c r="E847" t="s">
        <v>232</v>
      </c>
      <c r="F847" t="s">
        <v>1337</v>
      </c>
      <c r="G847" s="25">
        <v>44248</v>
      </c>
      <c r="H847">
        <v>11</v>
      </c>
      <c r="I847">
        <v>52</v>
      </c>
      <c r="J847" t="s">
        <v>432</v>
      </c>
      <c r="K847" t="s">
        <v>488</v>
      </c>
      <c r="L847" t="s">
        <v>433</v>
      </c>
      <c r="M847" t="s">
        <v>434</v>
      </c>
      <c r="N847" t="s">
        <v>74</v>
      </c>
      <c r="O847" t="s">
        <v>435</v>
      </c>
      <c r="P847" t="s">
        <v>433</v>
      </c>
      <c r="Q847">
        <v>48000</v>
      </c>
      <c r="R847" t="s">
        <v>436</v>
      </c>
    </row>
    <row r="848" spans="1:18" x14ac:dyDescent="0.25">
      <c r="A848" t="s">
        <v>2428</v>
      </c>
      <c r="B848">
        <v>524</v>
      </c>
      <c r="C848" t="s">
        <v>487</v>
      </c>
      <c r="D848" t="s">
        <v>231</v>
      </c>
      <c r="E848" t="s">
        <v>261</v>
      </c>
      <c r="F848" t="s">
        <v>1065</v>
      </c>
      <c r="G848" s="25">
        <v>44220</v>
      </c>
      <c r="H848">
        <v>5</v>
      </c>
      <c r="I848">
        <v>24</v>
      </c>
      <c r="J848" t="s">
        <v>432</v>
      </c>
      <c r="K848" t="s">
        <v>488</v>
      </c>
      <c r="L848" t="s">
        <v>433</v>
      </c>
      <c r="M848" t="s">
        <v>434</v>
      </c>
      <c r="N848" t="s">
        <v>74</v>
      </c>
      <c r="O848" t="s">
        <v>435</v>
      </c>
      <c r="P848" t="s">
        <v>433</v>
      </c>
      <c r="Q848">
        <v>32400</v>
      </c>
      <c r="R848" t="s">
        <v>436</v>
      </c>
    </row>
    <row r="849" spans="1:18" x14ac:dyDescent="0.25">
      <c r="A849" t="s">
        <v>1635</v>
      </c>
      <c r="B849">
        <v>1268</v>
      </c>
      <c r="C849" t="s">
        <v>487</v>
      </c>
      <c r="D849" t="s">
        <v>256</v>
      </c>
      <c r="E849" t="s">
        <v>552</v>
      </c>
      <c r="F849" t="s">
        <v>1365</v>
      </c>
      <c r="G849" s="25">
        <v>44254</v>
      </c>
      <c r="H849">
        <v>12</v>
      </c>
      <c r="I849">
        <v>58</v>
      </c>
      <c r="J849" t="s">
        <v>432</v>
      </c>
      <c r="K849" t="s">
        <v>489</v>
      </c>
      <c r="L849" t="s">
        <v>134</v>
      </c>
      <c r="M849" t="s">
        <v>434</v>
      </c>
      <c r="N849" t="s">
        <v>67</v>
      </c>
      <c r="O849" t="s">
        <v>235</v>
      </c>
      <c r="P849" t="s">
        <v>437</v>
      </c>
      <c r="Q849">
        <v>344000</v>
      </c>
      <c r="R849" t="s">
        <v>237</v>
      </c>
    </row>
    <row r="850" spans="1:18" x14ac:dyDescent="0.25">
      <c r="A850" t="s">
        <v>665</v>
      </c>
      <c r="B850">
        <v>300</v>
      </c>
      <c r="C850" t="s">
        <v>487</v>
      </c>
      <c r="D850" t="s">
        <v>229</v>
      </c>
      <c r="E850" t="s">
        <v>537</v>
      </c>
      <c r="F850" t="s">
        <v>538</v>
      </c>
      <c r="G850" s="25">
        <v>44210</v>
      </c>
      <c r="H850">
        <v>3</v>
      </c>
      <c r="I850">
        <v>14</v>
      </c>
      <c r="J850" t="s">
        <v>432</v>
      </c>
      <c r="K850" t="s">
        <v>489</v>
      </c>
      <c r="L850" t="s">
        <v>134</v>
      </c>
      <c r="M850" t="s">
        <v>434</v>
      </c>
      <c r="N850" t="s">
        <v>67</v>
      </c>
      <c r="O850" t="s">
        <v>235</v>
      </c>
      <c r="P850" t="s">
        <v>437</v>
      </c>
      <c r="Q850">
        <v>29000</v>
      </c>
      <c r="R850" t="s">
        <v>237</v>
      </c>
    </row>
    <row r="851" spans="1:18" x14ac:dyDescent="0.25">
      <c r="A851" t="s">
        <v>1760</v>
      </c>
      <c r="B851">
        <v>1587</v>
      </c>
      <c r="C851" t="s">
        <v>487</v>
      </c>
      <c r="D851" t="s">
        <v>261</v>
      </c>
      <c r="E851" t="s">
        <v>512</v>
      </c>
      <c r="F851" t="s">
        <v>1518</v>
      </c>
      <c r="G851" s="25">
        <v>44269</v>
      </c>
      <c r="H851">
        <v>15</v>
      </c>
      <c r="I851">
        <v>73</v>
      </c>
      <c r="J851" t="s">
        <v>231</v>
      </c>
      <c r="K851" t="s">
        <v>509</v>
      </c>
      <c r="L851" t="s">
        <v>45</v>
      </c>
      <c r="M851" t="s">
        <v>234</v>
      </c>
      <c r="N851" t="s">
        <v>44</v>
      </c>
      <c r="O851" t="s">
        <v>21</v>
      </c>
      <c r="P851" t="s">
        <v>304</v>
      </c>
      <c r="Q851">
        <v>26302</v>
      </c>
      <c r="R851" t="s">
        <v>237</v>
      </c>
    </row>
    <row r="852" spans="1:18" x14ac:dyDescent="0.25">
      <c r="A852" t="s">
        <v>385</v>
      </c>
      <c r="B852">
        <v>113</v>
      </c>
      <c r="C852" t="s">
        <v>487</v>
      </c>
      <c r="D852" t="s">
        <v>229</v>
      </c>
      <c r="E852" t="s">
        <v>247</v>
      </c>
      <c r="F852" t="s">
        <v>524</v>
      </c>
      <c r="G852" s="25">
        <v>44202</v>
      </c>
      <c r="H852">
        <v>2</v>
      </c>
      <c r="I852">
        <v>6</v>
      </c>
      <c r="J852" t="s">
        <v>231</v>
      </c>
      <c r="K852" t="s">
        <v>509</v>
      </c>
      <c r="L852" t="s">
        <v>45</v>
      </c>
      <c r="M852" t="s">
        <v>234</v>
      </c>
      <c r="N852" t="s">
        <v>44</v>
      </c>
      <c r="O852" t="s">
        <v>21</v>
      </c>
      <c r="P852" t="s">
        <v>304</v>
      </c>
      <c r="Q852">
        <v>0</v>
      </c>
      <c r="R852" t="s">
        <v>237</v>
      </c>
    </row>
    <row r="853" spans="1:18" x14ac:dyDescent="0.25">
      <c r="A853" t="s">
        <v>1853</v>
      </c>
      <c r="B853">
        <v>1566</v>
      </c>
      <c r="C853" t="s">
        <v>487</v>
      </c>
      <c r="D853" t="s">
        <v>261</v>
      </c>
      <c r="E853" t="s">
        <v>232</v>
      </c>
      <c r="F853" t="s">
        <v>1500</v>
      </c>
      <c r="G853" s="25">
        <v>44268</v>
      </c>
      <c r="H853">
        <v>15</v>
      </c>
      <c r="I853">
        <v>72</v>
      </c>
      <c r="J853" t="s">
        <v>231</v>
      </c>
      <c r="K853" t="s">
        <v>508</v>
      </c>
      <c r="L853" t="s">
        <v>47</v>
      </c>
      <c r="M853" t="s">
        <v>234</v>
      </c>
      <c r="N853" t="s">
        <v>46</v>
      </c>
      <c r="O853" t="s">
        <v>21</v>
      </c>
      <c r="P853" t="s">
        <v>288</v>
      </c>
      <c r="Q853">
        <v>1171</v>
      </c>
      <c r="R853" t="s">
        <v>237</v>
      </c>
    </row>
    <row r="854" spans="1:18" x14ac:dyDescent="0.25">
      <c r="A854" t="s">
        <v>2437</v>
      </c>
      <c r="B854">
        <v>1192</v>
      </c>
      <c r="C854" t="s">
        <v>487</v>
      </c>
      <c r="D854" t="s">
        <v>256</v>
      </c>
      <c r="E854" t="s">
        <v>575</v>
      </c>
      <c r="F854" t="s">
        <v>1668</v>
      </c>
      <c r="G854" s="25">
        <v>44251</v>
      </c>
      <c r="H854">
        <v>11</v>
      </c>
      <c r="I854">
        <v>55</v>
      </c>
      <c r="J854" t="s">
        <v>231</v>
      </c>
      <c r="K854" t="s">
        <v>508</v>
      </c>
      <c r="L854" t="s">
        <v>47</v>
      </c>
      <c r="M854" t="s">
        <v>234</v>
      </c>
      <c r="N854" t="s">
        <v>46</v>
      </c>
      <c r="O854" t="s">
        <v>21</v>
      </c>
      <c r="P854" t="s">
        <v>288</v>
      </c>
      <c r="Q854">
        <v>0</v>
      </c>
      <c r="R854" t="s">
        <v>237</v>
      </c>
    </row>
    <row r="855" spans="1:18" x14ac:dyDescent="0.25">
      <c r="A855" t="s">
        <v>2861</v>
      </c>
      <c r="B855">
        <v>928</v>
      </c>
      <c r="C855" t="s">
        <v>487</v>
      </c>
      <c r="D855" t="s">
        <v>256</v>
      </c>
      <c r="E855" t="s">
        <v>256</v>
      </c>
      <c r="F855" t="s">
        <v>1263</v>
      </c>
      <c r="G855" s="25">
        <v>44239</v>
      </c>
      <c r="H855">
        <v>9</v>
      </c>
      <c r="I855">
        <v>43</v>
      </c>
      <c r="J855" t="s">
        <v>231</v>
      </c>
      <c r="K855" t="s">
        <v>508</v>
      </c>
      <c r="L855" t="s">
        <v>47</v>
      </c>
      <c r="M855" t="s">
        <v>234</v>
      </c>
      <c r="N855" t="s">
        <v>46</v>
      </c>
      <c r="O855" t="s">
        <v>21</v>
      </c>
      <c r="P855" t="s">
        <v>288</v>
      </c>
      <c r="Q855">
        <v>32382</v>
      </c>
      <c r="R855" t="s">
        <v>237</v>
      </c>
    </row>
    <row r="856" spans="1:18" x14ac:dyDescent="0.25">
      <c r="A856" t="s">
        <v>3460</v>
      </c>
      <c r="B856">
        <v>2402</v>
      </c>
      <c r="C856" t="s">
        <v>487</v>
      </c>
      <c r="D856" t="s">
        <v>247</v>
      </c>
      <c r="E856" t="s">
        <v>239</v>
      </c>
      <c r="F856" t="s">
        <v>3118</v>
      </c>
      <c r="G856" s="25">
        <v>44306</v>
      </c>
      <c r="H856">
        <v>22</v>
      </c>
      <c r="I856">
        <v>110</v>
      </c>
      <c r="J856" t="s">
        <v>231</v>
      </c>
      <c r="K856" t="s">
        <v>508</v>
      </c>
      <c r="L856" t="s">
        <v>47</v>
      </c>
      <c r="M856" t="s">
        <v>234</v>
      </c>
      <c r="N856" t="s">
        <v>46</v>
      </c>
      <c r="O856" t="s">
        <v>21</v>
      </c>
      <c r="P856" t="s">
        <v>288</v>
      </c>
      <c r="Q856">
        <v>2000</v>
      </c>
      <c r="R856" t="s">
        <v>237</v>
      </c>
    </row>
    <row r="857" spans="1:18" x14ac:dyDescent="0.25">
      <c r="A857" t="s">
        <v>3461</v>
      </c>
      <c r="B857">
        <v>1940</v>
      </c>
      <c r="C857" t="s">
        <v>487</v>
      </c>
      <c r="D857" t="s">
        <v>322</v>
      </c>
      <c r="E857" t="s">
        <v>371</v>
      </c>
      <c r="F857" t="s">
        <v>2976</v>
      </c>
      <c r="G857" s="25">
        <v>44285</v>
      </c>
      <c r="H857">
        <v>18</v>
      </c>
      <c r="I857">
        <v>89</v>
      </c>
      <c r="J857" t="s">
        <v>231</v>
      </c>
      <c r="K857" t="s">
        <v>508</v>
      </c>
      <c r="L857" t="s">
        <v>47</v>
      </c>
      <c r="M857" t="s">
        <v>234</v>
      </c>
      <c r="N857" t="s">
        <v>46</v>
      </c>
      <c r="O857" t="s">
        <v>21</v>
      </c>
      <c r="P857" t="s">
        <v>288</v>
      </c>
      <c r="Q857">
        <v>0</v>
      </c>
      <c r="R857" t="s">
        <v>237</v>
      </c>
    </row>
    <row r="858" spans="1:18" x14ac:dyDescent="0.25">
      <c r="A858" t="s">
        <v>377</v>
      </c>
      <c r="B858">
        <v>5</v>
      </c>
      <c r="C858" t="s">
        <v>487</v>
      </c>
      <c r="D858" t="s">
        <v>229</v>
      </c>
      <c r="E858" t="s">
        <v>229</v>
      </c>
      <c r="F858" t="s">
        <v>230</v>
      </c>
      <c r="G858" s="25">
        <v>44197</v>
      </c>
      <c r="H858">
        <v>1</v>
      </c>
      <c r="I858">
        <v>1</v>
      </c>
      <c r="J858" t="s">
        <v>231</v>
      </c>
      <c r="K858" t="s">
        <v>507</v>
      </c>
      <c r="L858" t="s">
        <v>49</v>
      </c>
      <c r="M858" t="s">
        <v>234</v>
      </c>
      <c r="N858" t="s">
        <v>48</v>
      </c>
      <c r="O858" t="s">
        <v>21</v>
      </c>
      <c r="P858" t="s">
        <v>413</v>
      </c>
      <c r="Q858">
        <v>0</v>
      </c>
      <c r="R858" t="s">
        <v>237</v>
      </c>
    </row>
    <row r="859" spans="1:18" x14ac:dyDescent="0.25">
      <c r="A859" t="s">
        <v>1804</v>
      </c>
      <c r="B859">
        <v>1743</v>
      </c>
      <c r="C859" t="s">
        <v>487</v>
      </c>
      <c r="D859" t="s">
        <v>261</v>
      </c>
      <c r="E859" t="s">
        <v>408</v>
      </c>
      <c r="F859" t="s">
        <v>1595</v>
      </c>
      <c r="G859" s="25">
        <v>44276</v>
      </c>
      <c r="H859">
        <v>16</v>
      </c>
      <c r="I859">
        <v>80</v>
      </c>
      <c r="J859" t="s">
        <v>231</v>
      </c>
      <c r="K859" t="s">
        <v>507</v>
      </c>
      <c r="L859" t="s">
        <v>49</v>
      </c>
      <c r="M859" t="s">
        <v>234</v>
      </c>
      <c r="N859" t="s">
        <v>48</v>
      </c>
      <c r="O859" t="s">
        <v>21</v>
      </c>
      <c r="P859" t="s">
        <v>413</v>
      </c>
      <c r="Q859">
        <v>0</v>
      </c>
      <c r="R859" t="s">
        <v>237</v>
      </c>
    </row>
    <row r="860" spans="1:18" x14ac:dyDescent="0.25">
      <c r="A860" t="s">
        <v>1769</v>
      </c>
      <c r="B860">
        <v>600</v>
      </c>
      <c r="C860" t="s">
        <v>487</v>
      </c>
      <c r="D860" t="s">
        <v>231</v>
      </c>
      <c r="E860" t="s">
        <v>381</v>
      </c>
      <c r="F860" t="s">
        <v>1099</v>
      </c>
      <c r="G860" s="25">
        <v>44224</v>
      </c>
      <c r="H860">
        <v>6</v>
      </c>
      <c r="I860">
        <v>28</v>
      </c>
      <c r="J860" t="s">
        <v>231</v>
      </c>
      <c r="K860" t="s">
        <v>506</v>
      </c>
      <c r="L860" t="s">
        <v>414</v>
      </c>
      <c r="M860" t="s">
        <v>234</v>
      </c>
      <c r="N860" t="s">
        <v>50</v>
      </c>
      <c r="O860" t="s">
        <v>21</v>
      </c>
      <c r="P860" t="s">
        <v>411</v>
      </c>
      <c r="Q860">
        <v>0</v>
      </c>
      <c r="R860" t="s">
        <v>237</v>
      </c>
    </row>
    <row r="861" spans="1:18" x14ac:dyDescent="0.25">
      <c r="A861" t="s">
        <v>783</v>
      </c>
      <c r="B861">
        <v>248</v>
      </c>
      <c r="C861" t="s">
        <v>487</v>
      </c>
      <c r="D861" t="s">
        <v>229</v>
      </c>
      <c r="E861" t="s">
        <v>232</v>
      </c>
      <c r="F861" t="s">
        <v>520</v>
      </c>
      <c r="G861" s="25">
        <v>44208</v>
      </c>
      <c r="H861">
        <v>3</v>
      </c>
      <c r="I861">
        <v>12</v>
      </c>
      <c r="J861" t="s">
        <v>231</v>
      </c>
      <c r="K861" t="s">
        <v>506</v>
      </c>
      <c r="L861" t="s">
        <v>414</v>
      </c>
      <c r="M861" t="s">
        <v>234</v>
      </c>
      <c r="N861" t="s">
        <v>50</v>
      </c>
      <c r="O861" t="s">
        <v>21</v>
      </c>
      <c r="P861" t="s">
        <v>411</v>
      </c>
      <c r="Q861">
        <v>0</v>
      </c>
      <c r="R861" t="s">
        <v>237</v>
      </c>
    </row>
    <row r="862" spans="1:18" x14ac:dyDescent="0.25">
      <c r="A862" t="s">
        <v>3462</v>
      </c>
      <c r="B862">
        <v>2426</v>
      </c>
      <c r="C862" t="s">
        <v>487</v>
      </c>
      <c r="D862" t="s">
        <v>247</v>
      </c>
      <c r="E862" t="s">
        <v>515</v>
      </c>
      <c r="F862" t="s">
        <v>3134</v>
      </c>
      <c r="G862" s="25">
        <v>44307</v>
      </c>
      <c r="H862">
        <v>23</v>
      </c>
      <c r="I862">
        <v>111</v>
      </c>
      <c r="J862" t="s">
        <v>231</v>
      </c>
      <c r="K862" t="s">
        <v>506</v>
      </c>
      <c r="L862" t="s">
        <v>414</v>
      </c>
      <c r="M862" t="s">
        <v>234</v>
      </c>
      <c r="N862" t="s">
        <v>50</v>
      </c>
      <c r="O862" t="s">
        <v>21</v>
      </c>
      <c r="P862" t="s">
        <v>411</v>
      </c>
      <c r="Q862">
        <v>0</v>
      </c>
      <c r="R862" t="s">
        <v>237</v>
      </c>
    </row>
    <row r="863" spans="1:18" x14ac:dyDescent="0.25">
      <c r="A863" t="s">
        <v>3463</v>
      </c>
      <c r="B863">
        <v>2118</v>
      </c>
      <c r="C863" t="s">
        <v>487</v>
      </c>
      <c r="D863" t="s">
        <v>322</v>
      </c>
      <c r="E863" t="s">
        <v>534</v>
      </c>
      <c r="F863" t="s">
        <v>3031</v>
      </c>
      <c r="G863" s="25">
        <v>44293</v>
      </c>
      <c r="H863">
        <v>20</v>
      </c>
      <c r="I863">
        <v>97</v>
      </c>
      <c r="J863" t="s">
        <v>231</v>
      </c>
      <c r="K863" t="s">
        <v>506</v>
      </c>
      <c r="L863" t="s">
        <v>414</v>
      </c>
      <c r="M863" t="s">
        <v>234</v>
      </c>
      <c r="N863" t="s">
        <v>50</v>
      </c>
      <c r="O863" t="s">
        <v>21</v>
      </c>
      <c r="P863" t="s">
        <v>411</v>
      </c>
      <c r="Q863">
        <v>0</v>
      </c>
      <c r="R863" t="s">
        <v>237</v>
      </c>
    </row>
    <row r="864" spans="1:18" x14ac:dyDescent="0.25">
      <c r="A864" t="s">
        <v>3464</v>
      </c>
      <c r="B864">
        <v>1810</v>
      </c>
      <c r="C864" t="s">
        <v>487</v>
      </c>
      <c r="D864" t="s">
        <v>322</v>
      </c>
      <c r="E864" t="s">
        <v>256</v>
      </c>
      <c r="F864" t="s">
        <v>2952</v>
      </c>
      <c r="G864" s="25">
        <v>44279</v>
      </c>
      <c r="H864">
        <v>17</v>
      </c>
      <c r="I864">
        <v>83</v>
      </c>
      <c r="J864" t="s">
        <v>231</v>
      </c>
      <c r="K864" t="s">
        <v>506</v>
      </c>
      <c r="L864" t="s">
        <v>414</v>
      </c>
      <c r="M864" t="s">
        <v>234</v>
      </c>
      <c r="N864" t="s">
        <v>50</v>
      </c>
      <c r="O864" t="s">
        <v>21</v>
      </c>
      <c r="P864" t="s">
        <v>411</v>
      </c>
      <c r="Q864">
        <v>0</v>
      </c>
      <c r="R864" t="s">
        <v>237</v>
      </c>
    </row>
    <row r="865" spans="1:18" x14ac:dyDescent="0.25">
      <c r="A865" t="s">
        <v>2598</v>
      </c>
      <c r="B865">
        <v>1216</v>
      </c>
      <c r="C865" t="s">
        <v>487</v>
      </c>
      <c r="D865" t="s">
        <v>256</v>
      </c>
      <c r="E865" t="s">
        <v>620</v>
      </c>
      <c r="F865" t="s">
        <v>1350</v>
      </c>
      <c r="G865" s="25">
        <v>44252</v>
      </c>
      <c r="H865">
        <v>12</v>
      </c>
      <c r="I865">
        <v>56</v>
      </c>
      <c r="J865" t="s">
        <v>231</v>
      </c>
      <c r="K865" t="s">
        <v>506</v>
      </c>
      <c r="L865" t="s">
        <v>414</v>
      </c>
      <c r="M865" t="s">
        <v>234</v>
      </c>
      <c r="N865" t="s">
        <v>50</v>
      </c>
      <c r="O865" t="s">
        <v>21</v>
      </c>
      <c r="P865" t="s">
        <v>411</v>
      </c>
      <c r="Q865">
        <v>0</v>
      </c>
      <c r="R865" t="s">
        <v>237</v>
      </c>
    </row>
    <row r="866" spans="1:18" x14ac:dyDescent="0.25">
      <c r="A866" t="s">
        <v>2509</v>
      </c>
      <c r="B866">
        <v>974</v>
      </c>
      <c r="C866" t="s">
        <v>487</v>
      </c>
      <c r="D866" t="s">
        <v>256</v>
      </c>
      <c r="E866" t="s">
        <v>322</v>
      </c>
      <c r="F866" t="s">
        <v>1288</v>
      </c>
      <c r="G866" s="25">
        <v>44241</v>
      </c>
      <c r="H866">
        <v>9</v>
      </c>
      <c r="I866">
        <v>45</v>
      </c>
      <c r="J866" t="s">
        <v>231</v>
      </c>
      <c r="K866" t="s">
        <v>506</v>
      </c>
      <c r="L866" t="s">
        <v>414</v>
      </c>
      <c r="M866" t="s">
        <v>234</v>
      </c>
      <c r="N866" t="s">
        <v>50</v>
      </c>
      <c r="O866" t="s">
        <v>21</v>
      </c>
      <c r="P866" t="s">
        <v>411</v>
      </c>
      <c r="Q866">
        <v>0</v>
      </c>
      <c r="R866" t="s">
        <v>237</v>
      </c>
    </row>
    <row r="867" spans="1:18" x14ac:dyDescent="0.25">
      <c r="A867" t="s">
        <v>2869</v>
      </c>
      <c r="B867">
        <v>1453</v>
      </c>
      <c r="C867" t="s">
        <v>487</v>
      </c>
      <c r="D867" t="s">
        <v>261</v>
      </c>
      <c r="E867" t="s">
        <v>326</v>
      </c>
      <c r="F867" t="s">
        <v>1440</v>
      </c>
      <c r="G867" s="25">
        <v>44263</v>
      </c>
      <c r="H867">
        <v>14</v>
      </c>
      <c r="I867">
        <v>67</v>
      </c>
      <c r="J867" t="s">
        <v>231</v>
      </c>
      <c r="K867" t="s">
        <v>505</v>
      </c>
      <c r="L867" t="s">
        <v>41</v>
      </c>
      <c r="M867" t="s">
        <v>234</v>
      </c>
      <c r="N867" t="s">
        <v>40</v>
      </c>
      <c r="O867" t="s">
        <v>21</v>
      </c>
      <c r="P867" t="s">
        <v>266</v>
      </c>
      <c r="Q867">
        <v>58180</v>
      </c>
      <c r="R867" t="s">
        <v>237</v>
      </c>
    </row>
    <row r="868" spans="1:18" x14ac:dyDescent="0.25">
      <c r="A868" t="s">
        <v>1861</v>
      </c>
      <c r="B868">
        <v>925</v>
      </c>
      <c r="C868" t="s">
        <v>487</v>
      </c>
      <c r="D868" t="s">
        <v>256</v>
      </c>
      <c r="E868" t="s">
        <v>256</v>
      </c>
      <c r="F868" t="s">
        <v>1263</v>
      </c>
      <c r="G868" s="25">
        <v>44239</v>
      </c>
      <c r="H868">
        <v>9</v>
      </c>
      <c r="I868">
        <v>43</v>
      </c>
      <c r="J868" t="s">
        <v>231</v>
      </c>
      <c r="K868" t="s">
        <v>505</v>
      </c>
      <c r="L868" t="s">
        <v>41</v>
      </c>
      <c r="M868" t="s">
        <v>234</v>
      </c>
      <c r="N868" t="s">
        <v>40</v>
      </c>
      <c r="O868" t="s">
        <v>21</v>
      </c>
      <c r="P868" t="s">
        <v>266</v>
      </c>
      <c r="Q868">
        <v>0</v>
      </c>
      <c r="R868" t="s">
        <v>237</v>
      </c>
    </row>
    <row r="869" spans="1:18" x14ac:dyDescent="0.25">
      <c r="A869" t="s">
        <v>2441</v>
      </c>
      <c r="B869">
        <v>551</v>
      </c>
      <c r="C869" t="s">
        <v>487</v>
      </c>
      <c r="D869" t="s">
        <v>231</v>
      </c>
      <c r="E869" t="s">
        <v>247</v>
      </c>
      <c r="F869" t="s">
        <v>1088</v>
      </c>
      <c r="G869" s="25">
        <v>44222</v>
      </c>
      <c r="H869">
        <v>6</v>
      </c>
      <c r="I869">
        <v>26</v>
      </c>
      <c r="J869" t="s">
        <v>231</v>
      </c>
      <c r="K869" t="s">
        <v>505</v>
      </c>
      <c r="L869" t="s">
        <v>41</v>
      </c>
      <c r="M869" t="s">
        <v>234</v>
      </c>
      <c r="N869" t="s">
        <v>40</v>
      </c>
      <c r="O869" t="s">
        <v>21</v>
      </c>
      <c r="P869" t="s">
        <v>266</v>
      </c>
      <c r="Q869">
        <v>0</v>
      </c>
      <c r="R869" t="s">
        <v>237</v>
      </c>
    </row>
    <row r="870" spans="1:18" x14ac:dyDescent="0.25">
      <c r="A870" t="s">
        <v>3465</v>
      </c>
      <c r="B870">
        <v>2202</v>
      </c>
      <c r="C870" t="s">
        <v>487</v>
      </c>
      <c r="D870" t="s">
        <v>247</v>
      </c>
      <c r="E870" t="s">
        <v>229</v>
      </c>
      <c r="F870" t="s">
        <v>3063</v>
      </c>
      <c r="G870" s="25">
        <v>44297</v>
      </c>
      <c r="H870">
        <v>21</v>
      </c>
      <c r="I870">
        <v>101</v>
      </c>
      <c r="J870" t="s">
        <v>231</v>
      </c>
      <c r="K870" t="s">
        <v>504</v>
      </c>
      <c r="L870" t="s">
        <v>43</v>
      </c>
      <c r="M870" t="s">
        <v>234</v>
      </c>
      <c r="N870" t="s">
        <v>42</v>
      </c>
      <c r="O870" t="s">
        <v>21</v>
      </c>
      <c r="P870" t="s">
        <v>236</v>
      </c>
      <c r="Q870">
        <v>0</v>
      </c>
      <c r="R870" t="s">
        <v>237</v>
      </c>
    </row>
    <row r="871" spans="1:18" x14ac:dyDescent="0.25">
      <c r="A871" t="s">
        <v>1927</v>
      </c>
      <c r="B871">
        <v>992</v>
      </c>
      <c r="C871" t="s">
        <v>487</v>
      </c>
      <c r="D871" t="s">
        <v>256</v>
      </c>
      <c r="E871" t="s">
        <v>247</v>
      </c>
      <c r="F871" t="s">
        <v>1299</v>
      </c>
      <c r="G871" s="25">
        <v>44242</v>
      </c>
      <c r="H871">
        <v>10</v>
      </c>
      <c r="I871">
        <v>46</v>
      </c>
      <c r="J871" t="s">
        <v>231</v>
      </c>
      <c r="K871" t="s">
        <v>504</v>
      </c>
      <c r="L871" t="s">
        <v>43</v>
      </c>
      <c r="M871" t="s">
        <v>234</v>
      </c>
      <c r="N871" t="s">
        <v>42</v>
      </c>
      <c r="O871" t="s">
        <v>21</v>
      </c>
      <c r="P871" t="s">
        <v>236</v>
      </c>
      <c r="Q871">
        <v>0</v>
      </c>
      <c r="R871" t="s">
        <v>237</v>
      </c>
    </row>
    <row r="872" spans="1:18" x14ac:dyDescent="0.25">
      <c r="A872" t="s">
        <v>297</v>
      </c>
      <c r="B872">
        <v>24</v>
      </c>
      <c r="C872" t="s">
        <v>487</v>
      </c>
      <c r="D872" t="s">
        <v>229</v>
      </c>
      <c r="E872" t="s">
        <v>231</v>
      </c>
      <c r="F872" t="s">
        <v>568</v>
      </c>
      <c r="G872" s="25">
        <v>44198</v>
      </c>
      <c r="H872">
        <v>1</v>
      </c>
      <c r="I872">
        <v>2</v>
      </c>
      <c r="J872" t="s">
        <v>231</v>
      </c>
      <c r="K872" t="s">
        <v>504</v>
      </c>
      <c r="L872" t="s">
        <v>43</v>
      </c>
      <c r="M872" t="s">
        <v>234</v>
      </c>
      <c r="N872" t="s">
        <v>42</v>
      </c>
      <c r="O872" t="s">
        <v>21</v>
      </c>
      <c r="P872" t="s">
        <v>236</v>
      </c>
      <c r="Q872">
        <v>0</v>
      </c>
      <c r="R872" t="s">
        <v>237</v>
      </c>
    </row>
    <row r="873" spans="1:18" x14ac:dyDescent="0.25">
      <c r="A873" t="s">
        <v>3466</v>
      </c>
      <c r="B873">
        <v>1813</v>
      </c>
      <c r="C873" t="s">
        <v>487</v>
      </c>
      <c r="D873" t="s">
        <v>322</v>
      </c>
      <c r="E873" t="s">
        <v>256</v>
      </c>
      <c r="F873" t="s">
        <v>2952</v>
      </c>
      <c r="G873" s="25">
        <v>44279</v>
      </c>
      <c r="H873">
        <v>17</v>
      </c>
      <c r="I873">
        <v>83</v>
      </c>
      <c r="J873" t="s">
        <v>231</v>
      </c>
      <c r="K873" t="s">
        <v>503</v>
      </c>
      <c r="L873" t="s">
        <v>303</v>
      </c>
      <c r="M873" t="s">
        <v>234</v>
      </c>
      <c r="N873" t="s">
        <v>56</v>
      </c>
      <c r="O873" t="s">
        <v>235</v>
      </c>
      <c r="P873" t="s">
        <v>304</v>
      </c>
      <c r="Q873">
        <v>8000</v>
      </c>
      <c r="R873" t="s">
        <v>237</v>
      </c>
    </row>
    <row r="874" spans="1:18" x14ac:dyDescent="0.25">
      <c r="A874" t="s">
        <v>2879</v>
      </c>
      <c r="B874">
        <v>1219</v>
      </c>
      <c r="C874" t="s">
        <v>487</v>
      </c>
      <c r="D874" t="s">
        <v>256</v>
      </c>
      <c r="E874" t="s">
        <v>620</v>
      </c>
      <c r="F874" t="s">
        <v>1350</v>
      </c>
      <c r="G874" s="25">
        <v>44252</v>
      </c>
      <c r="H874">
        <v>12</v>
      </c>
      <c r="I874">
        <v>56</v>
      </c>
      <c r="J874" t="s">
        <v>231</v>
      </c>
      <c r="K874" t="s">
        <v>503</v>
      </c>
      <c r="L874" t="s">
        <v>303</v>
      </c>
      <c r="M874" t="s">
        <v>234</v>
      </c>
      <c r="N874" t="s">
        <v>56</v>
      </c>
      <c r="O874" t="s">
        <v>235</v>
      </c>
      <c r="P874" t="s">
        <v>304</v>
      </c>
      <c r="Q874">
        <v>0</v>
      </c>
      <c r="R874" t="s">
        <v>237</v>
      </c>
    </row>
    <row r="875" spans="1:18" x14ac:dyDescent="0.25">
      <c r="A875" t="s">
        <v>2103</v>
      </c>
      <c r="B875">
        <v>977</v>
      </c>
      <c r="C875" t="s">
        <v>487</v>
      </c>
      <c r="D875" t="s">
        <v>256</v>
      </c>
      <c r="E875" t="s">
        <v>322</v>
      </c>
      <c r="F875" t="s">
        <v>1288</v>
      </c>
      <c r="G875" s="25">
        <v>44241</v>
      </c>
      <c r="H875">
        <v>9</v>
      </c>
      <c r="I875">
        <v>45</v>
      </c>
      <c r="J875" t="s">
        <v>231</v>
      </c>
      <c r="K875" t="s">
        <v>503</v>
      </c>
      <c r="L875" t="s">
        <v>303</v>
      </c>
      <c r="M875" t="s">
        <v>234</v>
      </c>
      <c r="N875" t="s">
        <v>56</v>
      </c>
      <c r="O875" t="s">
        <v>235</v>
      </c>
      <c r="P875" t="s">
        <v>304</v>
      </c>
      <c r="Q875">
        <v>0</v>
      </c>
      <c r="R875" t="s">
        <v>237</v>
      </c>
    </row>
    <row r="876" spans="1:18" x14ac:dyDescent="0.25">
      <c r="A876" t="s">
        <v>2043</v>
      </c>
      <c r="B876">
        <v>603</v>
      </c>
      <c r="C876" t="s">
        <v>487</v>
      </c>
      <c r="D876" t="s">
        <v>231</v>
      </c>
      <c r="E876" t="s">
        <v>381</v>
      </c>
      <c r="F876" t="s">
        <v>1099</v>
      </c>
      <c r="G876" s="25">
        <v>44224</v>
      </c>
      <c r="H876">
        <v>6</v>
      </c>
      <c r="I876">
        <v>28</v>
      </c>
      <c r="J876" t="s">
        <v>231</v>
      </c>
      <c r="K876" t="s">
        <v>503</v>
      </c>
      <c r="L876" t="s">
        <v>303</v>
      </c>
      <c r="M876" t="s">
        <v>234</v>
      </c>
      <c r="N876" t="s">
        <v>56</v>
      </c>
      <c r="O876" t="s">
        <v>235</v>
      </c>
      <c r="P876" t="s">
        <v>304</v>
      </c>
      <c r="Q876">
        <v>0</v>
      </c>
      <c r="R876" t="s">
        <v>237</v>
      </c>
    </row>
    <row r="877" spans="1:18" x14ac:dyDescent="0.25">
      <c r="A877" t="s">
        <v>792</v>
      </c>
      <c r="B877">
        <v>251</v>
      </c>
      <c r="C877" t="s">
        <v>487</v>
      </c>
      <c r="D877" t="s">
        <v>229</v>
      </c>
      <c r="E877" t="s">
        <v>232</v>
      </c>
      <c r="F877" t="s">
        <v>520</v>
      </c>
      <c r="G877" s="25">
        <v>44208</v>
      </c>
      <c r="H877">
        <v>3</v>
      </c>
      <c r="I877">
        <v>12</v>
      </c>
      <c r="J877" t="s">
        <v>231</v>
      </c>
      <c r="K877" t="s">
        <v>503</v>
      </c>
      <c r="L877" t="s">
        <v>303</v>
      </c>
      <c r="M877" t="s">
        <v>234</v>
      </c>
      <c r="N877" t="s">
        <v>56</v>
      </c>
      <c r="O877" t="s">
        <v>235</v>
      </c>
      <c r="P877" t="s">
        <v>304</v>
      </c>
      <c r="Q877">
        <v>0</v>
      </c>
      <c r="R877" t="s">
        <v>237</v>
      </c>
    </row>
    <row r="878" spans="1:18" x14ac:dyDescent="0.25">
      <c r="A878" t="s">
        <v>3467</v>
      </c>
      <c r="B878">
        <v>2583</v>
      </c>
      <c r="C878" t="s">
        <v>487</v>
      </c>
      <c r="D878" t="s">
        <v>247</v>
      </c>
      <c r="E878" t="s">
        <v>552</v>
      </c>
      <c r="F878" t="s">
        <v>3170</v>
      </c>
      <c r="G878" s="25">
        <v>44314</v>
      </c>
      <c r="H878">
        <v>24</v>
      </c>
      <c r="I878">
        <v>118</v>
      </c>
      <c r="J878" t="s">
        <v>231</v>
      </c>
      <c r="K878" t="s">
        <v>503</v>
      </c>
      <c r="L878" t="s">
        <v>303</v>
      </c>
      <c r="M878" t="s">
        <v>234</v>
      </c>
      <c r="N878" t="s">
        <v>56</v>
      </c>
      <c r="O878" t="s">
        <v>235</v>
      </c>
      <c r="P878" t="s">
        <v>304</v>
      </c>
      <c r="Q878">
        <v>2625</v>
      </c>
      <c r="R878" t="s">
        <v>237</v>
      </c>
    </row>
    <row r="879" spans="1:18" x14ac:dyDescent="0.25">
      <c r="A879" t="s">
        <v>3468</v>
      </c>
      <c r="B879">
        <v>2429</v>
      </c>
      <c r="C879" t="s">
        <v>487</v>
      </c>
      <c r="D879" t="s">
        <v>247</v>
      </c>
      <c r="E879" t="s">
        <v>515</v>
      </c>
      <c r="F879" t="s">
        <v>3134</v>
      </c>
      <c r="G879" s="25">
        <v>44307</v>
      </c>
      <c r="H879">
        <v>23</v>
      </c>
      <c r="I879">
        <v>111</v>
      </c>
      <c r="J879" t="s">
        <v>231</v>
      </c>
      <c r="K879" t="s">
        <v>503</v>
      </c>
      <c r="L879" t="s">
        <v>303</v>
      </c>
      <c r="M879" t="s">
        <v>234</v>
      </c>
      <c r="N879" t="s">
        <v>56</v>
      </c>
      <c r="O879" t="s">
        <v>235</v>
      </c>
      <c r="P879" t="s">
        <v>304</v>
      </c>
      <c r="Q879">
        <v>0</v>
      </c>
      <c r="R879" t="s">
        <v>237</v>
      </c>
    </row>
    <row r="880" spans="1:18" x14ac:dyDescent="0.25">
      <c r="A880" t="s">
        <v>3469</v>
      </c>
      <c r="B880">
        <v>2121</v>
      </c>
      <c r="C880" t="s">
        <v>487</v>
      </c>
      <c r="D880" t="s">
        <v>322</v>
      </c>
      <c r="E880" t="s">
        <v>534</v>
      </c>
      <c r="F880" t="s">
        <v>3031</v>
      </c>
      <c r="G880" s="25">
        <v>44293</v>
      </c>
      <c r="H880">
        <v>20</v>
      </c>
      <c r="I880">
        <v>97</v>
      </c>
      <c r="J880" t="s">
        <v>231</v>
      </c>
      <c r="K880" t="s">
        <v>503</v>
      </c>
      <c r="L880" t="s">
        <v>303</v>
      </c>
      <c r="M880" t="s">
        <v>234</v>
      </c>
      <c r="N880" t="s">
        <v>56</v>
      </c>
      <c r="O880" t="s">
        <v>235</v>
      </c>
      <c r="P880" t="s">
        <v>304</v>
      </c>
      <c r="Q880">
        <v>0</v>
      </c>
      <c r="R880" t="s">
        <v>237</v>
      </c>
    </row>
    <row r="881" spans="1:18" x14ac:dyDescent="0.25">
      <c r="A881" t="s">
        <v>2448</v>
      </c>
      <c r="B881">
        <v>1616</v>
      </c>
      <c r="C881" t="s">
        <v>487</v>
      </c>
      <c r="D881" t="s">
        <v>261</v>
      </c>
      <c r="E881" t="s">
        <v>537</v>
      </c>
      <c r="F881" t="s">
        <v>1530</v>
      </c>
      <c r="G881" s="25">
        <v>44270</v>
      </c>
      <c r="H881">
        <v>15</v>
      </c>
      <c r="I881">
        <v>74</v>
      </c>
      <c r="J881" t="s">
        <v>231</v>
      </c>
      <c r="K881" t="s">
        <v>502</v>
      </c>
      <c r="L881" t="s">
        <v>287</v>
      </c>
      <c r="M881" t="s">
        <v>234</v>
      </c>
      <c r="N881" t="s">
        <v>58</v>
      </c>
      <c r="O881" t="s">
        <v>235</v>
      </c>
      <c r="P881" t="s">
        <v>288</v>
      </c>
      <c r="Q881">
        <v>0</v>
      </c>
      <c r="R881" t="s">
        <v>237</v>
      </c>
    </row>
    <row r="882" spans="1:18" x14ac:dyDescent="0.25">
      <c r="A882" t="s">
        <v>1992</v>
      </c>
      <c r="B882">
        <v>868</v>
      </c>
      <c r="C882" t="s">
        <v>487</v>
      </c>
      <c r="D882" t="s">
        <v>231</v>
      </c>
      <c r="E882" t="s">
        <v>408</v>
      </c>
      <c r="F882" t="s">
        <v>1234</v>
      </c>
      <c r="G882" s="25">
        <v>44236</v>
      </c>
      <c r="H882">
        <v>8</v>
      </c>
      <c r="I882">
        <v>40</v>
      </c>
      <c r="J882" t="s">
        <v>231</v>
      </c>
      <c r="K882" t="s">
        <v>502</v>
      </c>
      <c r="L882" t="s">
        <v>287</v>
      </c>
      <c r="M882" t="s">
        <v>234</v>
      </c>
      <c r="N882" t="s">
        <v>58</v>
      </c>
      <c r="O882" t="s">
        <v>235</v>
      </c>
      <c r="P882" t="s">
        <v>288</v>
      </c>
      <c r="Q882">
        <v>0</v>
      </c>
      <c r="R882" t="s">
        <v>237</v>
      </c>
    </row>
    <row r="883" spans="1:18" x14ac:dyDescent="0.25">
      <c r="A883" t="s">
        <v>805</v>
      </c>
      <c r="B883">
        <v>406</v>
      </c>
      <c r="C883" t="s">
        <v>487</v>
      </c>
      <c r="D883" t="s">
        <v>229</v>
      </c>
      <c r="E883" t="s">
        <v>531</v>
      </c>
      <c r="F883" t="s">
        <v>532</v>
      </c>
      <c r="G883" s="25">
        <v>44215</v>
      </c>
      <c r="H883">
        <v>4</v>
      </c>
      <c r="I883">
        <v>19</v>
      </c>
      <c r="J883" t="s">
        <v>231</v>
      </c>
      <c r="K883" t="s">
        <v>502</v>
      </c>
      <c r="L883" t="s">
        <v>287</v>
      </c>
      <c r="M883" t="s">
        <v>234</v>
      </c>
      <c r="N883" t="s">
        <v>58</v>
      </c>
      <c r="O883" t="s">
        <v>235</v>
      </c>
      <c r="P883" t="s">
        <v>288</v>
      </c>
      <c r="Q883">
        <v>0</v>
      </c>
      <c r="R883" t="s">
        <v>237</v>
      </c>
    </row>
    <row r="884" spans="1:18" x14ac:dyDescent="0.25">
      <c r="A884" t="s">
        <v>3470</v>
      </c>
      <c r="B884">
        <v>2584</v>
      </c>
      <c r="C884" t="s">
        <v>487</v>
      </c>
      <c r="D884" t="s">
        <v>247</v>
      </c>
      <c r="E884" t="s">
        <v>552</v>
      </c>
      <c r="F884" t="s">
        <v>3170</v>
      </c>
      <c r="G884" s="25">
        <v>44314</v>
      </c>
      <c r="H884">
        <v>24</v>
      </c>
      <c r="I884">
        <v>118</v>
      </c>
      <c r="J884" t="s">
        <v>231</v>
      </c>
      <c r="K884" t="s">
        <v>502</v>
      </c>
      <c r="L884" t="s">
        <v>287</v>
      </c>
      <c r="M884" t="s">
        <v>234</v>
      </c>
      <c r="N884" t="s">
        <v>58</v>
      </c>
      <c r="O884" t="s">
        <v>235</v>
      </c>
      <c r="P884" t="s">
        <v>288</v>
      </c>
      <c r="Q884">
        <v>17500</v>
      </c>
      <c r="R884" t="s">
        <v>237</v>
      </c>
    </row>
    <row r="885" spans="1:18" x14ac:dyDescent="0.25">
      <c r="A885" t="s">
        <v>2241</v>
      </c>
      <c r="B885">
        <v>601</v>
      </c>
      <c r="C885" t="s">
        <v>487</v>
      </c>
      <c r="D885" t="s">
        <v>231</v>
      </c>
      <c r="E885" t="s">
        <v>381</v>
      </c>
      <c r="F885" t="s">
        <v>1099</v>
      </c>
      <c r="G885" s="25">
        <v>44224</v>
      </c>
      <c r="H885">
        <v>6</v>
      </c>
      <c r="I885">
        <v>28</v>
      </c>
      <c r="J885" t="s">
        <v>231</v>
      </c>
      <c r="K885" t="s">
        <v>500</v>
      </c>
      <c r="L885" t="s">
        <v>265</v>
      </c>
      <c r="M885" t="s">
        <v>234</v>
      </c>
      <c r="N885" t="s">
        <v>52</v>
      </c>
      <c r="O885" t="s">
        <v>235</v>
      </c>
      <c r="P885" t="s">
        <v>266</v>
      </c>
      <c r="Q885">
        <v>0</v>
      </c>
      <c r="R885" t="s">
        <v>237</v>
      </c>
    </row>
    <row r="886" spans="1:18" x14ac:dyDescent="0.25">
      <c r="A886" t="s">
        <v>689</v>
      </c>
      <c r="B886">
        <v>249</v>
      </c>
      <c r="C886" t="s">
        <v>487</v>
      </c>
      <c r="D886" t="s">
        <v>229</v>
      </c>
      <c r="E886" t="s">
        <v>232</v>
      </c>
      <c r="F886" t="s">
        <v>520</v>
      </c>
      <c r="G886" s="25">
        <v>44208</v>
      </c>
      <c r="H886">
        <v>3</v>
      </c>
      <c r="I886">
        <v>12</v>
      </c>
      <c r="J886" t="s">
        <v>231</v>
      </c>
      <c r="K886" t="s">
        <v>500</v>
      </c>
      <c r="L886" t="s">
        <v>265</v>
      </c>
      <c r="M886" t="s">
        <v>234</v>
      </c>
      <c r="N886" t="s">
        <v>52</v>
      </c>
      <c r="O886" t="s">
        <v>235</v>
      </c>
      <c r="P886" t="s">
        <v>266</v>
      </c>
      <c r="Q886">
        <v>0</v>
      </c>
      <c r="R886" t="s">
        <v>237</v>
      </c>
    </row>
    <row r="887" spans="1:18" x14ac:dyDescent="0.25">
      <c r="A887" t="s">
        <v>3471</v>
      </c>
      <c r="B887">
        <v>2581</v>
      </c>
      <c r="C887" t="s">
        <v>487</v>
      </c>
      <c r="D887" t="s">
        <v>247</v>
      </c>
      <c r="E887" t="s">
        <v>552</v>
      </c>
      <c r="F887" t="s">
        <v>3170</v>
      </c>
      <c r="G887" s="25">
        <v>44314</v>
      </c>
      <c r="H887">
        <v>24</v>
      </c>
      <c r="I887">
        <v>118</v>
      </c>
      <c r="J887" t="s">
        <v>231</v>
      </c>
      <c r="K887" t="s">
        <v>500</v>
      </c>
      <c r="L887" t="s">
        <v>265</v>
      </c>
      <c r="M887" t="s">
        <v>234</v>
      </c>
      <c r="N887" t="s">
        <v>52</v>
      </c>
      <c r="O887" t="s">
        <v>235</v>
      </c>
      <c r="P887" t="s">
        <v>266</v>
      </c>
      <c r="Q887">
        <v>497</v>
      </c>
      <c r="R887" t="s">
        <v>237</v>
      </c>
    </row>
    <row r="888" spans="1:18" x14ac:dyDescent="0.25">
      <c r="A888" t="s">
        <v>3472</v>
      </c>
      <c r="B888">
        <v>2427</v>
      </c>
      <c r="C888" t="s">
        <v>487</v>
      </c>
      <c r="D888" t="s">
        <v>247</v>
      </c>
      <c r="E888" t="s">
        <v>515</v>
      </c>
      <c r="F888" t="s">
        <v>3134</v>
      </c>
      <c r="G888" s="25">
        <v>44307</v>
      </c>
      <c r="H888">
        <v>23</v>
      </c>
      <c r="I888">
        <v>111</v>
      </c>
      <c r="J888" t="s">
        <v>231</v>
      </c>
      <c r="K888" t="s">
        <v>500</v>
      </c>
      <c r="L888" t="s">
        <v>265</v>
      </c>
      <c r="M888" t="s">
        <v>234</v>
      </c>
      <c r="N888" t="s">
        <v>52</v>
      </c>
      <c r="O888" t="s">
        <v>235</v>
      </c>
      <c r="P888" t="s">
        <v>266</v>
      </c>
      <c r="Q888">
        <v>0</v>
      </c>
      <c r="R888" t="s">
        <v>237</v>
      </c>
    </row>
    <row r="889" spans="1:18" x14ac:dyDescent="0.25">
      <c r="A889" t="s">
        <v>3473</v>
      </c>
      <c r="B889">
        <v>2119</v>
      </c>
      <c r="C889" t="s">
        <v>487</v>
      </c>
      <c r="D889" t="s">
        <v>322</v>
      </c>
      <c r="E889" t="s">
        <v>534</v>
      </c>
      <c r="F889" t="s">
        <v>3031</v>
      </c>
      <c r="G889" s="25">
        <v>44293</v>
      </c>
      <c r="H889">
        <v>20</v>
      </c>
      <c r="I889">
        <v>97</v>
      </c>
      <c r="J889" t="s">
        <v>231</v>
      </c>
      <c r="K889" t="s">
        <v>500</v>
      </c>
      <c r="L889" t="s">
        <v>265</v>
      </c>
      <c r="M889" t="s">
        <v>234</v>
      </c>
      <c r="N889" t="s">
        <v>52</v>
      </c>
      <c r="O889" t="s">
        <v>235</v>
      </c>
      <c r="P889" t="s">
        <v>266</v>
      </c>
      <c r="Q889">
        <v>0</v>
      </c>
      <c r="R889" t="s">
        <v>237</v>
      </c>
    </row>
    <row r="890" spans="1:18" x14ac:dyDescent="0.25">
      <c r="A890" t="s">
        <v>3474</v>
      </c>
      <c r="B890">
        <v>1811</v>
      </c>
      <c r="C890" t="s">
        <v>487</v>
      </c>
      <c r="D890" t="s">
        <v>322</v>
      </c>
      <c r="E890" t="s">
        <v>256</v>
      </c>
      <c r="F890" t="s">
        <v>2952</v>
      </c>
      <c r="G890" s="25">
        <v>44279</v>
      </c>
      <c r="H890">
        <v>17</v>
      </c>
      <c r="I890">
        <v>83</v>
      </c>
      <c r="J890" t="s">
        <v>231</v>
      </c>
      <c r="K890" t="s">
        <v>500</v>
      </c>
      <c r="L890" t="s">
        <v>265</v>
      </c>
      <c r="M890" t="s">
        <v>234</v>
      </c>
      <c r="N890" t="s">
        <v>52</v>
      </c>
      <c r="O890" t="s">
        <v>235</v>
      </c>
      <c r="P890" t="s">
        <v>266</v>
      </c>
      <c r="Q890">
        <v>0</v>
      </c>
      <c r="R890" t="s">
        <v>237</v>
      </c>
    </row>
    <row r="891" spans="1:18" x14ac:dyDescent="0.25">
      <c r="A891" t="s">
        <v>1778</v>
      </c>
      <c r="B891">
        <v>1217</v>
      </c>
      <c r="C891" t="s">
        <v>487</v>
      </c>
      <c r="D891" t="s">
        <v>256</v>
      </c>
      <c r="E891" t="s">
        <v>620</v>
      </c>
      <c r="F891" t="s">
        <v>1350</v>
      </c>
      <c r="G891" s="25">
        <v>44252</v>
      </c>
      <c r="H891">
        <v>12</v>
      </c>
      <c r="I891">
        <v>56</v>
      </c>
      <c r="J891" t="s">
        <v>231</v>
      </c>
      <c r="K891" t="s">
        <v>500</v>
      </c>
      <c r="L891" t="s">
        <v>265</v>
      </c>
      <c r="M891" t="s">
        <v>234</v>
      </c>
      <c r="N891" t="s">
        <v>52</v>
      </c>
      <c r="O891" t="s">
        <v>235</v>
      </c>
      <c r="P891" t="s">
        <v>266</v>
      </c>
      <c r="Q891">
        <v>0</v>
      </c>
      <c r="R891" t="s">
        <v>237</v>
      </c>
    </row>
    <row r="892" spans="1:18" x14ac:dyDescent="0.25">
      <c r="A892" t="s">
        <v>3475</v>
      </c>
      <c r="B892">
        <v>2410</v>
      </c>
      <c r="C892" t="s">
        <v>487</v>
      </c>
      <c r="D892" t="s">
        <v>247</v>
      </c>
      <c r="E892" t="s">
        <v>239</v>
      </c>
      <c r="F892" t="s">
        <v>3118</v>
      </c>
      <c r="G892" s="25">
        <v>44306</v>
      </c>
      <c r="H892">
        <v>22</v>
      </c>
      <c r="I892">
        <v>110</v>
      </c>
      <c r="J892" t="s">
        <v>231</v>
      </c>
      <c r="K892" t="s">
        <v>499</v>
      </c>
      <c r="L892" t="s">
        <v>410</v>
      </c>
      <c r="M892" t="s">
        <v>234</v>
      </c>
      <c r="N892" t="s">
        <v>62</v>
      </c>
      <c r="O892" t="s">
        <v>235</v>
      </c>
      <c r="P892" t="s">
        <v>411</v>
      </c>
      <c r="Q892">
        <v>0</v>
      </c>
      <c r="R892" t="s">
        <v>237</v>
      </c>
    </row>
    <row r="893" spans="1:18" x14ac:dyDescent="0.25">
      <c r="A893" t="s">
        <v>3476</v>
      </c>
      <c r="B893">
        <v>1948</v>
      </c>
      <c r="C893" t="s">
        <v>487</v>
      </c>
      <c r="D893" t="s">
        <v>322</v>
      </c>
      <c r="E893" t="s">
        <v>371</v>
      </c>
      <c r="F893" t="s">
        <v>2976</v>
      </c>
      <c r="G893" s="25">
        <v>44285</v>
      </c>
      <c r="H893">
        <v>18</v>
      </c>
      <c r="I893">
        <v>89</v>
      </c>
      <c r="J893" t="s">
        <v>231</v>
      </c>
      <c r="K893" t="s">
        <v>499</v>
      </c>
      <c r="L893" t="s">
        <v>410</v>
      </c>
      <c r="M893" t="s">
        <v>234</v>
      </c>
      <c r="N893" t="s">
        <v>62</v>
      </c>
      <c r="O893" t="s">
        <v>235</v>
      </c>
      <c r="P893" t="s">
        <v>411</v>
      </c>
      <c r="Q893">
        <v>0</v>
      </c>
      <c r="R893" t="s">
        <v>237</v>
      </c>
    </row>
    <row r="894" spans="1:18" x14ac:dyDescent="0.25">
      <c r="A894" t="s">
        <v>1667</v>
      </c>
      <c r="B894">
        <v>1200</v>
      </c>
      <c r="C894" t="s">
        <v>487</v>
      </c>
      <c r="D894" t="s">
        <v>256</v>
      </c>
      <c r="E894" t="s">
        <v>575</v>
      </c>
      <c r="F894" t="s">
        <v>1668</v>
      </c>
      <c r="G894" s="25">
        <v>44251</v>
      </c>
      <c r="H894">
        <v>11</v>
      </c>
      <c r="I894">
        <v>55</v>
      </c>
      <c r="J894" t="s">
        <v>231</v>
      </c>
      <c r="K894" t="s">
        <v>499</v>
      </c>
      <c r="L894" t="s">
        <v>410</v>
      </c>
      <c r="M894" t="s">
        <v>234</v>
      </c>
      <c r="N894" t="s">
        <v>62</v>
      </c>
      <c r="O894" t="s">
        <v>235</v>
      </c>
      <c r="P894" t="s">
        <v>411</v>
      </c>
      <c r="Q894">
        <v>0</v>
      </c>
      <c r="R894" t="s">
        <v>237</v>
      </c>
    </row>
    <row r="895" spans="1:18" x14ac:dyDescent="0.25">
      <c r="A895" t="s">
        <v>3477</v>
      </c>
      <c r="B895">
        <v>2331</v>
      </c>
      <c r="C895" t="s">
        <v>487</v>
      </c>
      <c r="D895" t="s">
        <v>247</v>
      </c>
      <c r="E895" t="s">
        <v>247</v>
      </c>
      <c r="F895" t="s">
        <v>3085</v>
      </c>
      <c r="G895" s="25">
        <v>44302</v>
      </c>
      <c r="H895">
        <v>22</v>
      </c>
      <c r="I895">
        <v>106</v>
      </c>
      <c r="J895" t="s">
        <v>432</v>
      </c>
      <c r="K895" t="s">
        <v>498</v>
      </c>
      <c r="L895" t="s">
        <v>26</v>
      </c>
      <c r="M895" t="s">
        <v>434</v>
      </c>
      <c r="N895" t="s">
        <v>77</v>
      </c>
      <c r="O895" t="s">
        <v>435</v>
      </c>
      <c r="P895" t="s">
        <v>26</v>
      </c>
      <c r="Q895">
        <v>203573.75</v>
      </c>
      <c r="R895" t="s">
        <v>436</v>
      </c>
    </row>
    <row r="896" spans="1:18" x14ac:dyDescent="0.25">
      <c r="A896" t="s">
        <v>2303</v>
      </c>
      <c r="B896">
        <v>989</v>
      </c>
      <c r="C896" t="s">
        <v>487</v>
      </c>
      <c r="D896" t="s">
        <v>256</v>
      </c>
      <c r="E896" t="s">
        <v>322</v>
      </c>
      <c r="F896" t="s">
        <v>1288</v>
      </c>
      <c r="G896" s="25">
        <v>44241</v>
      </c>
      <c r="H896">
        <v>9</v>
      </c>
      <c r="I896">
        <v>45</v>
      </c>
      <c r="J896" t="s">
        <v>432</v>
      </c>
      <c r="K896" t="s">
        <v>498</v>
      </c>
      <c r="L896" t="s">
        <v>26</v>
      </c>
      <c r="M896" t="s">
        <v>434</v>
      </c>
      <c r="N896" t="s">
        <v>77</v>
      </c>
      <c r="O896" t="s">
        <v>435</v>
      </c>
      <c r="P896" t="s">
        <v>26</v>
      </c>
      <c r="Q896">
        <v>269718.75</v>
      </c>
      <c r="R896" t="s">
        <v>436</v>
      </c>
    </row>
    <row r="897" spans="1:18" x14ac:dyDescent="0.25">
      <c r="A897" t="s">
        <v>2891</v>
      </c>
      <c r="B897">
        <v>593</v>
      </c>
      <c r="C897" t="s">
        <v>487</v>
      </c>
      <c r="D897" t="s">
        <v>231</v>
      </c>
      <c r="E897" t="s">
        <v>326</v>
      </c>
      <c r="F897" t="s">
        <v>1095</v>
      </c>
      <c r="G897" s="25">
        <v>44223</v>
      </c>
      <c r="H897">
        <v>6</v>
      </c>
      <c r="I897">
        <v>27</v>
      </c>
      <c r="J897" t="s">
        <v>432</v>
      </c>
      <c r="K897" t="s">
        <v>498</v>
      </c>
      <c r="L897" t="s">
        <v>26</v>
      </c>
      <c r="M897" t="s">
        <v>434</v>
      </c>
      <c r="N897" t="s">
        <v>77</v>
      </c>
      <c r="O897" t="s">
        <v>435</v>
      </c>
      <c r="P897" t="s">
        <v>26</v>
      </c>
      <c r="Q897">
        <v>144834.375</v>
      </c>
      <c r="R897" t="s">
        <v>436</v>
      </c>
    </row>
    <row r="898" spans="1:18" x14ac:dyDescent="0.25">
      <c r="A898" t="s">
        <v>2894</v>
      </c>
      <c r="B898">
        <v>1207</v>
      </c>
      <c r="C898" t="s">
        <v>487</v>
      </c>
      <c r="D898" t="s">
        <v>256</v>
      </c>
      <c r="E898" t="s">
        <v>575</v>
      </c>
      <c r="F898" t="s">
        <v>1668</v>
      </c>
      <c r="G898" s="25">
        <v>44251</v>
      </c>
      <c r="H898">
        <v>11</v>
      </c>
      <c r="I898">
        <v>55</v>
      </c>
      <c r="J898" t="s">
        <v>432</v>
      </c>
      <c r="K898" t="s">
        <v>497</v>
      </c>
      <c r="L898" t="s">
        <v>438</v>
      </c>
      <c r="M898" t="s">
        <v>434</v>
      </c>
      <c r="N898" t="s">
        <v>75</v>
      </c>
      <c r="O898" t="s">
        <v>435</v>
      </c>
      <c r="P898" t="s">
        <v>438</v>
      </c>
      <c r="Q898">
        <v>43200</v>
      </c>
      <c r="R898" t="s">
        <v>436</v>
      </c>
    </row>
    <row r="899" spans="1:18" x14ac:dyDescent="0.25">
      <c r="A899" t="s">
        <v>3478</v>
      </c>
      <c r="B899">
        <v>2417</v>
      </c>
      <c r="C899" t="s">
        <v>487</v>
      </c>
      <c r="D899" t="s">
        <v>247</v>
      </c>
      <c r="E899" t="s">
        <v>239</v>
      </c>
      <c r="F899" t="s">
        <v>3118</v>
      </c>
      <c r="G899" s="25">
        <v>44306</v>
      </c>
      <c r="H899">
        <v>22</v>
      </c>
      <c r="I899">
        <v>110</v>
      </c>
      <c r="J899" t="s">
        <v>432</v>
      </c>
      <c r="K899" t="s">
        <v>497</v>
      </c>
      <c r="L899" t="s">
        <v>438</v>
      </c>
      <c r="M899" t="s">
        <v>434</v>
      </c>
      <c r="N899" t="s">
        <v>75</v>
      </c>
      <c r="O899" t="s">
        <v>435</v>
      </c>
      <c r="P899" t="s">
        <v>438</v>
      </c>
      <c r="Q899">
        <v>34500</v>
      </c>
      <c r="R899" t="s">
        <v>436</v>
      </c>
    </row>
    <row r="900" spans="1:18" x14ac:dyDescent="0.25">
      <c r="A900" t="s">
        <v>3479</v>
      </c>
      <c r="B900">
        <v>1955</v>
      </c>
      <c r="C900" t="s">
        <v>487</v>
      </c>
      <c r="D900" t="s">
        <v>322</v>
      </c>
      <c r="E900" t="s">
        <v>371</v>
      </c>
      <c r="F900" t="s">
        <v>2976</v>
      </c>
      <c r="G900" s="25">
        <v>44285</v>
      </c>
      <c r="H900">
        <v>18</v>
      </c>
      <c r="I900">
        <v>89</v>
      </c>
      <c r="J900" t="s">
        <v>432</v>
      </c>
      <c r="K900" t="s">
        <v>497</v>
      </c>
      <c r="L900" t="s">
        <v>438</v>
      </c>
      <c r="M900" t="s">
        <v>434</v>
      </c>
      <c r="N900" t="s">
        <v>75</v>
      </c>
      <c r="O900" t="s">
        <v>435</v>
      </c>
      <c r="P900" t="s">
        <v>438</v>
      </c>
      <c r="Q900">
        <v>55200</v>
      </c>
      <c r="R900" t="s">
        <v>436</v>
      </c>
    </row>
    <row r="901" spans="1:18" x14ac:dyDescent="0.25">
      <c r="A901" t="s">
        <v>3480</v>
      </c>
      <c r="B901">
        <v>1973</v>
      </c>
      <c r="C901" t="s">
        <v>487</v>
      </c>
      <c r="D901" t="s">
        <v>322</v>
      </c>
      <c r="E901" t="s">
        <v>239</v>
      </c>
      <c r="F901" t="s">
        <v>2979</v>
      </c>
      <c r="G901" s="25">
        <v>44286</v>
      </c>
      <c r="H901">
        <v>18</v>
      </c>
      <c r="I901">
        <v>90</v>
      </c>
      <c r="J901" t="s">
        <v>432</v>
      </c>
      <c r="K901" t="s">
        <v>496</v>
      </c>
      <c r="L901" t="s">
        <v>69</v>
      </c>
      <c r="M901" t="s">
        <v>434</v>
      </c>
      <c r="N901" t="s">
        <v>68</v>
      </c>
      <c r="O901" t="s">
        <v>21</v>
      </c>
      <c r="P901" t="s">
        <v>439</v>
      </c>
      <c r="Q901">
        <v>681000</v>
      </c>
      <c r="R901" t="s">
        <v>237</v>
      </c>
    </row>
    <row r="902" spans="1:18" x14ac:dyDescent="0.25">
      <c r="A902" t="s">
        <v>2472</v>
      </c>
      <c r="B902">
        <v>632</v>
      </c>
      <c r="C902" t="s">
        <v>487</v>
      </c>
      <c r="D902" t="s">
        <v>231</v>
      </c>
      <c r="E902" t="s">
        <v>371</v>
      </c>
      <c r="F902" t="s">
        <v>1124</v>
      </c>
      <c r="G902" s="25">
        <v>44225</v>
      </c>
      <c r="H902">
        <v>6</v>
      </c>
      <c r="I902">
        <v>29</v>
      </c>
      <c r="J902" t="s">
        <v>432</v>
      </c>
      <c r="K902" t="s">
        <v>495</v>
      </c>
      <c r="L902" t="s">
        <v>135</v>
      </c>
      <c r="M902" t="s">
        <v>434</v>
      </c>
      <c r="N902" t="s">
        <v>70</v>
      </c>
      <c r="O902" t="s">
        <v>21</v>
      </c>
      <c r="P902" t="s">
        <v>440</v>
      </c>
      <c r="Q902">
        <v>251625</v>
      </c>
      <c r="R902" t="s">
        <v>237</v>
      </c>
    </row>
    <row r="903" spans="1:18" x14ac:dyDescent="0.25">
      <c r="A903" t="s">
        <v>1580</v>
      </c>
      <c r="B903">
        <v>478</v>
      </c>
      <c r="C903" t="s">
        <v>487</v>
      </c>
      <c r="D903" t="s">
        <v>231</v>
      </c>
      <c r="E903" t="s">
        <v>231</v>
      </c>
      <c r="F903" t="s">
        <v>1080</v>
      </c>
      <c r="G903" s="25">
        <v>44218</v>
      </c>
      <c r="H903">
        <v>5</v>
      </c>
      <c r="I903">
        <v>22</v>
      </c>
      <c r="J903" t="s">
        <v>432</v>
      </c>
      <c r="K903" t="s">
        <v>495</v>
      </c>
      <c r="L903" t="s">
        <v>135</v>
      </c>
      <c r="M903" t="s">
        <v>434</v>
      </c>
      <c r="N903" t="s">
        <v>70</v>
      </c>
      <c r="O903" t="s">
        <v>21</v>
      </c>
      <c r="P903" t="s">
        <v>440</v>
      </c>
      <c r="Q903">
        <v>0</v>
      </c>
      <c r="R903" t="s">
        <v>237</v>
      </c>
    </row>
    <row r="904" spans="1:18" x14ac:dyDescent="0.25">
      <c r="A904" t="s">
        <v>696</v>
      </c>
      <c r="B904">
        <v>170</v>
      </c>
      <c r="C904" t="s">
        <v>487</v>
      </c>
      <c r="D904" t="s">
        <v>229</v>
      </c>
      <c r="E904" t="s">
        <v>381</v>
      </c>
      <c r="F904" t="s">
        <v>518</v>
      </c>
      <c r="G904" s="25">
        <v>44204</v>
      </c>
      <c r="H904">
        <v>2</v>
      </c>
      <c r="I904">
        <v>8</v>
      </c>
      <c r="J904" t="s">
        <v>432</v>
      </c>
      <c r="K904" t="s">
        <v>495</v>
      </c>
      <c r="L904" t="s">
        <v>135</v>
      </c>
      <c r="M904" t="s">
        <v>434</v>
      </c>
      <c r="N904" t="s">
        <v>70</v>
      </c>
      <c r="O904" t="s">
        <v>21</v>
      </c>
      <c r="P904" t="s">
        <v>440</v>
      </c>
      <c r="Q904">
        <v>24000</v>
      </c>
      <c r="R904" t="s">
        <v>237</v>
      </c>
    </row>
    <row r="905" spans="1:18" x14ac:dyDescent="0.25">
      <c r="A905" t="s">
        <v>3481</v>
      </c>
      <c r="B905">
        <v>1996</v>
      </c>
      <c r="C905" t="s">
        <v>487</v>
      </c>
      <c r="D905" t="s">
        <v>322</v>
      </c>
      <c r="E905" t="s">
        <v>515</v>
      </c>
      <c r="F905" t="s">
        <v>2983</v>
      </c>
      <c r="G905" s="25">
        <v>44287</v>
      </c>
      <c r="H905">
        <v>19</v>
      </c>
      <c r="I905">
        <v>91</v>
      </c>
      <c r="J905" t="s">
        <v>432</v>
      </c>
      <c r="K905" t="s">
        <v>495</v>
      </c>
      <c r="L905" t="s">
        <v>135</v>
      </c>
      <c r="M905" t="s">
        <v>434</v>
      </c>
      <c r="N905" t="s">
        <v>70</v>
      </c>
      <c r="O905" t="s">
        <v>21</v>
      </c>
      <c r="P905" t="s">
        <v>440</v>
      </c>
      <c r="Q905">
        <v>681000</v>
      </c>
      <c r="R905" t="s">
        <v>237</v>
      </c>
    </row>
    <row r="906" spans="1:18" x14ac:dyDescent="0.25">
      <c r="A906" t="s">
        <v>3482</v>
      </c>
      <c r="B906">
        <v>2374</v>
      </c>
      <c r="C906" t="s">
        <v>487</v>
      </c>
      <c r="D906" t="s">
        <v>247</v>
      </c>
      <c r="E906" t="s">
        <v>381</v>
      </c>
      <c r="F906" t="s">
        <v>3107</v>
      </c>
      <c r="G906" s="25">
        <v>44304</v>
      </c>
      <c r="H906">
        <v>22</v>
      </c>
      <c r="I906">
        <v>108</v>
      </c>
      <c r="J906" t="s">
        <v>432</v>
      </c>
      <c r="K906" t="s">
        <v>494</v>
      </c>
      <c r="L906" t="s">
        <v>25</v>
      </c>
      <c r="M906" t="s">
        <v>434</v>
      </c>
      <c r="N906" t="s">
        <v>76</v>
      </c>
      <c r="O906" t="s">
        <v>435</v>
      </c>
      <c r="P906" t="s">
        <v>25</v>
      </c>
      <c r="Q906">
        <v>38250</v>
      </c>
      <c r="R906" t="s">
        <v>436</v>
      </c>
    </row>
    <row r="907" spans="1:18" x14ac:dyDescent="0.25">
      <c r="A907" t="s">
        <v>3483</v>
      </c>
      <c r="B907">
        <v>1978</v>
      </c>
      <c r="C907" t="s">
        <v>487</v>
      </c>
      <c r="D907" t="s">
        <v>322</v>
      </c>
      <c r="E907" t="s">
        <v>239</v>
      </c>
      <c r="F907" t="s">
        <v>2979</v>
      </c>
      <c r="G907" s="25">
        <v>44286</v>
      </c>
      <c r="H907">
        <v>18</v>
      </c>
      <c r="I907">
        <v>90</v>
      </c>
      <c r="J907" t="s">
        <v>432</v>
      </c>
      <c r="K907" t="s">
        <v>494</v>
      </c>
      <c r="L907" t="s">
        <v>25</v>
      </c>
      <c r="M907" t="s">
        <v>434</v>
      </c>
      <c r="N907" t="s">
        <v>76</v>
      </c>
      <c r="O907" t="s">
        <v>435</v>
      </c>
      <c r="P907" t="s">
        <v>25</v>
      </c>
      <c r="Q907">
        <v>67200</v>
      </c>
      <c r="R907" t="s">
        <v>436</v>
      </c>
    </row>
    <row r="908" spans="1:18" x14ac:dyDescent="0.25">
      <c r="A908" t="s">
        <v>2685</v>
      </c>
      <c r="B908">
        <v>1318</v>
      </c>
      <c r="C908" t="s">
        <v>487</v>
      </c>
      <c r="D908" t="s">
        <v>256</v>
      </c>
      <c r="E908" t="s">
        <v>408</v>
      </c>
      <c r="F908" t="s">
        <v>1383</v>
      </c>
      <c r="G908" s="25">
        <v>44256</v>
      </c>
      <c r="H908">
        <v>12</v>
      </c>
      <c r="I908">
        <v>60</v>
      </c>
      <c r="J908" t="s">
        <v>432</v>
      </c>
      <c r="K908" t="s">
        <v>494</v>
      </c>
      <c r="L908" t="s">
        <v>25</v>
      </c>
      <c r="M908" t="s">
        <v>434</v>
      </c>
      <c r="N908" t="s">
        <v>76</v>
      </c>
      <c r="O908" t="s">
        <v>435</v>
      </c>
      <c r="P908" t="s">
        <v>25</v>
      </c>
      <c r="Q908">
        <v>38100</v>
      </c>
      <c r="R908" t="s">
        <v>436</v>
      </c>
    </row>
    <row r="909" spans="1:18" x14ac:dyDescent="0.25">
      <c r="A909" t="s">
        <v>2478</v>
      </c>
      <c r="B909">
        <v>878</v>
      </c>
      <c r="C909" t="s">
        <v>487</v>
      </c>
      <c r="D909" t="s">
        <v>231</v>
      </c>
      <c r="E909" t="s">
        <v>408</v>
      </c>
      <c r="F909" t="s">
        <v>1234</v>
      </c>
      <c r="G909" s="25">
        <v>44236</v>
      </c>
      <c r="H909">
        <v>8</v>
      </c>
      <c r="I909">
        <v>40</v>
      </c>
      <c r="J909" t="s">
        <v>432</v>
      </c>
      <c r="K909" t="s">
        <v>494</v>
      </c>
      <c r="L909" t="s">
        <v>25</v>
      </c>
      <c r="M909" t="s">
        <v>434</v>
      </c>
      <c r="N909" t="s">
        <v>76</v>
      </c>
      <c r="O909" t="s">
        <v>435</v>
      </c>
      <c r="P909" t="s">
        <v>25</v>
      </c>
      <c r="Q909">
        <v>24431.25</v>
      </c>
      <c r="R909" t="s">
        <v>436</v>
      </c>
    </row>
    <row r="910" spans="1:18" x14ac:dyDescent="0.25">
      <c r="A910" t="s">
        <v>3484</v>
      </c>
      <c r="B910">
        <v>2112</v>
      </c>
      <c r="C910" t="s">
        <v>487</v>
      </c>
      <c r="D910" t="s">
        <v>322</v>
      </c>
      <c r="E910" t="s">
        <v>620</v>
      </c>
      <c r="F910" t="s">
        <v>3025</v>
      </c>
      <c r="G910" s="25">
        <v>44292</v>
      </c>
      <c r="H910">
        <v>20</v>
      </c>
      <c r="I910">
        <v>96</v>
      </c>
      <c r="J910" t="s">
        <v>432</v>
      </c>
      <c r="K910" t="s">
        <v>493</v>
      </c>
      <c r="L910" t="s">
        <v>441</v>
      </c>
      <c r="M910" t="s">
        <v>434</v>
      </c>
      <c r="N910" t="s">
        <v>78</v>
      </c>
      <c r="O910" t="s">
        <v>435</v>
      </c>
      <c r="P910" t="s">
        <v>441</v>
      </c>
      <c r="Q910">
        <v>261826.875</v>
      </c>
      <c r="R910" t="s">
        <v>436</v>
      </c>
    </row>
    <row r="911" spans="1:18" x14ac:dyDescent="0.25">
      <c r="A911" t="s">
        <v>3485</v>
      </c>
      <c r="B911">
        <v>1980</v>
      </c>
      <c r="C911" t="s">
        <v>487</v>
      </c>
      <c r="D911" t="s">
        <v>322</v>
      </c>
      <c r="E911" t="s">
        <v>239</v>
      </c>
      <c r="F911" t="s">
        <v>2979</v>
      </c>
      <c r="G911" s="25">
        <v>44286</v>
      </c>
      <c r="H911">
        <v>18</v>
      </c>
      <c r="I911">
        <v>90</v>
      </c>
      <c r="J911" t="s">
        <v>432</v>
      </c>
      <c r="K911" t="s">
        <v>493</v>
      </c>
      <c r="L911" t="s">
        <v>441</v>
      </c>
      <c r="M911" t="s">
        <v>434</v>
      </c>
      <c r="N911" t="s">
        <v>78</v>
      </c>
      <c r="O911" t="s">
        <v>435</v>
      </c>
      <c r="P911" t="s">
        <v>441</v>
      </c>
      <c r="Q911">
        <v>294005</v>
      </c>
      <c r="R911" t="s">
        <v>436</v>
      </c>
    </row>
    <row r="912" spans="1:18" x14ac:dyDescent="0.25">
      <c r="A912" t="s">
        <v>2261</v>
      </c>
      <c r="B912">
        <v>1694</v>
      </c>
      <c r="C912" t="s">
        <v>487</v>
      </c>
      <c r="D912" t="s">
        <v>261</v>
      </c>
      <c r="E912" t="s">
        <v>534</v>
      </c>
      <c r="F912" t="s">
        <v>1563</v>
      </c>
      <c r="G912" s="25">
        <v>44273</v>
      </c>
      <c r="H912">
        <v>16</v>
      </c>
      <c r="I912">
        <v>77</v>
      </c>
      <c r="J912" t="s">
        <v>432</v>
      </c>
      <c r="K912" t="s">
        <v>493</v>
      </c>
      <c r="L912" t="s">
        <v>441</v>
      </c>
      <c r="M912" t="s">
        <v>434</v>
      </c>
      <c r="N912" t="s">
        <v>78</v>
      </c>
      <c r="O912" t="s">
        <v>435</v>
      </c>
      <c r="P912" t="s">
        <v>441</v>
      </c>
      <c r="Q912">
        <v>111343.75</v>
      </c>
      <c r="R912" t="s">
        <v>436</v>
      </c>
    </row>
    <row r="913" spans="1:18" x14ac:dyDescent="0.25">
      <c r="A913" t="s">
        <v>2801</v>
      </c>
      <c r="B913">
        <v>1408</v>
      </c>
      <c r="C913" t="s">
        <v>487</v>
      </c>
      <c r="D913" t="s">
        <v>261</v>
      </c>
      <c r="E913" t="s">
        <v>261</v>
      </c>
      <c r="F913" t="s">
        <v>1410</v>
      </c>
      <c r="G913" s="25">
        <v>44260</v>
      </c>
      <c r="H913">
        <v>13</v>
      </c>
      <c r="I913">
        <v>64</v>
      </c>
      <c r="J913" t="s">
        <v>432</v>
      </c>
      <c r="K913" t="s">
        <v>493</v>
      </c>
      <c r="L913" t="s">
        <v>441</v>
      </c>
      <c r="M913" t="s">
        <v>434</v>
      </c>
      <c r="N913" t="s">
        <v>78</v>
      </c>
      <c r="O913" t="s">
        <v>435</v>
      </c>
      <c r="P913" t="s">
        <v>441</v>
      </c>
      <c r="Q913">
        <v>170275</v>
      </c>
      <c r="R913" t="s">
        <v>436</v>
      </c>
    </row>
    <row r="914" spans="1:18" x14ac:dyDescent="0.25">
      <c r="A914" t="s">
        <v>1750</v>
      </c>
      <c r="B914">
        <v>1188</v>
      </c>
      <c r="C914" t="s">
        <v>487</v>
      </c>
      <c r="D914" t="s">
        <v>256</v>
      </c>
      <c r="E914" t="s">
        <v>537</v>
      </c>
      <c r="F914" t="s">
        <v>1348</v>
      </c>
      <c r="G914" s="25">
        <v>44250</v>
      </c>
      <c r="H914">
        <v>11</v>
      </c>
      <c r="I914">
        <v>54</v>
      </c>
      <c r="J914" t="s">
        <v>432</v>
      </c>
      <c r="K914" t="s">
        <v>493</v>
      </c>
      <c r="L914" t="s">
        <v>441</v>
      </c>
      <c r="M914" t="s">
        <v>434</v>
      </c>
      <c r="N914" t="s">
        <v>78</v>
      </c>
      <c r="O914" t="s">
        <v>435</v>
      </c>
      <c r="P914" t="s">
        <v>441</v>
      </c>
      <c r="Q914">
        <v>210328.125</v>
      </c>
      <c r="R914" t="s">
        <v>436</v>
      </c>
    </row>
    <row r="915" spans="1:18" x14ac:dyDescent="0.25">
      <c r="A915" t="s">
        <v>3486</v>
      </c>
      <c r="B915">
        <v>1953</v>
      </c>
      <c r="C915" t="s">
        <v>487</v>
      </c>
      <c r="D915" t="s">
        <v>322</v>
      </c>
      <c r="E915" t="s">
        <v>371</v>
      </c>
      <c r="F915" t="s">
        <v>2976</v>
      </c>
      <c r="G915" s="25">
        <v>44285</v>
      </c>
      <c r="H915">
        <v>18</v>
      </c>
      <c r="I915">
        <v>89</v>
      </c>
      <c r="J915" t="s">
        <v>432</v>
      </c>
      <c r="K915" t="s">
        <v>492</v>
      </c>
      <c r="L915" t="s">
        <v>24</v>
      </c>
      <c r="M915" t="s">
        <v>434</v>
      </c>
      <c r="N915" t="s">
        <v>71</v>
      </c>
      <c r="O915" t="s">
        <v>435</v>
      </c>
      <c r="P915" t="s">
        <v>24</v>
      </c>
      <c r="Q915">
        <v>74400</v>
      </c>
      <c r="R915" t="s">
        <v>436</v>
      </c>
    </row>
    <row r="916" spans="1:18" x14ac:dyDescent="0.25">
      <c r="A916" t="s">
        <v>3487</v>
      </c>
      <c r="B916">
        <v>2415</v>
      </c>
      <c r="C916" t="s">
        <v>487</v>
      </c>
      <c r="D916" t="s">
        <v>247</v>
      </c>
      <c r="E916" t="s">
        <v>239</v>
      </c>
      <c r="F916" t="s">
        <v>3118</v>
      </c>
      <c r="G916" s="25">
        <v>44306</v>
      </c>
      <c r="H916">
        <v>22</v>
      </c>
      <c r="I916">
        <v>110</v>
      </c>
      <c r="J916" t="s">
        <v>432</v>
      </c>
      <c r="K916" t="s">
        <v>492</v>
      </c>
      <c r="L916" t="s">
        <v>24</v>
      </c>
      <c r="M916" t="s">
        <v>434</v>
      </c>
      <c r="N916" t="s">
        <v>71</v>
      </c>
      <c r="O916" t="s">
        <v>435</v>
      </c>
      <c r="P916" t="s">
        <v>24</v>
      </c>
      <c r="Q916">
        <v>54300</v>
      </c>
      <c r="R916" t="s">
        <v>436</v>
      </c>
    </row>
    <row r="917" spans="1:18" x14ac:dyDescent="0.25">
      <c r="A917" t="s">
        <v>2582</v>
      </c>
      <c r="B917">
        <v>761</v>
      </c>
      <c r="C917" t="s">
        <v>487</v>
      </c>
      <c r="D917" t="s">
        <v>231</v>
      </c>
      <c r="E917" t="s">
        <v>575</v>
      </c>
      <c r="F917" t="s">
        <v>1210</v>
      </c>
      <c r="G917" s="25">
        <v>44231</v>
      </c>
      <c r="H917">
        <v>7</v>
      </c>
      <c r="I917">
        <v>35</v>
      </c>
      <c r="J917" t="s">
        <v>432</v>
      </c>
      <c r="K917" t="s">
        <v>490</v>
      </c>
      <c r="L917" t="s">
        <v>65</v>
      </c>
      <c r="M917" t="s">
        <v>434</v>
      </c>
      <c r="N917" t="s">
        <v>64</v>
      </c>
      <c r="O917" t="s">
        <v>235</v>
      </c>
      <c r="P917" t="s">
        <v>442</v>
      </c>
      <c r="Q917">
        <v>240000</v>
      </c>
      <c r="R917" t="s">
        <v>237</v>
      </c>
    </row>
    <row r="918" spans="1:18" x14ac:dyDescent="0.25">
      <c r="A918" t="s">
        <v>773</v>
      </c>
      <c r="B918">
        <v>387</v>
      </c>
      <c r="C918" t="s">
        <v>487</v>
      </c>
      <c r="D918" t="s">
        <v>229</v>
      </c>
      <c r="E918" t="s">
        <v>552</v>
      </c>
      <c r="F918" t="s">
        <v>553</v>
      </c>
      <c r="G918" s="25">
        <v>44214</v>
      </c>
      <c r="H918">
        <v>4</v>
      </c>
      <c r="I918">
        <v>18</v>
      </c>
      <c r="J918" t="s">
        <v>432</v>
      </c>
      <c r="K918" t="s">
        <v>490</v>
      </c>
      <c r="L918" t="s">
        <v>65</v>
      </c>
      <c r="M918" t="s">
        <v>434</v>
      </c>
      <c r="N918" t="s">
        <v>64</v>
      </c>
      <c r="O918" t="s">
        <v>235</v>
      </c>
      <c r="P918" t="s">
        <v>442</v>
      </c>
      <c r="Q918">
        <v>68500</v>
      </c>
      <c r="R918" t="s">
        <v>237</v>
      </c>
    </row>
    <row r="919" spans="1:18" x14ac:dyDescent="0.25">
      <c r="A919" t="s">
        <v>2697</v>
      </c>
      <c r="B919">
        <v>1597</v>
      </c>
      <c r="C919" t="s">
        <v>487</v>
      </c>
      <c r="D919" t="s">
        <v>261</v>
      </c>
      <c r="E919" t="s">
        <v>512</v>
      </c>
      <c r="F919" t="s">
        <v>1518</v>
      </c>
      <c r="G919" s="25">
        <v>44269</v>
      </c>
      <c r="H919">
        <v>15</v>
      </c>
      <c r="I919">
        <v>73</v>
      </c>
      <c r="J919" t="s">
        <v>432</v>
      </c>
      <c r="K919" t="s">
        <v>490</v>
      </c>
      <c r="L919" t="s">
        <v>65</v>
      </c>
      <c r="M919" t="s">
        <v>434</v>
      </c>
      <c r="N919" t="s">
        <v>64</v>
      </c>
      <c r="O919" t="s">
        <v>235</v>
      </c>
      <c r="P919" t="s">
        <v>442</v>
      </c>
      <c r="Q919">
        <v>344000</v>
      </c>
      <c r="R919" t="s">
        <v>237</v>
      </c>
    </row>
    <row r="920" spans="1:18" x14ac:dyDescent="0.25">
      <c r="A920" t="s">
        <v>1708</v>
      </c>
      <c r="B920">
        <v>1509</v>
      </c>
      <c r="C920" t="s">
        <v>487</v>
      </c>
      <c r="D920" t="s">
        <v>261</v>
      </c>
      <c r="E920" t="s">
        <v>371</v>
      </c>
      <c r="F920" t="s">
        <v>1478</v>
      </c>
      <c r="G920" s="25">
        <v>44265</v>
      </c>
      <c r="H920">
        <v>14</v>
      </c>
      <c r="I920">
        <v>69</v>
      </c>
      <c r="J920" t="s">
        <v>432</v>
      </c>
      <c r="K920" t="s">
        <v>490</v>
      </c>
      <c r="L920" t="s">
        <v>65</v>
      </c>
      <c r="M920" t="s">
        <v>434</v>
      </c>
      <c r="N920" t="s">
        <v>64</v>
      </c>
      <c r="O920" t="s">
        <v>235</v>
      </c>
      <c r="P920" t="s">
        <v>442</v>
      </c>
      <c r="Q920">
        <v>344000</v>
      </c>
      <c r="R920" t="s">
        <v>237</v>
      </c>
    </row>
    <row r="921" spans="1:18" x14ac:dyDescent="0.25">
      <c r="A921" t="s">
        <v>2488</v>
      </c>
      <c r="B921">
        <v>1690</v>
      </c>
      <c r="C921" t="s">
        <v>487</v>
      </c>
      <c r="D921" t="s">
        <v>261</v>
      </c>
      <c r="E921" t="s">
        <v>534</v>
      </c>
      <c r="F921" t="s">
        <v>1563</v>
      </c>
      <c r="G921" s="25">
        <v>44273</v>
      </c>
      <c r="H921">
        <v>16</v>
      </c>
      <c r="I921">
        <v>77</v>
      </c>
      <c r="J921" t="s">
        <v>432</v>
      </c>
      <c r="K921" t="s">
        <v>488</v>
      </c>
      <c r="L921" t="s">
        <v>433</v>
      </c>
      <c r="M921" t="s">
        <v>434</v>
      </c>
      <c r="N921" t="s">
        <v>74</v>
      </c>
      <c r="O921" t="s">
        <v>435</v>
      </c>
      <c r="P921" t="s">
        <v>433</v>
      </c>
      <c r="Q921">
        <v>25800</v>
      </c>
      <c r="R921" t="s">
        <v>436</v>
      </c>
    </row>
    <row r="922" spans="1:18" x14ac:dyDescent="0.25">
      <c r="A922" t="s">
        <v>2586</v>
      </c>
      <c r="B922">
        <v>1162</v>
      </c>
      <c r="C922" t="s">
        <v>487</v>
      </c>
      <c r="D922" t="s">
        <v>256</v>
      </c>
      <c r="E922" t="s">
        <v>512</v>
      </c>
      <c r="F922" t="s">
        <v>1342</v>
      </c>
      <c r="G922" s="25">
        <v>44249</v>
      </c>
      <c r="H922">
        <v>11</v>
      </c>
      <c r="I922">
        <v>53</v>
      </c>
      <c r="J922" t="s">
        <v>432</v>
      </c>
      <c r="K922" t="s">
        <v>488</v>
      </c>
      <c r="L922" t="s">
        <v>433</v>
      </c>
      <c r="M922" t="s">
        <v>434</v>
      </c>
      <c r="N922" t="s">
        <v>74</v>
      </c>
      <c r="O922" t="s">
        <v>435</v>
      </c>
      <c r="P922" t="s">
        <v>433</v>
      </c>
      <c r="Q922">
        <v>48000</v>
      </c>
      <c r="R922" t="s">
        <v>436</v>
      </c>
    </row>
    <row r="923" spans="1:18" x14ac:dyDescent="0.25">
      <c r="A923" t="s">
        <v>2325</v>
      </c>
      <c r="B923">
        <v>854</v>
      </c>
      <c r="C923" t="s">
        <v>487</v>
      </c>
      <c r="D923" t="s">
        <v>231</v>
      </c>
      <c r="E923" t="s">
        <v>531</v>
      </c>
      <c r="F923" t="s">
        <v>1230</v>
      </c>
      <c r="G923" s="25">
        <v>44235</v>
      </c>
      <c r="H923">
        <v>8</v>
      </c>
      <c r="I923">
        <v>39</v>
      </c>
      <c r="J923" t="s">
        <v>432</v>
      </c>
      <c r="K923" t="s">
        <v>488</v>
      </c>
      <c r="L923" t="s">
        <v>433</v>
      </c>
      <c r="M923" t="s">
        <v>434</v>
      </c>
      <c r="N923" t="s">
        <v>74</v>
      </c>
      <c r="O923" t="s">
        <v>435</v>
      </c>
      <c r="P923" t="s">
        <v>433</v>
      </c>
      <c r="Q923">
        <v>22200</v>
      </c>
      <c r="R923" t="s">
        <v>436</v>
      </c>
    </row>
    <row r="924" spans="1:18" x14ac:dyDescent="0.25">
      <c r="A924" t="s">
        <v>1634</v>
      </c>
      <c r="B924">
        <v>546</v>
      </c>
      <c r="C924" t="s">
        <v>487</v>
      </c>
      <c r="D924" t="s">
        <v>231</v>
      </c>
      <c r="E924" t="s">
        <v>322</v>
      </c>
      <c r="F924" t="s">
        <v>1085</v>
      </c>
      <c r="G924" s="25">
        <v>44221</v>
      </c>
      <c r="H924">
        <v>5</v>
      </c>
      <c r="I924">
        <v>25</v>
      </c>
      <c r="J924" t="s">
        <v>432</v>
      </c>
      <c r="K924" t="s">
        <v>488</v>
      </c>
      <c r="L924" t="s">
        <v>433</v>
      </c>
      <c r="M924" t="s">
        <v>434</v>
      </c>
      <c r="N924" t="s">
        <v>74</v>
      </c>
      <c r="O924" t="s">
        <v>435</v>
      </c>
      <c r="P924" t="s">
        <v>433</v>
      </c>
      <c r="Q924">
        <v>32400</v>
      </c>
      <c r="R924" t="s">
        <v>436</v>
      </c>
    </row>
    <row r="925" spans="1:18" x14ac:dyDescent="0.25">
      <c r="A925" t="s">
        <v>3488</v>
      </c>
      <c r="B925">
        <v>2654</v>
      </c>
      <c r="C925" t="s">
        <v>487</v>
      </c>
      <c r="D925" t="s">
        <v>326</v>
      </c>
      <c r="E925" t="s">
        <v>229</v>
      </c>
      <c r="F925" t="s">
        <v>3241</v>
      </c>
      <c r="G925" s="25">
        <v>44317</v>
      </c>
      <c r="H925">
        <v>25</v>
      </c>
      <c r="I925">
        <v>121</v>
      </c>
      <c r="J925" t="s">
        <v>432</v>
      </c>
      <c r="K925" t="s">
        <v>489</v>
      </c>
      <c r="L925" t="s">
        <v>134</v>
      </c>
      <c r="M925" t="s">
        <v>434</v>
      </c>
      <c r="N925" t="s">
        <v>67</v>
      </c>
      <c r="O925" t="s">
        <v>235</v>
      </c>
      <c r="P925" t="s">
        <v>437</v>
      </c>
      <c r="Q925">
        <v>156000</v>
      </c>
      <c r="R925" t="s">
        <v>237</v>
      </c>
    </row>
    <row r="926" spans="1:18" x14ac:dyDescent="0.25">
      <c r="A926" t="s">
        <v>2208</v>
      </c>
      <c r="B926">
        <v>1664</v>
      </c>
      <c r="C926" t="s">
        <v>487</v>
      </c>
      <c r="D926" t="s">
        <v>261</v>
      </c>
      <c r="E926" t="s">
        <v>620</v>
      </c>
      <c r="F926" t="s">
        <v>1545</v>
      </c>
      <c r="G926" s="25">
        <v>44272</v>
      </c>
      <c r="H926">
        <v>16</v>
      </c>
      <c r="I926">
        <v>76</v>
      </c>
      <c r="J926" t="s">
        <v>432</v>
      </c>
      <c r="K926" t="s">
        <v>489</v>
      </c>
      <c r="L926" t="s">
        <v>134</v>
      </c>
      <c r="M926" t="s">
        <v>434</v>
      </c>
      <c r="N926" t="s">
        <v>67</v>
      </c>
      <c r="O926" t="s">
        <v>235</v>
      </c>
      <c r="P926" t="s">
        <v>437</v>
      </c>
      <c r="Q926">
        <v>312375</v>
      </c>
      <c r="R926" t="s">
        <v>237</v>
      </c>
    </row>
    <row r="927" spans="1:18" x14ac:dyDescent="0.25">
      <c r="A927" t="s">
        <v>1713</v>
      </c>
      <c r="B927">
        <v>1532</v>
      </c>
      <c r="C927" t="s">
        <v>487</v>
      </c>
      <c r="D927" t="s">
        <v>261</v>
      </c>
      <c r="E927" t="s">
        <v>239</v>
      </c>
      <c r="F927" t="s">
        <v>1703</v>
      </c>
      <c r="G927" s="25">
        <v>44266</v>
      </c>
      <c r="H927">
        <v>14</v>
      </c>
      <c r="I927">
        <v>70</v>
      </c>
      <c r="J927" t="s">
        <v>432</v>
      </c>
      <c r="K927" t="s">
        <v>489</v>
      </c>
      <c r="L927" t="s">
        <v>134</v>
      </c>
      <c r="M927" t="s">
        <v>434</v>
      </c>
      <c r="N927" t="s">
        <v>67</v>
      </c>
      <c r="O927" t="s">
        <v>235</v>
      </c>
      <c r="P927" t="s">
        <v>437</v>
      </c>
      <c r="Q927">
        <v>344000</v>
      </c>
      <c r="R927" t="s">
        <v>237</v>
      </c>
    </row>
    <row r="928" spans="1:18" x14ac:dyDescent="0.25">
      <c r="A928" t="s">
        <v>2149</v>
      </c>
      <c r="B928">
        <v>1290</v>
      </c>
      <c r="C928" t="s">
        <v>487</v>
      </c>
      <c r="D928" t="s">
        <v>256</v>
      </c>
      <c r="E928" t="s">
        <v>531</v>
      </c>
      <c r="F928" t="s">
        <v>1373</v>
      </c>
      <c r="G928" s="25">
        <v>44255</v>
      </c>
      <c r="H928">
        <v>12</v>
      </c>
      <c r="I928">
        <v>59</v>
      </c>
      <c r="J928" t="s">
        <v>432</v>
      </c>
      <c r="K928" t="s">
        <v>489</v>
      </c>
      <c r="L928" t="s">
        <v>134</v>
      </c>
      <c r="M928" t="s">
        <v>434</v>
      </c>
      <c r="N928" t="s">
        <v>67</v>
      </c>
      <c r="O928" t="s">
        <v>235</v>
      </c>
      <c r="P928" t="s">
        <v>437</v>
      </c>
      <c r="Q928">
        <v>344000</v>
      </c>
      <c r="R928" t="s">
        <v>237</v>
      </c>
    </row>
    <row r="929" spans="1:18" x14ac:dyDescent="0.25">
      <c r="A929" t="s">
        <v>2211</v>
      </c>
      <c r="B929">
        <v>1026</v>
      </c>
      <c r="C929" t="s">
        <v>487</v>
      </c>
      <c r="D929" t="s">
        <v>256</v>
      </c>
      <c r="E929" t="s">
        <v>326</v>
      </c>
      <c r="F929" t="s">
        <v>1305</v>
      </c>
      <c r="G929" s="25">
        <v>44243</v>
      </c>
      <c r="H929">
        <v>10</v>
      </c>
      <c r="I929">
        <v>47</v>
      </c>
      <c r="J929" t="s">
        <v>432</v>
      </c>
      <c r="K929" t="s">
        <v>489</v>
      </c>
      <c r="L929" t="s">
        <v>134</v>
      </c>
      <c r="M929" t="s">
        <v>434</v>
      </c>
      <c r="N929" t="s">
        <v>67</v>
      </c>
      <c r="O929" t="s">
        <v>235</v>
      </c>
      <c r="P929" t="s">
        <v>437</v>
      </c>
      <c r="Q929">
        <v>486250</v>
      </c>
      <c r="R929" t="s">
        <v>237</v>
      </c>
    </row>
    <row r="930" spans="1:18" x14ac:dyDescent="0.25">
      <c r="A930" t="s">
        <v>597</v>
      </c>
      <c r="B930">
        <v>322</v>
      </c>
      <c r="C930" t="s">
        <v>487</v>
      </c>
      <c r="D930" t="s">
        <v>229</v>
      </c>
      <c r="E930" t="s">
        <v>575</v>
      </c>
      <c r="F930" t="s">
        <v>576</v>
      </c>
      <c r="G930" s="25">
        <v>44211</v>
      </c>
      <c r="H930">
        <v>3</v>
      </c>
      <c r="I930">
        <v>15</v>
      </c>
      <c r="J930" t="s">
        <v>432</v>
      </c>
      <c r="K930" t="s">
        <v>489</v>
      </c>
      <c r="L930" t="s">
        <v>134</v>
      </c>
      <c r="M930" t="s">
        <v>434</v>
      </c>
      <c r="N930" t="s">
        <v>67</v>
      </c>
      <c r="O930" t="s">
        <v>235</v>
      </c>
      <c r="P930" t="s">
        <v>437</v>
      </c>
      <c r="Q930">
        <v>24000</v>
      </c>
      <c r="R930" t="s">
        <v>237</v>
      </c>
    </row>
    <row r="931" spans="1:18" x14ac:dyDescent="0.25">
      <c r="A931" t="s">
        <v>735</v>
      </c>
      <c r="B931">
        <v>443</v>
      </c>
      <c r="C931" t="s">
        <v>487</v>
      </c>
      <c r="D931" t="s">
        <v>231</v>
      </c>
      <c r="E931" t="s">
        <v>229</v>
      </c>
      <c r="F931" t="s">
        <v>541</v>
      </c>
      <c r="G931" s="25">
        <v>44217</v>
      </c>
      <c r="H931">
        <v>5</v>
      </c>
      <c r="I931">
        <v>21</v>
      </c>
      <c r="J931" t="s">
        <v>231</v>
      </c>
      <c r="K931" t="s">
        <v>509</v>
      </c>
      <c r="L931" t="s">
        <v>45</v>
      </c>
      <c r="M931" t="s">
        <v>234</v>
      </c>
      <c r="N931" t="s">
        <v>44</v>
      </c>
      <c r="O931" t="s">
        <v>21</v>
      </c>
      <c r="P931" t="s">
        <v>304</v>
      </c>
      <c r="Q931">
        <v>0</v>
      </c>
      <c r="R931" t="s">
        <v>237</v>
      </c>
    </row>
    <row r="932" spans="1:18" x14ac:dyDescent="0.25">
      <c r="A932" t="s">
        <v>301</v>
      </c>
      <c r="B932">
        <v>135</v>
      </c>
      <c r="C932" t="s">
        <v>487</v>
      </c>
      <c r="D932" t="s">
        <v>229</v>
      </c>
      <c r="E932" t="s">
        <v>326</v>
      </c>
      <c r="F932" t="s">
        <v>522</v>
      </c>
      <c r="G932" s="25">
        <v>44203</v>
      </c>
      <c r="H932">
        <v>2</v>
      </c>
      <c r="I932">
        <v>7</v>
      </c>
      <c r="J932" t="s">
        <v>231</v>
      </c>
      <c r="K932" t="s">
        <v>509</v>
      </c>
      <c r="L932" t="s">
        <v>45</v>
      </c>
      <c r="M932" t="s">
        <v>234</v>
      </c>
      <c r="N932" t="s">
        <v>44</v>
      </c>
      <c r="O932" t="s">
        <v>21</v>
      </c>
      <c r="P932" t="s">
        <v>304</v>
      </c>
      <c r="Q932">
        <v>8000</v>
      </c>
      <c r="R932" t="s">
        <v>237</v>
      </c>
    </row>
    <row r="933" spans="1:18" x14ac:dyDescent="0.25">
      <c r="A933" t="s">
        <v>3489</v>
      </c>
      <c r="B933">
        <v>2423</v>
      </c>
      <c r="C933" t="s">
        <v>487</v>
      </c>
      <c r="D933" t="s">
        <v>247</v>
      </c>
      <c r="E933" t="s">
        <v>515</v>
      </c>
      <c r="F933" t="s">
        <v>3134</v>
      </c>
      <c r="G933" s="25">
        <v>44307</v>
      </c>
      <c r="H933">
        <v>23</v>
      </c>
      <c r="I933">
        <v>111</v>
      </c>
      <c r="J933" t="s">
        <v>231</v>
      </c>
      <c r="K933" t="s">
        <v>509</v>
      </c>
      <c r="L933" t="s">
        <v>45</v>
      </c>
      <c r="M933" t="s">
        <v>234</v>
      </c>
      <c r="N933" t="s">
        <v>44</v>
      </c>
      <c r="O933" t="s">
        <v>21</v>
      </c>
      <c r="P933" t="s">
        <v>304</v>
      </c>
      <c r="Q933">
        <v>1589</v>
      </c>
      <c r="R933" t="s">
        <v>237</v>
      </c>
    </row>
    <row r="934" spans="1:18" x14ac:dyDescent="0.25">
      <c r="A934" t="s">
        <v>2383</v>
      </c>
      <c r="B934">
        <v>1588</v>
      </c>
      <c r="C934" t="s">
        <v>487</v>
      </c>
      <c r="D934" t="s">
        <v>261</v>
      </c>
      <c r="E934" t="s">
        <v>512</v>
      </c>
      <c r="F934" t="s">
        <v>1518</v>
      </c>
      <c r="G934" s="25">
        <v>44269</v>
      </c>
      <c r="H934">
        <v>15</v>
      </c>
      <c r="I934">
        <v>73</v>
      </c>
      <c r="J934" t="s">
        <v>231</v>
      </c>
      <c r="K934" t="s">
        <v>508</v>
      </c>
      <c r="L934" t="s">
        <v>47</v>
      </c>
      <c r="M934" t="s">
        <v>234</v>
      </c>
      <c r="N934" t="s">
        <v>46</v>
      </c>
      <c r="O934" t="s">
        <v>21</v>
      </c>
      <c r="P934" t="s">
        <v>288</v>
      </c>
      <c r="Q934">
        <v>1171</v>
      </c>
      <c r="R934" t="s">
        <v>237</v>
      </c>
    </row>
    <row r="935" spans="1:18" x14ac:dyDescent="0.25">
      <c r="A935" t="s">
        <v>2649</v>
      </c>
      <c r="B935">
        <v>1500</v>
      </c>
      <c r="C935" t="s">
        <v>487</v>
      </c>
      <c r="D935" t="s">
        <v>261</v>
      </c>
      <c r="E935" t="s">
        <v>371</v>
      </c>
      <c r="F935" t="s">
        <v>1478</v>
      </c>
      <c r="G935" s="25">
        <v>44265</v>
      </c>
      <c r="H935">
        <v>14</v>
      </c>
      <c r="I935">
        <v>69</v>
      </c>
      <c r="J935" t="s">
        <v>231</v>
      </c>
      <c r="K935" t="s">
        <v>508</v>
      </c>
      <c r="L935" t="s">
        <v>47</v>
      </c>
      <c r="M935" t="s">
        <v>234</v>
      </c>
      <c r="N935" t="s">
        <v>46</v>
      </c>
      <c r="O935" t="s">
        <v>21</v>
      </c>
      <c r="P935" t="s">
        <v>288</v>
      </c>
      <c r="Q935">
        <v>1171</v>
      </c>
      <c r="R935" t="s">
        <v>237</v>
      </c>
    </row>
    <row r="936" spans="1:18" x14ac:dyDescent="0.25">
      <c r="A936" t="s">
        <v>2081</v>
      </c>
      <c r="B936">
        <v>950</v>
      </c>
      <c r="C936" t="s">
        <v>487</v>
      </c>
      <c r="D936" t="s">
        <v>256</v>
      </c>
      <c r="E936" t="s">
        <v>261</v>
      </c>
      <c r="F936" t="s">
        <v>1276</v>
      </c>
      <c r="G936" s="25">
        <v>44240</v>
      </c>
      <c r="H936">
        <v>9</v>
      </c>
      <c r="I936">
        <v>44</v>
      </c>
      <c r="J936" t="s">
        <v>231</v>
      </c>
      <c r="K936" t="s">
        <v>508</v>
      </c>
      <c r="L936" t="s">
        <v>47</v>
      </c>
      <c r="M936" t="s">
        <v>234</v>
      </c>
      <c r="N936" t="s">
        <v>46</v>
      </c>
      <c r="O936" t="s">
        <v>21</v>
      </c>
      <c r="P936" t="s">
        <v>288</v>
      </c>
      <c r="Q936">
        <v>32382</v>
      </c>
      <c r="R936" t="s">
        <v>237</v>
      </c>
    </row>
    <row r="937" spans="1:18" x14ac:dyDescent="0.25">
      <c r="A937" t="s">
        <v>2026</v>
      </c>
      <c r="B937">
        <v>995</v>
      </c>
      <c r="C937" t="s">
        <v>487</v>
      </c>
      <c r="D937" t="s">
        <v>256</v>
      </c>
      <c r="E937" t="s">
        <v>247</v>
      </c>
      <c r="F937" t="s">
        <v>1299</v>
      </c>
      <c r="G937" s="25">
        <v>44242</v>
      </c>
      <c r="H937">
        <v>10</v>
      </c>
      <c r="I937">
        <v>46</v>
      </c>
      <c r="J937" t="s">
        <v>231</v>
      </c>
      <c r="K937" t="s">
        <v>507</v>
      </c>
      <c r="L937" t="s">
        <v>49</v>
      </c>
      <c r="M937" t="s">
        <v>234</v>
      </c>
      <c r="N937" t="s">
        <v>48</v>
      </c>
      <c r="O937" t="s">
        <v>21</v>
      </c>
      <c r="P937" t="s">
        <v>413</v>
      </c>
      <c r="Q937">
        <v>0</v>
      </c>
      <c r="R937" t="s">
        <v>237</v>
      </c>
    </row>
    <row r="938" spans="1:18" x14ac:dyDescent="0.25">
      <c r="A938" t="s">
        <v>384</v>
      </c>
      <c r="B938">
        <v>27</v>
      </c>
      <c r="C938" t="s">
        <v>487</v>
      </c>
      <c r="D938" t="s">
        <v>229</v>
      </c>
      <c r="E938" t="s">
        <v>231</v>
      </c>
      <c r="F938" t="s">
        <v>568</v>
      </c>
      <c r="G938" s="25">
        <v>44198</v>
      </c>
      <c r="H938">
        <v>1</v>
      </c>
      <c r="I938">
        <v>2</v>
      </c>
      <c r="J938" t="s">
        <v>231</v>
      </c>
      <c r="K938" t="s">
        <v>507</v>
      </c>
      <c r="L938" t="s">
        <v>49</v>
      </c>
      <c r="M938" t="s">
        <v>234</v>
      </c>
      <c r="N938" t="s">
        <v>48</v>
      </c>
      <c r="O938" t="s">
        <v>21</v>
      </c>
      <c r="P938" t="s">
        <v>413</v>
      </c>
      <c r="Q938">
        <v>0</v>
      </c>
      <c r="R938" t="s">
        <v>237</v>
      </c>
    </row>
    <row r="939" spans="1:18" x14ac:dyDescent="0.25">
      <c r="A939" t="s">
        <v>3490</v>
      </c>
      <c r="B939">
        <v>2205</v>
      </c>
      <c r="C939" t="s">
        <v>487</v>
      </c>
      <c r="D939" t="s">
        <v>247</v>
      </c>
      <c r="E939" t="s">
        <v>229</v>
      </c>
      <c r="F939" t="s">
        <v>3063</v>
      </c>
      <c r="G939" s="25">
        <v>44297</v>
      </c>
      <c r="H939">
        <v>21</v>
      </c>
      <c r="I939">
        <v>101</v>
      </c>
      <c r="J939" t="s">
        <v>231</v>
      </c>
      <c r="K939" t="s">
        <v>507</v>
      </c>
      <c r="L939" t="s">
        <v>49</v>
      </c>
      <c r="M939" t="s">
        <v>234</v>
      </c>
      <c r="N939" t="s">
        <v>48</v>
      </c>
      <c r="O939" t="s">
        <v>21</v>
      </c>
      <c r="P939" t="s">
        <v>413</v>
      </c>
      <c r="Q939">
        <v>0</v>
      </c>
      <c r="R939" t="s">
        <v>237</v>
      </c>
    </row>
    <row r="940" spans="1:18" x14ac:dyDescent="0.25">
      <c r="A940" t="s">
        <v>2287</v>
      </c>
      <c r="B940">
        <v>622</v>
      </c>
      <c r="C940" t="s">
        <v>487</v>
      </c>
      <c r="D940" t="s">
        <v>231</v>
      </c>
      <c r="E940" t="s">
        <v>371</v>
      </c>
      <c r="F940" t="s">
        <v>1124</v>
      </c>
      <c r="G940" s="25">
        <v>44225</v>
      </c>
      <c r="H940">
        <v>6</v>
      </c>
      <c r="I940">
        <v>29</v>
      </c>
      <c r="J940" t="s">
        <v>231</v>
      </c>
      <c r="K940" t="s">
        <v>506</v>
      </c>
      <c r="L940" t="s">
        <v>414</v>
      </c>
      <c r="M940" t="s">
        <v>234</v>
      </c>
      <c r="N940" t="s">
        <v>50</v>
      </c>
      <c r="O940" t="s">
        <v>21</v>
      </c>
      <c r="P940" t="s">
        <v>411</v>
      </c>
      <c r="Q940">
        <v>0</v>
      </c>
      <c r="R940" t="s">
        <v>237</v>
      </c>
    </row>
    <row r="941" spans="1:18" x14ac:dyDescent="0.25">
      <c r="A941" t="s">
        <v>830</v>
      </c>
      <c r="B941">
        <v>270</v>
      </c>
      <c r="C941" t="s">
        <v>487</v>
      </c>
      <c r="D941" t="s">
        <v>229</v>
      </c>
      <c r="E941" t="s">
        <v>512</v>
      </c>
      <c r="F941" t="s">
        <v>513</v>
      </c>
      <c r="G941" s="25">
        <v>44209</v>
      </c>
      <c r="H941">
        <v>3</v>
      </c>
      <c r="I941">
        <v>13</v>
      </c>
      <c r="J941" t="s">
        <v>231</v>
      </c>
      <c r="K941" t="s">
        <v>506</v>
      </c>
      <c r="L941" t="s">
        <v>414</v>
      </c>
      <c r="M941" t="s">
        <v>234</v>
      </c>
      <c r="N941" t="s">
        <v>50</v>
      </c>
      <c r="O941" t="s">
        <v>21</v>
      </c>
      <c r="P941" t="s">
        <v>411</v>
      </c>
      <c r="Q941">
        <v>0</v>
      </c>
      <c r="R941" t="s">
        <v>237</v>
      </c>
    </row>
    <row r="942" spans="1:18" x14ac:dyDescent="0.25">
      <c r="A942" t="s">
        <v>3491</v>
      </c>
      <c r="B942">
        <v>2448</v>
      </c>
      <c r="C942" t="s">
        <v>487</v>
      </c>
      <c r="D942" t="s">
        <v>247</v>
      </c>
      <c r="E942" t="s">
        <v>232</v>
      </c>
      <c r="F942" t="s">
        <v>3140</v>
      </c>
      <c r="G942" s="25">
        <v>44308</v>
      </c>
      <c r="H942">
        <v>23</v>
      </c>
      <c r="I942">
        <v>112</v>
      </c>
      <c r="J942" t="s">
        <v>231</v>
      </c>
      <c r="K942" t="s">
        <v>506</v>
      </c>
      <c r="L942" t="s">
        <v>414</v>
      </c>
      <c r="M942" t="s">
        <v>234</v>
      </c>
      <c r="N942" t="s">
        <v>50</v>
      </c>
      <c r="O942" t="s">
        <v>21</v>
      </c>
      <c r="P942" t="s">
        <v>411</v>
      </c>
      <c r="Q942">
        <v>0</v>
      </c>
      <c r="R942" t="s">
        <v>237</v>
      </c>
    </row>
    <row r="943" spans="1:18" x14ac:dyDescent="0.25">
      <c r="A943" t="s">
        <v>3492</v>
      </c>
      <c r="B943">
        <v>2140</v>
      </c>
      <c r="C943" t="s">
        <v>487</v>
      </c>
      <c r="D943" t="s">
        <v>322</v>
      </c>
      <c r="E943" t="s">
        <v>552</v>
      </c>
      <c r="F943" t="s">
        <v>3045</v>
      </c>
      <c r="G943" s="25">
        <v>44294</v>
      </c>
      <c r="H943">
        <v>20</v>
      </c>
      <c r="I943">
        <v>98</v>
      </c>
      <c r="J943" t="s">
        <v>231</v>
      </c>
      <c r="K943" t="s">
        <v>506</v>
      </c>
      <c r="L943" t="s">
        <v>414</v>
      </c>
      <c r="M943" t="s">
        <v>234</v>
      </c>
      <c r="N943" t="s">
        <v>50</v>
      </c>
      <c r="O943" t="s">
        <v>21</v>
      </c>
      <c r="P943" t="s">
        <v>411</v>
      </c>
      <c r="Q943">
        <v>0</v>
      </c>
      <c r="R943" t="s">
        <v>237</v>
      </c>
    </row>
    <row r="944" spans="1:18" x14ac:dyDescent="0.25">
      <c r="A944" t="s">
        <v>3493</v>
      </c>
      <c r="B944">
        <v>1832</v>
      </c>
      <c r="C944" t="s">
        <v>487</v>
      </c>
      <c r="D944" t="s">
        <v>322</v>
      </c>
      <c r="E944" t="s">
        <v>261</v>
      </c>
      <c r="F944" t="s">
        <v>2956</v>
      </c>
      <c r="G944" s="25">
        <v>44280</v>
      </c>
      <c r="H944">
        <v>17</v>
      </c>
      <c r="I944">
        <v>84</v>
      </c>
      <c r="J944" t="s">
        <v>231</v>
      </c>
      <c r="K944" t="s">
        <v>506</v>
      </c>
      <c r="L944" t="s">
        <v>414</v>
      </c>
      <c r="M944" t="s">
        <v>234</v>
      </c>
      <c r="N944" t="s">
        <v>50</v>
      </c>
      <c r="O944" t="s">
        <v>21</v>
      </c>
      <c r="P944" t="s">
        <v>411</v>
      </c>
      <c r="Q944">
        <v>0</v>
      </c>
      <c r="R944" t="s">
        <v>237</v>
      </c>
    </row>
    <row r="945" spans="1:18" x14ac:dyDescent="0.25">
      <c r="A945" t="s">
        <v>1812</v>
      </c>
      <c r="B945">
        <v>1238</v>
      </c>
      <c r="C945" t="s">
        <v>487</v>
      </c>
      <c r="D945" t="s">
        <v>256</v>
      </c>
      <c r="E945" t="s">
        <v>534</v>
      </c>
      <c r="F945" t="s">
        <v>1357</v>
      </c>
      <c r="G945" s="25">
        <v>44253</v>
      </c>
      <c r="H945">
        <v>12</v>
      </c>
      <c r="I945">
        <v>57</v>
      </c>
      <c r="J945" t="s">
        <v>231</v>
      </c>
      <c r="K945" t="s">
        <v>506</v>
      </c>
      <c r="L945" t="s">
        <v>414</v>
      </c>
      <c r="M945" t="s">
        <v>234</v>
      </c>
      <c r="N945" t="s">
        <v>50</v>
      </c>
      <c r="O945" t="s">
        <v>21</v>
      </c>
      <c r="P945" t="s">
        <v>411</v>
      </c>
      <c r="Q945">
        <v>0</v>
      </c>
      <c r="R945" t="s">
        <v>237</v>
      </c>
    </row>
    <row r="946" spans="1:18" x14ac:dyDescent="0.25">
      <c r="A946" t="s">
        <v>2713</v>
      </c>
      <c r="B946">
        <v>1084</v>
      </c>
      <c r="C946" t="s">
        <v>487</v>
      </c>
      <c r="D946" t="s">
        <v>256</v>
      </c>
      <c r="E946" t="s">
        <v>239</v>
      </c>
      <c r="F946" t="s">
        <v>1322</v>
      </c>
      <c r="G946" s="25">
        <v>44246</v>
      </c>
      <c r="H946">
        <v>10</v>
      </c>
      <c r="I946">
        <v>50</v>
      </c>
      <c r="J946" t="s">
        <v>231</v>
      </c>
      <c r="K946" t="s">
        <v>506</v>
      </c>
      <c r="L946" t="s">
        <v>414</v>
      </c>
      <c r="M946" t="s">
        <v>234</v>
      </c>
      <c r="N946" t="s">
        <v>50</v>
      </c>
      <c r="O946" t="s">
        <v>21</v>
      </c>
      <c r="P946" t="s">
        <v>411</v>
      </c>
      <c r="Q946">
        <v>0</v>
      </c>
      <c r="R946" t="s">
        <v>237</v>
      </c>
    </row>
    <row r="947" spans="1:18" x14ac:dyDescent="0.25">
      <c r="A947" t="s">
        <v>743</v>
      </c>
      <c r="B947">
        <v>221</v>
      </c>
      <c r="C947" t="s">
        <v>487</v>
      </c>
      <c r="D947" t="s">
        <v>229</v>
      </c>
      <c r="E947" t="s">
        <v>515</v>
      </c>
      <c r="F947" t="s">
        <v>516</v>
      </c>
      <c r="G947" s="25">
        <v>44207</v>
      </c>
      <c r="H947">
        <v>3</v>
      </c>
      <c r="I947">
        <v>11</v>
      </c>
      <c r="J947" t="s">
        <v>231</v>
      </c>
      <c r="K947" t="s">
        <v>505</v>
      </c>
      <c r="L947" t="s">
        <v>41</v>
      </c>
      <c r="M947" t="s">
        <v>234</v>
      </c>
      <c r="N947" t="s">
        <v>40</v>
      </c>
      <c r="O947" t="s">
        <v>21</v>
      </c>
      <c r="P947" t="s">
        <v>266</v>
      </c>
      <c r="Q947">
        <v>0</v>
      </c>
      <c r="R947" t="s">
        <v>237</v>
      </c>
    </row>
    <row r="948" spans="1:18" x14ac:dyDescent="0.25">
      <c r="A948" t="s">
        <v>3494</v>
      </c>
      <c r="B948">
        <v>1783</v>
      </c>
      <c r="C948" t="s">
        <v>487</v>
      </c>
      <c r="D948" t="s">
        <v>322</v>
      </c>
      <c r="E948" t="s">
        <v>231</v>
      </c>
      <c r="F948" t="s">
        <v>2945</v>
      </c>
      <c r="G948" s="25">
        <v>44278</v>
      </c>
      <c r="H948">
        <v>17</v>
      </c>
      <c r="I948">
        <v>82</v>
      </c>
      <c r="J948" t="s">
        <v>231</v>
      </c>
      <c r="K948" t="s">
        <v>505</v>
      </c>
      <c r="L948" t="s">
        <v>41</v>
      </c>
      <c r="M948" t="s">
        <v>234</v>
      </c>
      <c r="N948" t="s">
        <v>40</v>
      </c>
      <c r="O948" t="s">
        <v>21</v>
      </c>
      <c r="P948" t="s">
        <v>266</v>
      </c>
      <c r="Q948">
        <v>2344</v>
      </c>
      <c r="R948" t="s">
        <v>237</v>
      </c>
    </row>
    <row r="949" spans="1:18" x14ac:dyDescent="0.25">
      <c r="A949" t="s">
        <v>2093</v>
      </c>
      <c r="B949">
        <v>1475</v>
      </c>
      <c r="C949" t="s">
        <v>487</v>
      </c>
      <c r="D949" t="s">
        <v>261</v>
      </c>
      <c r="E949" t="s">
        <v>381</v>
      </c>
      <c r="F949" t="s">
        <v>1458</v>
      </c>
      <c r="G949" s="25">
        <v>44264</v>
      </c>
      <c r="H949">
        <v>14</v>
      </c>
      <c r="I949">
        <v>68</v>
      </c>
      <c r="J949" t="s">
        <v>231</v>
      </c>
      <c r="K949" t="s">
        <v>505</v>
      </c>
      <c r="L949" t="s">
        <v>41</v>
      </c>
      <c r="M949" t="s">
        <v>234</v>
      </c>
      <c r="N949" t="s">
        <v>40</v>
      </c>
      <c r="O949" t="s">
        <v>21</v>
      </c>
      <c r="P949" t="s">
        <v>266</v>
      </c>
      <c r="Q949">
        <v>58180</v>
      </c>
      <c r="R949" t="s">
        <v>237</v>
      </c>
    </row>
    <row r="950" spans="1:18" x14ac:dyDescent="0.25">
      <c r="A950" t="s">
        <v>2390</v>
      </c>
      <c r="B950">
        <v>947</v>
      </c>
      <c r="C950" t="s">
        <v>487</v>
      </c>
      <c r="D950" t="s">
        <v>256</v>
      </c>
      <c r="E950" t="s">
        <v>261</v>
      </c>
      <c r="F950" t="s">
        <v>1276</v>
      </c>
      <c r="G950" s="25">
        <v>44240</v>
      </c>
      <c r="H950">
        <v>9</v>
      </c>
      <c r="I950">
        <v>44</v>
      </c>
      <c r="J950" t="s">
        <v>231</v>
      </c>
      <c r="K950" t="s">
        <v>505</v>
      </c>
      <c r="L950" t="s">
        <v>41</v>
      </c>
      <c r="M950" t="s">
        <v>234</v>
      </c>
      <c r="N950" t="s">
        <v>40</v>
      </c>
      <c r="O950" t="s">
        <v>21</v>
      </c>
      <c r="P950" t="s">
        <v>266</v>
      </c>
      <c r="Q950">
        <v>0</v>
      </c>
      <c r="R950" t="s">
        <v>237</v>
      </c>
    </row>
    <row r="951" spans="1:18" x14ac:dyDescent="0.25">
      <c r="A951" t="s">
        <v>3495</v>
      </c>
      <c r="B951">
        <v>2224</v>
      </c>
      <c r="C951" t="s">
        <v>487</v>
      </c>
      <c r="D951" t="s">
        <v>247</v>
      </c>
      <c r="E951" t="s">
        <v>231</v>
      </c>
      <c r="F951" t="s">
        <v>3070</v>
      </c>
      <c r="G951" s="25">
        <v>44298</v>
      </c>
      <c r="H951">
        <v>21</v>
      </c>
      <c r="I951">
        <v>102</v>
      </c>
      <c r="J951" t="s">
        <v>231</v>
      </c>
      <c r="K951" t="s">
        <v>504</v>
      </c>
      <c r="L951" t="s">
        <v>43</v>
      </c>
      <c r="M951" t="s">
        <v>234</v>
      </c>
      <c r="N951" t="s">
        <v>42</v>
      </c>
      <c r="O951" t="s">
        <v>21</v>
      </c>
      <c r="P951" t="s">
        <v>236</v>
      </c>
      <c r="Q951">
        <v>0</v>
      </c>
      <c r="R951" t="s">
        <v>237</v>
      </c>
    </row>
    <row r="952" spans="1:18" x14ac:dyDescent="0.25">
      <c r="A952" t="s">
        <v>2161</v>
      </c>
      <c r="B952">
        <v>1652</v>
      </c>
      <c r="C952" t="s">
        <v>487</v>
      </c>
      <c r="D952" t="s">
        <v>261</v>
      </c>
      <c r="E952" t="s">
        <v>620</v>
      </c>
      <c r="F952" t="s">
        <v>1545</v>
      </c>
      <c r="G952" s="25">
        <v>44272</v>
      </c>
      <c r="H952">
        <v>16</v>
      </c>
      <c r="I952">
        <v>76</v>
      </c>
      <c r="J952" t="s">
        <v>231</v>
      </c>
      <c r="K952" t="s">
        <v>504</v>
      </c>
      <c r="L952" t="s">
        <v>43</v>
      </c>
      <c r="M952" t="s">
        <v>234</v>
      </c>
      <c r="N952" t="s">
        <v>42</v>
      </c>
      <c r="O952" t="s">
        <v>21</v>
      </c>
      <c r="P952" t="s">
        <v>236</v>
      </c>
      <c r="Q952">
        <v>12985</v>
      </c>
      <c r="R952" t="s">
        <v>237</v>
      </c>
    </row>
    <row r="953" spans="1:18" x14ac:dyDescent="0.25">
      <c r="A953" t="s">
        <v>2444</v>
      </c>
      <c r="B953">
        <v>1520</v>
      </c>
      <c r="C953" t="s">
        <v>487</v>
      </c>
      <c r="D953" t="s">
        <v>261</v>
      </c>
      <c r="E953" t="s">
        <v>239</v>
      </c>
      <c r="F953" t="s">
        <v>1703</v>
      </c>
      <c r="G953" s="25">
        <v>44266</v>
      </c>
      <c r="H953">
        <v>14</v>
      </c>
      <c r="I953">
        <v>70</v>
      </c>
      <c r="J953" t="s">
        <v>231</v>
      </c>
      <c r="K953" t="s">
        <v>504</v>
      </c>
      <c r="L953" t="s">
        <v>43</v>
      </c>
      <c r="M953" t="s">
        <v>234</v>
      </c>
      <c r="N953" t="s">
        <v>42</v>
      </c>
      <c r="O953" t="s">
        <v>21</v>
      </c>
      <c r="P953" t="s">
        <v>236</v>
      </c>
      <c r="Q953">
        <v>49762</v>
      </c>
      <c r="R953" t="s">
        <v>237</v>
      </c>
    </row>
    <row r="954" spans="1:18" x14ac:dyDescent="0.25">
      <c r="A954" t="s">
        <v>2445</v>
      </c>
      <c r="B954">
        <v>1014</v>
      </c>
      <c r="C954" t="s">
        <v>487</v>
      </c>
      <c r="D954" t="s">
        <v>256</v>
      </c>
      <c r="E954" t="s">
        <v>326</v>
      </c>
      <c r="F954" t="s">
        <v>1305</v>
      </c>
      <c r="G954" s="25">
        <v>44243</v>
      </c>
      <c r="H954">
        <v>10</v>
      </c>
      <c r="I954">
        <v>47</v>
      </c>
      <c r="J954" t="s">
        <v>231</v>
      </c>
      <c r="K954" t="s">
        <v>504</v>
      </c>
      <c r="L954" t="s">
        <v>43</v>
      </c>
      <c r="M954" t="s">
        <v>234</v>
      </c>
      <c r="N954" t="s">
        <v>42</v>
      </c>
      <c r="O954" t="s">
        <v>21</v>
      </c>
      <c r="P954" t="s">
        <v>236</v>
      </c>
      <c r="Q954">
        <v>0</v>
      </c>
      <c r="R954" t="s">
        <v>237</v>
      </c>
    </row>
    <row r="955" spans="1:18" x14ac:dyDescent="0.25">
      <c r="A955" t="s">
        <v>289</v>
      </c>
      <c r="B955">
        <v>46</v>
      </c>
      <c r="C955" t="s">
        <v>487</v>
      </c>
      <c r="D955" t="s">
        <v>229</v>
      </c>
      <c r="E955" t="s">
        <v>256</v>
      </c>
      <c r="F955" t="s">
        <v>525</v>
      </c>
      <c r="G955" s="25">
        <v>44199</v>
      </c>
      <c r="H955">
        <v>1</v>
      </c>
      <c r="I955">
        <v>3</v>
      </c>
      <c r="J955" t="s">
        <v>231</v>
      </c>
      <c r="K955" t="s">
        <v>504</v>
      </c>
      <c r="L955" t="s">
        <v>43</v>
      </c>
      <c r="M955" t="s">
        <v>234</v>
      </c>
      <c r="N955" t="s">
        <v>42</v>
      </c>
      <c r="O955" t="s">
        <v>21</v>
      </c>
      <c r="P955" t="s">
        <v>236</v>
      </c>
      <c r="Q955">
        <v>0</v>
      </c>
      <c r="R955" t="s">
        <v>237</v>
      </c>
    </row>
    <row r="956" spans="1:18" x14ac:dyDescent="0.25">
      <c r="A956" t="s">
        <v>3496</v>
      </c>
      <c r="B956">
        <v>1835</v>
      </c>
      <c r="C956" t="s">
        <v>487</v>
      </c>
      <c r="D956" t="s">
        <v>322</v>
      </c>
      <c r="E956" t="s">
        <v>261</v>
      </c>
      <c r="F956" t="s">
        <v>2956</v>
      </c>
      <c r="G956" s="25">
        <v>44280</v>
      </c>
      <c r="H956">
        <v>17</v>
      </c>
      <c r="I956">
        <v>84</v>
      </c>
      <c r="J956" t="s">
        <v>231</v>
      </c>
      <c r="K956" t="s">
        <v>503</v>
      </c>
      <c r="L956" t="s">
        <v>303</v>
      </c>
      <c r="M956" t="s">
        <v>234</v>
      </c>
      <c r="N956" t="s">
        <v>56</v>
      </c>
      <c r="O956" t="s">
        <v>235</v>
      </c>
      <c r="P956" t="s">
        <v>304</v>
      </c>
      <c r="Q956">
        <v>0</v>
      </c>
      <c r="R956" t="s">
        <v>237</v>
      </c>
    </row>
    <row r="957" spans="1:18" x14ac:dyDescent="0.25">
      <c r="A957" t="s">
        <v>2099</v>
      </c>
      <c r="B957">
        <v>1241</v>
      </c>
      <c r="C957" t="s">
        <v>487</v>
      </c>
      <c r="D957" t="s">
        <v>256</v>
      </c>
      <c r="E957" t="s">
        <v>534</v>
      </c>
      <c r="F957" t="s">
        <v>1357</v>
      </c>
      <c r="G957" s="25">
        <v>44253</v>
      </c>
      <c r="H957">
        <v>12</v>
      </c>
      <c r="I957">
        <v>57</v>
      </c>
      <c r="J957" t="s">
        <v>231</v>
      </c>
      <c r="K957" t="s">
        <v>503</v>
      </c>
      <c r="L957" t="s">
        <v>303</v>
      </c>
      <c r="M957" t="s">
        <v>234</v>
      </c>
      <c r="N957" t="s">
        <v>56</v>
      </c>
      <c r="O957" t="s">
        <v>235</v>
      </c>
      <c r="P957" t="s">
        <v>304</v>
      </c>
      <c r="Q957">
        <v>0</v>
      </c>
      <c r="R957" t="s">
        <v>237</v>
      </c>
    </row>
    <row r="958" spans="1:18" x14ac:dyDescent="0.25">
      <c r="A958" t="s">
        <v>2552</v>
      </c>
      <c r="B958">
        <v>625</v>
      </c>
      <c r="C958" t="s">
        <v>487</v>
      </c>
      <c r="D958" t="s">
        <v>231</v>
      </c>
      <c r="E958" t="s">
        <v>371</v>
      </c>
      <c r="F958" t="s">
        <v>1124</v>
      </c>
      <c r="G958" s="25">
        <v>44225</v>
      </c>
      <c r="H958">
        <v>6</v>
      </c>
      <c r="I958">
        <v>29</v>
      </c>
      <c r="J958" t="s">
        <v>231</v>
      </c>
      <c r="K958" t="s">
        <v>503</v>
      </c>
      <c r="L958" t="s">
        <v>303</v>
      </c>
      <c r="M958" t="s">
        <v>234</v>
      </c>
      <c r="N958" t="s">
        <v>56</v>
      </c>
      <c r="O958" t="s">
        <v>235</v>
      </c>
      <c r="P958" t="s">
        <v>304</v>
      </c>
      <c r="Q958">
        <v>0</v>
      </c>
      <c r="R958" t="s">
        <v>237</v>
      </c>
    </row>
    <row r="959" spans="1:18" x14ac:dyDescent="0.25">
      <c r="A959" t="s">
        <v>836</v>
      </c>
      <c r="B959">
        <v>273</v>
      </c>
      <c r="C959" t="s">
        <v>487</v>
      </c>
      <c r="D959" t="s">
        <v>229</v>
      </c>
      <c r="E959" t="s">
        <v>512</v>
      </c>
      <c r="F959" t="s">
        <v>513</v>
      </c>
      <c r="G959" s="25">
        <v>44209</v>
      </c>
      <c r="H959">
        <v>3</v>
      </c>
      <c r="I959">
        <v>13</v>
      </c>
      <c r="J959" t="s">
        <v>231</v>
      </c>
      <c r="K959" t="s">
        <v>503</v>
      </c>
      <c r="L959" t="s">
        <v>303</v>
      </c>
      <c r="M959" t="s">
        <v>234</v>
      </c>
      <c r="N959" t="s">
        <v>56</v>
      </c>
      <c r="O959" t="s">
        <v>235</v>
      </c>
      <c r="P959" t="s">
        <v>304</v>
      </c>
      <c r="Q959">
        <v>0</v>
      </c>
      <c r="R959" t="s">
        <v>237</v>
      </c>
    </row>
    <row r="960" spans="1:18" x14ac:dyDescent="0.25">
      <c r="A960" t="s">
        <v>3497</v>
      </c>
      <c r="B960">
        <v>2451</v>
      </c>
      <c r="C960" t="s">
        <v>487</v>
      </c>
      <c r="D960" t="s">
        <v>247</v>
      </c>
      <c r="E960" t="s">
        <v>232</v>
      </c>
      <c r="F960" t="s">
        <v>3140</v>
      </c>
      <c r="G960" s="25">
        <v>44308</v>
      </c>
      <c r="H960">
        <v>23</v>
      </c>
      <c r="I960">
        <v>112</v>
      </c>
      <c r="J960" t="s">
        <v>231</v>
      </c>
      <c r="K960" t="s">
        <v>503</v>
      </c>
      <c r="L960" t="s">
        <v>303</v>
      </c>
      <c r="M960" t="s">
        <v>234</v>
      </c>
      <c r="N960" t="s">
        <v>56</v>
      </c>
      <c r="O960" t="s">
        <v>235</v>
      </c>
      <c r="P960" t="s">
        <v>304</v>
      </c>
      <c r="Q960">
        <v>0</v>
      </c>
      <c r="R960" t="s">
        <v>237</v>
      </c>
    </row>
    <row r="961" spans="1:18" x14ac:dyDescent="0.25">
      <c r="A961" t="s">
        <v>3498</v>
      </c>
      <c r="B961">
        <v>2143</v>
      </c>
      <c r="C961" t="s">
        <v>487</v>
      </c>
      <c r="D961" t="s">
        <v>322</v>
      </c>
      <c r="E961" t="s">
        <v>552</v>
      </c>
      <c r="F961" t="s">
        <v>3045</v>
      </c>
      <c r="G961" s="25">
        <v>44294</v>
      </c>
      <c r="H961">
        <v>20</v>
      </c>
      <c r="I961">
        <v>98</v>
      </c>
      <c r="J961" t="s">
        <v>231</v>
      </c>
      <c r="K961" t="s">
        <v>503</v>
      </c>
      <c r="L961" t="s">
        <v>303</v>
      </c>
      <c r="M961" t="s">
        <v>234</v>
      </c>
      <c r="N961" t="s">
        <v>56</v>
      </c>
      <c r="O961" t="s">
        <v>235</v>
      </c>
      <c r="P961" t="s">
        <v>304</v>
      </c>
      <c r="Q961">
        <v>0</v>
      </c>
      <c r="R961" t="s">
        <v>237</v>
      </c>
    </row>
    <row r="962" spans="1:18" x14ac:dyDescent="0.25">
      <c r="A962" t="s">
        <v>2346</v>
      </c>
      <c r="B962">
        <v>1638</v>
      </c>
      <c r="C962" t="s">
        <v>487</v>
      </c>
      <c r="D962" t="s">
        <v>261</v>
      </c>
      <c r="E962" t="s">
        <v>575</v>
      </c>
      <c r="F962" t="s">
        <v>1537</v>
      </c>
      <c r="G962" s="25">
        <v>44271</v>
      </c>
      <c r="H962">
        <v>15</v>
      </c>
      <c r="I962">
        <v>75</v>
      </c>
      <c r="J962" t="s">
        <v>231</v>
      </c>
      <c r="K962" t="s">
        <v>502</v>
      </c>
      <c r="L962" t="s">
        <v>287</v>
      </c>
      <c r="M962" t="s">
        <v>234</v>
      </c>
      <c r="N962" t="s">
        <v>58</v>
      </c>
      <c r="O962" t="s">
        <v>235</v>
      </c>
      <c r="P962" t="s">
        <v>288</v>
      </c>
      <c r="Q962">
        <v>0</v>
      </c>
      <c r="R962" t="s">
        <v>237</v>
      </c>
    </row>
    <row r="963" spans="1:18" x14ac:dyDescent="0.25">
      <c r="A963" t="s">
        <v>295</v>
      </c>
      <c r="B963">
        <v>11</v>
      </c>
      <c r="C963" t="s">
        <v>487</v>
      </c>
      <c r="D963" t="s">
        <v>229</v>
      </c>
      <c r="E963" t="s">
        <v>229</v>
      </c>
      <c r="F963" t="s">
        <v>230</v>
      </c>
      <c r="G963" s="25">
        <v>44197</v>
      </c>
      <c r="H963">
        <v>1</v>
      </c>
      <c r="I963">
        <v>1</v>
      </c>
      <c r="J963" t="s">
        <v>231</v>
      </c>
      <c r="K963" t="s">
        <v>501</v>
      </c>
      <c r="L963" t="s">
        <v>412</v>
      </c>
      <c r="M963" t="s">
        <v>234</v>
      </c>
      <c r="N963" t="s">
        <v>60</v>
      </c>
      <c r="O963" t="s">
        <v>235</v>
      </c>
      <c r="P963" t="s">
        <v>413</v>
      </c>
      <c r="Q963">
        <v>0</v>
      </c>
      <c r="R963" t="s">
        <v>237</v>
      </c>
    </row>
    <row r="964" spans="1:18" x14ac:dyDescent="0.25">
      <c r="A964" t="s">
        <v>2239</v>
      </c>
      <c r="B964">
        <v>1749</v>
      </c>
      <c r="C964" t="s">
        <v>487</v>
      </c>
      <c r="D964" t="s">
        <v>261</v>
      </c>
      <c r="E964" t="s">
        <v>408</v>
      </c>
      <c r="F964" t="s">
        <v>1595</v>
      </c>
      <c r="G964" s="25">
        <v>44276</v>
      </c>
      <c r="H964">
        <v>16</v>
      </c>
      <c r="I964">
        <v>80</v>
      </c>
      <c r="J964" t="s">
        <v>231</v>
      </c>
      <c r="K964" t="s">
        <v>501</v>
      </c>
      <c r="L964" t="s">
        <v>412</v>
      </c>
      <c r="M964" t="s">
        <v>234</v>
      </c>
      <c r="N964" t="s">
        <v>60</v>
      </c>
      <c r="O964" t="s">
        <v>235</v>
      </c>
      <c r="P964" t="s">
        <v>413</v>
      </c>
      <c r="Q964">
        <v>0</v>
      </c>
      <c r="R964" t="s">
        <v>237</v>
      </c>
    </row>
    <row r="965" spans="1:18" x14ac:dyDescent="0.25">
      <c r="A965" t="s">
        <v>2728</v>
      </c>
      <c r="B965">
        <v>623</v>
      </c>
      <c r="C965" t="s">
        <v>487</v>
      </c>
      <c r="D965" t="s">
        <v>231</v>
      </c>
      <c r="E965" t="s">
        <v>371</v>
      </c>
      <c r="F965" t="s">
        <v>1124</v>
      </c>
      <c r="G965" s="25">
        <v>44225</v>
      </c>
      <c r="H965">
        <v>6</v>
      </c>
      <c r="I965">
        <v>29</v>
      </c>
      <c r="J965" t="s">
        <v>231</v>
      </c>
      <c r="K965" t="s">
        <v>500</v>
      </c>
      <c r="L965" t="s">
        <v>265</v>
      </c>
      <c r="M965" t="s">
        <v>234</v>
      </c>
      <c r="N965" t="s">
        <v>52</v>
      </c>
      <c r="O965" t="s">
        <v>235</v>
      </c>
      <c r="P965" t="s">
        <v>266</v>
      </c>
      <c r="Q965">
        <v>0</v>
      </c>
      <c r="R965" t="s">
        <v>237</v>
      </c>
    </row>
    <row r="966" spans="1:18" x14ac:dyDescent="0.25">
      <c r="A966" t="s">
        <v>749</v>
      </c>
      <c r="B966">
        <v>271</v>
      </c>
      <c r="C966" t="s">
        <v>487</v>
      </c>
      <c r="D966" t="s">
        <v>229</v>
      </c>
      <c r="E966" t="s">
        <v>512</v>
      </c>
      <c r="F966" t="s">
        <v>513</v>
      </c>
      <c r="G966" s="25">
        <v>44209</v>
      </c>
      <c r="H966">
        <v>3</v>
      </c>
      <c r="I966">
        <v>13</v>
      </c>
      <c r="J966" t="s">
        <v>231</v>
      </c>
      <c r="K966" t="s">
        <v>500</v>
      </c>
      <c r="L966" t="s">
        <v>265</v>
      </c>
      <c r="M966" t="s">
        <v>234</v>
      </c>
      <c r="N966" t="s">
        <v>52</v>
      </c>
      <c r="O966" t="s">
        <v>235</v>
      </c>
      <c r="P966" t="s">
        <v>266</v>
      </c>
      <c r="Q966">
        <v>0</v>
      </c>
      <c r="R966" t="s">
        <v>237</v>
      </c>
    </row>
    <row r="967" spans="1:18" x14ac:dyDescent="0.25">
      <c r="A967" t="s">
        <v>3499</v>
      </c>
      <c r="B967">
        <v>2603</v>
      </c>
      <c r="C967" t="s">
        <v>487</v>
      </c>
      <c r="D967" t="s">
        <v>247</v>
      </c>
      <c r="E967" t="s">
        <v>531</v>
      </c>
      <c r="F967" t="s">
        <v>3173</v>
      </c>
      <c r="G967" s="25">
        <v>44315</v>
      </c>
      <c r="H967">
        <v>24</v>
      </c>
      <c r="I967">
        <v>119</v>
      </c>
      <c r="J967" t="s">
        <v>231</v>
      </c>
      <c r="K967" t="s">
        <v>500</v>
      </c>
      <c r="L967" t="s">
        <v>265</v>
      </c>
      <c r="M967" t="s">
        <v>234</v>
      </c>
      <c r="N967" t="s">
        <v>52</v>
      </c>
      <c r="O967" t="s">
        <v>235</v>
      </c>
      <c r="P967" t="s">
        <v>266</v>
      </c>
      <c r="Q967">
        <v>497</v>
      </c>
      <c r="R967" t="s">
        <v>237</v>
      </c>
    </row>
    <row r="968" spans="1:18" x14ac:dyDescent="0.25">
      <c r="A968" t="s">
        <v>3500</v>
      </c>
      <c r="B968">
        <v>2449</v>
      </c>
      <c r="C968" t="s">
        <v>487</v>
      </c>
      <c r="D968" t="s">
        <v>247</v>
      </c>
      <c r="E968" t="s">
        <v>232</v>
      </c>
      <c r="F968" t="s">
        <v>3140</v>
      </c>
      <c r="G968" s="25">
        <v>44308</v>
      </c>
      <c r="H968">
        <v>23</v>
      </c>
      <c r="I968">
        <v>112</v>
      </c>
      <c r="J968" t="s">
        <v>231</v>
      </c>
      <c r="K968" t="s">
        <v>500</v>
      </c>
      <c r="L968" t="s">
        <v>265</v>
      </c>
      <c r="M968" t="s">
        <v>234</v>
      </c>
      <c r="N968" t="s">
        <v>52</v>
      </c>
      <c r="O968" t="s">
        <v>235</v>
      </c>
      <c r="P968" t="s">
        <v>266</v>
      </c>
      <c r="Q968">
        <v>0</v>
      </c>
      <c r="R968" t="s">
        <v>237</v>
      </c>
    </row>
    <row r="969" spans="1:18" x14ac:dyDescent="0.25">
      <c r="A969" t="s">
        <v>3501</v>
      </c>
      <c r="B969">
        <v>1833</v>
      </c>
      <c r="C969" t="s">
        <v>487</v>
      </c>
      <c r="D969" t="s">
        <v>322</v>
      </c>
      <c r="E969" t="s">
        <v>261</v>
      </c>
      <c r="F969" t="s">
        <v>2956</v>
      </c>
      <c r="G969" s="25">
        <v>44280</v>
      </c>
      <c r="H969">
        <v>17</v>
      </c>
      <c r="I969">
        <v>84</v>
      </c>
      <c r="J969" t="s">
        <v>231</v>
      </c>
      <c r="K969" t="s">
        <v>500</v>
      </c>
      <c r="L969" t="s">
        <v>265</v>
      </c>
      <c r="M969" t="s">
        <v>234</v>
      </c>
      <c r="N969" t="s">
        <v>52</v>
      </c>
      <c r="O969" t="s">
        <v>235</v>
      </c>
      <c r="P969" t="s">
        <v>266</v>
      </c>
      <c r="Q969">
        <v>0</v>
      </c>
      <c r="R969" t="s">
        <v>237</v>
      </c>
    </row>
    <row r="970" spans="1:18" x14ac:dyDescent="0.25">
      <c r="A970" t="s">
        <v>2618</v>
      </c>
      <c r="B970">
        <v>1635</v>
      </c>
      <c r="C970" t="s">
        <v>487</v>
      </c>
      <c r="D970" t="s">
        <v>261</v>
      </c>
      <c r="E970" t="s">
        <v>575</v>
      </c>
      <c r="F970" t="s">
        <v>1537</v>
      </c>
      <c r="G970" s="25">
        <v>44271</v>
      </c>
      <c r="H970">
        <v>15</v>
      </c>
      <c r="I970">
        <v>75</v>
      </c>
      <c r="J970" t="s">
        <v>231</v>
      </c>
      <c r="K970" t="s">
        <v>500</v>
      </c>
      <c r="L970" t="s">
        <v>265</v>
      </c>
      <c r="M970" t="s">
        <v>234</v>
      </c>
      <c r="N970" t="s">
        <v>52</v>
      </c>
      <c r="O970" t="s">
        <v>235</v>
      </c>
      <c r="P970" t="s">
        <v>266</v>
      </c>
      <c r="Q970">
        <v>7625</v>
      </c>
      <c r="R970" t="s">
        <v>237</v>
      </c>
    </row>
    <row r="971" spans="1:18" x14ac:dyDescent="0.25">
      <c r="A971" t="s">
        <v>2515</v>
      </c>
      <c r="B971">
        <v>1085</v>
      </c>
      <c r="C971" t="s">
        <v>487</v>
      </c>
      <c r="D971" t="s">
        <v>256</v>
      </c>
      <c r="E971" t="s">
        <v>239</v>
      </c>
      <c r="F971" t="s">
        <v>1322</v>
      </c>
      <c r="G971" s="25">
        <v>44246</v>
      </c>
      <c r="H971">
        <v>10</v>
      </c>
      <c r="I971">
        <v>50</v>
      </c>
      <c r="J971" t="s">
        <v>231</v>
      </c>
      <c r="K971" t="s">
        <v>500</v>
      </c>
      <c r="L971" t="s">
        <v>265</v>
      </c>
      <c r="M971" t="s">
        <v>234</v>
      </c>
      <c r="N971" t="s">
        <v>52</v>
      </c>
      <c r="O971" t="s">
        <v>235</v>
      </c>
      <c r="P971" t="s">
        <v>266</v>
      </c>
      <c r="Q971">
        <v>0</v>
      </c>
      <c r="R971" t="s">
        <v>237</v>
      </c>
    </row>
    <row r="972" spans="1:18" x14ac:dyDescent="0.25">
      <c r="A972" t="s">
        <v>3502</v>
      </c>
      <c r="B972">
        <v>2353</v>
      </c>
      <c r="C972" t="s">
        <v>487</v>
      </c>
      <c r="D972" t="s">
        <v>247</v>
      </c>
      <c r="E972" t="s">
        <v>326</v>
      </c>
      <c r="F972" t="s">
        <v>3091</v>
      </c>
      <c r="G972" s="25">
        <v>44303</v>
      </c>
      <c r="H972">
        <v>22</v>
      </c>
      <c r="I972">
        <v>107</v>
      </c>
      <c r="J972" t="s">
        <v>432</v>
      </c>
      <c r="K972" t="s">
        <v>498</v>
      </c>
      <c r="L972" t="s">
        <v>26</v>
      </c>
      <c r="M972" t="s">
        <v>434</v>
      </c>
      <c r="N972" t="s">
        <v>77</v>
      </c>
      <c r="O972" t="s">
        <v>435</v>
      </c>
      <c r="P972" t="s">
        <v>26</v>
      </c>
      <c r="Q972">
        <v>199373.75</v>
      </c>
      <c r="R972" t="s">
        <v>436</v>
      </c>
    </row>
    <row r="973" spans="1:18" x14ac:dyDescent="0.25">
      <c r="A973" t="s">
        <v>2051</v>
      </c>
      <c r="B973">
        <v>615</v>
      </c>
      <c r="C973" t="s">
        <v>487</v>
      </c>
      <c r="D973" t="s">
        <v>231</v>
      </c>
      <c r="E973" t="s">
        <v>381</v>
      </c>
      <c r="F973" t="s">
        <v>1099</v>
      </c>
      <c r="G973" s="25">
        <v>44224</v>
      </c>
      <c r="H973">
        <v>6</v>
      </c>
      <c r="I973">
        <v>28</v>
      </c>
      <c r="J973" t="s">
        <v>432</v>
      </c>
      <c r="K973" t="s">
        <v>498</v>
      </c>
      <c r="L973" t="s">
        <v>26</v>
      </c>
      <c r="M973" t="s">
        <v>434</v>
      </c>
      <c r="N973" t="s">
        <v>77</v>
      </c>
      <c r="O973" t="s">
        <v>435</v>
      </c>
      <c r="P973" t="s">
        <v>26</v>
      </c>
      <c r="Q973">
        <v>140634.375</v>
      </c>
      <c r="R973" t="s">
        <v>436</v>
      </c>
    </row>
    <row r="974" spans="1:18" x14ac:dyDescent="0.25">
      <c r="A974" t="s">
        <v>764</v>
      </c>
      <c r="B974">
        <v>395</v>
      </c>
      <c r="C974" t="s">
        <v>487</v>
      </c>
      <c r="D974" t="s">
        <v>229</v>
      </c>
      <c r="E974" t="s">
        <v>552</v>
      </c>
      <c r="F974" t="s">
        <v>553</v>
      </c>
      <c r="G974" s="25">
        <v>44214</v>
      </c>
      <c r="H974">
        <v>4</v>
      </c>
      <c r="I974">
        <v>18</v>
      </c>
      <c r="J974" t="s">
        <v>432</v>
      </c>
      <c r="K974" t="s">
        <v>498</v>
      </c>
      <c r="L974" t="s">
        <v>26</v>
      </c>
      <c r="M974" t="s">
        <v>434</v>
      </c>
      <c r="N974" t="s">
        <v>77</v>
      </c>
      <c r="O974" t="s">
        <v>435</v>
      </c>
      <c r="P974" t="s">
        <v>26</v>
      </c>
      <c r="Q974">
        <v>19775</v>
      </c>
      <c r="R974" t="s">
        <v>436</v>
      </c>
    </row>
    <row r="975" spans="1:18" x14ac:dyDescent="0.25">
      <c r="A975" t="s">
        <v>855</v>
      </c>
      <c r="B975">
        <v>241</v>
      </c>
      <c r="C975" t="s">
        <v>487</v>
      </c>
      <c r="D975" t="s">
        <v>229</v>
      </c>
      <c r="E975" t="s">
        <v>515</v>
      </c>
      <c r="F975" t="s">
        <v>516</v>
      </c>
      <c r="G975" s="25">
        <v>44207</v>
      </c>
      <c r="H975">
        <v>3</v>
      </c>
      <c r="I975">
        <v>11</v>
      </c>
      <c r="J975" t="s">
        <v>432</v>
      </c>
      <c r="K975" t="s">
        <v>498</v>
      </c>
      <c r="L975" t="s">
        <v>26</v>
      </c>
      <c r="M975" t="s">
        <v>434</v>
      </c>
      <c r="N975" t="s">
        <v>77</v>
      </c>
      <c r="O975" t="s">
        <v>435</v>
      </c>
      <c r="P975" t="s">
        <v>26</v>
      </c>
      <c r="Q975">
        <v>26250</v>
      </c>
      <c r="R975" t="s">
        <v>436</v>
      </c>
    </row>
    <row r="976" spans="1:18" x14ac:dyDescent="0.25">
      <c r="A976" t="s">
        <v>3503</v>
      </c>
      <c r="B976">
        <v>2507</v>
      </c>
      <c r="C976" t="s">
        <v>487</v>
      </c>
      <c r="D976" t="s">
        <v>247</v>
      </c>
      <c r="E976" t="s">
        <v>537</v>
      </c>
      <c r="F976" t="s">
        <v>3153</v>
      </c>
      <c r="G976" s="25">
        <v>44310</v>
      </c>
      <c r="H976">
        <v>23</v>
      </c>
      <c r="I976">
        <v>114</v>
      </c>
      <c r="J976" t="s">
        <v>432</v>
      </c>
      <c r="K976" t="s">
        <v>498</v>
      </c>
      <c r="L976" t="s">
        <v>26</v>
      </c>
      <c r="M976" t="s">
        <v>434</v>
      </c>
      <c r="N976" t="s">
        <v>77</v>
      </c>
      <c r="O976" t="s">
        <v>435</v>
      </c>
      <c r="P976" t="s">
        <v>26</v>
      </c>
      <c r="Q976">
        <v>163367.5</v>
      </c>
      <c r="R976" t="s">
        <v>436</v>
      </c>
    </row>
    <row r="977" spans="1:18" x14ac:dyDescent="0.25">
      <c r="A977" t="s">
        <v>851</v>
      </c>
      <c r="B977">
        <v>323</v>
      </c>
      <c r="C977" t="s">
        <v>487</v>
      </c>
      <c r="D977" t="s">
        <v>229</v>
      </c>
      <c r="E977" t="s">
        <v>575</v>
      </c>
      <c r="F977" t="s">
        <v>576</v>
      </c>
      <c r="G977" s="25">
        <v>44211</v>
      </c>
      <c r="H977">
        <v>3</v>
      </c>
      <c r="I977">
        <v>15</v>
      </c>
      <c r="J977" t="s">
        <v>432</v>
      </c>
      <c r="K977" t="s">
        <v>496</v>
      </c>
      <c r="L977" t="s">
        <v>69</v>
      </c>
      <c r="M977" t="s">
        <v>434</v>
      </c>
      <c r="N977" t="s">
        <v>68</v>
      </c>
      <c r="O977" t="s">
        <v>21</v>
      </c>
      <c r="P977" t="s">
        <v>439</v>
      </c>
      <c r="Q977">
        <v>56875</v>
      </c>
      <c r="R977" t="s">
        <v>237</v>
      </c>
    </row>
    <row r="978" spans="1:18" x14ac:dyDescent="0.25">
      <c r="A978" t="s">
        <v>1624</v>
      </c>
      <c r="B978">
        <v>500</v>
      </c>
      <c r="C978" t="s">
        <v>487</v>
      </c>
      <c r="D978" t="s">
        <v>231</v>
      </c>
      <c r="E978" t="s">
        <v>256</v>
      </c>
      <c r="F978" t="s">
        <v>1064</v>
      </c>
      <c r="G978" s="25">
        <v>44219</v>
      </c>
      <c r="H978">
        <v>5</v>
      </c>
      <c r="I978">
        <v>23</v>
      </c>
      <c r="J978" t="s">
        <v>432</v>
      </c>
      <c r="K978" t="s">
        <v>495</v>
      </c>
      <c r="L978" t="s">
        <v>135</v>
      </c>
      <c r="M978" t="s">
        <v>434</v>
      </c>
      <c r="N978" t="s">
        <v>70</v>
      </c>
      <c r="O978" t="s">
        <v>21</v>
      </c>
      <c r="P978" t="s">
        <v>440</v>
      </c>
      <c r="Q978">
        <v>0</v>
      </c>
      <c r="R978" t="s">
        <v>237</v>
      </c>
    </row>
    <row r="979" spans="1:18" x14ac:dyDescent="0.25">
      <c r="A979" t="s">
        <v>758</v>
      </c>
      <c r="B979">
        <v>192</v>
      </c>
      <c r="C979" t="s">
        <v>487</v>
      </c>
      <c r="D979" t="s">
        <v>229</v>
      </c>
      <c r="E979" t="s">
        <v>371</v>
      </c>
      <c r="F979" t="s">
        <v>557</v>
      </c>
      <c r="G979" s="25">
        <v>44205</v>
      </c>
      <c r="H979">
        <v>2</v>
      </c>
      <c r="I979">
        <v>9</v>
      </c>
      <c r="J979" t="s">
        <v>432</v>
      </c>
      <c r="K979" t="s">
        <v>495</v>
      </c>
      <c r="L979" t="s">
        <v>135</v>
      </c>
      <c r="M979" t="s">
        <v>434</v>
      </c>
      <c r="N979" t="s">
        <v>70</v>
      </c>
      <c r="O979" t="s">
        <v>21</v>
      </c>
      <c r="P979" t="s">
        <v>440</v>
      </c>
      <c r="Q979">
        <v>24000</v>
      </c>
      <c r="R979" t="s">
        <v>237</v>
      </c>
    </row>
    <row r="980" spans="1:18" x14ac:dyDescent="0.25">
      <c r="A980" t="s">
        <v>3504</v>
      </c>
      <c r="B980">
        <v>2018</v>
      </c>
      <c r="C980" t="s">
        <v>487</v>
      </c>
      <c r="D980" t="s">
        <v>322</v>
      </c>
      <c r="E980" t="s">
        <v>232</v>
      </c>
      <c r="F980" t="s">
        <v>2987</v>
      </c>
      <c r="G980" s="25">
        <v>44288</v>
      </c>
      <c r="H980">
        <v>19</v>
      </c>
      <c r="I980">
        <v>92</v>
      </c>
      <c r="J980" t="s">
        <v>432</v>
      </c>
      <c r="K980" t="s">
        <v>495</v>
      </c>
      <c r="L980" t="s">
        <v>135</v>
      </c>
      <c r="M980" t="s">
        <v>434</v>
      </c>
      <c r="N980" t="s">
        <v>70</v>
      </c>
      <c r="O980" t="s">
        <v>21</v>
      </c>
      <c r="P980" t="s">
        <v>440</v>
      </c>
      <c r="Q980">
        <v>681000</v>
      </c>
      <c r="R980" t="s">
        <v>237</v>
      </c>
    </row>
    <row r="981" spans="1:18" x14ac:dyDescent="0.25">
      <c r="A981" t="s">
        <v>2745</v>
      </c>
      <c r="B981">
        <v>1402</v>
      </c>
      <c r="C981" t="s">
        <v>487</v>
      </c>
      <c r="D981" t="s">
        <v>261</v>
      </c>
      <c r="E981" t="s">
        <v>261</v>
      </c>
      <c r="F981" t="s">
        <v>1410</v>
      </c>
      <c r="G981" s="25">
        <v>44260</v>
      </c>
      <c r="H981">
        <v>13</v>
      </c>
      <c r="I981">
        <v>64</v>
      </c>
      <c r="J981" t="s">
        <v>432</v>
      </c>
      <c r="K981" t="s">
        <v>495</v>
      </c>
      <c r="L981" t="s">
        <v>135</v>
      </c>
      <c r="M981" t="s">
        <v>434</v>
      </c>
      <c r="N981" t="s">
        <v>70</v>
      </c>
      <c r="O981" t="s">
        <v>21</v>
      </c>
      <c r="P981" t="s">
        <v>440</v>
      </c>
      <c r="Q981">
        <v>285000</v>
      </c>
      <c r="R981" t="s">
        <v>237</v>
      </c>
    </row>
    <row r="982" spans="1:18" x14ac:dyDescent="0.25">
      <c r="A982" t="s">
        <v>2057</v>
      </c>
      <c r="B982">
        <v>1314</v>
      </c>
      <c r="C982" t="s">
        <v>487</v>
      </c>
      <c r="D982" t="s">
        <v>256</v>
      </c>
      <c r="E982" t="s">
        <v>408</v>
      </c>
      <c r="F982" t="s">
        <v>1383</v>
      </c>
      <c r="G982" s="25">
        <v>44256</v>
      </c>
      <c r="H982">
        <v>12</v>
      </c>
      <c r="I982">
        <v>60</v>
      </c>
      <c r="J982" t="s">
        <v>432</v>
      </c>
      <c r="K982" t="s">
        <v>495</v>
      </c>
      <c r="L982" t="s">
        <v>135</v>
      </c>
      <c r="M982" t="s">
        <v>434</v>
      </c>
      <c r="N982" t="s">
        <v>70</v>
      </c>
      <c r="O982" t="s">
        <v>21</v>
      </c>
      <c r="P982" t="s">
        <v>440</v>
      </c>
      <c r="Q982">
        <v>373250</v>
      </c>
      <c r="R982" t="s">
        <v>237</v>
      </c>
    </row>
    <row r="983" spans="1:18" x14ac:dyDescent="0.25">
      <c r="A983" t="s">
        <v>1687</v>
      </c>
      <c r="B983">
        <v>1116</v>
      </c>
      <c r="C983" t="s">
        <v>487</v>
      </c>
      <c r="D983" t="s">
        <v>256</v>
      </c>
      <c r="E983" t="s">
        <v>515</v>
      </c>
      <c r="F983" t="s">
        <v>1329</v>
      </c>
      <c r="G983" s="25">
        <v>44247</v>
      </c>
      <c r="H983">
        <v>11</v>
      </c>
      <c r="I983">
        <v>51</v>
      </c>
      <c r="J983" t="s">
        <v>432</v>
      </c>
      <c r="K983" t="s">
        <v>495</v>
      </c>
      <c r="L983" t="s">
        <v>135</v>
      </c>
      <c r="M983" t="s">
        <v>434</v>
      </c>
      <c r="N983" t="s">
        <v>70</v>
      </c>
      <c r="O983" t="s">
        <v>21</v>
      </c>
      <c r="P983" t="s">
        <v>440</v>
      </c>
      <c r="Q983">
        <v>512000</v>
      </c>
      <c r="R983" t="s">
        <v>237</v>
      </c>
    </row>
    <row r="984" spans="1:18" x14ac:dyDescent="0.25">
      <c r="A984" t="s">
        <v>3505</v>
      </c>
      <c r="B984">
        <v>2396</v>
      </c>
      <c r="C984" t="s">
        <v>487</v>
      </c>
      <c r="D984" t="s">
        <v>247</v>
      </c>
      <c r="E984" t="s">
        <v>371</v>
      </c>
      <c r="F984" t="s">
        <v>3112</v>
      </c>
      <c r="G984" s="25">
        <v>44305</v>
      </c>
      <c r="H984">
        <v>22</v>
      </c>
      <c r="I984">
        <v>109</v>
      </c>
      <c r="J984" t="s">
        <v>432</v>
      </c>
      <c r="K984" t="s">
        <v>494</v>
      </c>
      <c r="L984" t="s">
        <v>25</v>
      </c>
      <c r="M984" t="s">
        <v>434</v>
      </c>
      <c r="N984" t="s">
        <v>76</v>
      </c>
      <c r="O984" t="s">
        <v>435</v>
      </c>
      <c r="P984" t="s">
        <v>25</v>
      </c>
      <c r="Q984">
        <v>38250</v>
      </c>
      <c r="R984" t="s">
        <v>436</v>
      </c>
    </row>
    <row r="985" spans="1:18" x14ac:dyDescent="0.25">
      <c r="A985" t="s">
        <v>3506</v>
      </c>
      <c r="B985">
        <v>2044</v>
      </c>
      <c r="C985" t="s">
        <v>487</v>
      </c>
      <c r="D985" t="s">
        <v>322</v>
      </c>
      <c r="E985" t="s">
        <v>512</v>
      </c>
      <c r="F985" t="s">
        <v>2991</v>
      </c>
      <c r="G985" s="25">
        <v>44289</v>
      </c>
      <c r="H985">
        <v>19</v>
      </c>
      <c r="I985">
        <v>93</v>
      </c>
      <c r="J985" t="s">
        <v>432</v>
      </c>
      <c r="K985" t="s">
        <v>494</v>
      </c>
      <c r="L985" t="s">
        <v>25</v>
      </c>
      <c r="M985" t="s">
        <v>434</v>
      </c>
      <c r="N985" t="s">
        <v>76</v>
      </c>
      <c r="O985" t="s">
        <v>435</v>
      </c>
      <c r="P985" t="s">
        <v>25</v>
      </c>
      <c r="Q985">
        <v>51750</v>
      </c>
      <c r="R985" t="s">
        <v>436</v>
      </c>
    </row>
    <row r="986" spans="1:18" x14ac:dyDescent="0.25">
      <c r="A986" t="s">
        <v>2691</v>
      </c>
      <c r="B986">
        <v>1716</v>
      </c>
      <c r="C986" t="s">
        <v>487</v>
      </c>
      <c r="D986" t="s">
        <v>261</v>
      </c>
      <c r="E986" t="s">
        <v>552</v>
      </c>
      <c r="F986" t="s">
        <v>1585</v>
      </c>
      <c r="G986" s="25">
        <v>44274</v>
      </c>
      <c r="H986">
        <v>16</v>
      </c>
      <c r="I986">
        <v>78</v>
      </c>
      <c r="J986" t="s">
        <v>432</v>
      </c>
      <c r="K986" t="s">
        <v>493</v>
      </c>
      <c r="L986" t="s">
        <v>441</v>
      </c>
      <c r="M986" t="s">
        <v>434</v>
      </c>
      <c r="N986" t="s">
        <v>78</v>
      </c>
      <c r="O986" t="s">
        <v>435</v>
      </c>
      <c r="P986" t="s">
        <v>441</v>
      </c>
      <c r="Q986">
        <v>107143.75</v>
      </c>
      <c r="R986" t="s">
        <v>436</v>
      </c>
    </row>
    <row r="987" spans="1:18" x14ac:dyDescent="0.25">
      <c r="A987" t="s">
        <v>2578</v>
      </c>
      <c r="B987">
        <v>1430</v>
      </c>
      <c r="C987" t="s">
        <v>487</v>
      </c>
      <c r="D987" t="s">
        <v>261</v>
      </c>
      <c r="E987" t="s">
        <v>322</v>
      </c>
      <c r="F987" t="s">
        <v>1417</v>
      </c>
      <c r="G987" s="25">
        <v>44261</v>
      </c>
      <c r="H987">
        <v>13</v>
      </c>
      <c r="I987">
        <v>65</v>
      </c>
      <c r="J987" t="s">
        <v>432</v>
      </c>
      <c r="K987" t="s">
        <v>493</v>
      </c>
      <c r="L987" t="s">
        <v>441</v>
      </c>
      <c r="M987" t="s">
        <v>434</v>
      </c>
      <c r="N987" t="s">
        <v>78</v>
      </c>
      <c r="O987" t="s">
        <v>435</v>
      </c>
      <c r="P987" t="s">
        <v>441</v>
      </c>
      <c r="Q987">
        <v>166075</v>
      </c>
      <c r="R987" t="s">
        <v>436</v>
      </c>
    </row>
    <row r="988" spans="1:18" x14ac:dyDescent="0.25">
      <c r="A988" t="s">
        <v>2802</v>
      </c>
      <c r="B988">
        <v>1210</v>
      </c>
      <c r="C988" t="s">
        <v>487</v>
      </c>
      <c r="D988" t="s">
        <v>256</v>
      </c>
      <c r="E988" t="s">
        <v>575</v>
      </c>
      <c r="F988" t="s">
        <v>1668</v>
      </c>
      <c r="G988" s="25">
        <v>44251</v>
      </c>
      <c r="H988">
        <v>11</v>
      </c>
      <c r="I988">
        <v>55</v>
      </c>
      <c r="J988" t="s">
        <v>432</v>
      </c>
      <c r="K988" t="s">
        <v>493</v>
      </c>
      <c r="L988" t="s">
        <v>441</v>
      </c>
      <c r="M988" t="s">
        <v>434</v>
      </c>
      <c r="N988" t="s">
        <v>78</v>
      </c>
      <c r="O988" t="s">
        <v>435</v>
      </c>
      <c r="P988" t="s">
        <v>441</v>
      </c>
      <c r="Q988">
        <v>206128.125</v>
      </c>
      <c r="R988" t="s">
        <v>436</v>
      </c>
    </row>
    <row r="989" spans="1:18" x14ac:dyDescent="0.25">
      <c r="A989" t="s">
        <v>3507</v>
      </c>
      <c r="B989">
        <v>2464</v>
      </c>
      <c r="C989" t="s">
        <v>487</v>
      </c>
      <c r="D989" t="s">
        <v>247</v>
      </c>
      <c r="E989" t="s">
        <v>232</v>
      </c>
      <c r="F989" t="s">
        <v>3140</v>
      </c>
      <c r="G989" s="25">
        <v>44308</v>
      </c>
      <c r="H989">
        <v>23</v>
      </c>
      <c r="I989">
        <v>112</v>
      </c>
      <c r="J989" t="s">
        <v>432</v>
      </c>
      <c r="K989" t="s">
        <v>493</v>
      </c>
      <c r="L989" t="s">
        <v>441</v>
      </c>
      <c r="M989" t="s">
        <v>434</v>
      </c>
      <c r="N989" t="s">
        <v>78</v>
      </c>
      <c r="O989" t="s">
        <v>435</v>
      </c>
      <c r="P989" t="s">
        <v>441</v>
      </c>
      <c r="Q989">
        <v>178811.25</v>
      </c>
      <c r="R989" t="s">
        <v>436</v>
      </c>
    </row>
    <row r="990" spans="1:18" x14ac:dyDescent="0.25">
      <c r="A990" t="s">
        <v>2814</v>
      </c>
      <c r="B990">
        <v>871</v>
      </c>
      <c r="C990" t="s">
        <v>487</v>
      </c>
      <c r="D990" t="s">
        <v>231</v>
      </c>
      <c r="E990" t="s">
        <v>408</v>
      </c>
      <c r="F990" t="s">
        <v>1234</v>
      </c>
      <c r="G990" s="25">
        <v>44236</v>
      </c>
      <c r="H990">
        <v>8</v>
      </c>
      <c r="I990">
        <v>40</v>
      </c>
      <c r="J990" t="s">
        <v>432</v>
      </c>
      <c r="K990" t="s">
        <v>490</v>
      </c>
      <c r="L990" t="s">
        <v>65</v>
      </c>
      <c r="M990" t="s">
        <v>434</v>
      </c>
      <c r="N990" t="s">
        <v>64</v>
      </c>
      <c r="O990" t="s">
        <v>235</v>
      </c>
      <c r="P990" t="s">
        <v>442</v>
      </c>
      <c r="Q990">
        <v>240000</v>
      </c>
      <c r="R990" t="s">
        <v>237</v>
      </c>
    </row>
    <row r="991" spans="1:18" x14ac:dyDescent="0.25">
      <c r="A991" t="s">
        <v>717</v>
      </c>
      <c r="B991">
        <v>453</v>
      </c>
      <c r="C991" t="s">
        <v>487</v>
      </c>
      <c r="D991" t="s">
        <v>231</v>
      </c>
      <c r="E991" t="s">
        <v>229</v>
      </c>
      <c r="F991" t="s">
        <v>541</v>
      </c>
      <c r="G991" s="25">
        <v>44217</v>
      </c>
      <c r="H991">
        <v>5</v>
      </c>
      <c r="I991">
        <v>21</v>
      </c>
      <c r="J991" t="s">
        <v>432</v>
      </c>
      <c r="K991" t="s">
        <v>490</v>
      </c>
      <c r="L991" t="s">
        <v>65</v>
      </c>
      <c r="M991" t="s">
        <v>434</v>
      </c>
      <c r="N991" t="s">
        <v>64</v>
      </c>
      <c r="O991" t="s">
        <v>235</v>
      </c>
      <c r="P991" t="s">
        <v>442</v>
      </c>
      <c r="Q991">
        <v>28250</v>
      </c>
      <c r="R991" t="s">
        <v>237</v>
      </c>
    </row>
    <row r="992" spans="1:18" x14ac:dyDescent="0.25">
      <c r="A992" t="s">
        <v>718</v>
      </c>
      <c r="B992">
        <v>409</v>
      </c>
      <c r="C992" t="s">
        <v>487</v>
      </c>
      <c r="D992" t="s">
        <v>229</v>
      </c>
      <c r="E992" t="s">
        <v>531</v>
      </c>
      <c r="F992" t="s">
        <v>532</v>
      </c>
      <c r="G992" s="25">
        <v>44215</v>
      </c>
      <c r="H992">
        <v>4</v>
      </c>
      <c r="I992">
        <v>19</v>
      </c>
      <c r="J992" t="s">
        <v>432</v>
      </c>
      <c r="K992" t="s">
        <v>490</v>
      </c>
      <c r="L992" t="s">
        <v>65</v>
      </c>
      <c r="M992" t="s">
        <v>434</v>
      </c>
      <c r="N992" t="s">
        <v>64</v>
      </c>
      <c r="O992" t="s">
        <v>235</v>
      </c>
      <c r="P992" t="s">
        <v>442</v>
      </c>
      <c r="Q992">
        <v>48000</v>
      </c>
      <c r="R992" t="s">
        <v>237</v>
      </c>
    </row>
    <row r="993" spans="1:18" x14ac:dyDescent="0.25">
      <c r="A993" t="s">
        <v>3508</v>
      </c>
      <c r="B993">
        <v>2587</v>
      </c>
      <c r="C993" t="s">
        <v>487</v>
      </c>
      <c r="D993" t="s">
        <v>247</v>
      </c>
      <c r="E993" t="s">
        <v>552</v>
      </c>
      <c r="F993" t="s">
        <v>3170</v>
      </c>
      <c r="G993" s="25">
        <v>44314</v>
      </c>
      <c r="H993">
        <v>24</v>
      </c>
      <c r="I993">
        <v>118</v>
      </c>
      <c r="J993" t="s">
        <v>432</v>
      </c>
      <c r="K993" t="s">
        <v>490</v>
      </c>
      <c r="L993" t="s">
        <v>65</v>
      </c>
      <c r="M993" t="s">
        <v>434</v>
      </c>
      <c r="N993" t="s">
        <v>64</v>
      </c>
      <c r="O993" t="s">
        <v>235</v>
      </c>
      <c r="P993" t="s">
        <v>442</v>
      </c>
      <c r="Q993">
        <v>186500</v>
      </c>
      <c r="R993" t="s">
        <v>237</v>
      </c>
    </row>
    <row r="994" spans="1:18" x14ac:dyDescent="0.25">
      <c r="A994" t="s">
        <v>3509</v>
      </c>
      <c r="B994">
        <v>1817</v>
      </c>
      <c r="C994" t="s">
        <v>487</v>
      </c>
      <c r="D994" t="s">
        <v>322</v>
      </c>
      <c r="E994" t="s">
        <v>256</v>
      </c>
      <c r="F994" t="s">
        <v>2952</v>
      </c>
      <c r="G994" s="25">
        <v>44279</v>
      </c>
      <c r="H994">
        <v>17</v>
      </c>
      <c r="I994">
        <v>83</v>
      </c>
      <c r="J994" t="s">
        <v>432</v>
      </c>
      <c r="K994" t="s">
        <v>490</v>
      </c>
      <c r="L994" t="s">
        <v>65</v>
      </c>
      <c r="M994" t="s">
        <v>434</v>
      </c>
      <c r="N994" t="s">
        <v>64</v>
      </c>
      <c r="O994" t="s">
        <v>235</v>
      </c>
      <c r="P994" t="s">
        <v>442</v>
      </c>
      <c r="Q994">
        <v>207875</v>
      </c>
      <c r="R994" t="s">
        <v>237</v>
      </c>
    </row>
    <row r="995" spans="1:18" x14ac:dyDescent="0.25">
      <c r="A995" t="s">
        <v>1898</v>
      </c>
      <c r="B995">
        <v>1619</v>
      </c>
      <c r="C995" t="s">
        <v>487</v>
      </c>
      <c r="D995" t="s">
        <v>261</v>
      </c>
      <c r="E995" t="s">
        <v>537</v>
      </c>
      <c r="F995" t="s">
        <v>1530</v>
      </c>
      <c r="G995" s="25">
        <v>44270</v>
      </c>
      <c r="H995">
        <v>15</v>
      </c>
      <c r="I995">
        <v>74</v>
      </c>
      <c r="J995" t="s">
        <v>432</v>
      </c>
      <c r="K995" t="s">
        <v>490</v>
      </c>
      <c r="L995" t="s">
        <v>65</v>
      </c>
      <c r="M995" t="s">
        <v>434</v>
      </c>
      <c r="N995" t="s">
        <v>64</v>
      </c>
      <c r="O995" t="s">
        <v>235</v>
      </c>
      <c r="P995" t="s">
        <v>442</v>
      </c>
      <c r="Q995">
        <v>344000</v>
      </c>
      <c r="R995" t="s">
        <v>237</v>
      </c>
    </row>
    <row r="996" spans="1:18" x14ac:dyDescent="0.25">
      <c r="A996" t="s">
        <v>3510</v>
      </c>
      <c r="B996">
        <v>2086</v>
      </c>
      <c r="C996" t="s">
        <v>487</v>
      </c>
      <c r="D996" t="s">
        <v>322</v>
      </c>
      <c r="E996" t="s">
        <v>575</v>
      </c>
      <c r="F996" t="s">
        <v>3014</v>
      </c>
      <c r="G996" s="25">
        <v>44291</v>
      </c>
      <c r="H996">
        <v>19</v>
      </c>
      <c r="I996">
        <v>95</v>
      </c>
      <c r="J996" t="s">
        <v>432</v>
      </c>
      <c r="K996" t="s">
        <v>488</v>
      </c>
      <c r="L996" t="s">
        <v>433</v>
      </c>
      <c r="M996" t="s">
        <v>434</v>
      </c>
      <c r="N996" t="s">
        <v>74</v>
      </c>
      <c r="O996" t="s">
        <v>435</v>
      </c>
      <c r="P996" t="s">
        <v>433</v>
      </c>
      <c r="Q996">
        <v>50700</v>
      </c>
      <c r="R996" t="s">
        <v>436</v>
      </c>
    </row>
    <row r="997" spans="1:18" x14ac:dyDescent="0.25">
      <c r="A997" t="s">
        <v>1710</v>
      </c>
      <c r="B997">
        <v>1712</v>
      </c>
      <c r="C997" t="s">
        <v>487</v>
      </c>
      <c r="D997" t="s">
        <v>261</v>
      </c>
      <c r="E997" t="s">
        <v>552</v>
      </c>
      <c r="F997" t="s">
        <v>1585</v>
      </c>
      <c r="G997" s="25">
        <v>44274</v>
      </c>
      <c r="H997">
        <v>16</v>
      </c>
      <c r="I997">
        <v>78</v>
      </c>
      <c r="J997" t="s">
        <v>432</v>
      </c>
      <c r="K997" t="s">
        <v>488</v>
      </c>
      <c r="L997" t="s">
        <v>433</v>
      </c>
      <c r="M997" t="s">
        <v>434</v>
      </c>
      <c r="N997" t="s">
        <v>74</v>
      </c>
      <c r="O997" t="s">
        <v>435</v>
      </c>
      <c r="P997" t="s">
        <v>433</v>
      </c>
      <c r="Q997">
        <v>25800</v>
      </c>
      <c r="R997" t="s">
        <v>436</v>
      </c>
    </row>
    <row r="998" spans="1:18" x14ac:dyDescent="0.25">
      <c r="A998" t="s">
        <v>1799</v>
      </c>
      <c r="B998">
        <v>1184</v>
      </c>
      <c r="C998" t="s">
        <v>487</v>
      </c>
      <c r="D998" t="s">
        <v>256</v>
      </c>
      <c r="E998" t="s">
        <v>537</v>
      </c>
      <c r="F998" t="s">
        <v>1348</v>
      </c>
      <c r="G998" s="25">
        <v>44250</v>
      </c>
      <c r="H998">
        <v>11</v>
      </c>
      <c r="I998">
        <v>54</v>
      </c>
      <c r="J998" t="s">
        <v>432</v>
      </c>
      <c r="K998" t="s">
        <v>488</v>
      </c>
      <c r="L998" t="s">
        <v>433</v>
      </c>
      <c r="M998" t="s">
        <v>434</v>
      </c>
      <c r="N998" t="s">
        <v>74</v>
      </c>
      <c r="O998" t="s">
        <v>435</v>
      </c>
      <c r="P998" t="s">
        <v>433</v>
      </c>
      <c r="Q998">
        <v>48000</v>
      </c>
      <c r="R998" t="s">
        <v>436</v>
      </c>
    </row>
    <row r="999" spans="1:18" x14ac:dyDescent="0.25">
      <c r="A999" t="s">
        <v>662</v>
      </c>
      <c r="B999">
        <v>216</v>
      </c>
      <c r="C999" t="s">
        <v>487</v>
      </c>
      <c r="D999" t="s">
        <v>229</v>
      </c>
      <c r="E999" t="s">
        <v>239</v>
      </c>
      <c r="F999" t="s">
        <v>578</v>
      </c>
      <c r="G999" s="25">
        <v>44206</v>
      </c>
      <c r="H999">
        <v>2</v>
      </c>
      <c r="I999">
        <v>10</v>
      </c>
      <c r="J999" t="s">
        <v>432</v>
      </c>
      <c r="K999" t="s">
        <v>488</v>
      </c>
      <c r="L999" t="s">
        <v>433</v>
      </c>
      <c r="M999" t="s">
        <v>434</v>
      </c>
      <c r="N999" t="s">
        <v>74</v>
      </c>
      <c r="O999" t="s">
        <v>435</v>
      </c>
      <c r="P999" t="s">
        <v>433</v>
      </c>
      <c r="Q999">
        <v>7200</v>
      </c>
      <c r="R999" t="s">
        <v>436</v>
      </c>
    </row>
    <row r="1000" spans="1:18" x14ac:dyDescent="0.25">
      <c r="A1000" t="s">
        <v>3511</v>
      </c>
      <c r="B1000">
        <v>1884</v>
      </c>
      <c r="C1000" t="s">
        <v>487</v>
      </c>
      <c r="D1000" t="s">
        <v>322</v>
      </c>
      <c r="E1000" t="s">
        <v>247</v>
      </c>
      <c r="F1000" t="s">
        <v>2963</v>
      </c>
      <c r="G1000" s="25">
        <v>44282</v>
      </c>
      <c r="H1000">
        <v>18</v>
      </c>
      <c r="I1000">
        <v>86</v>
      </c>
      <c r="J1000" t="s">
        <v>432</v>
      </c>
      <c r="K1000" t="s">
        <v>489</v>
      </c>
      <c r="L1000" t="s">
        <v>134</v>
      </c>
      <c r="M1000" t="s">
        <v>434</v>
      </c>
      <c r="N1000" t="s">
        <v>67</v>
      </c>
      <c r="O1000" t="s">
        <v>235</v>
      </c>
      <c r="P1000" t="s">
        <v>437</v>
      </c>
      <c r="Q1000">
        <v>587750</v>
      </c>
      <c r="R1000" t="s">
        <v>237</v>
      </c>
    </row>
    <row r="1001" spans="1:18" x14ac:dyDescent="0.25">
      <c r="A1001" t="s">
        <v>2430</v>
      </c>
      <c r="B1001">
        <v>1048</v>
      </c>
      <c r="C1001" t="s">
        <v>487</v>
      </c>
      <c r="D1001" t="s">
        <v>256</v>
      </c>
      <c r="E1001" t="s">
        <v>381</v>
      </c>
      <c r="F1001" t="s">
        <v>1311</v>
      </c>
      <c r="G1001" s="25">
        <v>44244</v>
      </c>
      <c r="H1001">
        <v>10</v>
      </c>
      <c r="I1001">
        <v>48</v>
      </c>
      <c r="J1001" t="s">
        <v>432</v>
      </c>
      <c r="K1001" t="s">
        <v>489</v>
      </c>
      <c r="L1001" t="s">
        <v>134</v>
      </c>
      <c r="M1001" t="s">
        <v>434</v>
      </c>
      <c r="N1001" t="s">
        <v>67</v>
      </c>
      <c r="O1001" t="s">
        <v>235</v>
      </c>
      <c r="P1001" t="s">
        <v>437</v>
      </c>
      <c r="Q1001">
        <v>462250</v>
      </c>
      <c r="R1001" t="s">
        <v>237</v>
      </c>
    </row>
    <row r="1002" spans="1:18" x14ac:dyDescent="0.25">
      <c r="A1002" t="s">
        <v>1971</v>
      </c>
      <c r="B1002">
        <v>652</v>
      </c>
      <c r="C1002" t="s">
        <v>487</v>
      </c>
      <c r="D1002" t="s">
        <v>231</v>
      </c>
      <c r="E1002" t="s">
        <v>239</v>
      </c>
      <c r="F1002" t="s">
        <v>1139</v>
      </c>
      <c r="G1002" s="25">
        <v>44226</v>
      </c>
      <c r="H1002">
        <v>6</v>
      </c>
      <c r="I1002">
        <v>30</v>
      </c>
      <c r="J1002" t="s">
        <v>432</v>
      </c>
      <c r="K1002" t="s">
        <v>489</v>
      </c>
      <c r="L1002" t="s">
        <v>134</v>
      </c>
      <c r="M1002" t="s">
        <v>434</v>
      </c>
      <c r="N1002" t="s">
        <v>67</v>
      </c>
      <c r="O1002" t="s">
        <v>235</v>
      </c>
      <c r="P1002" t="s">
        <v>437</v>
      </c>
      <c r="Q1002">
        <v>264000</v>
      </c>
      <c r="R1002" t="s">
        <v>237</v>
      </c>
    </row>
    <row r="1003" spans="1:18" x14ac:dyDescent="0.25">
      <c r="A1003" t="s">
        <v>2498</v>
      </c>
      <c r="B1003">
        <v>542</v>
      </c>
      <c r="C1003" t="s">
        <v>487</v>
      </c>
      <c r="D1003" t="s">
        <v>231</v>
      </c>
      <c r="E1003" t="s">
        <v>322</v>
      </c>
      <c r="F1003" t="s">
        <v>1085</v>
      </c>
      <c r="G1003" s="25">
        <v>44221</v>
      </c>
      <c r="H1003">
        <v>5</v>
      </c>
      <c r="I1003">
        <v>25</v>
      </c>
      <c r="J1003" t="s">
        <v>432</v>
      </c>
      <c r="K1003" t="s">
        <v>489</v>
      </c>
      <c r="L1003" t="s">
        <v>134</v>
      </c>
      <c r="M1003" t="s">
        <v>434</v>
      </c>
      <c r="N1003" t="s">
        <v>67</v>
      </c>
      <c r="O1003" t="s">
        <v>235</v>
      </c>
      <c r="P1003" t="s">
        <v>437</v>
      </c>
      <c r="Q1003">
        <v>27875</v>
      </c>
      <c r="R1003" t="s">
        <v>237</v>
      </c>
    </row>
    <row r="1004" spans="1:18" x14ac:dyDescent="0.25">
      <c r="A1004" t="s">
        <v>3512</v>
      </c>
      <c r="B1004">
        <v>2335</v>
      </c>
      <c r="C1004" t="s">
        <v>487</v>
      </c>
      <c r="D1004" t="s">
        <v>247</v>
      </c>
      <c r="E1004" t="s">
        <v>326</v>
      </c>
      <c r="F1004" t="s">
        <v>3091</v>
      </c>
      <c r="G1004" s="25">
        <v>44303</v>
      </c>
      <c r="H1004">
        <v>22</v>
      </c>
      <c r="I1004">
        <v>107</v>
      </c>
      <c r="J1004" t="s">
        <v>231</v>
      </c>
      <c r="K1004" t="s">
        <v>509</v>
      </c>
      <c r="L1004" t="s">
        <v>45</v>
      </c>
      <c r="M1004" t="s">
        <v>234</v>
      </c>
      <c r="N1004" t="s">
        <v>44</v>
      </c>
      <c r="O1004" t="s">
        <v>21</v>
      </c>
      <c r="P1004" t="s">
        <v>304</v>
      </c>
      <c r="Q1004">
        <v>24068</v>
      </c>
      <c r="R1004" t="s">
        <v>237</v>
      </c>
    </row>
    <row r="1005" spans="1:18" x14ac:dyDescent="0.25">
      <c r="A1005" t="s">
        <v>3513</v>
      </c>
      <c r="B1005">
        <v>1983</v>
      </c>
      <c r="C1005" t="s">
        <v>487</v>
      </c>
      <c r="D1005" t="s">
        <v>322</v>
      </c>
      <c r="E1005" t="s">
        <v>515</v>
      </c>
      <c r="F1005" t="s">
        <v>2983</v>
      </c>
      <c r="G1005" s="25">
        <v>44287</v>
      </c>
      <c r="H1005">
        <v>19</v>
      </c>
      <c r="I1005">
        <v>91</v>
      </c>
      <c r="J1005" t="s">
        <v>231</v>
      </c>
      <c r="K1005" t="s">
        <v>509</v>
      </c>
      <c r="L1005" t="s">
        <v>45</v>
      </c>
      <c r="M1005" t="s">
        <v>234</v>
      </c>
      <c r="N1005" t="s">
        <v>44</v>
      </c>
      <c r="O1005" t="s">
        <v>21</v>
      </c>
      <c r="P1005" t="s">
        <v>304</v>
      </c>
      <c r="Q1005">
        <v>0</v>
      </c>
      <c r="R1005" t="s">
        <v>237</v>
      </c>
    </row>
    <row r="1006" spans="1:18" x14ac:dyDescent="0.25">
      <c r="A1006" t="s">
        <v>2436</v>
      </c>
      <c r="B1006">
        <v>1741</v>
      </c>
      <c r="C1006" t="s">
        <v>487</v>
      </c>
      <c r="D1006" t="s">
        <v>261</v>
      </c>
      <c r="E1006" t="s">
        <v>408</v>
      </c>
      <c r="F1006" t="s">
        <v>1595</v>
      </c>
      <c r="G1006" s="25">
        <v>44276</v>
      </c>
      <c r="H1006">
        <v>16</v>
      </c>
      <c r="I1006">
        <v>80</v>
      </c>
      <c r="J1006" t="s">
        <v>231</v>
      </c>
      <c r="K1006" t="s">
        <v>509</v>
      </c>
      <c r="L1006" t="s">
        <v>45</v>
      </c>
      <c r="M1006" t="s">
        <v>234</v>
      </c>
      <c r="N1006" t="s">
        <v>44</v>
      </c>
      <c r="O1006" t="s">
        <v>21</v>
      </c>
      <c r="P1006" t="s">
        <v>304</v>
      </c>
      <c r="Q1006">
        <v>167</v>
      </c>
      <c r="R1006" t="s">
        <v>237</v>
      </c>
    </row>
    <row r="1007" spans="1:18" x14ac:dyDescent="0.25">
      <c r="A1007" t="s">
        <v>1554</v>
      </c>
      <c r="B1007">
        <v>465</v>
      </c>
      <c r="C1007" t="s">
        <v>487</v>
      </c>
      <c r="D1007" t="s">
        <v>231</v>
      </c>
      <c r="E1007" t="s">
        <v>231</v>
      </c>
      <c r="F1007" t="s">
        <v>1080</v>
      </c>
      <c r="G1007" s="25">
        <v>44218</v>
      </c>
      <c r="H1007">
        <v>5</v>
      </c>
      <c r="I1007">
        <v>22</v>
      </c>
      <c r="J1007" t="s">
        <v>231</v>
      </c>
      <c r="K1007" t="s">
        <v>509</v>
      </c>
      <c r="L1007" t="s">
        <v>45</v>
      </c>
      <c r="M1007" t="s">
        <v>234</v>
      </c>
      <c r="N1007" t="s">
        <v>44</v>
      </c>
      <c r="O1007" t="s">
        <v>21</v>
      </c>
      <c r="P1007" t="s">
        <v>304</v>
      </c>
      <c r="Q1007">
        <v>0</v>
      </c>
      <c r="R1007" t="s">
        <v>237</v>
      </c>
    </row>
    <row r="1008" spans="1:18" x14ac:dyDescent="0.25">
      <c r="A1008" t="s">
        <v>3514</v>
      </c>
      <c r="B1008">
        <v>2445</v>
      </c>
      <c r="C1008" t="s">
        <v>487</v>
      </c>
      <c r="D1008" t="s">
        <v>247</v>
      </c>
      <c r="E1008" t="s">
        <v>232</v>
      </c>
      <c r="F1008" t="s">
        <v>3140</v>
      </c>
      <c r="G1008" s="25">
        <v>44308</v>
      </c>
      <c r="H1008">
        <v>23</v>
      </c>
      <c r="I1008">
        <v>112</v>
      </c>
      <c r="J1008" t="s">
        <v>231</v>
      </c>
      <c r="K1008" t="s">
        <v>509</v>
      </c>
      <c r="L1008" t="s">
        <v>45</v>
      </c>
      <c r="M1008" t="s">
        <v>234</v>
      </c>
      <c r="N1008" t="s">
        <v>44</v>
      </c>
      <c r="O1008" t="s">
        <v>21</v>
      </c>
      <c r="P1008" t="s">
        <v>304</v>
      </c>
      <c r="Q1008">
        <v>1589</v>
      </c>
      <c r="R1008" t="s">
        <v>237</v>
      </c>
    </row>
    <row r="1009" spans="1:18" x14ac:dyDescent="0.25">
      <c r="A1009" t="s">
        <v>2083</v>
      </c>
      <c r="B1009">
        <v>1610</v>
      </c>
      <c r="C1009" t="s">
        <v>487</v>
      </c>
      <c r="D1009" t="s">
        <v>261</v>
      </c>
      <c r="E1009" t="s">
        <v>537</v>
      </c>
      <c r="F1009" t="s">
        <v>1530</v>
      </c>
      <c r="G1009" s="25">
        <v>44270</v>
      </c>
      <c r="H1009">
        <v>15</v>
      </c>
      <c r="I1009">
        <v>74</v>
      </c>
      <c r="J1009" t="s">
        <v>231</v>
      </c>
      <c r="K1009" t="s">
        <v>508</v>
      </c>
      <c r="L1009" t="s">
        <v>47</v>
      </c>
      <c r="M1009" t="s">
        <v>234</v>
      </c>
      <c r="N1009" t="s">
        <v>46</v>
      </c>
      <c r="O1009" t="s">
        <v>21</v>
      </c>
      <c r="P1009" t="s">
        <v>288</v>
      </c>
      <c r="Q1009">
        <v>22671</v>
      </c>
      <c r="R1009" t="s">
        <v>237</v>
      </c>
    </row>
    <row r="1010" spans="1:18" x14ac:dyDescent="0.25">
      <c r="A1010" t="s">
        <v>3515</v>
      </c>
      <c r="B1010">
        <v>2116</v>
      </c>
      <c r="C1010" t="s">
        <v>487</v>
      </c>
      <c r="D1010" t="s">
        <v>322</v>
      </c>
      <c r="E1010" t="s">
        <v>534</v>
      </c>
      <c r="F1010" t="s">
        <v>3031</v>
      </c>
      <c r="G1010" s="25">
        <v>44293</v>
      </c>
      <c r="H1010">
        <v>20</v>
      </c>
      <c r="I1010">
        <v>97</v>
      </c>
      <c r="J1010" t="s">
        <v>231</v>
      </c>
      <c r="K1010" t="s">
        <v>508</v>
      </c>
      <c r="L1010" t="s">
        <v>47</v>
      </c>
      <c r="M1010" t="s">
        <v>234</v>
      </c>
      <c r="N1010" t="s">
        <v>46</v>
      </c>
      <c r="O1010" t="s">
        <v>21</v>
      </c>
      <c r="P1010" t="s">
        <v>288</v>
      </c>
      <c r="Q1010">
        <v>12758</v>
      </c>
      <c r="R1010" t="s">
        <v>237</v>
      </c>
    </row>
    <row r="1011" spans="1:18" x14ac:dyDescent="0.25">
      <c r="A1011" t="s">
        <v>2539</v>
      </c>
      <c r="B1011">
        <v>1017</v>
      </c>
      <c r="C1011" t="s">
        <v>487</v>
      </c>
      <c r="D1011" t="s">
        <v>256</v>
      </c>
      <c r="E1011" t="s">
        <v>326</v>
      </c>
      <c r="F1011" t="s">
        <v>1305</v>
      </c>
      <c r="G1011" s="25">
        <v>44243</v>
      </c>
      <c r="H1011">
        <v>10</v>
      </c>
      <c r="I1011">
        <v>47</v>
      </c>
      <c r="J1011" t="s">
        <v>231</v>
      </c>
      <c r="K1011" t="s">
        <v>507</v>
      </c>
      <c r="L1011" t="s">
        <v>49</v>
      </c>
      <c r="M1011" t="s">
        <v>234</v>
      </c>
      <c r="N1011" t="s">
        <v>48</v>
      </c>
      <c r="O1011" t="s">
        <v>21</v>
      </c>
      <c r="P1011" t="s">
        <v>413</v>
      </c>
      <c r="Q1011">
        <v>0</v>
      </c>
      <c r="R1011" t="s">
        <v>237</v>
      </c>
    </row>
    <row r="1012" spans="1:18" x14ac:dyDescent="0.25">
      <c r="A1012" t="s">
        <v>317</v>
      </c>
      <c r="B1012">
        <v>49</v>
      </c>
      <c r="C1012" t="s">
        <v>487</v>
      </c>
      <c r="D1012" t="s">
        <v>229</v>
      </c>
      <c r="E1012" t="s">
        <v>256</v>
      </c>
      <c r="F1012" t="s">
        <v>525</v>
      </c>
      <c r="G1012" s="25">
        <v>44199</v>
      </c>
      <c r="H1012">
        <v>1</v>
      </c>
      <c r="I1012">
        <v>3</v>
      </c>
      <c r="J1012" t="s">
        <v>231</v>
      </c>
      <c r="K1012" t="s">
        <v>507</v>
      </c>
      <c r="L1012" t="s">
        <v>49</v>
      </c>
      <c r="M1012" t="s">
        <v>234</v>
      </c>
      <c r="N1012" t="s">
        <v>48</v>
      </c>
      <c r="O1012" t="s">
        <v>21</v>
      </c>
      <c r="P1012" t="s">
        <v>413</v>
      </c>
      <c r="Q1012">
        <v>0</v>
      </c>
      <c r="R1012" t="s">
        <v>237</v>
      </c>
    </row>
    <row r="1013" spans="1:18" x14ac:dyDescent="0.25">
      <c r="A1013" t="s">
        <v>3516</v>
      </c>
      <c r="B1013">
        <v>2227</v>
      </c>
      <c r="C1013" t="s">
        <v>487</v>
      </c>
      <c r="D1013" t="s">
        <v>247</v>
      </c>
      <c r="E1013" t="s">
        <v>231</v>
      </c>
      <c r="F1013" t="s">
        <v>3070</v>
      </c>
      <c r="G1013" s="25">
        <v>44298</v>
      </c>
      <c r="H1013">
        <v>21</v>
      </c>
      <c r="I1013">
        <v>102</v>
      </c>
      <c r="J1013" t="s">
        <v>231</v>
      </c>
      <c r="K1013" t="s">
        <v>507</v>
      </c>
      <c r="L1013" t="s">
        <v>49</v>
      </c>
      <c r="M1013" t="s">
        <v>234</v>
      </c>
      <c r="N1013" t="s">
        <v>48</v>
      </c>
      <c r="O1013" t="s">
        <v>21</v>
      </c>
      <c r="P1013" t="s">
        <v>413</v>
      </c>
      <c r="Q1013">
        <v>0</v>
      </c>
      <c r="R1013" t="s">
        <v>237</v>
      </c>
    </row>
    <row r="1014" spans="1:18" x14ac:dyDescent="0.25">
      <c r="A1014" t="s">
        <v>542</v>
      </c>
      <c r="B1014">
        <v>292</v>
      </c>
      <c r="C1014" t="s">
        <v>487</v>
      </c>
      <c r="D1014" t="s">
        <v>229</v>
      </c>
      <c r="E1014" t="s">
        <v>537</v>
      </c>
      <c r="F1014" t="s">
        <v>538</v>
      </c>
      <c r="G1014" s="25">
        <v>44210</v>
      </c>
      <c r="H1014">
        <v>3</v>
      </c>
      <c r="I1014">
        <v>14</v>
      </c>
      <c r="J1014" t="s">
        <v>231</v>
      </c>
      <c r="K1014" t="s">
        <v>506</v>
      </c>
      <c r="L1014" t="s">
        <v>414</v>
      </c>
      <c r="M1014" t="s">
        <v>234</v>
      </c>
      <c r="N1014" t="s">
        <v>50</v>
      </c>
      <c r="O1014" t="s">
        <v>21</v>
      </c>
      <c r="P1014" t="s">
        <v>411</v>
      </c>
      <c r="Q1014">
        <v>0</v>
      </c>
      <c r="R1014" t="s">
        <v>237</v>
      </c>
    </row>
    <row r="1015" spans="1:18" x14ac:dyDescent="0.25">
      <c r="A1015" t="s">
        <v>3517</v>
      </c>
      <c r="B1015">
        <v>2470</v>
      </c>
      <c r="C1015" t="s">
        <v>487</v>
      </c>
      <c r="D1015" t="s">
        <v>247</v>
      </c>
      <c r="E1015" t="s">
        <v>512</v>
      </c>
      <c r="F1015" t="s">
        <v>3146</v>
      </c>
      <c r="G1015" s="25">
        <v>44309</v>
      </c>
      <c r="H1015">
        <v>23</v>
      </c>
      <c r="I1015">
        <v>113</v>
      </c>
      <c r="J1015" t="s">
        <v>231</v>
      </c>
      <c r="K1015" t="s">
        <v>506</v>
      </c>
      <c r="L1015" t="s">
        <v>414</v>
      </c>
      <c r="M1015" t="s">
        <v>234</v>
      </c>
      <c r="N1015" t="s">
        <v>50</v>
      </c>
      <c r="O1015" t="s">
        <v>21</v>
      </c>
      <c r="P1015" t="s">
        <v>411</v>
      </c>
      <c r="Q1015">
        <v>0</v>
      </c>
      <c r="R1015" t="s">
        <v>237</v>
      </c>
    </row>
    <row r="1016" spans="1:18" x14ac:dyDescent="0.25">
      <c r="A1016" t="s">
        <v>3518</v>
      </c>
      <c r="B1016">
        <v>2162</v>
      </c>
      <c r="C1016" t="s">
        <v>487</v>
      </c>
      <c r="D1016" t="s">
        <v>322</v>
      </c>
      <c r="E1016" t="s">
        <v>531</v>
      </c>
      <c r="F1016" t="s">
        <v>3056</v>
      </c>
      <c r="G1016" s="25">
        <v>44295</v>
      </c>
      <c r="H1016">
        <v>20</v>
      </c>
      <c r="I1016">
        <v>99</v>
      </c>
      <c r="J1016" t="s">
        <v>231</v>
      </c>
      <c r="K1016" t="s">
        <v>506</v>
      </c>
      <c r="L1016" t="s">
        <v>414</v>
      </c>
      <c r="M1016" t="s">
        <v>234</v>
      </c>
      <c r="N1016" t="s">
        <v>50</v>
      </c>
      <c r="O1016" t="s">
        <v>21</v>
      </c>
      <c r="P1016" t="s">
        <v>411</v>
      </c>
      <c r="Q1016">
        <v>0</v>
      </c>
      <c r="R1016" t="s">
        <v>237</v>
      </c>
    </row>
    <row r="1017" spans="1:18" x14ac:dyDescent="0.25">
      <c r="A1017" t="s">
        <v>3519</v>
      </c>
      <c r="B1017">
        <v>1854</v>
      </c>
      <c r="C1017" t="s">
        <v>487</v>
      </c>
      <c r="D1017" t="s">
        <v>322</v>
      </c>
      <c r="E1017" t="s">
        <v>322</v>
      </c>
      <c r="F1017" t="s">
        <v>2960</v>
      </c>
      <c r="G1017" s="25">
        <v>44281</v>
      </c>
      <c r="H1017">
        <v>17</v>
      </c>
      <c r="I1017">
        <v>85</v>
      </c>
      <c r="J1017" t="s">
        <v>231</v>
      </c>
      <c r="K1017" t="s">
        <v>506</v>
      </c>
      <c r="L1017" t="s">
        <v>414</v>
      </c>
      <c r="M1017" t="s">
        <v>234</v>
      </c>
      <c r="N1017" t="s">
        <v>50</v>
      </c>
      <c r="O1017" t="s">
        <v>21</v>
      </c>
      <c r="P1017" t="s">
        <v>411</v>
      </c>
      <c r="Q1017">
        <v>0</v>
      </c>
      <c r="R1017" t="s">
        <v>237</v>
      </c>
    </row>
    <row r="1018" spans="1:18" x14ac:dyDescent="0.25">
      <c r="A1018" t="s">
        <v>2337</v>
      </c>
      <c r="B1018">
        <v>1260</v>
      </c>
      <c r="C1018" t="s">
        <v>487</v>
      </c>
      <c r="D1018" t="s">
        <v>256</v>
      </c>
      <c r="E1018" t="s">
        <v>552</v>
      </c>
      <c r="F1018" t="s">
        <v>1365</v>
      </c>
      <c r="G1018" s="25">
        <v>44254</v>
      </c>
      <c r="H1018">
        <v>12</v>
      </c>
      <c r="I1018">
        <v>58</v>
      </c>
      <c r="J1018" t="s">
        <v>231</v>
      </c>
      <c r="K1018" t="s">
        <v>506</v>
      </c>
      <c r="L1018" t="s">
        <v>414</v>
      </c>
      <c r="M1018" t="s">
        <v>234</v>
      </c>
      <c r="N1018" t="s">
        <v>50</v>
      </c>
      <c r="O1018" t="s">
        <v>21</v>
      </c>
      <c r="P1018" t="s">
        <v>411</v>
      </c>
      <c r="Q1018">
        <v>0</v>
      </c>
      <c r="R1018" t="s">
        <v>237</v>
      </c>
    </row>
    <row r="1019" spans="1:18" x14ac:dyDescent="0.25">
      <c r="A1019" t="s">
        <v>796</v>
      </c>
      <c r="B1019">
        <v>243</v>
      </c>
      <c r="C1019" t="s">
        <v>487</v>
      </c>
      <c r="D1019" t="s">
        <v>229</v>
      </c>
      <c r="E1019" t="s">
        <v>232</v>
      </c>
      <c r="F1019" t="s">
        <v>520</v>
      </c>
      <c r="G1019" s="25">
        <v>44208</v>
      </c>
      <c r="H1019">
        <v>3</v>
      </c>
      <c r="I1019">
        <v>12</v>
      </c>
      <c r="J1019" t="s">
        <v>231</v>
      </c>
      <c r="K1019" t="s">
        <v>505</v>
      </c>
      <c r="L1019" t="s">
        <v>41</v>
      </c>
      <c r="M1019" t="s">
        <v>234</v>
      </c>
      <c r="N1019" t="s">
        <v>40</v>
      </c>
      <c r="O1019" t="s">
        <v>21</v>
      </c>
      <c r="P1019" t="s">
        <v>266</v>
      </c>
      <c r="Q1019">
        <v>0</v>
      </c>
      <c r="R1019" t="s">
        <v>237</v>
      </c>
    </row>
    <row r="1020" spans="1:18" x14ac:dyDescent="0.25">
      <c r="A1020" t="s">
        <v>3520</v>
      </c>
      <c r="B1020">
        <v>2421</v>
      </c>
      <c r="C1020" t="s">
        <v>487</v>
      </c>
      <c r="D1020" t="s">
        <v>247</v>
      </c>
      <c r="E1020" t="s">
        <v>515</v>
      </c>
      <c r="F1020" t="s">
        <v>3134</v>
      </c>
      <c r="G1020" s="25">
        <v>44307</v>
      </c>
      <c r="H1020">
        <v>23</v>
      </c>
      <c r="I1020">
        <v>111</v>
      </c>
      <c r="J1020" t="s">
        <v>231</v>
      </c>
      <c r="K1020" t="s">
        <v>505</v>
      </c>
      <c r="L1020" t="s">
        <v>41</v>
      </c>
      <c r="M1020" t="s">
        <v>234</v>
      </c>
      <c r="N1020" t="s">
        <v>40</v>
      </c>
      <c r="O1020" t="s">
        <v>21</v>
      </c>
      <c r="P1020" t="s">
        <v>266</v>
      </c>
      <c r="Q1020">
        <v>0</v>
      </c>
      <c r="R1020" t="s">
        <v>237</v>
      </c>
    </row>
    <row r="1021" spans="1:18" x14ac:dyDescent="0.25">
      <c r="A1021" t="s">
        <v>3521</v>
      </c>
      <c r="B1021">
        <v>2113</v>
      </c>
      <c r="C1021" t="s">
        <v>487</v>
      </c>
      <c r="D1021" t="s">
        <v>322</v>
      </c>
      <c r="E1021" t="s">
        <v>534</v>
      </c>
      <c r="F1021" t="s">
        <v>3031</v>
      </c>
      <c r="G1021" s="25">
        <v>44293</v>
      </c>
      <c r="H1021">
        <v>20</v>
      </c>
      <c r="I1021">
        <v>97</v>
      </c>
      <c r="J1021" t="s">
        <v>231</v>
      </c>
      <c r="K1021" t="s">
        <v>505</v>
      </c>
      <c r="L1021" t="s">
        <v>41</v>
      </c>
      <c r="M1021" t="s">
        <v>234</v>
      </c>
      <c r="N1021" t="s">
        <v>40</v>
      </c>
      <c r="O1021" t="s">
        <v>21</v>
      </c>
      <c r="P1021" t="s">
        <v>266</v>
      </c>
      <c r="Q1021">
        <v>0</v>
      </c>
      <c r="R1021" t="s">
        <v>237</v>
      </c>
    </row>
    <row r="1022" spans="1:18" x14ac:dyDescent="0.25">
      <c r="A1022" t="s">
        <v>3522</v>
      </c>
      <c r="B1022">
        <v>1805</v>
      </c>
      <c r="C1022" t="s">
        <v>487</v>
      </c>
      <c r="D1022" t="s">
        <v>322</v>
      </c>
      <c r="E1022" t="s">
        <v>256</v>
      </c>
      <c r="F1022" t="s">
        <v>2952</v>
      </c>
      <c r="G1022" s="25">
        <v>44279</v>
      </c>
      <c r="H1022">
        <v>17</v>
      </c>
      <c r="I1022">
        <v>83</v>
      </c>
      <c r="J1022" t="s">
        <v>231</v>
      </c>
      <c r="K1022" t="s">
        <v>505</v>
      </c>
      <c r="L1022" t="s">
        <v>41</v>
      </c>
      <c r="M1022" t="s">
        <v>234</v>
      </c>
      <c r="N1022" t="s">
        <v>40</v>
      </c>
      <c r="O1022" t="s">
        <v>21</v>
      </c>
      <c r="P1022" t="s">
        <v>266</v>
      </c>
      <c r="Q1022">
        <v>2344</v>
      </c>
      <c r="R1022" t="s">
        <v>237</v>
      </c>
    </row>
    <row r="1023" spans="1:18" x14ac:dyDescent="0.25">
      <c r="A1023" t="s">
        <v>2871</v>
      </c>
      <c r="B1023">
        <v>969</v>
      </c>
      <c r="C1023" t="s">
        <v>487</v>
      </c>
      <c r="D1023" t="s">
        <v>256</v>
      </c>
      <c r="E1023" t="s">
        <v>322</v>
      </c>
      <c r="F1023" t="s">
        <v>1288</v>
      </c>
      <c r="G1023" s="25">
        <v>44241</v>
      </c>
      <c r="H1023">
        <v>9</v>
      </c>
      <c r="I1023">
        <v>45</v>
      </c>
      <c r="J1023" t="s">
        <v>231</v>
      </c>
      <c r="K1023" t="s">
        <v>505</v>
      </c>
      <c r="L1023" t="s">
        <v>41</v>
      </c>
      <c r="M1023" t="s">
        <v>234</v>
      </c>
      <c r="N1023" t="s">
        <v>40</v>
      </c>
      <c r="O1023" t="s">
        <v>21</v>
      </c>
      <c r="P1023" t="s">
        <v>266</v>
      </c>
      <c r="Q1023">
        <v>0</v>
      </c>
      <c r="R1023" t="s">
        <v>237</v>
      </c>
    </row>
    <row r="1024" spans="1:18" x14ac:dyDescent="0.25">
      <c r="A1024" t="s">
        <v>2439</v>
      </c>
      <c r="B1024">
        <v>595</v>
      </c>
      <c r="C1024" t="s">
        <v>487</v>
      </c>
      <c r="D1024" t="s">
        <v>231</v>
      </c>
      <c r="E1024" t="s">
        <v>381</v>
      </c>
      <c r="F1024" t="s">
        <v>1099</v>
      </c>
      <c r="G1024" s="25">
        <v>44224</v>
      </c>
      <c r="H1024">
        <v>6</v>
      </c>
      <c r="I1024">
        <v>28</v>
      </c>
      <c r="J1024" t="s">
        <v>231</v>
      </c>
      <c r="K1024" t="s">
        <v>505</v>
      </c>
      <c r="L1024" t="s">
        <v>41</v>
      </c>
      <c r="M1024" t="s">
        <v>234</v>
      </c>
      <c r="N1024" t="s">
        <v>40</v>
      </c>
      <c r="O1024" t="s">
        <v>21</v>
      </c>
      <c r="P1024" t="s">
        <v>266</v>
      </c>
      <c r="Q1024">
        <v>24000</v>
      </c>
      <c r="R1024" t="s">
        <v>237</v>
      </c>
    </row>
    <row r="1025" spans="1:18" x14ac:dyDescent="0.25">
      <c r="A1025" t="s">
        <v>3523</v>
      </c>
      <c r="B1025">
        <v>2246</v>
      </c>
      <c r="C1025" t="s">
        <v>487</v>
      </c>
      <c r="D1025" t="s">
        <v>247</v>
      </c>
      <c r="E1025" t="s">
        <v>256</v>
      </c>
      <c r="F1025" t="s">
        <v>3073</v>
      </c>
      <c r="G1025" s="25">
        <v>44299</v>
      </c>
      <c r="H1025">
        <v>21</v>
      </c>
      <c r="I1025">
        <v>103</v>
      </c>
      <c r="J1025" t="s">
        <v>231</v>
      </c>
      <c r="K1025" t="s">
        <v>504</v>
      </c>
      <c r="L1025" t="s">
        <v>43</v>
      </c>
      <c r="M1025" t="s">
        <v>234</v>
      </c>
      <c r="N1025" t="s">
        <v>42</v>
      </c>
      <c r="O1025" t="s">
        <v>21</v>
      </c>
      <c r="P1025" t="s">
        <v>236</v>
      </c>
      <c r="Q1025">
        <v>0</v>
      </c>
      <c r="R1025" t="s">
        <v>237</v>
      </c>
    </row>
    <row r="1026" spans="1:18" x14ac:dyDescent="0.25">
      <c r="A1026" t="s">
        <v>3524</v>
      </c>
      <c r="B1026">
        <v>1872</v>
      </c>
      <c r="C1026" t="s">
        <v>487</v>
      </c>
      <c r="D1026" t="s">
        <v>322</v>
      </c>
      <c r="E1026" t="s">
        <v>247</v>
      </c>
      <c r="F1026" t="s">
        <v>2963</v>
      </c>
      <c r="G1026" s="25">
        <v>44282</v>
      </c>
      <c r="H1026">
        <v>18</v>
      </c>
      <c r="I1026">
        <v>86</v>
      </c>
      <c r="J1026" t="s">
        <v>231</v>
      </c>
      <c r="K1026" t="s">
        <v>504</v>
      </c>
      <c r="L1026" t="s">
        <v>43</v>
      </c>
      <c r="M1026" t="s">
        <v>234</v>
      </c>
      <c r="N1026" t="s">
        <v>42</v>
      </c>
      <c r="O1026" t="s">
        <v>21</v>
      </c>
      <c r="P1026" t="s">
        <v>236</v>
      </c>
      <c r="Q1026">
        <v>0</v>
      </c>
      <c r="R1026" t="s">
        <v>237</v>
      </c>
    </row>
    <row r="1027" spans="1:18" x14ac:dyDescent="0.25">
      <c r="A1027" t="s">
        <v>1644</v>
      </c>
      <c r="B1027">
        <v>1036</v>
      </c>
      <c r="C1027" t="s">
        <v>487</v>
      </c>
      <c r="D1027" t="s">
        <v>256</v>
      </c>
      <c r="E1027" t="s">
        <v>381</v>
      </c>
      <c r="F1027" t="s">
        <v>1311</v>
      </c>
      <c r="G1027" s="25">
        <v>44244</v>
      </c>
      <c r="H1027">
        <v>10</v>
      </c>
      <c r="I1027">
        <v>48</v>
      </c>
      <c r="J1027" t="s">
        <v>231</v>
      </c>
      <c r="K1027" t="s">
        <v>504</v>
      </c>
      <c r="L1027" t="s">
        <v>43</v>
      </c>
      <c r="M1027" t="s">
        <v>234</v>
      </c>
      <c r="N1027" t="s">
        <v>42</v>
      </c>
      <c r="O1027" t="s">
        <v>21</v>
      </c>
      <c r="P1027" t="s">
        <v>236</v>
      </c>
      <c r="Q1027">
        <v>0</v>
      </c>
      <c r="R1027" t="s">
        <v>237</v>
      </c>
    </row>
    <row r="1028" spans="1:18" x14ac:dyDescent="0.25">
      <c r="A1028" t="s">
        <v>314</v>
      </c>
      <c r="B1028">
        <v>68</v>
      </c>
      <c r="C1028" t="s">
        <v>487</v>
      </c>
      <c r="D1028" t="s">
        <v>229</v>
      </c>
      <c r="E1028" t="s">
        <v>261</v>
      </c>
      <c r="F1028" t="s">
        <v>549</v>
      </c>
      <c r="G1028" s="25">
        <v>44200</v>
      </c>
      <c r="H1028">
        <v>1</v>
      </c>
      <c r="I1028">
        <v>4</v>
      </c>
      <c r="J1028" t="s">
        <v>231</v>
      </c>
      <c r="K1028" t="s">
        <v>504</v>
      </c>
      <c r="L1028" t="s">
        <v>43</v>
      </c>
      <c r="M1028" t="s">
        <v>234</v>
      </c>
      <c r="N1028" t="s">
        <v>42</v>
      </c>
      <c r="O1028" t="s">
        <v>21</v>
      </c>
      <c r="P1028" t="s">
        <v>236</v>
      </c>
      <c r="Q1028">
        <v>0</v>
      </c>
      <c r="R1028" t="s">
        <v>237</v>
      </c>
    </row>
    <row r="1029" spans="1:18" x14ac:dyDescent="0.25">
      <c r="A1029" t="s">
        <v>2607</v>
      </c>
      <c r="B1029">
        <v>1263</v>
      </c>
      <c r="C1029" t="s">
        <v>487</v>
      </c>
      <c r="D1029" t="s">
        <v>256</v>
      </c>
      <c r="E1029" t="s">
        <v>552</v>
      </c>
      <c r="F1029" t="s">
        <v>1365</v>
      </c>
      <c r="G1029" s="25">
        <v>44254</v>
      </c>
      <c r="H1029">
        <v>12</v>
      </c>
      <c r="I1029">
        <v>58</v>
      </c>
      <c r="J1029" t="s">
        <v>231</v>
      </c>
      <c r="K1029" t="s">
        <v>503</v>
      </c>
      <c r="L1029" t="s">
        <v>303</v>
      </c>
      <c r="M1029" t="s">
        <v>234</v>
      </c>
      <c r="N1029" t="s">
        <v>56</v>
      </c>
      <c r="O1029" t="s">
        <v>235</v>
      </c>
      <c r="P1029" t="s">
        <v>304</v>
      </c>
      <c r="Q1029">
        <v>0</v>
      </c>
      <c r="R1029" t="s">
        <v>237</v>
      </c>
    </row>
    <row r="1030" spans="1:18" x14ac:dyDescent="0.25">
      <c r="A1030" t="s">
        <v>555</v>
      </c>
      <c r="B1030">
        <v>295</v>
      </c>
      <c r="C1030" t="s">
        <v>487</v>
      </c>
      <c r="D1030" t="s">
        <v>229</v>
      </c>
      <c r="E1030" t="s">
        <v>537</v>
      </c>
      <c r="F1030" t="s">
        <v>538</v>
      </c>
      <c r="G1030" s="25">
        <v>44210</v>
      </c>
      <c r="H1030">
        <v>3</v>
      </c>
      <c r="I1030">
        <v>14</v>
      </c>
      <c r="J1030" t="s">
        <v>231</v>
      </c>
      <c r="K1030" t="s">
        <v>503</v>
      </c>
      <c r="L1030" t="s">
        <v>303</v>
      </c>
      <c r="M1030" t="s">
        <v>234</v>
      </c>
      <c r="N1030" t="s">
        <v>56</v>
      </c>
      <c r="O1030" t="s">
        <v>235</v>
      </c>
      <c r="P1030" t="s">
        <v>304</v>
      </c>
      <c r="Q1030">
        <v>19000</v>
      </c>
      <c r="R1030" t="s">
        <v>237</v>
      </c>
    </row>
    <row r="1031" spans="1:18" x14ac:dyDescent="0.25">
      <c r="A1031" t="s">
        <v>3525</v>
      </c>
      <c r="B1031">
        <v>2473</v>
      </c>
      <c r="C1031" t="s">
        <v>487</v>
      </c>
      <c r="D1031" t="s">
        <v>247</v>
      </c>
      <c r="E1031" t="s">
        <v>512</v>
      </c>
      <c r="F1031" t="s">
        <v>3146</v>
      </c>
      <c r="G1031" s="25">
        <v>44309</v>
      </c>
      <c r="H1031">
        <v>23</v>
      </c>
      <c r="I1031">
        <v>113</v>
      </c>
      <c r="J1031" t="s">
        <v>231</v>
      </c>
      <c r="K1031" t="s">
        <v>503</v>
      </c>
      <c r="L1031" t="s">
        <v>303</v>
      </c>
      <c r="M1031" t="s">
        <v>234</v>
      </c>
      <c r="N1031" t="s">
        <v>56</v>
      </c>
      <c r="O1031" t="s">
        <v>235</v>
      </c>
      <c r="P1031" t="s">
        <v>304</v>
      </c>
      <c r="Q1031">
        <v>0</v>
      </c>
      <c r="R1031" t="s">
        <v>237</v>
      </c>
    </row>
    <row r="1032" spans="1:18" x14ac:dyDescent="0.25">
      <c r="A1032" t="s">
        <v>3526</v>
      </c>
      <c r="B1032">
        <v>2209</v>
      </c>
      <c r="C1032" t="s">
        <v>487</v>
      </c>
      <c r="D1032" t="s">
        <v>247</v>
      </c>
      <c r="E1032" t="s">
        <v>229</v>
      </c>
      <c r="F1032" t="s">
        <v>3063</v>
      </c>
      <c r="G1032" s="25">
        <v>44297</v>
      </c>
      <c r="H1032">
        <v>21</v>
      </c>
      <c r="I1032">
        <v>101</v>
      </c>
      <c r="J1032" t="s">
        <v>231</v>
      </c>
      <c r="K1032" t="s">
        <v>503</v>
      </c>
      <c r="L1032" t="s">
        <v>303</v>
      </c>
      <c r="M1032" t="s">
        <v>234</v>
      </c>
      <c r="N1032" t="s">
        <v>56</v>
      </c>
      <c r="O1032" t="s">
        <v>235</v>
      </c>
      <c r="P1032" t="s">
        <v>304</v>
      </c>
      <c r="Q1032">
        <v>14750</v>
      </c>
      <c r="R1032" t="s">
        <v>237</v>
      </c>
    </row>
    <row r="1033" spans="1:18" x14ac:dyDescent="0.25">
      <c r="A1033" t="s">
        <v>3527</v>
      </c>
      <c r="B1033">
        <v>2165</v>
      </c>
      <c r="C1033" t="s">
        <v>487</v>
      </c>
      <c r="D1033" t="s">
        <v>322</v>
      </c>
      <c r="E1033" t="s">
        <v>531</v>
      </c>
      <c r="F1033" t="s">
        <v>3056</v>
      </c>
      <c r="G1033" s="25">
        <v>44295</v>
      </c>
      <c r="H1033">
        <v>20</v>
      </c>
      <c r="I1033">
        <v>99</v>
      </c>
      <c r="J1033" t="s">
        <v>231</v>
      </c>
      <c r="K1033" t="s">
        <v>503</v>
      </c>
      <c r="L1033" t="s">
        <v>303</v>
      </c>
      <c r="M1033" t="s">
        <v>234</v>
      </c>
      <c r="N1033" t="s">
        <v>56</v>
      </c>
      <c r="O1033" t="s">
        <v>235</v>
      </c>
      <c r="P1033" t="s">
        <v>304</v>
      </c>
      <c r="Q1033">
        <v>0</v>
      </c>
      <c r="R1033" t="s">
        <v>237</v>
      </c>
    </row>
    <row r="1034" spans="1:18" x14ac:dyDescent="0.25">
      <c r="A1034" t="s">
        <v>1651</v>
      </c>
      <c r="B1034">
        <v>1308</v>
      </c>
      <c r="C1034" t="s">
        <v>487</v>
      </c>
      <c r="D1034" t="s">
        <v>256</v>
      </c>
      <c r="E1034" t="s">
        <v>408</v>
      </c>
      <c r="F1034" t="s">
        <v>1383</v>
      </c>
      <c r="G1034" s="25">
        <v>44256</v>
      </c>
      <c r="H1034">
        <v>12</v>
      </c>
      <c r="I1034">
        <v>60</v>
      </c>
      <c r="J1034" t="s">
        <v>231</v>
      </c>
      <c r="K1034" t="s">
        <v>502</v>
      </c>
      <c r="L1034" t="s">
        <v>287</v>
      </c>
      <c r="M1034" t="s">
        <v>234</v>
      </c>
      <c r="N1034" t="s">
        <v>58</v>
      </c>
      <c r="O1034" t="s">
        <v>235</v>
      </c>
      <c r="P1034" t="s">
        <v>288</v>
      </c>
      <c r="Q1034">
        <v>0</v>
      </c>
      <c r="R1034" t="s">
        <v>237</v>
      </c>
    </row>
    <row r="1035" spans="1:18" x14ac:dyDescent="0.25">
      <c r="A1035" t="s">
        <v>3528</v>
      </c>
      <c r="B1035">
        <v>1968</v>
      </c>
      <c r="C1035" t="s">
        <v>487</v>
      </c>
      <c r="D1035" t="s">
        <v>322</v>
      </c>
      <c r="E1035" t="s">
        <v>239</v>
      </c>
      <c r="F1035" t="s">
        <v>2979</v>
      </c>
      <c r="G1035" s="25">
        <v>44286</v>
      </c>
      <c r="H1035">
        <v>18</v>
      </c>
      <c r="I1035">
        <v>90</v>
      </c>
      <c r="J1035" t="s">
        <v>231</v>
      </c>
      <c r="K1035" t="s">
        <v>502</v>
      </c>
      <c r="L1035" t="s">
        <v>287</v>
      </c>
      <c r="M1035" t="s">
        <v>234</v>
      </c>
      <c r="N1035" t="s">
        <v>58</v>
      </c>
      <c r="O1035" t="s">
        <v>235</v>
      </c>
      <c r="P1035" t="s">
        <v>288</v>
      </c>
      <c r="Q1035">
        <v>24000</v>
      </c>
      <c r="R1035" t="s">
        <v>237</v>
      </c>
    </row>
    <row r="1036" spans="1:18" x14ac:dyDescent="0.25">
      <c r="A1036" t="s">
        <v>2455</v>
      </c>
      <c r="B1036">
        <v>1001</v>
      </c>
      <c r="C1036" t="s">
        <v>487</v>
      </c>
      <c r="D1036" t="s">
        <v>256</v>
      </c>
      <c r="E1036" t="s">
        <v>247</v>
      </c>
      <c r="F1036" t="s">
        <v>1299</v>
      </c>
      <c r="G1036" s="25">
        <v>44242</v>
      </c>
      <c r="H1036">
        <v>10</v>
      </c>
      <c r="I1036">
        <v>46</v>
      </c>
      <c r="J1036" t="s">
        <v>231</v>
      </c>
      <c r="K1036" t="s">
        <v>501</v>
      </c>
      <c r="L1036" t="s">
        <v>412</v>
      </c>
      <c r="M1036" t="s">
        <v>234</v>
      </c>
      <c r="N1036" t="s">
        <v>60</v>
      </c>
      <c r="O1036" t="s">
        <v>235</v>
      </c>
      <c r="P1036" t="s">
        <v>413</v>
      </c>
      <c r="Q1036">
        <v>0</v>
      </c>
      <c r="R1036" t="s">
        <v>237</v>
      </c>
    </row>
    <row r="1037" spans="1:18" x14ac:dyDescent="0.25">
      <c r="A1037" t="s">
        <v>276</v>
      </c>
      <c r="B1037">
        <v>33</v>
      </c>
      <c r="C1037" t="s">
        <v>487</v>
      </c>
      <c r="D1037" t="s">
        <v>229</v>
      </c>
      <c r="E1037" t="s">
        <v>231</v>
      </c>
      <c r="F1037" t="s">
        <v>568</v>
      </c>
      <c r="G1037" s="25">
        <v>44198</v>
      </c>
      <c r="H1037">
        <v>1</v>
      </c>
      <c r="I1037">
        <v>2</v>
      </c>
      <c r="J1037" t="s">
        <v>231</v>
      </c>
      <c r="K1037" t="s">
        <v>501</v>
      </c>
      <c r="L1037" t="s">
        <v>412</v>
      </c>
      <c r="M1037" t="s">
        <v>234</v>
      </c>
      <c r="N1037" t="s">
        <v>60</v>
      </c>
      <c r="O1037" t="s">
        <v>235</v>
      </c>
      <c r="P1037" t="s">
        <v>413</v>
      </c>
      <c r="Q1037">
        <v>0</v>
      </c>
      <c r="R1037" t="s">
        <v>237</v>
      </c>
    </row>
    <row r="1038" spans="1:18" x14ac:dyDescent="0.25">
      <c r="A1038" t="s">
        <v>3529</v>
      </c>
      <c r="B1038">
        <v>2211</v>
      </c>
      <c r="C1038" t="s">
        <v>487</v>
      </c>
      <c r="D1038" t="s">
        <v>247</v>
      </c>
      <c r="E1038" t="s">
        <v>229</v>
      </c>
      <c r="F1038" t="s">
        <v>3063</v>
      </c>
      <c r="G1038" s="25">
        <v>44297</v>
      </c>
      <c r="H1038">
        <v>21</v>
      </c>
      <c r="I1038">
        <v>101</v>
      </c>
      <c r="J1038" t="s">
        <v>231</v>
      </c>
      <c r="K1038" t="s">
        <v>501</v>
      </c>
      <c r="L1038" t="s">
        <v>412</v>
      </c>
      <c r="M1038" t="s">
        <v>234</v>
      </c>
      <c r="N1038" t="s">
        <v>60</v>
      </c>
      <c r="O1038" t="s">
        <v>235</v>
      </c>
      <c r="P1038" t="s">
        <v>413</v>
      </c>
      <c r="Q1038">
        <v>0</v>
      </c>
      <c r="R1038" t="s">
        <v>237</v>
      </c>
    </row>
    <row r="1039" spans="1:18" x14ac:dyDescent="0.25">
      <c r="A1039" t="s">
        <v>688</v>
      </c>
      <c r="B1039">
        <v>293</v>
      </c>
      <c r="C1039" t="s">
        <v>487</v>
      </c>
      <c r="D1039" t="s">
        <v>229</v>
      </c>
      <c r="E1039" t="s">
        <v>537</v>
      </c>
      <c r="F1039" t="s">
        <v>538</v>
      </c>
      <c r="G1039" s="25">
        <v>44210</v>
      </c>
      <c r="H1039">
        <v>3</v>
      </c>
      <c r="I1039">
        <v>14</v>
      </c>
      <c r="J1039" t="s">
        <v>231</v>
      </c>
      <c r="K1039" t="s">
        <v>500</v>
      </c>
      <c r="L1039" t="s">
        <v>265</v>
      </c>
      <c r="M1039" t="s">
        <v>234</v>
      </c>
      <c r="N1039" t="s">
        <v>52</v>
      </c>
      <c r="O1039" t="s">
        <v>235</v>
      </c>
      <c r="P1039" t="s">
        <v>266</v>
      </c>
      <c r="Q1039">
        <v>0</v>
      </c>
      <c r="R1039" t="s">
        <v>237</v>
      </c>
    </row>
    <row r="1040" spans="1:18" x14ac:dyDescent="0.25">
      <c r="A1040" t="s">
        <v>3530</v>
      </c>
      <c r="B1040">
        <v>2471</v>
      </c>
      <c r="C1040" t="s">
        <v>487</v>
      </c>
      <c r="D1040" t="s">
        <v>247</v>
      </c>
      <c r="E1040" t="s">
        <v>512</v>
      </c>
      <c r="F1040" t="s">
        <v>3146</v>
      </c>
      <c r="G1040" s="25">
        <v>44309</v>
      </c>
      <c r="H1040">
        <v>23</v>
      </c>
      <c r="I1040">
        <v>113</v>
      </c>
      <c r="J1040" t="s">
        <v>231</v>
      </c>
      <c r="K1040" t="s">
        <v>500</v>
      </c>
      <c r="L1040" t="s">
        <v>265</v>
      </c>
      <c r="M1040" t="s">
        <v>234</v>
      </c>
      <c r="N1040" t="s">
        <v>52</v>
      </c>
      <c r="O1040" t="s">
        <v>235</v>
      </c>
      <c r="P1040" t="s">
        <v>266</v>
      </c>
      <c r="Q1040">
        <v>0</v>
      </c>
      <c r="R1040" t="s">
        <v>237</v>
      </c>
    </row>
    <row r="1041" spans="1:18" x14ac:dyDescent="0.25">
      <c r="A1041" t="s">
        <v>3531</v>
      </c>
      <c r="B1041">
        <v>2163</v>
      </c>
      <c r="C1041" t="s">
        <v>487</v>
      </c>
      <c r="D1041" t="s">
        <v>322</v>
      </c>
      <c r="E1041" t="s">
        <v>531</v>
      </c>
      <c r="F1041" t="s">
        <v>3056</v>
      </c>
      <c r="G1041" s="25">
        <v>44295</v>
      </c>
      <c r="H1041">
        <v>20</v>
      </c>
      <c r="I1041">
        <v>99</v>
      </c>
      <c r="J1041" t="s">
        <v>231</v>
      </c>
      <c r="K1041" t="s">
        <v>500</v>
      </c>
      <c r="L1041" t="s">
        <v>265</v>
      </c>
      <c r="M1041" t="s">
        <v>234</v>
      </c>
      <c r="N1041" t="s">
        <v>52</v>
      </c>
      <c r="O1041" t="s">
        <v>235</v>
      </c>
      <c r="P1041" t="s">
        <v>266</v>
      </c>
      <c r="Q1041">
        <v>24000</v>
      </c>
      <c r="R1041" t="s">
        <v>237</v>
      </c>
    </row>
    <row r="1042" spans="1:18" x14ac:dyDescent="0.25">
      <c r="A1042" t="s">
        <v>3532</v>
      </c>
      <c r="B1042">
        <v>1855</v>
      </c>
      <c r="C1042" t="s">
        <v>487</v>
      </c>
      <c r="D1042" t="s">
        <v>322</v>
      </c>
      <c r="E1042" t="s">
        <v>322</v>
      </c>
      <c r="F1042" t="s">
        <v>2960</v>
      </c>
      <c r="G1042" s="25">
        <v>44281</v>
      </c>
      <c r="H1042">
        <v>17</v>
      </c>
      <c r="I1042">
        <v>85</v>
      </c>
      <c r="J1042" t="s">
        <v>231</v>
      </c>
      <c r="K1042" t="s">
        <v>500</v>
      </c>
      <c r="L1042" t="s">
        <v>265</v>
      </c>
      <c r="M1042" t="s">
        <v>234</v>
      </c>
      <c r="N1042" t="s">
        <v>52</v>
      </c>
      <c r="O1042" t="s">
        <v>235</v>
      </c>
      <c r="P1042" t="s">
        <v>266</v>
      </c>
      <c r="Q1042">
        <v>0</v>
      </c>
      <c r="R1042" t="s">
        <v>237</v>
      </c>
    </row>
    <row r="1043" spans="1:18" x14ac:dyDescent="0.25">
      <c r="A1043" t="s">
        <v>1829</v>
      </c>
      <c r="B1043">
        <v>637</v>
      </c>
      <c r="C1043" t="s">
        <v>487</v>
      </c>
      <c r="D1043" t="s">
        <v>231</v>
      </c>
      <c r="E1043" t="s">
        <v>371</v>
      </c>
      <c r="F1043" t="s">
        <v>1124</v>
      </c>
      <c r="G1043" s="25">
        <v>44225</v>
      </c>
      <c r="H1043">
        <v>6</v>
      </c>
      <c r="I1043">
        <v>29</v>
      </c>
      <c r="J1043" t="s">
        <v>432</v>
      </c>
      <c r="K1043" t="s">
        <v>498</v>
      </c>
      <c r="L1043" t="s">
        <v>26</v>
      </c>
      <c r="M1043" t="s">
        <v>434</v>
      </c>
      <c r="N1043" t="s">
        <v>77</v>
      </c>
      <c r="O1043" t="s">
        <v>435</v>
      </c>
      <c r="P1043" t="s">
        <v>26</v>
      </c>
      <c r="Q1043">
        <v>136434.375</v>
      </c>
      <c r="R1043" t="s">
        <v>436</v>
      </c>
    </row>
    <row r="1044" spans="1:18" x14ac:dyDescent="0.25">
      <c r="A1044" t="s">
        <v>3533</v>
      </c>
      <c r="B1044">
        <v>2529</v>
      </c>
      <c r="C1044" t="s">
        <v>487</v>
      </c>
      <c r="D1044" t="s">
        <v>247</v>
      </c>
      <c r="E1044" t="s">
        <v>575</v>
      </c>
      <c r="F1044" t="s">
        <v>3158</v>
      </c>
      <c r="G1044" s="25">
        <v>44311</v>
      </c>
      <c r="H1044">
        <v>23</v>
      </c>
      <c r="I1044">
        <v>115</v>
      </c>
      <c r="J1044" t="s">
        <v>432</v>
      </c>
      <c r="K1044" t="s">
        <v>498</v>
      </c>
      <c r="L1044" t="s">
        <v>26</v>
      </c>
      <c r="M1044" t="s">
        <v>434</v>
      </c>
      <c r="N1044" t="s">
        <v>77</v>
      </c>
      <c r="O1044" t="s">
        <v>435</v>
      </c>
      <c r="P1044" t="s">
        <v>26</v>
      </c>
      <c r="Q1044">
        <v>154967.5</v>
      </c>
      <c r="R1044" t="s">
        <v>436</v>
      </c>
    </row>
    <row r="1045" spans="1:18" x14ac:dyDescent="0.25">
      <c r="A1045" t="s">
        <v>3534</v>
      </c>
      <c r="B1045">
        <v>2441</v>
      </c>
      <c r="C1045" t="s">
        <v>487</v>
      </c>
      <c r="D1045" t="s">
        <v>247</v>
      </c>
      <c r="E1045" t="s">
        <v>515</v>
      </c>
      <c r="F1045" t="s">
        <v>3134</v>
      </c>
      <c r="G1045" s="25">
        <v>44307</v>
      </c>
      <c r="H1045">
        <v>23</v>
      </c>
      <c r="I1045">
        <v>111</v>
      </c>
      <c r="J1045" t="s">
        <v>432</v>
      </c>
      <c r="K1045" t="s">
        <v>498</v>
      </c>
      <c r="L1045" t="s">
        <v>26</v>
      </c>
      <c r="M1045" t="s">
        <v>434</v>
      </c>
      <c r="N1045" t="s">
        <v>77</v>
      </c>
      <c r="O1045" t="s">
        <v>435</v>
      </c>
      <c r="P1045" t="s">
        <v>26</v>
      </c>
      <c r="Q1045">
        <v>183930</v>
      </c>
      <c r="R1045" t="s">
        <v>436</v>
      </c>
    </row>
    <row r="1046" spans="1:18" x14ac:dyDescent="0.25">
      <c r="A1046" t="s">
        <v>2796</v>
      </c>
      <c r="B1046">
        <v>547</v>
      </c>
      <c r="C1046" t="s">
        <v>487</v>
      </c>
      <c r="D1046" t="s">
        <v>231</v>
      </c>
      <c r="E1046" t="s">
        <v>322</v>
      </c>
      <c r="F1046" t="s">
        <v>1085</v>
      </c>
      <c r="G1046" s="25">
        <v>44221</v>
      </c>
      <c r="H1046">
        <v>5</v>
      </c>
      <c r="I1046">
        <v>25</v>
      </c>
      <c r="J1046" t="s">
        <v>432</v>
      </c>
      <c r="K1046" t="s">
        <v>497</v>
      </c>
      <c r="L1046" t="s">
        <v>438</v>
      </c>
      <c r="M1046" t="s">
        <v>434</v>
      </c>
      <c r="N1046" t="s">
        <v>75</v>
      </c>
      <c r="O1046" t="s">
        <v>435</v>
      </c>
      <c r="P1046" t="s">
        <v>438</v>
      </c>
      <c r="Q1046">
        <v>32362.5</v>
      </c>
      <c r="R1046" t="s">
        <v>436</v>
      </c>
    </row>
    <row r="1047" spans="1:18" x14ac:dyDescent="0.25">
      <c r="A1047" t="s">
        <v>3535</v>
      </c>
      <c r="B1047">
        <v>2131</v>
      </c>
      <c r="C1047" t="s">
        <v>487</v>
      </c>
      <c r="D1047" t="s">
        <v>322</v>
      </c>
      <c r="E1047" t="s">
        <v>534</v>
      </c>
      <c r="F1047" t="s">
        <v>3031</v>
      </c>
      <c r="G1047" s="25">
        <v>44293</v>
      </c>
      <c r="H1047">
        <v>20</v>
      </c>
      <c r="I1047">
        <v>97</v>
      </c>
      <c r="J1047" t="s">
        <v>432</v>
      </c>
      <c r="K1047" t="s">
        <v>497</v>
      </c>
      <c r="L1047" t="s">
        <v>438</v>
      </c>
      <c r="M1047" t="s">
        <v>434</v>
      </c>
      <c r="N1047" t="s">
        <v>75</v>
      </c>
      <c r="O1047" t="s">
        <v>435</v>
      </c>
      <c r="P1047" t="s">
        <v>438</v>
      </c>
      <c r="Q1047">
        <v>53550</v>
      </c>
      <c r="R1047" t="s">
        <v>436</v>
      </c>
    </row>
    <row r="1048" spans="1:18" x14ac:dyDescent="0.25">
      <c r="A1048" t="s">
        <v>1747</v>
      </c>
      <c r="B1048">
        <v>895</v>
      </c>
      <c r="C1048" t="s">
        <v>487</v>
      </c>
      <c r="D1048" t="s">
        <v>256</v>
      </c>
      <c r="E1048" t="s">
        <v>229</v>
      </c>
      <c r="F1048" t="s">
        <v>1241</v>
      </c>
      <c r="G1048" s="25">
        <v>44237</v>
      </c>
      <c r="H1048">
        <v>9</v>
      </c>
      <c r="I1048">
        <v>41</v>
      </c>
      <c r="J1048" t="s">
        <v>432</v>
      </c>
      <c r="K1048" t="s">
        <v>496</v>
      </c>
      <c r="L1048" t="s">
        <v>69</v>
      </c>
      <c r="M1048" t="s">
        <v>434</v>
      </c>
      <c r="N1048" t="s">
        <v>68</v>
      </c>
      <c r="O1048" t="s">
        <v>21</v>
      </c>
      <c r="P1048" t="s">
        <v>439</v>
      </c>
      <c r="Q1048">
        <v>100000</v>
      </c>
      <c r="R1048" t="s">
        <v>237</v>
      </c>
    </row>
    <row r="1049" spans="1:18" x14ac:dyDescent="0.25">
      <c r="A1049" t="s">
        <v>3536</v>
      </c>
      <c r="B1049">
        <v>2061</v>
      </c>
      <c r="C1049" t="s">
        <v>487</v>
      </c>
      <c r="D1049" t="s">
        <v>322</v>
      </c>
      <c r="E1049" t="s">
        <v>537</v>
      </c>
      <c r="F1049" t="s">
        <v>2999</v>
      </c>
      <c r="G1049" s="25">
        <v>44290</v>
      </c>
      <c r="H1049">
        <v>19</v>
      </c>
      <c r="I1049">
        <v>94</v>
      </c>
      <c r="J1049" t="s">
        <v>432</v>
      </c>
      <c r="K1049" t="s">
        <v>496</v>
      </c>
      <c r="L1049" t="s">
        <v>69</v>
      </c>
      <c r="M1049" t="s">
        <v>434</v>
      </c>
      <c r="N1049" t="s">
        <v>68</v>
      </c>
      <c r="O1049" t="s">
        <v>21</v>
      </c>
      <c r="P1049" t="s">
        <v>439</v>
      </c>
      <c r="Q1049">
        <v>644250</v>
      </c>
      <c r="R1049" t="s">
        <v>237</v>
      </c>
    </row>
    <row r="1050" spans="1:18" x14ac:dyDescent="0.25">
      <c r="A1050" t="s">
        <v>2309</v>
      </c>
      <c r="B1050">
        <v>1687</v>
      </c>
      <c r="C1050" t="s">
        <v>487</v>
      </c>
      <c r="D1050" t="s">
        <v>261</v>
      </c>
      <c r="E1050" t="s">
        <v>534</v>
      </c>
      <c r="F1050" t="s">
        <v>1563</v>
      </c>
      <c r="G1050" s="25">
        <v>44273</v>
      </c>
      <c r="H1050">
        <v>16</v>
      </c>
      <c r="I1050">
        <v>77</v>
      </c>
      <c r="J1050" t="s">
        <v>432</v>
      </c>
      <c r="K1050" t="s">
        <v>496</v>
      </c>
      <c r="L1050" t="s">
        <v>69</v>
      </c>
      <c r="M1050" t="s">
        <v>434</v>
      </c>
      <c r="N1050" t="s">
        <v>68</v>
      </c>
      <c r="O1050" t="s">
        <v>21</v>
      </c>
      <c r="P1050" t="s">
        <v>439</v>
      </c>
      <c r="Q1050">
        <v>44250</v>
      </c>
      <c r="R1050" t="s">
        <v>237</v>
      </c>
    </row>
    <row r="1051" spans="1:18" x14ac:dyDescent="0.25">
      <c r="A1051" t="s">
        <v>2411</v>
      </c>
      <c r="B1051">
        <v>522</v>
      </c>
      <c r="C1051" t="s">
        <v>487</v>
      </c>
      <c r="D1051" t="s">
        <v>231</v>
      </c>
      <c r="E1051" t="s">
        <v>261</v>
      </c>
      <c r="F1051" t="s">
        <v>1065</v>
      </c>
      <c r="G1051" s="25">
        <v>44220</v>
      </c>
      <c r="H1051">
        <v>5</v>
      </c>
      <c r="I1051">
        <v>24</v>
      </c>
      <c r="J1051" t="s">
        <v>432</v>
      </c>
      <c r="K1051" t="s">
        <v>495</v>
      </c>
      <c r="L1051" t="s">
        <v>135</v>
      </c>
      <c r="M1051" t="s">
        <v>434</v>
      </c>
      <c r="N1051" t="s">
        <v>70</v>
      </c>
      <c r="O1051" t="s">
        <v>21</v>
      </c>
      <c r="P1051" t="s">
        <v>440</v>
      </c>
      <c r="Q1051">
        <v>0</v>
      </c>
      <c r="R1051" t="s">
        <v>237</v>
      </c>
    </row>
    <row r="1052" spans="1:18" x14ac:dyDescent="0.25">
      <c r="A1052" t="s">
        <v>2365</v>
      </c>
      <c r="B1052">
        <v>1666</v>
      </c>
      <c r="C1052" t="s">
        <v>487</v>
      </c>
      <c r="D1052" t="s">
        <v>261</v>
      </c>
      <c r="E1052" t="s">
        <v>620</v>
      </c>
      <c r="F1052" t="s">
        <v>1545</v>
      </c>
      <c r="G1052" s="25">
        <v>44272</v>
      </c>
      <c r="H1052">
        <v>16</v>
      </c>
      <c r="I1052">
        <v>76</v>
      </c>
      <c r="J1052" t="s">
        <v>432</v>
      </c>
      <c r="K1052" t="s">
        <v>495</v>
      </c>
      <c r="L1052" t="s">
        <v>135</v>
      </c>
      <c r="M1052" t="s">
        <v>434</v>
      </c>
      <c r="N1052" t="s">
        <v>70</v>
      </c>
      <c r="O1052" t="s">
        <v>21</v>
      </c>
      <c r="P1052" t="s">
        <v>440</v>
      </c>
      <c r="Q1052">
        <v>48000</v>
      </c>
      <c r="R1052" t="s">
        <v>237</v>
      </c>
    </row>
    <row r="1053" spans="1:18" x14ac:dyDescent="0.25">
      <c r="A1053" t="s">
        <v>1685</v>
      </c>
      <c r="B1053">
        <v>1424</v>
      </c>
      <c r="C1053" t="s">
        <v>487</v>
      </c>
      <c r="D1053" t="s">
        <v>261</v>
      </c>
      <c r="E1053" t="s">
        <v>322</v>
      </c>
      <c r="F1053" t="s">
        <v>1417</v>
      </c>
      <c r="G1053" s="25">
        <v>44261</v>
      </c>
      <c r="H1053">
        <v>13</v>
      </c>
      <c r="I1053">
        <v>65</v>
      </c>
      <c r="J1053" t="s">
        <v>432</v>
      </c>
      <c r="K1053" t="s">
        <v>495</v>
      </c>
      <c r="L1053" t="s">
        <v>135</v>
      </c>
      <c r="M1053" t="s">
        <v>434</v>
      </c>
      <c r="N1053" t="s">
        <v>70</v>
      </c>
      <c r="O1053" t="s">
        <v>21</v>
      </c>
      <c r="P1053" t="s">
        <v>440</v>
      </c>
      <c r="Q1053">
        <v>261000</v>
      </c>
      <c r="R1053" t="s">
        <v>237</v>
      </c>
    </row>
    <row r="1054" spans="1:18" x14ac:dyDescent="0.25">
      <c r="A1054" t="s">
        <v>2189</v>
      </c>
      <c r="B1054">
        <v>1138</v>
      </c>
      <c r="C1054" t="s">
        <v>487</v>
      </c>
      <c r="D1054" t="s">
        <v>256</v>
      </c>
      <c r="E1054" t="s">
        <v>232</v>
      </c>
      <c r="F1054" t="s">
        <v>1337</v>
      </c>
      <c r="G1054" s="25">
        <v>44248</v>
      </c>
      <c r="H1054">
        <v>11</v>
      </c>
      <c r="I1054">
        <v>52</v>
      </c>
      <c r="J1054" t="s">
        <v>432</v>
      </c>
      <c r="K1054" t="s">
        <v>495</v>
      </c>
      <c r="L1054" t="s">
        <v>135</v>
      </c>
      <c r="M1054" t="s">
        <v>434</v>
      </c>
      <c r="N1054" t="s">
        <v>70</v>
      </c>
      <c r="O1054" t="s">
        <v>21</v>
      </c>
      <c r="P1054" t="s">
        <v>440</v>
      </c>
      <c r="Q1054">
        <v>512000</v>
      </c>
      <c r="R1054" t="s">
        <v>237</v>
      </c>
    </row>
    <row r="1055" spans="1:18" x14ac:dyDescent="0.25">
      <c r="A1055" t="s">
        <v>1748</v>
      </c>
      <c r="B1055">
        <v>830</v>
      </c>
      <c r="C1055" t="s">
        <v>487</v>
      </c>
      <c r="D1055" t="s">
        <v>231</v>
      </c>
      <c r="E1055" t="s">
        <v>552</v>
      </c>
      <c r="F1055" t="s">
        <v>1222</v>
      </c>
      <c r="G1055" s="25">
        <v>44234</v>
      </c>
      <c r="H1055">
        <v>8</v>
      </c>
      <c r="I1055">
        <v>38</v>
      </c>
      <c r="J1055" t="s">
        <v>432</v>
      </c>
      <c r="K1055" t="s">
        <v>495</v>
      </c>
      <c r="L1055" t="s">
        <v>135</v>
      </c>
      <c r="M1055" t="s">
        <v>434</v>
      </c>
      <c r="N1055" t="s">
        <v>70</v>
      </c>
      <c r="O1055" t="s">
        <v>21</v>
      </c>
      <c r="P1055" t="s">
        <v>440</v>
      </c>
      <c r="Q1055">
        <v>79000</v>
      </c>
      <c r="R1055" t="s">
        <v>237</v>
      </c>
    </row>
    <row r="1056" spans="1:18" x14ac:dyDescent="0.25">
      <c r="A1056" t="s">
        <v>3537</v>
      </c>
      <c r="B1056">
        <v>2638</v>
      </c>
      <c r="C1056" t="s">
        <v>487</v>
      </c>
      <c r="D1056" t="s">
        <v>247</v>
      </c>
      <c r="E1056" t="s">
        <v>408</v>
      </c>
      <c r="F1056" t="s">
        <v>3178</v>
      </c>
      <c r="G1056" s="25">
        <v>44316</v>
      </c>
      <c r="H1056">
        <v>24</v>
      </c>
      <c r="I1056">
        <v>120</v>
      </c>
      <c r="J1056" t="s">
        <v>432</v>
      </c>
      <c r="K1056" t="s">
        <v>494</v>
      </c>
      <c r="L1056" t="s">
        <v>25</v>
      </c>
      <c r="M1056" t="s">
        <v>434</v>
      </c>
      <c r="N1056" t="s">
        <v>76</v>
      </c>
      <c r="O1056" t="s">
        <v>435</v>
      </c>
      <c r="P1056" t="s">
        <v>25</v>
      </c>
      <c r="Q1056">
        <v>18300</v>
      </c>
      <c r="R1056" t="s">
        <v>436</v>
      </c>
    </row>
    <row r="1057" spans="1:18" x14ac:dyDescent="0.25">
      <c r="A1057" t="s">
        <v>3538</v>
      </c>
      <c r="B1057">
        <v>2066</v>
      </c>
      <c r="C1057" t="s">
        <v>487</v>
      </c>
      <c r="D1057" t="s">
        <v>322</v>
      </c>
      <c r="E1057" t="s">
        <v>537</v>
      </c>
      <c r="F1057" t="s">
        <v>2999</v>
      </c>
      <c r="G1057" s="25">
        <v>44290</v>
      </c>
      <c r="H1057">
        <v>19</v>
      </c>
      <c r="I1057">
        <v>94</v>
      </c>
      <c r="J1057" t="s">
        <v>432</v>
      </c>
      <c r="K1057" t="s">
        <v>494</v>
      </c>
      <c r="L1057" t="s">
        <v>25</v>
      </c>
      <c r="M1057" t="s">
        <v>434</v>
      </c>
      <c r="N1057" t="s">
        <v>76</v>
      </c>
      <c r="O1057" t="s">
        <v>435</v>
      </c>
      <c r="P1057" t="s">
        <v>25</v>
      </c>
      <c r="Q1057">
        <v>51750</v>
      </c>
      <c r="R1057" t="s">
        <v>436</v>
      </c>
    </row>
    <row r="1058" spans="1:18" x14ac:dyDescent="0.25">
      <c r="A1058" t="s">
        <v>2195</v>
      </c>
      <c r="B1058">
        <v>900</v>
      </c>
      <c r="C1058" t="s">
        <v>487</v>
      </c>
      <c r="D1058" t="s">
        <v>256</v>
      </c>
      <c r="E1058" t="s">
        <v>229</v>
      </c>
      <c r="F1058" t="s">
        <v>1241</v>
      </c>
      <c r="G1058" s="25">
        <v>44237</v>
      </c>
      <c r="H1058">
        <v>9</v>
      </c>
      <c r="I1058">
        <v>41</v>
      </c>
      <c r="J1058" t="s">
        <v>432</v>
      </c>
      <c r="K1058" t="s">
        <v>494</v>
      </c>
      <c r="L1058" t="s">
        <v>25</v>
      </c>
      <c r="M1058" t="s">
        <v>434</v>
      </c>
      <c r="N1058" t="s">
        <v>76</v>
      </c>
      <c r="O1058" t="s">
        <v>435</v>
      </c>
      <c r="P1058" t="s">
        <v>25</v>
      </c>
      <c r="Q1058">
        <v>21600</v>
      </c>
      <c r="R1058" t="s">
        <v>436</v>
      </c>
    </row>
    <row r="1059" spans="1:18" x14ac:dyDescent="0.25">
      <c r="A1059" t="s">
        <v>3539</v>
      </c>
      <c r="B1059">
        <v>2046</v>
      </c>
      <c r="C1059" t="s">
        <v>487</v>
      </c>
      <c r="D1059" t="s">
        <v>322</v>
      </c>
      <c r="E1059" t="s">
        <v>512</v>
      </c>
      <c r="F1059" t="s">
        <v>2991</v>
      </c>
      <c r="G1059" s="25">
        <v>44289</v>
      </c>
      <c r="H1059">
        <v>19</v>
      </c>
      <c r="I1059">
        <v>93</v>
      </c>
      <c r="J1059" t="s">
        <v>432</v>
      </c>
      <c r="K1059" t="s">
        <v>493</v>
      </c>
      <c r="L1059" t="s">
        <v>441</v>
      </c>
      <c r="M1059" t="s">
        <v>434</v>
      </c>
      <c r="N1059" t="s">
        <v>78</v>
      </c>
      <c r="O1059" t="s">
        <v>435</v>
      </c>
      <c r="P1059" t="s">
        <v>441</v>
      </c>
      <c r="Q1059">
        <v>273070.625</v>
      </c>
      <c r="R1059" t="s">
        <v>436</v>
      </c>
    </row>
    <row r="1060" spans="1:18" x14ac:dyDescent="0.25">
      <c r="A1060" t="s">
        <v>1889</v>
      </c>
      <c r="B1060">
        <v>1628</v>
      </c>
      <c r="C1060" t="s">
        <v>487</v>
      </c>
      <c r="D1060" t="s">
        <v>261</v>
      </c>
      <c r="E1060" t="s">
        <v>537</v>
      </c>
      <c r="F1060" t="s">
        <v>1530</v>
      </c>
      <c r="G1060" s="25">
        <v>44270</v>
      </c>
      <c r="H1060">
        <v>15</v>
      </c>
      <c r="I1060">
        <v>74</v>
      </c>
      <c r="J1060" t="s">
        <v>432</v>
      </c>
      <c r="K1060" t="s">
        <v>493</v>
      </c>
      <c r="L1060" t="s">
        <v>441</v>
      </c>
      <c r="M1060" t="s">
        <v>434</v>
      </c>
      <c r="N1060" t="s">
        <v>78</v>
      </c>
      <c r="O1060" t="s">
        <v>435</v>
      </c>
      <c r="P1060" t="s">
        <v>441</v>
      </c>
      <c r="Q1060">
        <v>130987.5</v>
      </c>
      <c r="R1060" t="s">
        <v>436</v>
      </c>
    </row>
    <row r="1061" spans="1:18" x14ac:dyDescent="0.25">
      <c r="A1061" t="s">
        <v>3540</v>
      </c>
      <c r="B1061">
        <v>2486</v>
      </c>
      <c r="C1061" t="s">
        <v>487</v>
      </c>
      <c r="D1061" t="s">
        <v>247</v>
      </c>
      <c r="E1061" t="s">
        <v>512</v>
      </c>
      <c r="F1061" t="s">
        <v>3146</v>
      </c>
      <c r="G1061" s="25">
        <v>44309</v>
      </c>
      <c r="H1061">
        <v>23</v>
      </c>
      <c r="I1061">
        <v>113</v>
      </c>
      <c r="J1061" t="s">
        <v>432</v>
      </c>
      <c r="K1061" t="s">
        <v>493</v>
      </c>
      <c r="L1061" t="s">
        <v>441</v>
      </c>
      <c r="M1061" t="s">
        <v>434</v>
      </c>
      <c r="N1061" t="s">
        <v>78</v>
      </c>
      <c r="O1061" t="s">
        <v>435</v>
      </c>
      <c r="P1061" t="s">
        <v>441</v>
      </c>
      <c r="Q1061">
        <v>170411.25</v>
      </c>
      <c r="R1061" t="s">
        <v>436</v>
      </c>
    </row>
    <row r="1062" spans="1:18" x14ac:dyDescent="0.25">
      <c r="A1062" t="s">
        <v>1892</v>
      </c>
      <c r="B1062">
        <v>1746</v>
      </c>
      <c r="C1062" t="s">
        <v>487</v>
      </c>
      <c r="D1062" t="s">
        <v>261</v>
      </c>
      <c r="E1062" t="s">
        <v>408</v>
      </c>
      <c r="F1062" t="s">
        <v>1595</v>
      </c>
      <c r="G1062" s="25">
        <v>44276</v>
      </c>
      <c r="H1062">
        <v>16</v>
      </c>
      <c r="I1062">
        <v>80</v>
      </c>
      <c r="J1062" t="s">
        <v>231</v>
      </c>
      <c r="K1062" t="s">
        <v>491</v>
      </c>
      <c r="L1062" t="s">
        <v>233</v>
      </c>
      <c r="M1062" t="s">
        <v>234</v>
      </c>
      <c r="N1062" t="s">
        <v>54</v>
      </c>
      <c r="O1062" t="s">
        <v>235</v>
      </c>
      <c r="P1062" t="s">
        <v>236</v>
      </c>
      <c r="Q1062">
        <v>0</v>
      </c>
      <c r="R1062" t="s">
        <v>237</v>
      </c>
    </row>
    <row r="1063" spans="1:18" x14ac:dyDescent="0.25">
      <c r="A1063" t="s">
        <v>228</v>
      </c>
      <c r="B1063">
        <v>8</v>
      </c>
      <c r="C1063" t="s">
        <v>487</v>
      </c>
      <c r="D1063" t="s">
        <v>229</v>
      </c>
      <c r="E1063" t="s">
        <v>229</v>
      </c>
      <c r="F1063" t="s">
        <v>230</v>
      </c>
      <c r="G1063" s="25">
        <v>44197</v>
      </c>
      <c r="H1063">
        <v>1</v>
      </c>
      <c r="I1063">
        <v>1</v>
      </c>
      <c r="J1063" t="s">
        <v>231</v>
      </c>
      <c r="K1063" t="s">
        <v>491</v>
      </c>
      <c r="L1063" t="s">
        <v>233</v>
      </c>
      <c r="M1063" t="s">
        <v>234</v>
      </c>
      <c r="N1063" t="s">
        <v>54</v>
      </c>
      <c r="O1063" t="s">
        <v>235</v>
      </c>
      <c r="P1063" t="s">
        <v>236</v>
      </c>
      <c r="Q1063">
        <v>0</v>
      </c>
      <c r="R1063" t="s">
        <v>237</v>
      </c>
    </row>
    <row r="1064" spans="1:18" x14ac:dyDescent="0.25">
      <c r="A1064" t="s">
        <v>3541</v>
      </c>
      <c r="B1064">
        <v>2609</v>
      </c>
      <c r="C1064" t="s">
        <v>487</v>
      </c>
      <c r="D1064" t="s">
        <v>247</v>
      </c>
      <c r="E1064" t="s">
        <v>531</v>
      </c>
      <c r="F1064" t="s">
        <v>3173</v>
      </c>
      <c r="G1064" s="25">
        <v>44315</v>
      </c>
      <c r="H1064">
        <v>24</v>
      </c>
      <c r="I1064">
        <v>119</v>
      </c>
      <c r="J1064" t="s">
        <v>432</v>
      </c>
      <c r="K1064" t="s">
        <v>490</v>
      </c>
      <c r="L1064" t="s">
        <v>65</v>
      </c>
      <c r="M1064" t="s">
        <v>434</v>
      </c>
      <c r="N1064" t="s">
        <v>64</v>
      </c>
      <c r="O1064" t="s">
        <v>235</v>
      </c>
      <c r="P1064" t="s">
        <v>442</v>
      </c>
      <c r="Q1064">
        <v>162500</v>
      </c>
      <c r="R1064" t="s">
        <v>237</v>
      </c>
    </row>
    <row r="1065" spans="1:18" x14ac:dyDescent="0.25">
      <c r="A1065" t="s">
        <v>3542</v>
      </c>
      <c r="B1065">
        <v>2455</v>
      </c>
      <c r="C1065" t="s">
        <v>487</v>
      </c>
      <c r="D1065" t="s">
        <v>247</v>
      </c>
      <c r="E1065" t="s">
        <v>232</v>
      </c>
      <c r="F1065" t="s">
        <v>3140</v>
      </c>
      <c r="G1065" s="25">
        <v>44308</v>
      </c>
      <c r="H1065">
        <v>23</v>
      </c>
      <c r="I1065">
        <v>112</v>
      </c>
      <c r="J1065" t="s">
        <v>432</v>
      </c>
      <c r="K1065" t="s">
        <v>490</v>
      </c>
      <c r="L1065" t="s">
        <v>65</v>
      </c>
      <c r="M1065" t="s">
        <v>434</v>
      </c>
      <c r="N1065" t="s">
        <v>64</v>
      </c>
      <c r="O1065" t="s">
        <v>235</v>
      </c>
      <c r="P1065" t="s">
        <v>442</v>
      </c>
      <c r="Q1065">
        <v>318875</v>
      </c>
      <c r="R1065" t="s">
        <v>237</v>
      </c>
    </row>
    <row r="1066" spans="1:18" x14ac:dyDescent="0.25">
      <c r="A1066" t="s">
        <v>3543</v>
      </c>
      <c r="B1066">
        <v>2147</v>
      </c>
      <c r="C1066" t="s">
        <v>487</v>
      </c>
      <c r="D1066" t="s">
        <v>322</v>
      </c>
      <c r="E1066" t="s">
        <v>552</v>
      </c>
      <c r="F1066" t="s">
        <v>3045</v>
      </c>
      <c r="G1066" s="25">
        <v>44294</v>
      </c>
      <c r="H1066">
        <v>20</v>
      </c>
      <c r="I1066">
        <v>98</v>
      </c>
      <c r="J1066" t="s">
        <v>432</v>
      </c>
      <c r="K1066" t="s">
        <v>490</v>
      </c>
      <c r="L1066" t="s">
        <v>65</v>
      </c>
      <c r="M1066" t="s">
        <v>434</v>
      </c>
      <c r="N1066" t="s">
        <v>64</v>
      </c>
      <c r="O1066" t="s">
        <v>235</v>
      </c>
      <c r="P1066" t="s">
        <v>442</v>
      </c>
      <c r="Q1066">
        <v>446875</v>
      </c>
      <c r="R1066" t="s">
        <v>237</v>
      </c>
    </row>
    <row r="1067" spans="1:18" x14ac:dyDescent="0.25">
      <c r="A1067" t="s">
        <v>3544</v>
      </c>
      <c r="B1067">
        <v>1839</v>
      </c>
      <c r="C1067" t="s">
        <v>487</v>
      </c>
      <c r="D1067" t="s">
        <v>322</v>
      </c>
      <c r="E1067" t="s">
        <v>261</v>
      </c>
      <c r="F1067" t="s">
        <v>2956</v>
      </c>
      <c r="G1067" s="25">
        <v>44280</v>
      </c>
      <c r="H1067">
        <v>17</v>
      </c>
      <c r="I1067">
        <v>84</v>
      </c>
      <c r="J1067" t="s">
        <v>432</v>
      </c>
      <c r="K1067" t="s">
        <v>490</v>
      </c>
      <c r="L1067" t="s">
        <v>65</v>
      </c>
      <c r="M1067" t="s">
        <v>434</v>
      </c>
      <c r="N1067" t="s">
        <v>64</v>
      </c>
      <c r="O1067" t="s">
        <v>235</v>
      </c>
      <c r="P1067" t="s">
        <v>442</v>
      </c>
      <c r="Q1067">
        <v>631875</v>
      </c>
      <c r="R1067" t="s">
        <v>237</v>
      </c>
    </row>
    <row r="1068" spans="1:18" x14ac:dyDescent="0.25">
      <c r="A1068" t="s">
        <v>2813</v>
      </c>
      <c r="B1068">
        <v>1751</v>
      </c>
      <c r="C1068" t="s">
        <v>487</v>
      </c>
      <c r="D1068" t="s">
        <v>261</v>
      </c>
      <c r="E1068" t="s">
        <v>408</v>
      </c>
      <c r="F1068" t="s">
        <v>1595</v>
      </c>
      <c r="G1068" s="25">
        <v>44276</v>
      </c>
      <c r="H1068">
        <v>16</v>
      </c>
      <c r="I1068">
        <v>80</v>
      </c>
      <c r="J1068" t="s">
        <v>432</v>
      </c>
      <c r="K1068" t="s">
        <v>490</v>
      </c>
      <c r="L1068" t="s">
        <v>65</v>
      </c>
      <c r="M1068" t="s">
        <v>434</v>
      </c>
      <c r="N1068" t="s">
        <v>64</v>
      </c>
      <c r="O1068" t="s">
        <v>235</v>
      </c>
      <c r="P1068" t="s">
        <v>442</v>
      </c>
      <c r="Q1068">
        <v>272125</v>
      </c>
      <c r="R1068" t="s">
        <v>237</v>
      </c>
    </row>
    <row r="1069" spans="1:18" x14ac:dyDescent="0.25">
      <c r="A1069" t="s">
        <v>3545</v>
      </c>
      <c r="B1069">
        <v>2416</v>
      </c>
      <c r="C1069" t="s">
        <v>487</v>
      </c>
      <c r="D1069" t="s">
        <v>247</v>
      </c>
      <c r="E1069" t="s">
        <v>239</v>
      </c>
      <c r="F1069" t="s">
        <v>3118</v>
      </c>
      <c r="G1069" s="25">
        <v>44306</v>
      </c>
      <c r="H1069">
        <v>22</v>
      </c>
      <c r="I1069">
        <v>110</v>
      </c>
      <c r="J1069" t="s">
        <v>432</v>
      </c>
      <c r="K1069" t="s">
        <v>488</v>
      </c>
      <c r="L1069" t="s">
        <v>433</v>
      </c>
      <c r="M1069" t="s">
        <v>434</v>
      </c>
      <c r="N1069" t="s">
        <v>74</v>
      </c>
      <c r="O1069" t="s">
        <v>435</v>
      </c>
      <c r="P1069" t="s">
        <v>433</v>
      </c>
      <c r="Q1069">
        <v>34500</v>
      </c>
      <c r="R1069" t="s">
        <v>436</v>
      </c>
    </row>
    <row r="1070" spans="1:18" x14ac:dyDescent="0.25">
      <c r="A1070" t="s">
        <v>3546</v>
      </c>
      <c r="B1070">
        <v>1954</v>
      </c>
      <c r="C1070" t="s">
        <v>487</v>
      </c>
      <c r="D1070" t="s">
        <v>322</v>
      </c>
      <c r="E1070" t="s">
        <v>371</v>
      </c>
      <c r="F1070" t="s">
        <v>2976</v>
      </c>
      <c r="G1070" s="25">
        <v>44285</v>
      </c>
      <c r="H1070">
        <v>18</v>
      </c>
      <c r="I1070">
        <v>89</v>
      </c>
      <c r="J1070" t="s">
        <v>432</v>
      </c>
      <c r="K1070" t="s">
        <v>488</v>
      </c>
      <c r="L1070" t="s">
        <v>433</v>
      </c>
      <c r="M1070" t="s">
        <v>434</v>
      </c>
      <c r="N1070" t="s">
        <v>74</v>
      </c>
      <c r="O1070" t="s">
        <v>435</v>
      </c>
      <c r="P1070" t="s">
        <v>433</v>
      </c>
      <c r="Q1070">
        <v>55200</v>
      </c>
      <c r="R1070" t="s">
        <v>436</v>
      </c>
    </row>
    <row r="1071" spans="1:18" x14ac:dyDescent="0.25">
      <c r="A1071" t="s">
        <v>1711</v>
      </c>
      <c r="B1071">
        <v>1206</v>
      </c>
      <c r="C1071" t="s">
        <v>487</v>
      </c>
      <c r="D1071" t="s">
        <v>256</v>
      </c>
      <c r="E1071" t="s">
        <v>575</v>
      </c>
      <c r="F1071" t="s">
        <v>1668</v>
      </c>
      <c r="G1071" s="25">
        <v>44251</v>
      </c>
      <c r="H1071">
        <v>11</v>
      </c>
      <c r="I1071">
        <v>55</v>
      </c>
      <c r="J1071" t="s">
        <v>432</v>
      </c>
      <c r="K1071" t="s">
        <v>488</v>
      </c>
      <c r="L1071" t="s">
        <v>433</v>
      </c>
      <c r="M1071" t="s">
        <v>434</v>
      </c>
      <c r="N1071" t="s">
        <v>74</v>
      </c>
      <c r="O1071" t="s">
        <v>435</v>
      </c>
      <c r="P1071" t="s">
        <v>433</v>
      </c>
      <c r="Q1071">
        <v>48000</v>
      </c>
      <c r="R1071" t="s">
        <v>436</v>
      </c>
    </row>
    <row r="1072" spans="1:18" x14ac:dyDescent="0.25">
      <c r="A1072" t="s">
        <v>1904</v>
      </c>
      <c r="B1072">
        <v>1730</v>
      </c>
      <c r="C1072" t="s">
        <v>487</v>
      </c>
      <c r="D1072" t="s">
        <v>261</v>
      </c>
      <c r="E1072" t="s">
        <v>531</v>
      </c>
      <c r="F1072" t="s">
        <v>1588</v>
      </c>
      <c r="G1072" s="25">
        <v>44275</v>
      </c>
      <c r="H1072">
        <v>16</v>
      </c>
      <c r="I1072">
        <v>79</v>
      </c>
      <c r="J1072" t="s">
        <v>432</v>
      </c>
      <c r="K1072" t="s">
        <v>489</v>
      </c>
      <c r="L1072" t="s">
        <v>134</v>
      </c>
      <c r="M1072" t="s">
        <v>434</v>
      </c>
      <c r="N1072" t="s">
        <v>67</v>
      </c>
      <c r="O1072" t="s">
        <v>235</v>
      </c>
      <c r="P1072" t="s">
        <v>437</v>
      </c>
      <c r="Q1072">
        <v>296000</v>
      </c>
      <c r="R1072" t="s">
        <v>237</v>
      </c>
    </row>
    <row r="1073" spans="1:18" x14ac:dyDescent="0.25">
      <c r="A1073" t="s">
        <v>3547</v>
      </c>
      <c r="B1073">
        <v>2005</v>
      </c>
      <c r="C1073" t="s">
        <v>487</v>
      </c>
      <c r="D1073" t="s">
        <v>322</v>
      </c>
      <c r="E1073" t="s">
        <v>232</v>
      </c>
      <c r="F1073" t="s">
        <v>2987</v>
      </c>
      <c r="G1073" s="25">
        <v>44288</v>
      </c>
      <c r="H1073">
        <v>19</v>
      </c>
      <c r="I1073">
        <v>92</v>
      </c>
      <c r="J1073" t="s">
        <v>231</v>
      </c>
      <c r="K1073" t="s">
        <v>509</v>
      </c>
      <c r="L1073" t="s">
        <v>45</v>
      </c>
      <c r="M1073" t="s">
        <v>234</v>
      </c>
      <c r="N1073" t="s">
        <v>44</v>
      </c>
      <c r="O1073" t="s">
        <v>21</v>
      </c>
      <c r="P1073" t="s">
        <v>304</v>
      </c>
      <c r="Q1073">
        <v>0</v>
      </c>
      <c r="R1073" t="s">
        <v>237</v>
      </c>
    </row>
    <row r="1074" spans="1:18" x14ac:dyDescent="0.25">
      <c r="A1074" t="s">
        <v>1638</v>
      </c>
      <c r="B1074">
        <v>1301</v>
      </c>
      <c r="C1074" t="s">
        <v>487</v>
      </c>
      <c r="D1074" t="s">
        <v>256</v>
      </c>
      <c r="E1074" t="s">
        <v>408</v>
      </c>
      <c r="F1074" t="s">
        <v>1383</v>
      </c>
      <c r="G1074" s="25">
        <v>44256</v>
      </c>
      <c r="H1074">
        <v>12</v>
      </c>
      <c r="I1074">
        <v>60</v>
      </c>
      <c r="J1074" t="s">
        <v>231</v>
      </c>
      <c r="K1074" t="s">
        <v>509</v>
      </c>
      <c r="L1074" t="s">
        <v>45</v>
      </c>
      <c r="M1074" t="s">
        <v>234</v>
      </c>
      <c r="N1074" t="s">
        <v>44</v>
      </c>
      <c r="O1074" t="s">
        <v>21</v>
      </c>
      <c r="P1074" t="s">
        <v>304</v>
      </c>
      <c r="Q1074">
        <v>750</v>
      </c>
      <c r="R1074" t="s">
        <v>237</v>
      </c>
    </row>
    <row r="1075" spans="1:18" x14ac:dyDescent="0.25">
      <c r="A1075" t="s">
        <v>2276</v>
      </c>
      <c r="B1075">
        <v>1103</v>
      </c>
      <c r="C1075" t="s">
        <v>487</v>
      </c>
      <c r="D1075" t="s">
        <v>256</v>
      </c>
      <c r="E1075" t="s">
        <v>515</v>
      </c>
      <c r="F1075" t="s">
        <v>1329</v>
      </c>
      <c r="G1075" s="25">
        <v>44247</v>
      </c>
      <c r="H1075">
        <v>11</v>
      </c>
      <c r="I1075">
        <v>51</v>
      </c>
      <c r="J1075" t="s">
        <v>231</v>
      </c>
      <c r="K1075" t="s">
        <v>509</v>
      </c>
      <c r="L1075" t="s">
        <v>45</v>
      </c>
      <c r="M1075" t="s">
        <v>234</v>
      </c>
      <c r="N1075" t="s">
        <v>44</v>
      </c>
      <c r="O1075" t="s">
        <v>21</v>
      </c>
      <c r="P1075" t="s">
        <v>304</v>
      </c>
      <c r="Q1075">
        <v>0</v>
      </c>
      <c r="R1075" t="s">
        <v>237</v>
      </c>
    </row>
    <row r="1076" spans="1:18" x14ac:dyDescent="0.25">
      <c r="A1076" t="s">
        <v>1604</v>
      </c>
      <c r="B1076">
        <v>487</v>
      </c>
      <c r="C1076" t="s">
        <v>487</v>
      </c>
      <c r="D1076" t="s">
        <v>231</v>
      </c>
      <c r="E1076" t="s">
        <v>256</v>
      </c>
      <c r="F1076" t="s">
        <v>1064</v>
      </c>
      <c r="G1076" s="25">
        <v>44219</v>
      </c>
      <c r="H1076">
        <v>5</v>
      </c>
      <c r="I1076">
        <v>23</v>
      </c>
      <c r="J1076" t="s">
        <v>231</v>
      </c>
      <c r="K1076" t="s">
        <v>509</v>
      </c>
      <c r="L1076" t="s">
        <v>45</v>
      </c>
      <c r="M1076" t="s">
        <v>234</v>
      </c>
      <c r="N1076" t="s">
        <v>44</v>
      </c>
      <c r="O1076" t="s">
        <v>21</v>
      </c>
      <c r="P1076" t="s">
        <v>304</v>
      </c>
      <c r="Q1076">
        <v>0</v>
      </c>
      <c r="R1076" t="s">
        <v>237</v>
      </c>
    </row>
    <row r="1077" spans="1:18" x14ac:dyDescent="0.25">
      <c r="A1077" t="s">
        <v>736</v>
      </c>
      <c r="B1077">
        <v>179</v>
      </c>
      <c r="C1077" t="s">
        <v>487</v>
      </c>
      <c r="D1077" t="s">
        <v>229</v>
      </c>
      <c r="E1077" t="s">
        <v>371</v>
      </c>
      <c r="F1077" t="s">
        <v>557</v>
      </c>
      <c r="G1077" s="25">
        <v>44205</v>
      </c>
      <c r="H1077">
        <v>2</v>
      </c>
      <c r="I1077">
        <v>9</v>
      </c>
      <c r="J1077" t="s">
        <v>231</v>
      </c>
      <c r="K1077" t="s">
        <v>509</v>
      </c>
      <c r="L1077" t="s">
        <v>45</v>
      </c>
      <c r="M1077" t="s">
        <v>234</v>
      </c>
      <c r="N1077" t="s">
        <v>44</v>
      </c>
      <c r="O1077" t="s">
        <v>21</v>
      </c>
      <c r="P1077" t="s">
        <v>304</v>
      </c>
      <c r="Q1077">
        <v>0</v>
      </c>
      <c r="R1077" t="s">
        <v>237</v>
      </c>
    </row>
    <row r="1078" spans="1:18" x14ac:dyDescent="0.25">
      <c r="A1078" t="s">
        <v>3548</v>
      </c>
      <c r="B1078">
        <v>2467</v>
      </c>
      <c r="C1078" t="s">
        <v>487</v>
      </c>
      <c r="D1078" t="s">
        <v>247</v>
      </c>
      <c r="E1078" t="s">
        <v>512</v>
      </c>
      <c r="F1078" t="s">
        <v>3146</v>
      </c>
      <c r="G1078" s="25">
        <v>44309</v>
      </c>
      <c r="H1078">
        <v>23</v>
      </c>
      <c r="I1078">
        <v>113</v>
      </c>
      <c r="J1078" t="s">
        <v>231</v>
      </c>
      <c r="K1078" t="s">
        <v>509</v>
      </c>
      <c r="L1078" t="s">
        <v>45</v>
      </c>
      <c r="M1078" t="s">
        <v>234</v>
      </c>
      <c r="N1078" t="s">
        <v>44</v>
      </c>
      <c r="O1078" t="s">
        <v>21</v>
      </c>
      <c r="P1078" t="s">
        <v>304</v>
      </c>
      <c r="Q1078">
        <v>1589</v>
      </c>
      <c r="R1078" t="s">
        <v>237</v>
      </c>
    </row>
    <row r="1079" spans="1:18" x14ac:dyDescent="0.25">
      <c r="A1079" t="s">
        <v>376</v>
      </c>
      <c r="B1079">
        <v>4</v>
      </c>
      <c r="C1079" t="s">
        <v>487</v>
      </c>
      <c r="D1079" t="s">
        <v>229</v>
      </c>
      <c r="E1079" t="s">
        <v>229</v>
      </c>
      <c r="F1079" t="s">
        <v>230</v>
      </c>
      <c r="G1079" s="25">
        <v>44197</v>
      </c>
      <c r="H1079">
        <v>1</v>
      </c>
      <c r="I1079">
        <v>1</v>
      </c>
      <c r="J1079" t="s">
        <v>231</v>
      </c>
      <c r="K1079" t="s">
        <v>508</v>
      </c>
      <c r="L1079" t="s">
        <v>47</v>
      </c>
      <c r="M1079" t="s">
        <v>234</v>
      </c>
      <c r="N1079" t="s">
        <v>46</v>
      </c>
      <c r="O1079" t="s">
        <v>21</v>
      </c>
      <c r="P1079" t="s">
        <v>288</v>
      </c>
      <c r="Q1079">
        <v>0</v>
      </c>
      <c r="R1079" t="s">
        <v>237</v>
      </c>
    </row>
    <row r="1080" spans="1:18" x14ac:dyDescent="0.25">
      <c r="A1080" t="s">
        <v>3549</v>
      </c>
      <c r="B1080">
        <v>2138</v>
      </c>
      <c r="C1080" t="s">
        <v>487</v>
      </c>
      <c r="D1080" t="s">
        <v>322</v>
      </c>
      <c r="E1080" t="s">
        <v>552</v>
      </c>
      <c r="F1080" t="s">
        <v>3045</v>
      </c>
      <c r="G1080" s="25">
        <v>44294</v>
      </c>
      <c r="H1080">
        <v>20</v>
      </c>
      <c r="I1080">
        <v>98</v>
      </c>
      <c r="J1080" t="s">
        <v>231</v>
      </c>
      <c r="K1080" t="s">
        <v>508</v>
      </c>
      <c r="L1080" t="s">
        <v>47</v>
      </c>
      <c r="M1080" t="s">
        <v>234</v>
      </c>
      <c r="N1080" t="s">
        <v>46</v>
      </c>
      <c r="O1080" t="s">
        <v>21</v>
      </c>
      <c r="P1080" t="s">
        <v>288</v>
      </c>
      <c r="Q1080">
        <v>2122</v>
      </c>
      <c r="R1080" t="s">
        <v>237</v>
      </c>
    </row>
    <row r="1081" spans="1:18" x14ac:dyDescent="0.25">
      <c r="A1081" t="s">
        <v>2823</v>
      </c>
      <c r="B1081">
        <v>1742</v>
      </c>
      <c r="C1081" t="s">
        <v>487</v>
      </c>
      <c r="D1081" t="s">
        <v>261</v>
      </c>
      <c r="E1081" t="s">
        <v>408</v>
      </c>
      <c r="F1081" t="s">
        <v>1595</v>
      </c>
      <c r="G1081" s="25">
        <v>44276</v>
      </c>
      <c r="H1081">
        <v>16</v>
      </c>
      <c r="I1081">
        <v>80</v>
      </c>
      <c r="J1081" t="s">
        <v>231</v>
      </c>
      <c r="K1081" t="s">
        <v>508</v>
      </c>
      <c r="L1081" t="s">
        <v>47</v>
      </c>
      <c r="M1081" t="s">
        <v>234</v>
      </c>
      <c r="N1081" t="s">
        <v>46</v>
      </c>
      <c r="O1081" t="s">
        <v>21</v>
      </c>
      <c r="P1081" t="s">
        <v>288</v>
      </c>
      <c r="Q1081">
        <v>37672</v>
      </c>
      <c r="R1081" t="s">
        <v>237</v>
      </c>
    </row>
    <row r="1082" spans="1:18" x14ac:dyDescent="0.25">
      <c r="A1082" t="s">
        <v>1764</v>
      </c>
      <c r="B1082">
        <v>1039</v>
      </c>
      <c r="C1082" t="s">
        <v>487</v>
      </c>
      <c r="D1082" t="s">
        <v>256</v>
      </c>
      <c r="E1082" t="s">
        <v>381</v>
      </c>
      <c r="F1082" t="s">
        <v>1311</v>
      </c>
      <c r="G1082" s="25">
        <v>44244</v>
      </c>
      <c r="H1082">
        <v>10</v>
      </c>
      <c r="I1082">
        <v>48</v>
      </c>
      <c r="J1082" t="s">
        <v>231</v>
      </c>
      <c r="K1082" t="s">
        <v>507</v>
      </c>
      <c r="L1082" t="s">
        <v>49</v>
      </c>
      <c r="M1082" t="s">
        <v>234</v>
      </c>
      <c r="N1082" t="s">
        <v>48</v>
      </c>
      <c r="O1082" t="s">
        <v>21</v>
      </c>
      <c r="P1082" t="s">
        <v>413</v>
      </c>
      <c r="Q1082">
        <v>0</v>
      </c>
      <c r="R1082" t="s">
        <v>237</v>
      </c>
    </row>
    <row r="1083" spans="1:18" x14ac:dyDescent="0.25">
      <c r="A1083" t="s">
        <v>2540</v>
      </c>
      <c r="B1083">
        <v>687</v>
      </c>
      <c r="C1083" t="s">
        <v>487</v>
      </c>
      <c r="D1083" t="s">
        <v>231</v>
      </c>
      <c r="E1083" t="s">
        <v>232</v>
      </c>
      <c r="F1083" t="s">
        <v>1162</v>
      </c>
      <c r="G1083" s="25">
        <v>44228</v>
      </c>
      <c r="H1083">
        <v>7</v>
      </c>
      <c r="I1083">
        <v>32</v>
      </c>
      <c r="J1083" t="s">
        <v>231</v>
      </c>
      <c r="K1083" t="s">
        <v>507</v>
      </c>
      <c r="L1083" t="s">
        <v>49</v>
      </c>
      <c r="M1083" t="s">
        <v>234</v>
      </c>
      <c r="N1083" t="s">
        <v>48</v>
      </c>
      <c r="O1083" t="s">
        <v>21</v>
      </c>
      <c r="P1083" t="s">
        <v>413</v>
      </c>
      <c r="Q1083">
        <v>0</v>
      </c>
      <c r="R1083" t="s">
        <v>237</v>
      </c>
    </row>
    <row r="1084" spans="1:18" x14ac:dyDescent="0.25">
      <c r="A1084" t="s">
        <v>313</v>
      </c>
      <c r="B1084">
        <v>71</v>
      </c>
      <c r="C1084" t="s">
        <v>487</v>
      </c>
      <c r="D1084" t="s">
        <v>229</v>
      </c>
      <c r="E1084" t="s">
        <v>261</v>
      </c>
      <c r="F1084" t="s">
        <v>549</v>
      </c>
      <c r="G1084" s="25">
        <v>44200</v>
      </c>
      <c r="H1084">
        <v>1</v>
      </c>
      <c r="I1084">
        <v>4</v>
      </c>
      <c r="J1084" t="s">
        <v>231</v>
      </c>
      <c r="K1084" t="s">
        <v>507</v>
      </c>
      <c r="L1084" t="s">
        <v>49</v>
      </c>
      <c r="M1084" t="s">
        <v>234</v>
      </c>
      <c r="N1084" t="s">
        <v>48</v>
      </c>
      <c r="O1084" t="s">
        <v>21</v>
      </c>
      <c r="P1084" t="s">
        <v>413</v>
      </c>
      <c r="Q1084">
        <v>0</v>
      </c>
      <c r="R1084" t="s">
        <v>237</v>
      </c>
    </row>
    <row r="1085" spans="1:18" x14ac:dyDescent="0.25">
      <c r="A1085" t="s">
        <v>3550</v>
      </c>
      <c r="B1085">
        <v>2249</v>
      </c>
      <c r="C1085" t="s">
        <v>487</v>
      </c>
      <c r="D1085" t="s">
        <v>247</v>
      </c>
      <c r="E1085" t="s">
        <v>256</v>
      </c>
      <c r="F1085" t="s">
        <v>3073</v>
      </c>
      <c r="G1085" s="25">
        <v>44299</v>
      </c>
      <c r="H1085">
        <v>21</v>
      </c>
      <c r="I1085">
        <v>103</v>
      </c>
      <c r="J1085" t="s">
        <v>231</v>
      </c>
      <c r="K1085" t="s">
        <v>507</v>
      </c>
      <c r="L1085" t="s">
        <v>49</v>
      </c>
      <c r="M1085" t="s">
        <v>234</v>
      </c>
      <c r="N1085" t="s">
        <v>48</v>
      </c>
      <c r="O1085" t="s">
        <v>21</v>
      </c>
      <c r="P1085" t="s">
        <v>413</v>
      </c>
      <c r="Q1085">
        <v>0</v>
      </c>
      <c r="R1085" t="s">
        <v>237</v>
      </c>
    </row>
    <row r="1086" spans="1:18" x14ac:dyDescent="0.25">
      <c r="A1086" t="s">
        <v>3551</v>
      </c>
      <c r="B1086">
        <v>1875</v>
      </c>
      <c r="C1086" t="s">
        <v>487</v>
      </c>
      <c r="D1086" t="s">
        <v>322</v>
      </c>
      <c r="E1086" t="s">
        <v>247</v>
      </c>
      <c r="F1086" t="s">
        <v>2963</v>
      </c>
      <c r="G1086" s="25">
        <v>44282</v>
      </c>
      <c r="H1086">
        <v>18</v>
      </c>
      <c r="I1086">
        <v>86</v>
      </c>
      <c r="J1086" t="s">
        <v>231</v>
      </c>
      <c r="K1086" t="s">
        <v>507</v>
      </c>
      <c r="L1086" t="s">
        <v>49</v>
      </c>
      <c r="M1086" t="s">
        <v>234</v>
      </c>
      <c r="N1086" t="s">
        <v>48</v>
      </c>
      <c r="O1086" t="s">
        <v>21</v>
      </c>
      <c r="P1086" t="s">
        <v>413</v>
      </c>
      <c r="Q1086">
        <v>0</v>
      </c>
      <c r="R1086" t="s">
        <v>237</v>
      </c>
    </row>
    <row r="1087" spans="1:18" x14ac:dyDescent="0.25">
      <c r="A1087" t="s">
        <v>606</v>
      </c>
      <c r="B1087">
        <v>314</v>
      </c>
      <c r="C1087" t="s">
        <v>487</v>
      </c>
      <c r="D1087" t="s">
        <v>229</v>
      </c>
      <c r="E1087" t="s">
        <v>575</v>
      </c>
      <c r="F1087" t="s">
        <v>576</v>
      </c>
      <c r="G1087" s="25">
        <v>44211</v>
      </c>
      <c r="H1087">
        <v>3</v>
      </c>
      <c r="I1087">
        <v>15</v>
      </c>
      <c r="J1087" t="s">
        <v>231</v>
      </c>
      <c r="K1087" t="s">
        <v>506</v>
      </c>
      <c r="L1087" t="s">
        <v>414</v>
      </c>
      <c r="M1087" t="s">
        <v>234</v>
      </c>
      <c r="N1087" t="s">
        <v>50</v>
      </c>
      <c r="O1087" t="s">
        <v>21</v>
      </c>
      <c r="P1087" t="s">
        <v>411</v>
      </c>
      <c r="Q1087">
        <v>0</v>
      </c>
      <c r="R1087" t="s">
        <v>237</v>
      </c>
    </row>
    <row r="1088" spans="1:18" x14ac:dyDescent="0.25">
      <c r="A1088" t="s">
        <v>3552</v>
      </c>
      <c r="B1088">
        <v>2646</v>
      </c>
      <c r="C1088" t="s">
        <v>487</v>
      </c>
      <c r="D1088" t="s">
        <v>326</v>
      </c>
      <c r="E1088" t="s">
        <v>229</v>
      </c>
      <c r="F1088" t="s">
        <v>3241</v>
      </c>
      <c r="G1088" s="25">
        <v>44317</v>
      </c>
      <c r="H1088">
        <v>25</v>
      </c>
      <c r="I1088">
        <v>121</v>
      </c>
      <c r="J1088" t="s">
        <v>231</v>
      </c>
      <c r="K1088" t="s">
        <v>506</v>
      </c>
      <c r="L1088" t="s">
        <v>414</v>
      </c>
      <c r="M1088" t="s">
        <v>234</v>
      </c>
      <c r="N1088" t="s">
        <v>50</v>
      </c>
      <c r="O1088" t="s">
        <v>21</v>
      </c>
      <c r="P1088" t="s">
        <v>411</v>
      </c>
      <c r="Q1088">
        <v>0</v>
      </c>
      <c r="R1088" t="s">
        <v>237</v>
      </c>
    </row>
    <row r="1089" spans="1:18" x14ac:dyDescent="0.25">
      <c r="A1089" t="s">
        <v>3553</v>
      </c>
      <c r="B1089">
        <v>2492</v>
      </c>
      <c r="C1089" t="s">
        <v>487</v>
      </c>
      <c r="D1089" t="s">
        <v>247</v>
      </c>
      <c r="E1089" t="s">
        <v>537</v>
      </c>
      <c r="F1089" t="s">
        <v>3153</v>
      </c>
      <c r="G1089" s="25">
        <v>44310</v>
      </c>
      <c r="H1089">
        <v>23</v>
      </c>
      <c r="I1089">
        <v>114</v>
      </c>
      <c r="J1089" t="s">
        <v>231</v>
      </c>
      <c r="K1089" t="s">
        <v>506</v>
      </c>
      <c r="L1089" t="s">
        <v>414</v>
      </c>
      <c r="M1089" t="s">
        <v>234</v>
      </c>
      <c r="N1089" t="s">
        <v>50</v>
      </c>
      <c r="O1089" t="s">
        <v>21</v>
      </c>
      <c r="P1089" t="s">
        <v>411</v>
      </c>
      <c r="Q1089">
        <v>0</v>
      </c>
      <c r="R1089" t="s">
        <v>237</v>
      </c>
    </row>
    <row r="1090" spans="1:18" x14ac:dyDescent="0.25">
      <c r="A1090" t="s">
        <v>1770</v>
      </c>
      <c r="B1090">
        <v>1524</v>
      </c>
      <c r="C1090" t="s">
        <v>487</v>
      </c>
      <c r="D1090" t="s">
        <v>261</v>
      </c>
      <c r="E1090" t="s">
        <v>239</v>
      </c>
      <c r="F1090" t="s">
        <v>1703</v>
      </c>
      <c r="G1090" s="25">
        <v>44266</v>
      </c>
      <c r="H1090">
        <v>14</v>
      </c>
      <c r="I1090">
        <v>70</v>
      </c>
      <c r="J1090" t="s">
        <v>231</v>
      </c>
      <c r="K1090" t="s">
        <v>506</v>
      </c>
      <c r="L1090" t="s">
        <v>414</v>
      </c>
      <c r="M1090" t="s">
        <v>234</v>
      </c>
      <c r="N1090" t="s">
        <v>50</v>
      </c>
      <c r="O1090" t="s">
        <v>21</v>
      </c>
      <c r="P1090" t="s">
        <v>411</v>
      </c>
      <c r="Q1090">
        <v>0</v>
      </c>
      <c r="R1090" t="s">
        <v>237</v>
      </c>
    </row>
    <row r="1091" spans="1:18" x14ac:dyDescent="0.25">
      <c r="A1091" t="s">
        <v>2224</v>
      </c>
      <c r="B1091">
        <v>1282</v>
      </c>
      <c r="C1091" t="s">
        <v>487</v>
      </c>
      <c r="D1091" t="s">
        <v>256</v>
      </c>
      <c r="E1091" t="s">
        <v>531</v>
      </c>
      <c r="F1091" t="s">
        <v>1373</v>
      </c>
      <c r="G1091" s="25">
        <v>44255</v>
      </c>
      <c r="H1091">
        <v>12</v>
      </c>
      <c r="I1091">
        <v>59</v>
      </c>
      <c r="J1091" t="s">
        <v>231</v>
      </c>
      <c r="K1091" t="s">
        <v>506</v>
      </c>
      <c r="L1091" t="s">
        <v>414</v>
      </c>
      <c r="M1091" t="s">
        <v>234</v>
      </c>
      <c r="N1091" t="s">
        <v>50</v>
      </c>
      <c r="O1091" t="s">
        <v>21</v>
      </c>
      <c r="P1091" t="s">
        <v>411</v>
      </c>
      <c r="Q1091">
        <v>0</v>
      </c>
      <c r="R1091" t="s">
        <v>237</v>
      </c>
    </row>
    <row r="1092" spans="1:18" x14ac:dyDescent="0.25">
      <c r="A1092" t="s">
        <v>840</v>
      </c>
      <c r="B1092">
        <v>265</v>
      </c>
      <c r="C1092" t="s">
        <v>487</v>
      </c>
      <c r="D1092" t="s">
        <v>229</v>
      </c>
      <c r="E1092" t="s">
        <v>512</v>
      </c>
      <c r="F1092" t="s">
        <v>513</v>
      </c>
      <c r="G1092" s="25">
        <v>44209</v>
      </c>
      <c r="H1092">
        <v>3</v>
      </c>
      <c r="I1092">
        <v>13</v>
      </c>
      <c r="J1092" t="s">
        <v>231</v>
      </c>
      <c r="K1092" t="s">
        <v>505</v>
      </c>
      <c r="L1092" t="s">
        <v>41</v>
      </c>
      <c r="M1092" t="s">
        <v>234</v>
      </c>
      <c r="N1092" t="s">
        <v>40</v>
      </c>
      <c r="O1092" t="s">
        <v>21</v>
      </c>
      <c r="P1092" t="s">
        <v>266</v>
      </c>
      <c r="Q1092">
        <v>0</v>
      </c>
      <c r="R1092" t="s">
        <v>237</v>
      </c>
    </row>
    <row r="1093" spans="1:18" x14ac:dyDescent="0.25">
      <c r="A1093" t="s">
        <v>3554</v>
      </c>
      <c r="B1093">
        <v>2443</v>
      </c>
      <c r="C1093" t="s">
        <v>487</v>
      </c>
      <c r="D1093" t="s">
        <v>247</v>
      </c>
      <c r="E1093" t="s">
        <v>232</v>
      </c>
      <c r="F1093" t="s">
        <v>3140</v>
      </c>
      <c r="G1093" s="25">
        <v>44308</v>
      </c>
      <c r="H1093">
        <v>23</v>
      </c>
      <c r="I1093">
        <v>112</v>
      </c>
      <c r="J1093" t="s">
        <v>231</v>
      </c>
      <c r="K1093" t="s">
        <v>505</v>
      </c>
      <c r="L1093" t="s">
        <v>41</v>
      </c>
      <c r="M1093" t="s">
        <v>234</v>
      </c>
      <c r="N1093" t="s">
        <v>40</v>
      </c>
      <c r="O1093" t="s">
        <v>21</v>
      </c>
      <c r="P1093" t="s">
        <v>266</v>
      </c>
      <c r="Q1093">
        <v>0</v>
      </c>
      <c r="R1093" t="s">
        <v>237</v>
      </c>
    </row>
    <row r="1094" spans="1:18" x14ac:dyDescent="0.25">
      <c r="A1094" t="s">
        <v>3555</v>
      </c>
      <c r="B1094">
        <v>2333</v>
      </c>
      <c r="C1094" t="s">
        <v>487</v>
      </c>
      <c r="D1094" t="s">
        <v>247</v>
      </c>
      <c r="E1094" t="s">
        <v>326</v>
      </c>
      <c r="F1094" t="s">
        <v>3091</v>
      </c>
      <c r="G1094" s="25">
        <v>44303</v>
      </c>
      <c r="H1094">
        <v>22</v>
      </c>
      <c r="I1094">
        <v>107</v>
      </c>
      <c r="J1094" t="s">
        <v>231</v>
      </c>
      <c r="K1094" t="s">
        <v>505</v>
      </c>
      <c r="L1094" t="s">
        <v>41</v>
      </c>
      <c r="M1094" t="s">
        <v>234</v>
      </c>
      <c r="N1094" t="s">
        <v>40</v>
      </c>
      <c r="O1094" t="s">
        <v>21</v>
      </c>
      <c r="P1094" t="s">
        <v>266</v>
      </c>
      <c r="Q1094">
        <v>18675</v>
      </c>
      <c r="R1094" t="s">
        <v>237</v>
      </c>
    </row>
    <row r="1095" spans="1:18" x14ac:dyDescent="0.25">
      <c r="A1095" t="s">
        <v>3556</v>
      </c>
      <c r="B1095">
        <v>2135</v>
      </c>
      <c r="C1095" t="s">
        <v>487</v>
      </c>
      <c r="D1095" t="s">
        <v>322</v>
      </c>
      <c r="E1095" t="s">
        <v>552</v>
      </c>
      <c r="F1095" t="s">
        <v>3045</v>
      </c>
      <c r="G1095" s="25">
        <v>44294</v>
      </c>
      <c r="H1095">
        <v>20</v>
      </c>
      <c r="I1095">
        <v>98</v>
      </c>
      <c r="J1095" t="s">
        <v>231</v>
      </c>
      <c r="K1095" t="s">
        <v>505</v>
      </c>
      <c r="L1095" t="s">
        <v>41</v>
      </c>
      <c r="M1095" t="s">
        <v>234</v>
      </c>
      <c r="N1095" t="s">
        <v>40</v>
      </c>
      <c r="O1095" t="s">
        <v>21</v>
      </c>
      <c r="P1095" t="s">
        <v>266</v>
      </c>
      <c r="Q1095">
        <v>0</v>
      </c>
      <c r="R1095" t="s">
        <v>237</v>
      </c>
    </row>
    <row r="1096" spans="1:18" x14ac:dyDescent="0.25">
      <c r="A1096" t="s">
        <v>3557</v>
      </c>
      <c r="B1096">
        <v>1827</v>
      </c>
      <c r="C1096" t="s">
        <v>487</v>
      </c>
      <c r="D1096" t="s">
        <v>322</v>
      </c>
      <c r="E1096" t="s">
        <v>261</v>
      </c>
      <c r="F1096" t="s">
        <v>2956</v>
      </c>
      <c r="G1096" s="25">
        <v>44280</v>
      </c>
      <c r="H1096">
        <v>17</v>
      </c>
      <c r="I1096">
        <v>84</v>
      </c>
      <c r="J1096" t="s">
        <v>231</v>
      </c>
      <c r="K1096" t="s">
        <v>505</v>
      </c>
      <c r="L1096" t="s">
        <v>41</v>
      </c>
      <c r="M1096" t="s">
        <v>234</v>
      </c>
      <c r="N1096" t="s">
        <v>40</v>
      </c>
      <c r="O1096" t="s">
        <v>21</v>
      </c>
      <c r="P1096" t="s">
        <v>266</v>
      </c>
      <c r="Q1096">
        <v>0</v>
      </c>
      <c r="R1096" t="s">
        <v>237</v>
      </c>
    </row>
    <row r="1097" spans="1:18" x14ac:dyDescent="0.25">
      <c r="A1097" t="s">
        <v>2600</v>
      </c>
      <c r="B1097">
        <v>1739</v>
      </c>
      <c r="C1097" t="s">
        <v>487</v>
      </c>
      <c r="D1097" t="s">
        <v>261</v>
      </c>
      <c r="E1097" t="s">
        <v>408</v>
      </c>
      <c r="F1097" t="s">
        <v>1595</v>
      </c>
      <c r="G1097" s="25">
        <v>44276</v>
      </c>
      <c r="H1097">
        <v>16</v>
      </c>
      <c r="I1097">
        <v>80</v>
      </c>
      <c r="J1097" t="s">
        <v>231</v>
      </c>
      <c r="K1097" t="s">
        <v>505</v>
      </c>
      <c r="L1097" t="s">
        <v>41</v>
      </c>
      <c r="M1097" t="s">
        <v>234</v>
      </c>
      <c r="N1097" t="s">
        <v>40</v>
      </c>
      <c r="O1097" t="s">
        <v>21</v>
      </c>
      <c r="P1097" t="s">
        <v>266</v>
      </c>
      <c r="Q1097">
        <v>34434</v>
      </c>
      <c r="R1097" t="s">
        <v>237</v>
      </c>
    </row>
    <row r="1098" spans="1:18" x14ac:dyDescent="0.25">
      <c r="A1098" t="s">
        <v>2651</v>
      </c>
      <c r="B1098">
        <v>1629</v>
      </c>
      <c r="C1098" t="s">
        <v>487</v>
      </c>
      <c r="D1098" t="s">
        <v>261</v>
      </c>
      <c r="E1098" t="s">
        <v>575</v>
      </c>
      <c r="F1098" t="s">
        <v>1537</v>
      </c>
      <c r="G1098" s="25">
        <v>44271</v>
      </c>
      <c r="H1098">
        <v>15</v>
      </c>
      <c r="I1098">
        <v>75</v>
      </c>
      <c r="J1098" t="s">
        <v>231</v>
      </c>
      <c r="K1098" t="s">
        <v>505</v>
      </c>
      <c r="L1098" t="s">
        <v>41</v>
      </c>
      <c r="M1098" t="s">
        <v>234</v>
      </c>
      <c r="N1098" t="s">
        <v>40</v>
      </c>
      <c r="O1098" t="s">
        <v>21</v>
      </c>
      <c r="P1098" t="s">
        <v>266</v>
      </c>
      <c r="Q1098">
        <v>41541</v>
      </c>
      <c r="R1098" t="s">
        <v>237</v>
      </c>
    </row>
    <row r="1099" spans="1:18" x14ac:dyDescent="0.25">
      <c r="A1099" t="s">
        <v>1817</v>
      </c>
      <c r="B1099">
        <v>1079</v>
      </c>
      <c r="C1099" t="s">
        <v>487</v>
      </c>
      <c r="D1099" t="s">
        <v>256</v>
      </c>
      <c r="E1099" t="s">
        <v>239</v>
      </c>
      <c r="F1099" t="s">
        <v>1322</v>
      </c>
      <c r="G1099" s="25">
        <v>44246</v>
      </c>
      <c r="H1099">
        <v>10</v>
      </c>
      <c r="I1099">
        <v>50</v>
      </c>
      <c r="J1099" t="s">
        <v>231</v>
      </c>
      <c r="K1099" t="s">
        <v>505</v>
      </c>
      <c r="L1099" t="s">
        <v>41</v>
      </c>
      <c r="M1099" t="s">
        <v>234</v>
      </c>
      <c r="N1099" t="s">
        <v>40</v>
      </c>
      <c r="O1099" t="s">
        <v>21</v>
      </c>
      <c r="P1099" t="s">
        <v>266</v>
      </c>
      <c r="Q1099">
        <v>0</v>
      </c>
      <c r="R1099" t="s">
        <v>237</v>
      </c>
    </row>
    <row r="1100" spans="1:18" x14ac:dyDescent="0.25">
      <c r="A1100" t="s">
        <v>2338</v>
      </c>
      <c r="B1100">
        <v>617</v>
      </c>
      <c r="C1100" t="s">
        <v>487</v>
      </c>
      <c r="D1100" t="s">
        <v>231</v>
      </c>
      <c r="E1100" t="s">
        <v>371</v>
      </c>
      <c r="F1100" t="s">
        <v>1124</v>
      </c>
      <c r="G1100" s="25">
        <v>44225</v>
      </c>
      <c r="H1100">
        <v>6</v>
      </c>
      <c r="I1100">
        <v>29</v>
      </c>
      <c r="J1100" t="s">
        <v>231</v>
      </c>
      <c r="K1100" t="s">
        <v>505</v>
      </c>
      <c r="L1100" t="s">
        <v>41</v>
      </c>
      <c r="M1100" t="s">
        <v>234</v>
      </c>
      <c r="N1100" t="s">
        <v>40</v>
      </c>
      <c r="O1100" t="s">
        <v>21</v>
      </c>
      <c r="P1100" t="s">
        <v>266</v>
      </c>
      <c r="Q1100">
        <v>24000</v>
      </c>
      <c r="R1100" t="s">
        <v>237</v>
      </c>
    </row>
    <row r="1101" spans="1:18" x14ac:dyDescent="0.25">
      <c r="A1101" t="s">
        <v>3558</v>
      </c>
      <c r="B1101">
        <v>2268</v>
      </c>
      <c r="C1101" t="s">
        <v>487</v>
      </c>
      <c r="D1101" t="s">
        <v>247</v>
      </c>
      <c r="E1101" t="s">
        <v>261</v>
      </c>
      <c r="F1101" t="s">
        <v>3078</v>
      </c>
      <c r="G1101" s="25">
        <v>44300</v>
      </c>
      <c r="H1101">
        <v>21</v>
      </c>
      <c r="I1101">
        <v>104</v>
      </c>
      <c r="J1101" t="s">
        <v>231</v>
      </c>
      <c r="K1101" t="s">
        <v>504</v>
      </c>
      <c r="L1101" t="s">
        <v>43</v>
      </c>
      <c r="M1101" t="s">
        <v>234</v>
      </c>
      <c r="N1101" t="s">
        <v>42</v>
      </c>
      <c r="O1101" t="s">
        <v>21</v>
      </c>
      <c r="P1101" t="s">
        <v>236</v>
      </c>
      <c r="Q1101">
        <v>0</v>
      </c>
      <c r="R1101" t="s">
        <v>237</v>
      </c>
    </row>
    <row r="1102" spans="1:18" x14ac:dyDescent="0.25">
      <c r="A1102" t="s">
        <v>3559</v>
      </c>
      <c r="B1102">
        <v>1894</v>
      </c>
      <c r="C1102" t="s">
        <v>487</v>
      </c>
      <c r="D1102" t="s">
        <v>322</v>
      </c>
      <c r="E1102" t="s">
        <v>326</v>
      </c>
      <c r="F1102" t="s">
        <v>2967</v>
      </c>
      <c r="G1102" s="25">
        <v>44283</v>
      </c>
      <c r="H1102">
        <v>18</v>
      </c>
      <c r="I1102">
        <v>87</v>
      </c>
      <c r="J1102" t="s">
        <v>231</v>
      </c>
      <c r="K1102" t="s">
        <v>504</v>
      </c>
      <c r="L1102" t="s">
        <v>43</v>
      </c>
      <c r="M1102" t="s">
        <v>234</v>
      </c>
      <c r="N1102" t="s">
        <v>42</v>
      </c>
      <c r="O1102" t="s">
        <v>21</v>
      </c>
      <c r="P1102" t="s">
        <v>236</v>
      </c>
      <c r="Q1102">
        <v>0</v>
      </c>
      <c r="R1102" t="s">
        <v>237</v>
      </c>
    </row>
    <row r="1103" spans="1:18" x14ac:dyDescent="0.25">
      <c r="A1103" t="s">
        <v>1985</v>
      </c>
      <c r="B1103">
        <v>1718</v>
      </c>
      <c r="C1103" t="s">
        <v>487</v>
      </c>
      <c r="D1103" t="s">
        <v>261</v>
      </c>
      <c r="E1103" t="s">
        <v>531</v>
      </c>
      <c r="F1103" t="s">
        <v>1588</v>
      </c>
      <c r="G1103" s="25">
        <v>44275</v>
      </c>
      <c r="H1103">
        <v>16</v>
      </c>
      <c r="I1103">
        <v>79</v>
      </c>
      <c r="J1103" t="s">
        <v>231</v>
      </c>
      <c r="K1103" t="s">
        <v>504</v>
      </c>
      <c r="L1103" t="s">
        <v>43</v>
      </c>
      <c r="M1103" t="s">
        <v>234</v>
      </c>
      <c r="N1103" t="s">
        <v>42</v>
      </c>
      <c r="O1103" t="s">
        <v>21</v>
      </c>
      <c r="P1103" t="s">
        <v>236</v>
      </c>
      <c r="Q1103">
        <v>842</v>
      </c>
      <c r="R1103" t="s">
        <v>237</v>
      </c>
    </row>
    <row r="1104" spans="1:18" x14ac:dyDescent="0.25">
      <c r="A1104" t="s">
        <v>2777</v>
      </c>
      <c r="B1104">
        <v>1432</v>
      </c>
      <c r="C1104" t="s">
        <v>487</v>
      </c>
      <c r="D1104" t="s">
        <v>261</v>
      </c>
      <c r="E1104" t="s">
        <v>247</v>
      </c>
      <c r="F1104" t="s">
        <v>1425</v>
      </c>
      <c r="G1104" s="25">
        <v>44262</v>
      </c>
      <c r="H1104">
        <v>14</v>
      </c>
      <c r="I1104">
        <v>66</v>
      </c>
      <c r="J1104" t="s">
        <v>231</v>
      </c>
      <c r="K1104" t="s">
        <v>504</v>
      </c>
      <c r="L1104" t="s">
        <v>43</v>
      </c>
      <c r="M1104" t="s">
        <v>234</v>
      </c>
      <c r="N1104" t="s">
        <v>42</v>
      </c>
      <c r="O1104" t="s">
        <v>21</v>
      </c>
      <c r="P1104" t="s">
        <v>236</v>
      </c>
      <c r="Q1104">
        <v>12743</v>
      </c>
      <c r="R1104" t="s">
        <v>237</v>
      </c>
    </row>
    <row r="1105" spans="1:18" x14ac:dyDescent="0.25">
      <c r="A1105" t="s">
        <v>2830</v>
      </c>
      <c r="B1105">
        <v>1058</v>
      </c>
      <c r="C1105" t="s">
        <v>487</v>
      </c>
      <c r="D1105" t="s">
        <v>256</v>
      </c>
      <c r="E1105" t="s">
        <v>371</v>
      </c>
      <c r="F1105" t="s">
        <v>1318</v>
      </c>
      <c r="G1105" s="25">
        <v>44245</v>
      </c>
      <c r="H1105">
        <v>10</v>
      </c>
      <c r="I1105">
        <v>49</v>
      </c>
      <c r="J1105" t="s">
        <v>231</v>
      </c>
      <c r="K1105" t="s">
        <v>504</v>
      </c>
      <c r="L1105" t="s">
        <v>43</v>
      </c>
      <c r="M1105" t="s">
        <v>234</v>
      </c>
      <c r="N1105" t="s">
        <v>42</v>
      </c>
      <c r="O1105" t="s">
        <v>21</v>
      </c>
      <c r="P1105" t="s">
        <v>236</v>
      </c>
      <c r="Q1105">
        <v>0</v>
      </c>
      <c r="R1105" t="s">
        <v>237</v>
      </c>
    </row>
    <row r="1106" spans="1:18" x14ac:dyDescent="0.25">
      <c r="A1106" t="s">
        <v>1928</v>
      </c>
      <c r="B1106">
        <v>706</v>
      </c>
      <c r="C1106" t="s">
        <v>487</v>
      </c>
      <c r="D1106" t="s">
        <v>231</v>
      </c>
      <c r="E1106" t="s">
        <v>512</v>
      </c>
      <c r="F1106" t="s">
        <v>1174</v>
      </c>
      <c r="G1106" s="25">
        <v>44229</v>
      </c>
      <c r="H1106">
        <v>7</v>
      </c>
      <c r="I1106">
        <v>33</v>
      </c>
      <c r="J1106" t="s">
        <v>231</v>
      </c>
      <c r="K1106" t="s">
        <v>504</v>
      </c>
      <c r="L1106" t="s">
        <v>43</v>
      </c>
      <c r="M1106" t="s">
        <v>234</v>
      </c>
      <c r="N1106" t="s">
        <v>42</v>
      </c>
      <c r="O1106" t="s">
        <v>21</v>
      </c>
      <c r="P1106" t="s">
        <v>236</v>
      </c>
      <c r="Q1106">
        <v>24000</v>
      </c>
      <c r="R1106" t="s">
        <v>237</v>
      </c>
    </row>
    <row r="1107" spans="1:18" x14ac:dyDescent="0.25">
      <c r="A1107" t="s">
        <v>382</v>
      </c>
      <c r="B1107">
        <v>90</v>
      </c>
      <c r="C1107" t="s">
        <v>487</v>
      </c>
      <c r="D1107" t="s">
        <v>229</v>
      </c>
      <c r="E1107" t="s">
        <v>322</v>
      </c>
      <c r="F1107" t="s">
        <v>529</v>
      </c>
      <c r="G1107" s="25">
        <v>44201</v>
      </c>
      <c r="H1107">
        <v>1</v>
      </c>
      <c r="I1107">
        <v>5</v>
      </c>
      <c r="J1107" t="s">
        <v>231</v>
      </c>
      <c r="K1107" t="s">
        <v>504</v>
      </c>
      <c r="L1107" t="s">
        <v>43</v>
      </c>
      <c r="M1107" t="s">
        <v>234</v>
      </c>
      <c r="N1107" t="s">
        <v>42</v>
      </c>
      <c r="O1107" t="s">
        <v>21</v>
      </c>
      <c r="P1107" t="s">
        <v>236</v>
      </c>
      <c r="Q1107">
        <v>0</v>
      </c>
      <c r="R1107" t="s">
        <v>237</v>
      </c>
    </row>
    <row r="1108" spans="1:18" x14ac:dyDescent="0.25">
      <c r="A1108" t="s">
        <v>2661</v>
      </c>
      <c r="B1108">
        <v>1527</v>
      </c>
      <c r="C1108" t="s">
        <v>487</v>
      </c>
      <c r="D1108" t="s">
        <v>261</v>
      </c>
      <c r="E1108" t="s">
        <v>239</v>
      </c>
      <c r="F1108" t="s">
        <v>1703</v>
      </c>
      <c r="G1108" s="25">
        <v>44266</v>
      </c>
      <c r="H1108">
        <v>14</v>
      </c>
      <c r="I1108">
        <v>70</v>
      </c>
      <c r="J1108" t="s">
        <v>231</v>
      </c>
      <c r="K1108" t="s">
        <v>503</v>
      </c>
      <c r="L1108" t="s">
        <v>303</v>
      </c>
      <c r="M1108" t="s">
        <v>234</v>
      </c>
      <c r="N1108" t="s">
        <v>56</v>
      </c>
      <c r="O1108" t="s">
        <v>235</v>
      </c>
      <c r="P1108" t="s">
        <v>304</v>
      </c>
      <c r="Q1108">
        <v>0</v>
      </c>
      <c r="R1108" t="s">
        <v>237</v>
      </c>
    </row>
    <row r="1109" spans="1:18" x14ac:dyDescent="0.25">
      <c r="A1109" t="s">
        <v>1822</v>
      </c>
      <c r="B1109">
        <v>1285</v>
      </c>
      <c r="C1109" t="s">
        <v>487</v>
      </c>
      <c r="D1109" t="s">
        <v>256</v>
      </c>
      <c r="E1109" t="s">
        <v>531</v>
      </c>
      <c r="F1109" t="s">
        <v>1373</v>
      </c>
      <c r="G1109" s="25">
        <v>44255</v>
      </c>
      <c r="H1109">
        <v>12</v>
      </c>
      <c r="I1109">
        <v>59</v>
      </c>
      <c r="J1109" t="s">
        <v>231</v>
      </c>
      <c r="K1109" t="s">
        <v>503</v>
      </c>
      <c r="L1109" t="s">
        <v>303</v>
      </c>
      <c r="M1109" t="s">
        <v>234</v>
      </c>
      <c r="N1109" t="s">
        <v>56</v>
      </c>
      <c r="O1109" t="s">
        <v>235</v>
      </c>
      <c r="P1109" t="s">
        <v>304</v>
      </c>
      <c r="Q1109">
        <v>0</v>
      </c>
      <c r="R1109" t="s">
        <v>237</v>
      </c>
    </row>
    <row r="1110" spans="1:18" x14ac:dyDescent="0.25">
      <c r="A1110" t="s">
        <v>616</v>
      </c>
      <c r="B1110">
        <v>317</v>
      </c>
      <c r="C1110" t="s">
        <v>487</v>
      </c>
      <c r="D1110" t="s">
        <v>229</v>
      </c>
      <c r="E1110" t="s">
        <v>575</v>
      </c>
      <c r="F1110" t="s">
        <v>576</v>
      </c>
      <c r="G1110" s="25">
        <v>44211</v>
      </c>
      <c r="H1110">
        <v>3</v>
      </c>
      <c r="I1110">
        <v>15</v>
      </c>
      <c r="J1110" t="s">
        <v>231</v>
      </c>
      <c r="K1110" t="s">
        <v>503</v>
      </c>
      <c r="L1110" t="s">
        <v>303</v>
      </c>
      <c r="M1110" t="s">
        <v>234</v>
      </c>
      <c r="N1110" t="s">
        <v>56</v>
      </c>
      <c r="O1110" t="s">
        <v>235</v>
      </c>
      <c r="P1110" t="s">
        <v>304</v>
      </c>
      <c r="Q1110">
        <v>5000</v>
      </c>
      <c r="R1110" t="s">
        <v>237</v>
      </c>
    </row>
    <row r="1111" spans="1:18" x14ac:dyDescent="0.25">
      <c r="A1111" t="s">
        <v>3560</v>
      </c>
      <c r="B1111">
        <v>2649</v>
      </c>
      <c r="C1111" t="s">
        <v>487</v>
      </c>
      <c r="D1111" t="s">
        <v>326</v>
      </c>
      <c r="E1111" t="s">
        <v>229</v>
      </c>
      <c r="F1111" t="s">
        <v>3241</v>
      </c>
      <c r="G1111" s="25">
        <v>44317</v>
      </c>
      <c r="H1111">
        <v>25</v>
      </c>
      <c r="I1111">
        <v>121</v>
      </c>
      <c r="J1111" t="s">
        <v>231</v>
      </c>
      <c r="K1111" t="s">
        <v>503</v>
      </c>
      <c r="L1111" t="s">
        <v>303</v>
      </c>
      <c r="M1111" t="s">
        <v>234</v>
      </c>
      <c r="N1111" t="s">
        <v>56</v>
      </c>
      <c r="O1111" t="s">
        <v>235</v>
      </c>
      <c r="P1111" t="s">
        <v>304</v>
      </c>
      <c r="Q1111">
        <v>0</v>
      </c>
      <c r="R1111" t="s">
        <v>237</v>
      </c>
    </row>
    <row r="1112" spans="1:18" x14ac:dyDescent="0.25">
      <c r="A1112" t="s">
        <v>3561</v>
      </c>
      <c r="B1112">
        <v>2495</v>
      </c>
      <c r="C1112" t="s">
        <v>487</v>
      </c>
      <c r="D1112" t="s">
        <v>247</v>
      </c>
      <c r="E1112" t="s">
        <v>537</v>
      </c>
      <c r="F1112" t="s">
        <v>3153</v>
      </c>
      <c r="G1112" s="25">
        <v>44310</v>
      </c>
      <c r="H1112">
        <v>23</v>
      </c>
      <c r="I1112">
        <v>114</v>
      </c>
      <c r="J1112" t="s">
        <v>231</v>
      </c>
      <c r="K1112" t="s">
        <v>503</v>
      </c>
      <c r="L1112" t="s">
        <v>303</v>
      </c>
      <c r="M1112" t="s">
        <v>234</v>
      </c>
      <c r="N1112" t="s">
        <v>56</v>
      </c>
      <c r="O1112" t="s">
        <v>235</v>
      </c>
      <c r="P1112" t="s">
        <v>304</v>
      </c>
      <c r="Q1112">
        <v>0</v>
      </c>
      <c r="R1112" t="s">
        <v>237</v>
      </c>
    </row>
    <row r="1113" spans="1:18" x14ac:dyDescent="0.25">
      <c r="A1113" t="s">
        <v>3562</v>
      </c>
      <c r="B1113">
        <v>2231</v>
      </c>
      <c r="C1113" t="s">
        <v>487</v>
      </c>
      <c r="D1113" t="s">
        <v>247</v>
      </c>
      <c r="E1113" t="s">
        <v>231</v>
      </c>
      <c r="F1113" t="s">
        <v>3070</v>
      </c>
      <c r="G1113" s="25">
        <v>44298</v>
      </c>
      <c r="H1113">
        <v>21</v>
      </c>
      <c r="I1113">
        <v>102</v>
      </c>
      <c r="J1113" t="s">
        <v>231</v>
      </c>
      <c r="K1113" t="s">
        <v>503</v>
      </c>
      <c r="L1113" t="s">
        <v>303</v>
      </c>
      <c r="M1113" t="s">
        <v>234</v>
      </c>
      <c r="N1113" t="s">
        <v>56</v>
      </c>
      <c r="O1113" t="s">
        <v>235</v>
      </c>
      <c r="P1113" t="s">
        <v>304</v>
      </c>
      <c r="Q1113">
        <v>234</v>
      </c>
      <c r="R1113" t="s">
        <v>237</v>
      </c>
    </row>
    <row r="1114" spans="1:18" x14ac:dyDescent="0.25">
      <c r="A1114" t="s">
        <v>848</v>
      </c>
      <c r="B1114">
        <v>428</v>
      </c>
      <c r="C1114" t="s">
        <v>487</v>
      </c>
      <c r="D1114" t="s">
        <v>229</v>
      </c>
      <c r="E1114" t="s">
        <v>408</v>
      </c>
      <c r="F1114" t="s">
        <v>527</v>
      </c>
      <c r="G1114" s="25">
        <v>44216</v>
      </c>
      <c r="H1114">
        <v>4</v>
      </c>
      <c r="I1114">
        <v>20</v>
      </c>
      <c r="J1114" t="s">
        <v>231</v>
      </c>
      <c r="K1114" t="s">
        <v>502</v>
      </c>
      <c r="L1114" t="s">
        <v>287</v>
      </c>
      <c r="M1114" t="s">
        <v>234</v>
      </c>
      <c r="N1114" t="s">
        <v>58</v>
      </c>
      <c r="O1114" t="s">
        <v>235</v>
      </c>
      <c r="P1114" t="s">
        <v>288</v>
      </c>
      <c r="Q1114">
        <v>0</v>
      </c>
      <c r="R1114" t="s">
        <v>237</v>
      </c>
    </row>
    <row r="1115" spans="1:18" x14ac:dyDescent="0.25">
      <c r="A1115" t="s">
        <v>1658</v>
      </c>
      <c r="B1115">
        <v>1023</v>
      </c>
      <c r="C1115" t="s">
        <v>487</v>
      </c>
      <c r="D1115" t="s">
        <v>256</v>
      </c>
      <c r="E1115" t="s">
        <v>326</v>
      </c>
      <c r="F1115" t="s">
        <v>1305</v>
      </c>
      <c r="G1115" s="25">
        <v>44243</v>
      </c>
      <c r="H1115">
        <v>10</v>
      </c>
      <c r="I1115">
        <v>47</v>
      </c>
      <c r="J1115" t="s">
        <v>231</v>
      </c>
      <c r="K1115" t="s">
        <v>501</v>
      </c>
      <c r="L1115" t="s">
        <v>412</v>
      </c>
      <c r="M1115" t="s">
        <v>234</v>
      </c>
      <c r="N1115" t="s">
        <v>60</v>
      </c>
      <c r="O1115" t="s">
        <v>235</v>
      </c>
      <c r="P1115" t="s">
        <v>413</v>
      </c>
      <c r="Q1115">
        <v>0</v>
      </c>
      <c r="R1115" t="s">
        <v>237</v>
      </c>
    </row>
    <row r="1116" spans="1:18" x14ac:dyDescent="0.25">
      <c r="A1116" t="s">
        <v>241</v>
      </c>
      <c r="B1116">
        <v>55</v>
      </c>
      <c r="C1116" t="s">
        <v>487</v>
      </c>
      <c r="D1116" t="s">
        <v>229</v>
      </c>
      <c r="E1116" t="s">
        <v>256</v>
      </c>
      <c r="F1116" t="s">
        <v>525</v>
      </c>
      <c r="G1116" s="25">
        <v>44199</v>
      </c>
      <c r="H1116">
        <v>1</v>
      </c>
      <c r="I1116">
        <v>3</v>
      </c>
      <c r="J1116" t="s">
        <v>231</v>
      </c>
      <c r="K1116" t="s">
        <v>501</v>
      </c>
      <c r="L1116" t="s">
        <v>412</v>
      </c>
      <c r="M1116" t="s">
        <v>234</v>
      </c>
      <c r="N1116" t="s">
        <v>60</v>
      </c>
      <c r="O1116" t="s">
        <v>235</v>
      </c>
      <c r="P1116" t="s">
        <v>413</v>
      </c>
      <c r="Q1116">
        <v>0</v>
      </c>
      <c r="R1116" t="s">
        <v>237</v>
      </c>
    </row>
    <row r="1117" spans="1:18" x14ac:dyDescent="0.25">
      <c r="A1117" t="s">
        <v>3563</v>
      </c>
      <c r="B1117">
        <v>2233</v>
      </c>
      <c r="C1117" t="s">
        <v>487</v>
      </c>
      <c r="D1117" t="s">
        <v>247</v>
      </c>
      <c r="E1117" t="s">
        <v>231</v>
      </c>
      <c r="F1117" t="s">
        <v>3070</v>
      </c>
      <c r="G1117" s="25">
        <v>44298</v>
      </c>
      <c r="H1117">
        <v>21</v>
      </c>
      <c r="I1117">
        <v>102</v>
      </c>
      <c r="J1117" t="s">
        <v>231</v>
      </c>
      <c r="K1117" t="s">
        <v>501</v>
      </c>
      <c r="L1117" t="s">
        <v>412</v>
      </c>
      <c r="M1117" t="s">
        <v>234</v>
      </c>
      <c r="N1117" t="s">
        <v>60</v>
      </c>
      <c r="O1117" t="s">
        <v>235</v>
      </c>
      <c r="P1117" t="s">
        <v>413</v>
      </c>
      <c r="Q1117">
        <v>0</v>
      </c>
      <c r="R1117" t="s">
        <v>237</v>
      </c>
    </row>
    <row r="1118" spans="1:18" x14ac:dyDescent="0.25">
      <c r="A1118" t="s">
        <v>748</v>
      </c>
      <c r="B1118">
        <v>315</v>
      </c>
      <c r="C1118" t="s">
        <v>487</v>
      </c>
      <c r="D1118" t="s">
        <v>229</v>
      </c>
      <c r="E1118" t="s">
        <v>575</v>
      </c>
      <c r="F1118" t="s">
        <v>576</v>
      </c>
      <c r="G1118" s="25">
        <v>44211</v>
      </c>
      <c r="H1118">
        <v>3</v>
      </c>
      <c r="I1118">
        <v>15</v>
      </c>
      <c r="J1118" t="s">
        <v>231</v>
      </c>
      <c r="K1118" t="s">
        <v>500</v>
      </c>
      <c r="L1118" t="s">
        <v>265</v>
      </c>
      <c r="M1118" t="s">
        <v>234</v>
      </c>
      <c r="N1118" t="s">
        <v>52</v>
      </c>
      <c r="O1118" t="s">
        <v>235</v>
      </c>
      <c r="P1118" t="s">
        <v>266</v>
      </c>
      <c r="Q1118">
        <v>0</v>
      </c>
      <c r="R1118" t="s">
        <v>237</v>
      </c>
    </row>
    <row r="1119" spans="1:18" x14ac:dyDescent="0.25">
      <c r="A1119" t="s">
        <v>3564</v>
      </c>
      <c r="B1119">
        <v>2647</v>
      </c>
      <c r="C1119" t="s">
        <v>487</v>
      </c>
      <c r="D1119" t="s">
        <v>326</v>
      </c>
      <c r="E1119" t="s">
        <v>229</v>
      </c>
      <c r="F1119" t="s">
        <v>3241</v>
      </c>
      <c r="G1119" s="25">
        <v>44317</v>
      </c>
      <c r="H1119">
        <v>25</v>
      </c>
      <c r="I1119">
        <v>121</v>
      </c>
      <c r="J1119" t="s">
        <v>231</v>
      </c>
      <c r="K1119" t="s">
        <v>500</v>
      </c>
      <c r="L1119" t="s">
        <v>265</v>
      </c>
      <c r="M1119" t="s">
        <v>234</v>
      </c>
      <c r="N1119" t="s">
        <v>52</v>
      </c>
      <c r="O1119" t="s">
        <v>235</v>
      </c>
      <c r="P1119" t="s">
        <v>266</v>
      </c>
      <c r="Q1119">
        <v>0</v>
      </c>
      <c r="R1119" t="s">
        <v>237</v>
      </c>
    </row>
    <row r="1120" spans="1:18" x14ac:dyDescent="0.25">
      <c r="A1120" t="s">
        <v>2836</v>
      </c>
      <c r="B1120">
        <v>1525</v>
      </c>
      <c r="C1120" t="s">
        <v>487</v>
      </c>
      <c r="D1120" t="s">
        <v>261</v>
      </c>
      <c r="E1120" t="s">
        <v>239</v>
      </c>
      <c r="F1120" t="s">
        <v>1703</v>
      </c>
      <c r="G1120" s="25">
        <v>44266</v>
      </c>
      <c r="H1120">
        <v>14</v>
      </c>
      <c r="I1120">
        <v>70</v>
      </c>
      <c r="J1120" t="s">
        <v>231</v>
      </c>
      <c r="K1120" t="s">
        <v>500</v>
      </c>
      <c r="L1120" t="s">
        <v>265</v>
      </c>
      <c r="M1120" t="s">
        <v>234</v>
      </c>
      <c r="N1120" t="s">
        <v>52</v>
      </c>
      <c r="O1120" t="s">
        <v>235</v>
      </c>
      <c r="P1120" t="s">
        <v>266</v>
      </c>
      <c r="Q1120">
        <v>0</v>
      </c>
      <c r="R1120" t="s">
        <v>237</v>
      </c>
    </row>
    <row r="1121" spans="1:18" x14ac:dyDescent="0.25">
      <c r="A1121" t="s">
        <v>1993</v>
      </c>
      <c r="B1121">
        <v>1283</v>
      </c>
      <c r="C1121" t="s">
        <v>487</v>
      </c>
      <c r="D1121" t="s">
        <v>256</v>
      </c>
      <c r="E1121" t="s">
        <v>531</v>
      </c>
      <c r="F1121" t="s">
        <v>1373</v>
      </c>
      <c r="G1121" s="25">
        <v>44255</v>
      </c>
      <c r="H1121">
        <v>12</v>
      </c>
      <c r="I1121">
        <v>59</v>
      </c>
      <c r="J1121" t="s">
        <v>231</v>
      </c>
      <c r="K1121" t="s">
        <v>500</v>
      </c>
      <c r="L1121" t="s">
        <v>265</v>
      </c>
      <c r="M1121" t="s">
        <v>234</v>
      </c>
      <c r="N1121" t="s">
        <v>52</v>
      </c>
      <c r="O1121" t="s">
        <v>235</v>
      </c>
      <c r="P1121" t="s">
        <v>266</v>
      </c>
      <c r="Q1121">
        <v>0</v>
      </c>
      <c r="R1121" t="s">
        <v>237</v>
      </c>
    </row>
    <row r="1122" spans="1:18" x14ac:dyDescent="0.25">
      <c r="A1122" t="s">
        <v>296</v>
      </c>
      <c r="B1122">
        <v>12</v>
      </c>
      <c r="C1122" t="s">
        <v>487</v>
      </c>
      <c r="D1122" t="s">
        <v>229</v>
      </c>
      <c r="E1122" t="s">
        <v>229</v>
      </c>
      <c r="F1122" t="s">
        <v>230</v>
      </c>
      <c r="G1122" s="25">
        <v>44197</v>
      </c>
      <c r="H1122">
        <v>1</v>
      </c>
      <c r="I1122">
        <v>1</v>
      </c>
      <c r="J1122" t="s">
        <v>231</v>
      </c>
      <c r="K1122" t="s">
        <v>499</v>
      </c>
      <c r="L1122" t="s">
        <v>410</v>
      </c>
      <c r="M1122" t="s">
        <v>234</v>
      </c>
      <c r="N1122" t="s">
        <v>62</v>
      </c>
      <c r="O1122" t="s">
        <v>235</v>
      </c>
      <c r="P1122" t="s">
        <v>411</v>
      </c>
      <c r="Q1122">
        <v>0</v>
      </c>
      <c r="R1122" t="s">
        <v>237</v>
      </c>
    </row>
    <row r="1123" spans="1:18" x14ac:dyDescent="0.25">
      <c r="A1123" t="s">
        <v>2243</v>
      </c>
      <c r="B1123">
        <v>1750</v>
      </c>
      <c r="C1123" t="s">
        <v>487</v>
      </c>
      <c r="D1123" t="s">
        <v>261</v>
      </c>
      <c r="E1123" t="s">
        <v>408</v>
      </c>
      <c r="F1123" t="s">
        <v>1595</v>
      </c>
      <c r="G1123" s="25">
        <v>44276</v>
      </c>
      <c r="H1123">
        <v>16</v>
      </c>
      <c r="I1123">
        <v>80</v>
      </c>
      <c r="J1123" t="s">
        <v>231</v>
      </c>
      <c r="K1123" t="s">
        <v>499</v>
      </c>
      <c r="L1123" t="s">
        <v>410</v>
      </c>
      <c r="M1123" t="s">
        <v>234</v>
      </c>
      <c r="N1123" t="s">
        <v>62</v>
      </c>
      <c r="O1123" t="s">
        <v>235</v>
      </c>
      <c r="P1123" t="s">
        <v>411</v>
      </c>
      <c r="Q1123">
        <v>0</v>
      </c>
      <c r="R1123" t="s">
        <v>237</v>
      </c>
    </row>
    <row r="1124" spans="1:18" x14ac:dyDescent="0.25">
      <c r="A1124" t="s">
        <v>3565</v>
      </c>
      <c r="B1124">
        <v>2001</v>
      </c>
      <c r="C1124" t="s">
        <v>487</v>
      </c>
      <c r="D1124" t="s">
        <v>322</v>
      </c>
      <c r="E1124" t="s">
        <v>515</v>
      </c>
      <c r="F1124" t="s">
        <v>2983</v>
      </c>
      <c r="G1124" s="25">
        <v>44287</v>
      </c>
      <c r="H1124">
        <v>19</v>
      </c>
      <c r="I1124">
        <v>91</v>
      </c>
      <c r="J1124" t="s">
        <v>432</v>
      </c>
      <c r="K1124" t="s">
        <v>498</v>
      </c>
      <c r="L1124" t="s">
        <v>26</v>
      </c>
      <c r="M1124" t="s">
        <v>434</v>
      </c>
      <c r="N1124" t="s">
        <v>77</v>
      </c>
      <c r="O1124" t="s">
        <v>435</v>
      </c>
      <c r="P1124" t="s">
        <v>26</v>
      </c>
      <c r="Q1124">
        <v>285605</v>
      </c>
      <c r="R1124" t="s">
        <v>436</v>
      </c>
    </row>
    <row r="1125" spans="1:18" x14ac:dyDescent="0.25">
      <c r="A1125" t="s">
        <v>386</v>
      </c>
      <c r="B1125">
        <v>21</v>
      </c>
      <c r="C1125" t="s">
        <v>487</v>
      </c>
      <c r="D1125" t="s">
        <v>229</v>
      </c>
      <c r="E1125" t="s">
        <v>229</v>
      </c>
      <c r="F1125" t="s">
        <v>230</v>
      </c>
      <c r="G1125" s="25">
        <v>44197</v>
      </c>
      <c r="H1125">
        <v>1</v>
      </c>
      <c r="I1125">
        <v>1</v>
      </c>
      <c r="J1125" t="s">
        <v>432</v>
      </c>
      <c r="K1125" t="s">
        <v>498</v>
      </c>
      <c r="L1125" t="s">
        <v>26</v>
      </c>
      <c r="M1125" t="s">
        <v>434</v>
      </c>
      <c r="N1125" t="s">
        <v>77</v>
      </c>
      <c r="O1125" t="s">
        <v>435</v>
      </c>
      <c r="P1125" t="s">
        <v>26</v>
      </c>
      <c r="Q1125">
        <v>0</v>
      </c>
      <c r="R1125" t="s">
        <v>436</v>
      </c>
    </row>
    <row r="1126" spans="1:18" x14ac:dyDescent="0.25">
      <c r="A1126" t="s">
        <v>271</v>
      </c>
      <c r="B1126">
        <v>19</v>
      </c>
      <c r="C1126" t="s">
        <v>487</v>
      </c>
      <c r="D1126" t="s">
        <v>229</v>
      </c>
      <c r="E1126" t="s">
        <v>229</v>
      </c>
      <c r="F1126" t="s">
        <v>230</v>
      </c>
      <c r="G1126" s="25">
        <v>44197</v>
      </c>
      <c r="H1126">
        <v>1</v>
      </c>
      <c r="I1126">
        <v>1</v>
      </c>
      <c r="J1126" t="s">
        <v>432</v>
      </c>
      <c r="K1126" t="s">
        <v>497</v>
      </c>
      <c r="L1126" t="s">
        <v>438</v>
      </c>
      <c r="M1126" t="s">
        <v>434</v>
      </c>
      <c r="N1126" t="s">
        <v>75</v>
      </c>
      <c r="O1126" t="s">
        <v>435</v>
      </c>
      <c r="P1126" t="s">
        <v>438</v>
      </c>
      <c r="Q1126">
        <v>0</v>
      </c>
      <c r="R1126" t="s">
        <v>436</v>
      </c>
    </row>
    <row r="1127" spans="1:18" x14ac:dyDescent="0.25">
      <c r="A1127" t="s">
        <v>1742</v>
      </c>
      <c r="B1127">
        <v>1757</v>
      </c>
      <c r="C1127" t="s">
        <v>487</v>
      </c>
      <c r="D1127" t="s">
        <v>261</v>
      </c>
      <c r="E1127" t="s">
        <v>408</v>
      </c>
      <c r="F1127" t="s">
        <v>1595</v>
      </c>
      <c r="G1127" s="25">
        <v>44276</v>
      </c>
      <c r="H1127">
        <v>16</v>
      </c>
      <c r="I1127">
        <v>80</v>
      </c>
      <c r="J1127" t="s">
        <v>432</v>
      </c>
      <c r="K1127" t="s">
        <v>497</v>
      </c>
      <c r="L1127" t="s">
        <v>438</v>
      </c>
      <c r="M1127" t="s">
        <v>434</v>
      </c>
      <c r="N1127" t="s">
        <v>75</v>
      </c>
      <c r="O1127" t="s">
        <v>435</v>
      </c>
      <c r="P1127" t="s">
        <v>438</v>
      </c>
      <c r="Q1127">
        <v>25800</v>
      </c>
      <c r="R1127" t="s">
        <v>436</v>
      </c>
    </row>
    <row r="1128" spans="1:18" x14ac:dyDescent="0.25">
      <c r="A1128" t="s">
        <v>2252</v>
      </c>
      <c r="B1128">
        <v>917</v>
      </c>
      <c r="C1128" t="s">
        <v>487</v>
      </c>
      <c r="D1128" t="s">
        <v>256</v>
      </c>
      <c r="E1128" t="s">
        <v>231</v>
      </c>
      <c r="F1128" t="s">
        <v>1249</v>
      </c>
      <c r="G1128" s="25">
        <v>44238</v>
      </c>
      <c r="H1128">
        <v>9</v>
      </c>
      <c r="I1128">
        <v>42</v>
      </c>
      <c r="J1128" t="s">
        <v>432</v>
      </c>
      <c r="K1128" t="s">
        <v>496</v>
      </c>
      <c r="L1128" t="s">
        <v>69</v>
      </c>
      <c r="M1128" t="s">
        <v>434</v>
      </c>
      <c r="N1128" t="s">
        <v>68</v>
      </c>
      <c r="O1128" t="s">
        <v>21</v>
      </c>
      <c r="P1128" t="s">
        <v>439</v>
      </c>
      <c r="Q1128">
        <v>100000</v>
      </c>
      <c r="R1128" t="s">
        <v>237</v>
      </c>
    </row>
    <row r="1129" spans="1:18" x14ac:dyDescent="0.25">
      <c r="A1129" t="s">
        <v>2527</v>
      </c>
      <c r="B1129">
        <v>1709</v>
      </c>
      <c r="C1129" t="s">
        <v>487</v>
      </c>
      <c r="D1129" t="s">
        <v>261</v>
      </c>
      <c r="E1129" t="s">
        <v>552</v>
      </c>
      <c r="F1129" t="s">
        <v>1585</v>
      </c>
      <c r="G1129" s="25">
        <v>44274</v>
      </c>
      <c r="H1129">
        <v>16</v>
      </c>
      <c r="I1129">
        <v>78</v>
      </c>
      <c r="J1129" t="s">
        <v>432</v>
      </c>
      <c r="K1129" t="s">
        <v>496</v>
      </c>
      <c r="L1129" t="s">
        <v>69</v>
      </c>
      <c r="M1129" t="s">
        <v>434</v>
      </c>
      <c r="N1129" t="s">
        <v>68</v>
      </c>
      <c r="O1129" t="s">
        <v>21</v>
      </c>
      <c r="P1129" t="s">
        <v>439</v>
      </c>
      <c r="Q1129">
        <v>20250</v>
      </c>
      <c r="R1129" t="s">
        <v>237</v>
      </c>
    </row>
    <row r="1130" spans="1:18" x14ac:dyDescent="0.25">
      <c r="A1130" t="s">
        <v>1749</v>
      </c>
      <c r="B1130">
        <v>544</v>
      </c>
      <c r="C1130" t="s">
        <v>487</v>
      </c>
      <c r="D1130" t="s">
        <v>231</v>
      </c>
      <c r="E1130" t="s">
        <v>322</v>
      </c>
      <c r="F1130" t="s">
        <v>1085</v>
      </c>
      <c r="G1130" s="25">
        <v>44221</v>
      </c>
      <c r="H1130">
        <v>5</v>
      </c>
      <c r="I1130">
        <v>25</v>
      </c>
      <c r="J1130" t="s">
        <v>432</v>
      </c>
      <c r="K1130" t="s">
        <v>495</v>
      </c>
      <c r="L1130" t="s">
        <v>135</v>
      </c>
      <c r="M1130" t="s">
        <v>434</v>
      </c>
      <c r="N1130" t="s">
        <v>70</v>
      </c>
      <c r="O1130" t="s">
        <v>21</v>
      </c>
      <c r="P1130" t="s">
        <v>440</v>
      </c>
      <c r="Q1130">
        <v>64000</v>
      </c>
      <c r="R1130" t="s">
        <v>237</v>
      </c>
    </row>
    <row r="1131" spans="1:18" x14ac:dyDescent="0.25">
      <c r="A1131" t="s">
        <v>3566</v>
      </c>
      <c r="B1131">
        <v>2088</v>
      </c>
      <c r="C1131" t="s">
        <v>487</v>
      </c>
      <c r="D1131" t="s">
        <v>322</v>
      </c>
      <c r="E1131" t="s">
        <v>575</v>
      </c>
      <c r="F1131" t="s">
        <v>3014</v>
      </c>
      <c r="G1131" s="25">
        <v>44291</v>
      </c>
      <c r="H1131">
        <v>19</v>
      </c>
      <c r="I1131">
        <v>95</v>
      </c>
      <c r="J1131" t="s">
        <v>432</v>
      </c>
      <c r="K1131" t="s">
        <v>494</v>
      </c>
      <c r="L1131" t="s">
        <v>25</v>
      </c>
      <c r="M1131" t="s">
        <v>434</v>
      </c>
      <c r="N1131" t="s">
        <v>76</v>
      </c>
      <c r="O1131" t="s">
        <v>435</v>
      </c>
      <c r="P1131" t="s">
        <v>25</v>
      </c>
      <c r="Q1131">
        <v>51750</v>
      </c>
      <c r="R1131" t="s">
        <v>436</v>
      </c>
    </row>
    <row r="1132" spans="1:18" x14ac:dyDescent="0.25">
      <c r="A1132" t="s">
        <v>2191</v>
      </c>
      <c r="B1132">
        <v>1450</v>
      </c>
      <c r="C1132" t="s">
        <v>487</v>
      </c>
      <c r="D1132" t="s">
        <v>261</v>
      </c>
      <c r="E1132" t="s">
        <v>247</v>
      </c>
      <c r="F1132" t="s">
        <v>1425</v>
      </c>
      <c r="G1132" s="25">
        <v>44262</v>
      </c>
      <c r="H1132">
        <v>14</v>
      </c>
      <c r="I1132">
        <v>66</v>
      </c>
      <c r="J1132" t="s">
        <v>432</v>
      </c>
      <c r="K1132" t="s">
        <v>494</v>
      </c>
      <c r="L1132" t="s">
        <v>25</v>
      </c>
      <c r="M1132" t="s">
        <v>434</v>
      </c>
      <c r="N1132" t="s">
        <v>76</v>
      </c>
      <c r="O1132" t="s">
        <v>435</v>
      </c>
      <c r="P1132" t="s">
        <v>25</v>
      </c>
      <c r="Q1132">
        <v>38100</v>
      </c>
      <c r="R1132" t="s">
        <v>436</v>
      </c>
    </row>
    <row r="1133" spans="1:18" x14ac:dyDescent="0.25">
      <c r="A1133" t="s">
        <v>2687</v>
      </c>
      <c r="B1133">
        <v>922</v>
      </c>
      <c r="C1133" t="s">
        <v>487</v>
      </c>
      <c r="D1133" t="s">
        <v>256</v>
      </c>
      <c r="E1133" t="s">
        <v>231</v>
      </c>
      <c r="F1133" t="s">
        <v>1249</v>
      </c>
      <c r="G1133" s="25">
        <v>44238</v>
      </c>
      <c r="H1133">
        <v>9</v>
      </c>
      <c r="I1133">
        <v>42</v>
      </c>
      <c r="J1133" t="s">
        <v>432</v>
      </c>
      <c r="K1133" t="s">
        <v>494</v>
      </c>
      <c r="L1133" t="s">
        <v>25</v>
      </c>
      <c r="M1133" t="s">
        <v>434</v>
      </c>
      <c r="N1133" t="s">
        <v>76</v>
      </c>
      <c r="O1133" t="s">
        <v>435</v>
      </c>
      <c r="P1133" t="s">
        <v>25</v>
      </c>
      <c r="Q1133">
        <v>21600</v>
      </c>
      <c r="R1133" t="s">
        <v>436</v>
      </c>
    </row>
    <row r="1134" spans="1:18" x14ac:dyDescent="0.25">
      <c r="A1134" t="s">
        <v>2805</v>
      </c>
      <c r="B1134">
        <v>1738</v>
      </c>
      <c r="C1134" t="s">
        <v>487</v>
      </c>
      <c r="D1134" t="s">
        <v>261</v>
      </c>
      <c r="E1134" t="s">
        <v>531</v>
      </c>
      <c r="F1134" t="s">
        <v>1588</v>
      </c>
      <c r="G1134" s="25">
        <v>44275</v>
      </c>
      <c r="H1134">
        <v>16</v>
      </c>
      <c r="I1134">
        <v>79</v>
      </c>
      <c r="J1134" t="s">
        <v>432</v>
      </c>
      <c r="K1134" t="s">
        <v>493</v>
      </c>
      <c r="L1134" t="s">
        <v>441</v>
      </c>
      <c r="M1134" t="s">
        <v>434</v>
      </c>
      <c r="N1134" t="s">
        <v>78</v>
      </c>
      <c r="O1134" t="s">
        <v>435</v>
      </c>
      <c r="P1134" t="s">
        <v>441</v>
      </c>
      <c r="Q1134">
        <v>103600</v>
      </c>
      <c r="R1134" t="s">
        <v>436</v>
      </c>
    </row>
    <row r="1135" spans="1:18" x14ac:dyDescent="0.25">
      <c r="A1135" t="s">
        <v>2262</v>
      </c>
      <c r="B1135">
        <v>1540</v>
      </c>
      <c r="C1135" t="s">
        <v>487</v>
      </c>
      <c r="D1135" t="s">
        <v>261</v>
      </c>
      <c r="E1135" t="s">
        <v>239</v>
      </c>
      <c r="F1135" t="s">
        <v>1703</v>
      </c>
      <c r="G1135" s="25">
        <v>44266</v>
      </c>
      <c r="H1135">
        <v>14</v>
      </c>
      <c r="I1135">
        <v>70</v>
      </c>
      <c r="J1135" t="s">
        <v>432</v>
      </c>
      <c r="K1135" t="s">
        <v>493</v>
      </c>
      <c r="L1135" t="s">
        <v>441</v>
      </c>
      <c r="M1135" t="s">
        <v>434</v>
      </c>
      <c r="N1135" t="s">
        <v>78</v>
      </c>
      <c r="O1135" t="s">
        <v>435</v>
      </c>
      <c r="P1135" t="s">
        <v>441</v>
      </c>
      <c r="Q1135">
        <v>146431.25</v>
      </c>
      <c r="R1135" t="s">
        <v>436</v>
      </c>
    </row>
    <row r="1136" spans="1:18" x14ac:dyDescent="0.25">
      <c r="A1136" t="s">
        <v>2630</v>
      </c>
      <c r="B1136">
        <v>880</v>
      </c>
      <c r="C1136" t="s">
        <v>487</v>
      </c>
      <c r="D1136" t="s">
        <v>231</v>
      </c>
      <c r="E1136" t="s">
        <v>408</v>
      </c>
      <c r="F1136" t="s">
        <v>1234</v>
      </c>
      <c r="G1136" s="25">
        <v>44236</v>
      </c>
      <c r="H1136">
        <v>8</v>
      </c>
      <c r="I1136">
        <v>40</v>
      </c>
      <c r="J1136" t="s">
        <v>432</v>
      </c>
      <c r="K1136" t="s">
        <v>493</v>
      </c>
      <c r="L1136" t="s">
        <v>441</v>
      </c>
      <c r="M1136" t="s">
        <v>434</v>
      </c>
      <c r="N1136" t="s">
        <v>78</v>
      </c>
      <c r="O1136" t="s">
        <v>435</v>
      </c>
      <c r="P1136" t="s">
        <v>441</v>
      </c>
      <c r="Q1136">
        <v>110403.125</v>
      </c>
      <c r="R1136" t="s">
        <v>436</v>
      </c>
    </row>
    <row r="1137" spans="1:18" x14ac:dyDescent="0.25">
      <c r="A1137" t="s">
        <v>3567</v>
      </c>
      <c r="B1137">
        <v>2640</v>
      </c>
      <c r="C1137" t="s">
        <v>487</v>
      </c>
      <c r="D1137" t="s">
        <v>247</v>
      </c>
      <c r="E1137" t="s">
        <v>408</v>
      </c>
      <c r="F1137" t="s">
        <v>3178</v>
      </c>
      <c r="G1137" s="25">
        <v>44316</v>
      </c>
      <c r="H1137">
        <v>24</v>
      </c>
      <c r="I1137">
        <v>120</v>
      </c>
      <c r="J1137" t="s">
        <v>432</v>
      </c>
      <c r="K1137" t="s">
        <v>493</v>
      </c>
      <c r="L1137" t="s">
        <v>441</v>
      </c>
      <c r="M1137" t="s">
        <v>434</v>
      </c>
      <c r="N1137" t="s">
        <v>78</v>
      </c>
      <c r="O1137" t="s">
        <v>435</v>
      </c>
      <c r="P1137" t="s">
        <v>441</v>
      </c>
      <c r="Q1137">
        <v>119420.625</v>
      </c>
      <c r="R1137" t="s">
        <v>436</v>
      </c>
    </row>
    <row r="1138" spans="1:18" x14ac:dyDescent="0.25">
      <c r="A1138" t="s">
        <v>356</v>
      </c>
      <c r="B1138">
        <v>17</v>
      </c>
      <c r="C1138" t="s">
        <v>487</v>
      </c>
      <c r="D1138" t="s">
        <v>229</v>
      </c>
      <c r="E1138" t="s">
        <v>229</v>
      </c>
      <c r="F1138" t="s">
        <v>230</v>
      </c>
      <c r="G1138" s="25">
        <v>44197</v>
      </c>
      <c r="H1138">
        <v>1</v>
      </c>
      <c r="I1138">
        <v>1</v>
      </c>
      <c r="J1138" t="s">
        <v>432</v>
      </c>
      <c r="K1138" t="s">
        <v>492</v>
      </c>
      <c r="L1138" t="s">
        <v>24</v>
      </c>
      <c r="M1138" t="s">
        <v>434</v>
      </c>
      <c r="N1138" t="s">
        <v>71</v>
      </c>
      <c r="O1138" t="s">
        <v>435</v>
      </c>
      <c r="P1138" t="s">
        <v>24</v>
      </c>
      <c r="Q1138">
        <v>0</v>
      </c>
      <c r="R1138" t="s">
        <v>436</v>
      </c>
    </row>
    <row r="1139" spans="1:18" x14ac:dyDescent="0.25">
      <c r="A1139" t="s">
        <v>2144</v>
      </c>
      <c r="B1139">
        <v>998</v>
      </c>
      <c r="C1139" t="s">
        <v>487</v>
      </c>
      <c r="D1139" t="s">
        <v>256</v>
      </c>
      <c r="E1139" t="s">
        <v>247</v>
      </c>
      <c r="F1139" t="s">
        <v>1299</v>
      </c>
      <c r="G1139" s="25">
        <v>44242</v>
      </c>
      <c r="H1139">
        <v>10</v>
      </c>
      <c r="I1139">
        <v>46</v>
      </c>
      <c r="J1139" t="s">
        <v>231</v>
      </c>
      <c r="K1139" t="s">
        <v>491</v>
      </c>
      <c r="L1139" t="s">
        <v>233</v>
      </c>
      <c r="M1139" t="s">
        <v>234</v>
      </c>
      <c r="N1139" t="s">
        <v>54</v>
      </c>
      <c r="O1139" t="s">
        <v>235</v>
      </c>
      <c r="P1139" t="s">
        <v>236</v>
      </c>
      <c r="Q1139">
        <v>0</v>
      </c>
      <c r="R1139" t="s">
        <v>237</v>
      </c>
    </row>
    <row r="1140" spans="1:18" x14ac:dyDescent="0.25">
      <c r="A1140" t="s">
        <v>284</v>
      </c>
      <c r="B1140">
        <v>30</v>
      </c>
      <c r="C1140" t="s">
        <v>487</v>
      </c>
      <c r="D1140" t="s">
        <v>229</v>
      </c>
      <c r="E1140" t="s">
        <v>231</v>
      </c>
      <c r="F1140" t="s">
        <v>568</v>
      </c>
      <c r="G1140" s="25">
        <v>44198</v>
      </c>
      <c r="H1140">
        <v>1</v>
      </c>
      <c r="I1140">
        <v>2</v>
      </c>
      <c r="J1140" t="s">
        <v>231</v>
      </c>
      <c r="K1140" t="s">
        <v>491</v>
      </c>
      <c r="L1140" t="s">
        <v>233</v>
      </c>
      <c r="M1140" t="s">
        <v>234</v>
      </c>
      <c r="N1140" t="s">
        <v>54</v>
      </c>
      <c r="O1140" t="s">
        <v>235</v>
      </c>
      <c r="P1140" t="s">
        <v>236</v>
      </c>
      <c r="Q1140">
        <v>0</v>
      </c>
      <c r="R1140" t="s">
        <v>237</v>
      </c>
    </row>
    <row r="1141" spans="1:18" x14ac:dyDescent="0.25">
      <c r="A1141" t="s">
        <v>3568</v>
      </c>
      <c r="B1141">
        <v>1856</v>
      </c>
      <c r="C1141" t="s">
        <v>487</v>
      </c>
      <c r="D1141" t="s">
        <v>322</v>
      </c>
      <c r="E1141" t="s">
        <v>322</v>
      </c>
      <c r="F1141" t="s">
        <v>2960</v>
      </c>
      <c r="G1141" s="25">
        <v>44281</v>
      </c>
      <c r="H1141">
        <v>17</v>
      </c>
      <c r="I1141">
        <v>85</v>
      </c>
      <c r="J1141" t="s">
        <v>231</v>
      </c>
      <c r="K1141" t="s">
        <v>491</v>
      </c>
      <c r="L1141" t="s">
        <v>233</v>
      </c>
      <c r="M1141" t="s">
        <v>234</v>
      </c>
      <c r="N1141" t="s">
        <v>54</v>
      </c>
      <c r="O1141" t="s">
        <v>235</v>
      </c>
      <c r="P1141" t="s">
        <v>236</v>
      </c>
      <c r="Q1141">
        <v>3746</v>
      </c>
      <c r="R1141" t="s">
        <v>237</v>
      </c>
    </row>
    <row r="1142" spans="1:18" x14ac:dyDescent="0.25">
      <c r="A1142" t="s">
        <v>3569</v>
      </c>
      <c r="B1142">
        <v>2477</v>
      </c>
      <c r="C1142" t="s">
        <v>487</v>
      </c>
      <c r="D1142" t="s">
        <v>247</v>
      </c>
      <c r="E1142" t="s">
        <v>512</v>
      </c>
      <c r="F1142" t="s">
        <v>3146</v>
      </c>
      <c r="G1142" s="25">
        <v>44309</v>
      </c>
      <c r="H1142">
        <v>23</v>
      </c>
      <c r="I1142">
        <v>113</v>
      </c>
      <c r="J1142" t="s">
        <v>432</v>
      </c>
      <c r="K1142" t="s">
        <v>490</v>
      </c>
      <c r="L1142" t="s">
        <v>65</v>
      </c>
      <c r="M1142" t="s">
        <v>434</v>
      </c>
      <c r="N1142" t="s">
        <v>64</v>
      </c>
      <c r="O1142" t="s">
        <v>235</v>
      </c>
      <c r="P1142" t="s">
        <v>442</v>
      </c>
      <c r="Q1142">
        <v>294875</v>
      </c>
      <c r="R1142" t="s">
        <v>237</v>
      </c>
    </row>
    <row r="1143" spans="1:18" x14ac:dyDescent="0.25">
      <c r="A1143" t="s">
        <v>3570</v>
      </c>
      <c r="B1143">
        <v>2213</v>
      </c>
      <c r="C1143" t="s">
        <v>487</v>
      </c>
      <c r="D1143" t="s">
        <v>247</v>
      </c>
      <c r="E1143" t="s">
        <v>229</v>
      </c>
      <c r="F1143" t="s">
        <v>3063</v>
      </c>
      <c r="G1143" s="25">
        <v>44297</v>
      </c>
      <c r="H1143">
        <v>21</v>
      </c>
      <c r="I1143">
        <v>101</v>
      </c>
      <c r="J1143" t="s">
        <v>432</v>
      </c>
      <c r="K1143" t="s">
        <v>490</v>
      </c>
      <c r="L1143" t="s">
        <v>65</v>
      </c>
      <c r="M1143" t="s">
        <v>434</v>
      </c>
      <c r="N1143" t="s">
        <v>64</v>
      </c>
      <c r="O1143" t="s">
        <v>235</v>
      </c>
      <c r="P1143" t="s">
        <v>442</v>
      </c>
      <c r="Q1143">
        <v>382625</v>
      </c>
      <c r="R1143" t="s">
        <v>237</v>
      </c>
    </row>
    <row r="1144" spans="1:18" x14ac:dyDescent="0.25">
      <c r="A1144" t="s">
        <v>3571</v>
      </c>
      <c r="B1144">
        <v>2169</v>
      </c>
      <c r="C1144" t="s">
        <v>487</v>
      </c>
      <c r="D1144" t="s">
        <v>322</v>
      </c>
      <c r="E1144" t="s">
        <v>531</v>
      </c>
      <c r="F1144" t="s">
        <v>3056</v>
      </c>
      <c r="G1144" s="25">
        <v>44295</v>
      </c>
      <c r="H1144">
        <v>20</v>
      </c>
      <c r="I1144">
        <v>99</v>
      </c>
      <c r="J1144" t="s">
        <v>432</v>
      </c>
      <c r="K1144" t="s">
        <v>490</v>
      </c>
      <c r="L1144" t="s">
        <v>65</v>
      </c>
      <c r="M1144" t="s">
        <v>434</v>
      </c>
      <c r="N1144" t="s">
        <v>64</v>
      </c>
      <c r="O1144" t="s">
        <v>235</v>
      </c>
      <c r="P1144" t="s">
        <v>442</v>
      </c>
      <c r="Q1144">
        <v>422875</v>
      </c>
      <c r="R1144" t="s">
        <v>237</v>
      </c>
    </row>
    <row r="1145" spans="1:18" x14ac:dyDescent="0.25">
      <c r="A1145" t="s">
        <v>3572</v>
      </c>
      <c r="B1145">
        <v>1971</v>
      </c>
      <c r="C1145" t="s">
        <v>487</v>
      </c>
      <c r="D1145" t="s">
        <v>322</v>
      </c>
      <c r="E1145" t="s">
        <v>239</v>
      </c>
      <c r="F1145" t="s">
        <v>2979</v>
      </c>
      <c r="G1145" s="25">
        <v>44286</v>
      </c>
      <c r="H1145">
        <v>18</v>
      </c>
      <c r="I1145">
        <v>90</v>
      </c>
      <c r="J1145" t="s">
        <v>432</v>
      </c>
      <c r="K1145" t="s">
        <v>490</v>
      </c>
      <c r="L1145" t="s">
        <v>65</v>
      </c>
      <c r="M1145" t="s">
        <v>434</v>
      </c>
      <c r="N1145" t="s">
        <v>64</v>
      </c>
      <c r="O1145" t="s">
        <v>235</v>
      </c>
      <c r="P1145" t="s">
        <v>442</v>
      </c>
      <c r="Q1145">
        <v>499500</v>
      </c>
      <c r="R1145" t="s">
        <v>237</v>
      </c>
    </row>
    <row r="1146" spans="1:18" x14ac:dyDescent="0.25">
      <c r="A1146" t="s">
        <v>2425</v>
      </c>
      <c r="B1146">
        <v>1311</v>
      </c>
      <c r="C1146" t="s">
        <v>487</v>
      </c>
      <c r="D1146" t="s">
        <v>256</v>
      </c>
      <c r="E1146" t="s">
        <v>408</v>
      </c>
      <c r="F1146" t="s">
        <v>1383</v>
      </c>
      <c r="G1146" s="25">
        <v>44256</v>
      </c>
      <c r="H1146">
        <v>12</v>
      </c>
      <c r="I1146">
        <v>60</v>
      </c>
      <c r="J1146" t="s">
        <v>432</v>
      </c>
      <c r="K1146" t="s">
        <v>490</v>
      </c>
      <c r="L1146" t="s">
        <v>65</v>
      </c>
      <c r="M1146" t="s">
        <v>434</v>
      </c>
      <c r="N1146" t="s">
        <v>64</v>
      </c>
      <c r="O1146" t="s">
        <v>235</v>
      </c>
      <c r="P1146" t="s">
        <v>442</v>
      </c>
      <c r="Q1146">
        <v>344000</v>
      </c>
      <c r="R1146" t="s">
        <v>237</v>
      </c>
    </row>
    <row r="1147" spans="1:18" x14ac:dyDescent="0.25">
      <c r="A1147" t="s">
        <v>3573</v>
      </c>
      <c r="B1147">
        <v>2027</v>
      </c>
      <c r="C1147" t="s">
        <v>487</v>
      </c>
      <c r="D1147" t="s">
        <v>322</v>
      </c>
      <c r="E1147" t="s">
        <v>512</v>
      </c>
      <c r="F1147" t="s">
        <v>2991</v>
      </c>
      <c r="G1147" s="25">
        <v>44289</v>
      </c>
      <c r="H1147">
        <v>19</v>
      </c>
      <c r="I1147">
        <v>93</v>
      </c>
      <c r="J1147" t="s">
        <v>231</v>
      </c>
      <c r="K1147" t="s">
        <v>509</v>
      </c>
      <c r="L1147" t="s">
        <v>45</v>
      </c>
      <c r="M1147" t="s">
        <v>234</v>
      </c>
      <c r="N1147" t="s">
        <v>44</v>
      </c>
      <c r="O1147" t="s">
        <v>21</v>
      </c>
      <c r="P1147" t="s">
        <v>304</v>
      </c>
      <c r="Q1147">
        <v>0</v>
      </c>
      <c r="R1147" t="s">
        <v>237</v>
      </c>
    </row>
    <row r="1148" spans="1:18" x14ac:dyDescent="0.25">
      <c r="A1148" t="s">
        <v>2764</v>
      </c>
      <c r="B1148">
        <v>1125</v>
      </c>
      <c r="C1148" t="s">
        <v>487</v>
      </c>
      <c r="D1148" t="s">
        <v>256</v>
      </c>
      <c r="E1148" t="s">
        <v>232</v>
      </c>
      <c r="F1148" t="s">
        <v>1337</v>
      </c>
      <c r="G1148" s="25">
        <v>44248</v>
      </c>
      <c r="H1148">
        <v>11</v>
      </c>
      <c r="I1148">
        <v>52</v>
      </c>
      <c r="J1148" t="s">
        <v>231</v>
      </c>
      <c r="K1148" t="s">
        <v>509</v>
      </c>
      <c r="L1148" t="s">
        <v>45</v>
      </c>
      <c r="M1148" t="s">
        <v>234</v>
      </c>
      <c r="N1148" t="s">
        <v>44</v>
      </c>
      <c r="O1148" t="s">
        <v>21</v>
      </c>
      <c r="P1148" t="s">
        <v>304</v>
      </c>
      <c r="Q1148">
        <v>0</v>
      </c>
      <c r="R1148" t="s">
        <v>237</v>
      </c>
    </row>
    <row r="1149" spans="1:18" x14ac:dyDescent="0.25">
      <c r="A1149" t="s">
        <v>2277</v>
      </c>
      <c r="B1149">
        <v>817</v>
      </c>
      <c r="C1149" t="s">
        <v>487</v>
      </c>
      <c r="D1149" t="s">
        <v>231</v>
      </c>
      <c r="E1149" t="s">
        <v>552</v>
      </c>
      <c r="F1149" t="s">
        <v>1222</v>
      </c>
      <c r="G1149" s="25">
        <v>44234</v>
      </c>
      <c r="H1149">
        <v>8</v>
      </c>
      <c r="I1149">
        <v>38</v>
      </c>
      <c r="J1149" t="s">
        <v>231</v>
      </c>
      <c r="K1149" t="s">
        <v>509</v>
      </c>
      <c r="L1149" t="s">
        <v>45</v>
      </c>
      <c r="M1149" t="s">
        <v>234</v>
      </c>
      <c r="N1149" t="s">
        <v>44</v>
      </c>
      <c r="O1149" t="s">
        <v>21</v>
      </c>
      <c r="P1149" t="s">
        <v>304</v>
      </c>
      <c r="Q1149">
        <v>60860</v>
      </c>
      <c r="R1149" t="s">
        <v>237</v>
      </c>
    </row>
    <row r="1150" spans="1:18" x14ac:dyDescent="0.25">
      <c r="A1150" t="s">
        <v>1913</v>
      </c>
      <c r="B1150">
        <v>509</v>
      </c>
      <c r="C1150" t="s">
        <v>487</v>
      </c>
      <c r="D1150" t="s">
        <v>231</v>
      </c>
      <c r="E1150" t="s">
        <v>261</v>
      </c>
      <c r="F1150" t="s">
        <v>1065</v>
      </c>
      <c r="G1150" s="25">
        <v>44220</v>
      </c>
      <c r="H1150">
        <v>5</v>
      </c>
      <c r="I1150">
        <v>24</v>
      </c>
      <c r="J1150" t="s">
        <v>231</v>
      </c>
      <c r="K1150" t="s">
        <v>509</v>
      </c>
      <c r="L1150" t="s">
        <v>45</v>
      </c>
      <c r="M1150" t="s">
        <v>234</v>
      </c>
      <c r="N1150" t="s">
        <v>44</v>
      </c>
      <c r="O1150" t="s">
        <v>21</v>
      </c>
      <c r="P1150" t="s">
        <v>304</v>
      </c>
      <c r="Q1150">
        <v>0</v>
      </c>
      <c r="R1150" t="s">
        <v>237</v>
      </c>
    </row>
    <row r="1151" spans="1:18" x14ac:dyDescent="0.25">
      <c r="A1151" t="s">
        <v>332</v>
      </c>
      <c r="B1151">
        <v>26</v>
      </c>
      <c r="C1151" t="s">
        <v>487</v>
      </c>
      <c r="D1151" t="s">
        <v>229</v>
      </c>
      <c r="E1151" t="s">
        <v>231</v>
      </c>
      <c r="F1151" t="s">
        <v>568</v>
      </c>
      <c r="G1151" s="25">
        <v>44198</v>
      </c>
      <c r="H1151">
        <v>1</v>
      </c>
      <c r="I1151">
        <v>2</v>
      </c>
      <c r="J1151" t="s">
        <v>231</v>
      </c>
      <c r="K1151" t="s">
        <v>508</v>
      </c>
      <c r="L1151" t="s">
        <v>47</v>
      </c>
      <c r="M1151" t="s">
        <v>234</v>
      </c>
      <c r="N1151" t="s">
        <v>46</v>
      </c>
      <c r="O1151" t="s">
        <v>21</v>
      </c>
      <c r="P1151" t="s">
        <v>288</v>
      </c>
      <c r="Q1151">
        <v>0</v>
      </c>
      <c r="R1151" t="s">
        <v>237</v>
      </c>
    </row>
    <row r="1152" spans="1:18" x14ac:dyDescent="0.25">
      <c r="A1152" t="s">
        <v>3574</v>
      </c>
      <c r="B1152">
        <v>2468</v>
      </c>
      <c r="C1152" t="s">
        <v>487</v>
      </c>
      <c r="D1152" t="s">
        <v>247</v>
      </c>
      <c r="E1152" t="s">
        <v>512</v>
      </c>
      <c r="F1152" t="s">
        <v>3146</v>
      </c>
      <c r="G1152" s="25">
        <v>44309</v>
      </c>
      <c r="H1152">
        <v>23</v>
      </c>
      <c r="I1152">
        <v>113</v>
      </c>
      <c r="J1152" t="s">
        <v>231</v>
      </c>
      <c r="K1152" t="s">
        <v>508</v>
      </c>
      <c r="L1152" t="s">
        <v>47</v>
      </c>
      <c r="M1152" t="s">
        <v>234</v>
      </c>
      <c r="N1152" t="s">
        <v>46</v>
      </c>
      <c r="O1152" t="s">
        <v>21</v>
      </c>
      <c r="P1152" t="s">
        <v>288</v>
      </c>
      <c r="Q1152">
        <v>22742</v>
      </c>
      <c r="R1152" t="s">
        <v>237</v>
      </c>
    </row>
    <row r="1153" spans="1:18" x14ac:dyDescent="0.25">
      <c r="A1153" t="s">
        <v>3575</v>
      </c>
      <c r="B1153">
        <v>2204</v>
      </c>
      <c r="C1153" t="s">
        <v>487</v>
      </c>
      <c r="D1153" t="s">
        <v>247</v>
      </c>
      <c r="E1153" t="s">
        <v>229</v>
      </c>
      <c r="F1153" t="s">
        <v>3063</v>
      </c>
      <c r="G1153" s="25">
        <v>44297</v>
      </c>
      <c r="H1153">
        <v>21</v>
      </c>
      <c r="I1153">
        <v>101</v>
      </c>
      <c r="J1153" t="s">
        <v>231</v>
      </c>
      <c r="K1153" t="s">
        <v>508</v>
      </c>
      <c r="L1153" t="s">
        <v>47</v>
      </c>
      <c r="M1153" t="s">
        <v>234</v>
      </c>
      <c r="N1153" t="s">
        <v>46</v>
      </c>
      <c r="O1153" t="s">
        <v>21</v>
      </c>
      <c r="P1153" t="s">
        <v>288</v>
      </c>
      <c r="Q1153">
        <v>0</v>
      </c>
      <c r="R1153" t="s">
        <v>237</v>
      </c>
    </row>
    <row r="1154" spans="1:18" x14ac:dyDescent="0.25">
      <c r="A1154" t="s">
        <v>2283</v>
      </c>
      <c r="B1154">
        <v>1061</v>
      </c>
      <c r="C1154" t="s">
        <v>487</v>
      </c>
      <c r="D1154" t="s">
        <v>256</v>
      </c>
      <c r="E1154" t="s">
        <v>371</v>
      </c>
      <c r="F1154" t="s">
        <v>1318</v>
      </c>
      <c r="G1154" s="25">
        <v>44245</v>
      </c>
      <c r="H1154">
        <v>10</v>
      </c>
      <c r="I1154">
        <v>49</v>
      </c>
      <c r="J1154" t="s">
        <v>231</v>
      </c>
      <c r="K1154" t="s">
        <v>507</v>
      </c>
      <c r="L1154" t="s">
        <v>49</v>
      </c>
      <c r="M1154" t="s">
        <v>234</v>
      </c>
      <c r="N1154" t="s">
        <v>48</v>
      </c>
      <c r="O1154" t="s">
        <v>21</v>
      </c>
      <c r="P1154" t="s">
        <v>413</v>
      </c>
      <c r="Q1154">
        <v>0</v>
      </c>
      <c r="R1154" t="s">
        <v>237</v>
      </c>
    </row>
    <row r="1155" spans="1:18" x14ac:dyDescent="0.25">
      <c r="A1155" t="s">
        <v>1765</v>
      </c>
      <c r="B1155">
        <v>709</v>
      </c>
      <c r="C1155" t="s">
        <v>487</v>
      </c>
      <c r="D1155" t="s">
        <v>231</v>
      </c>
      <c r="E1155" t="s">
        <v>512</v>
      </c>
      <c r="F1155" t="s">
        <v>1174</v>
      </c>
      <c r="G1155" s="25">
        <v>44229</v>
      </c>
      <c r="H1155">
        <v>7</v>
      </c>
      <c r="I1155">
        <v>33</v>
      </c>
      <c r="J1155" t="s">
        <v>231</v>
      </c>
      <c r="K1155" t="s">
        <v>507</v>
      </c>
      <c r="L1155" t="s">
        <v>49</v>
      </c>
      <c r="M1155" t="s">
        <v>234</v>
      </c>
      <c r="N1155" t="s">
        <v>48</v>
      </c>
      <c r="O1155" t="s">
        <v>21</v>
      </c>
      <c r="P1155" t="s">
        <v>413</v>
      </c>
      <c r="Q1155">
        <v>0</v>
      </c>
      <c r="R1155" t="s">
        <v>237</v>
      </c>
    </row>
    <row r="1156" spans="1:18" x14ac:dyDescent="0.25">
      <c r="A1156" t="s">
        <v>785</v>
      </c>
      <c r="B1156">
        <v>335</v>
      </c>
      <c r="C1156" t="s">
        <v>487</v>
      </c>
      <c r="D1156" t="s">
        <v>229</v>
      </c>
      <c r="E1156" t="s">
        <v>620</v>
      </c>
      <c r="F1156" t="s">
        <v>621</v>
      </c>
      <c r="G1156" s="25">
        <v>44212</v>
      </c>
      <c r="H1156">
        <v>4</v>
      </c>
      <c r="I1156">
        <v>16</v>
      </c>
      <c r="J1156" t="s">
        <v>231</v>
      </c>
      <c r="K1156" t="s">
        <v>507</v>
      </c>
      <c r="L1156" t="s">
        <v>49</v>
      </c>
      <c r="M1156" t="s">
        <v>234</v>
      </c>
      <c r="N1156" t="s">
        <v>48</v>
      </c>
      <c r="O1156" t="s">
        <v>21</v>
      </c>
      <c r="P1156" t="s">
        <v>413</v>
      </c>
      <c r="Q1156">
        <v>0</v>
      </c>
      <c r="R1156" t="s">
        <v>237</v>
      </c>
    </row>
    <row r="1157" spans="1:18" x14ac:dyDescent="0.25">
      <c r="A1157" t="s">
        <v>379</v>
      </c>
      <c r="B1157">
        <v>93</v>
      </c>
      <c r="C1157" t="s">
        <v>487</v>
      </c>
      <c r="D1157" t="s">
        <v>229</v>
      </c>
      <c r="E1157" t="s">
        <v>322</v>
      </c>
      <c r="F1157" t="s">
        <v>529</v>
      </c>
      <c r="G1157" s="25">
        <v>44201</v>
      </c>
      <c r="H1157">
        <v>1</v>
      </c>
      <c r="I1157">
        <v>5</v>
      </c>
      <c r="J1157" t="s">
        <v>231</v>
      </c>
      <c r="K1157" t="s">
        <v>507</v>
      </c>
      <c r="L1157" t="s">
        <v>49</v>
      </c>
      <c r="M1157" t="s">
        <v>234</v>
      </c>
      <c r="N1157" t="s">
        <v>48</v>
      </c>
      <c r="O1157" t="s">
        <v>21</v>
      </c>
      <c r="P1157" t="s">
        <v>413</v>
      </c>
      <c r="Q1157">
        <v>0</v>
      </c>
      <c r="R1157" t="s">
        <v>237</v>
      </c>
    </row>
    <row r="1158" spans="1:18" x14ac:dyDescent="0.25">
      <c r="A1158" t="s">
        <v>3576</v>
      </c>
      <c r="B1158">
        <v>2271</v>
      </c>
      <c r="C1158" t="s">
        <v>487</v>
      </c>
      <c r="D1158" t="s">
        <v>247</v>
      </c>
      <c r="E1158" t="s">
        <v>261</v>
      </c>
      <c r="F1158" t="s">
        <v>3078</v>
      </c>
      <c r="G1158" s="25">
        <v>44300</v>
      </c>
      <c r="H1158">
        <v>21</v>
      </c>
      <c r="I1158">
        <v>104</v>
      </c>
      <c r="J1158" t="s">
        <v>231</v>
      </c>
      <c r="K1158" t="s">
        <v>507</v>
      </c>
      <c r="L1158" t="s">
        <v>49</v>
      </c>
      <c r="M1158" t="s">
        <v>234</v>
      </c>
      <c r="N1158" t="s">
        <v>48</v>
      </c>
      <c r="O1158" t="s">
        <v>21</v>
      </c>
      <c r="P1158" t="s">
        <v>413</v>
      </c>
      <c r="Q1158">
        <v>0</v>
      </c>
      <c r="R1158" t="s">
        <v>237</v>
      </c>
    </row>
    <row r="1159" spans="1:18" x14ac:dyDescent="0.25">
      <c r="A1159" t="s">
        <v>3577</v>
      </c>
      <c r="B1159">
        <v>1897</v>
      </c>
      <c r="C1159" t="s">
        <v>487</v>
      </c>
      <c r="D1159" t="s">
        <v>322</v>
      </c>
      <c r="E1159" t="s">
        <v>326</v>
      </c>
      <c r="F1159" t="s">
        <v>2967</v>
      </c>
      <c r="G1159" s="25">
        <v>44283</v>
      </c>
      <c r="H1159">
        <v>18</v>
      </c>
      <c r="I1159">
        <v>87</v>
      </c>
      <c r="J1159" t="s">
        <v>231</v>
      </c>
      <c r="K1159" t="s">
        <v>507</v>
      </c>
      <c r="L1159" t="s">
        <v>49</v>
      </c>
      <c r="M1159" t="s">
        <v>234</v>
      </c>
      <c r="N1159" t="s">
        <v>48</v>
      </c>
      <c r="O1159" t="s">
        <v>21</v>
      </c>
      <c r="P1159" t="s">
        <v>413</v>
      </c>
      <c r="Q1159">
        <v>0</v>
      </c>
      <c r="R1159" t="s">
        <v>237</v>
      </c>
    </row>
    <row r="1160" spans="1:18" x14ac:dyDescent="0.25">
      <c r="A1160" t="s">
        <v>1918</v>
      </c>
      <c r="B1160">
        <v>1545</v>
      </c>
      <c r="C1160" t="s">
        <v>487</v>
      </c>
      <c r="D1160" t="s">
        <v>261</v>
      </c>
      <c r="E1160" t="s">
        <v>515</v>
      </c>
      <c r="F1160" t="s">
        <v>1493</v>
      </c>
      <c r="G1160" s="25">
        <v>44267</v>
      </c>
      <c r="H1160">
        <v>15</v>
      </c>
      <c r="I1160">
        <v>71</v>
      </c>
      <c r="J1160" t="s">
        <v>231</v>
      </c>
      <c r="K1160" t="s">
        <v>507</v>
      </c>
      <c r="L1160" t="s">
        <v>49</v>
      </c>
      <c r="M1160" t="s">
        <v>234</v>
      </c>
      <c r="N1160" t="s">
        <v>48</v>
      </c>
      <c r="O1160" t="s">
        <v>21</v>
      </c>
      <c r="P1160" t="s">
        <v>413</v>
      </c>
      <c r="Q1160">
        <v>0</v>
      </c>
      <c r="R1160" t="s">
        <v>237</v>
      </c>
    </row>
    <row r="1161" spans="1:18" x14ac:dyDescent="0.25">
      <c r="A1161" t="s">
        <v>1726</v>
      </c>
      <c r="B1161">
        <v>644</v>
      </c>
      <c r="C1161" t="s">
        <v>487</v>
      </c>
      <c r="D1161" t="s">
        <v>231</v>
      </c>
      <c r="E1161" t="s">
        <v>239</v>
      </c>
      <c r="F1161" t="s">
        <v>1139</v>
      </c>
      <c r="G1161" s="25">
        <v>44226</v>
      </c>
      <c r="H1161">
        <v>6</v>
      </c>
      <c r="I1161">
        <v>30</v>
      </c>
      <c r="J1161" t="s">
        <v>231</v>
      </c>
      <c r="K1161" t="s">
        <v>506</v>
      </c>
      <c r="L1161" t="s">
        <v>414</v>
      </c>
      <c r="M1161" t="s">
        <v>234</v>
      </c>
      <c r="N1161" t="s">
        <v>50</v>
      </c>
      <c r="O1161" t="s">
        <v>21</v>
      </c>
      <c r="P1161" t="s">
        <v>411</v>
      </c>
      <c r="Q1161">
        <v>0</v>
      </c>
      <c r="R1161" t="s">
        <v>237</v>
      </c>
    </row>
    <row r="1162" spans="1:18" x14ac:dyDescent="0.25">
      <c r="A1162" t="s">
        <v>3578</v>
      </c>
      <c r="B1162">
        <v>2514</v>
      </c>
      <c r="C1162" t="s">
        <v>487</v>
      </c>
      <c r="D1162" t="s">
        <v>247</v>
      </c>
      <c r="E1162" t="s">
        <v>575</v>
      </c>
      <c r="F1162" t="s">
        <v>3158</v>
      </c>
      <c r="G1162" s="25">
        <v>44311</v>
      </c>
      <c r="H1162">
        <v>23</v>
      </c>
      <c r="I1162">
        <v>115</v>
      </c>
      <c r="J1162" t="s">
        <v>231</v>
      </c>
      <c r="K1162" t="s">
        <v>506</v>
      </c>
      <c r="L1162" t="s">
        <v>414</v>
      </c>
      <c r="M1162" t="s">
        <v>234</v>
      </c>
      <c r="N1162" t="s">
        <v>50</v>
      </c>
      <c r="O1162" t="s">
        <v>21</v>
      </c>
      <c r="P1162" t="s">
        <v>411</v>
      </c>
      <c r="Q1162">
        <v>0</v>
      </c>
      <c r="R1162" t="s">
        <v>237</v>
      </c>
    </row>
    <row r="1163" spans="1:18" x14ac:dyDescent="0.25">
      <c r="A1163" t="s">
        <v>563</v>
      </c>
      <c r="B1163">
        <v>287</v>
      </c>
      <c r="C1163" t="s">
        <v>487</v>
      </c>
      <c r="D1163" t="s">
        <v>229</v>
      </c>
      <c r="E1163" t="s">
        <v>537</v>
      </c>
      <c r="F1163" t="s">
        <v>538</v>
      </c>
      <c r="G1163" s="25">
        <v>44210</v>
      </c>
      <c r="H1163">
        <v>3</v>
      </c>
      <c r="I1163">
        <v>14</v>
      </c>
      <c r="J1163" t="s">
        <v>231</v>
      </c>
      <c r="K1163" t="s">
        <v>505</v>
      </c>
      <c r="L1163" t="s">
        <v>41</v>
      </c>
      <c r="M1163" t="s">
        <v>234</v>
      </c>
      <c r="N1163" t="s">
        <v>40</v>
      </c>
      <c r="O1163" t="s">
        <v>21</v>
      </c>
      <c r="P1163" t="s">
        <v>266</v>
      </c>
      <c r="Q1163">
        <v>0</v>
      </c>
      <c r="R1163" t="s">
        <v>237</v>
      </c>
    </row>
    <row r="1164" spans="1:18" x14ac:dyDescent="0.25">
      <c r="A1164" t="s">
        <v>3579</v>
      </c>
      <c r="B1164">
        <v>2465</v>
      </c>
      <c r="C1164" t="s">
        <v>487</v>
      </c>
      <c r="D1164" t="s">
        <v>247</v>
      </c>
      <c r="E1164" t="s">
        <v>512</v>
      </c>
      <c r="F1164" t="s">
        <v>3146</v>
      </c>
      <c r="G1164" s="25">
        <v>44309</v>
      </c>
      <c r="H1164">
        <v>23</v>
      </c>
      <c r="I1164">
        <v>113</v>
      </c>
      <c r="J1164" t="s">
        <v>231</v>
      </c>
      <c r="K1164" t="s">
        <v>505</v>
      </c>
      <c r="L1164" t="s">
        <v>41</v>
      </c>
      <c r="M1164" t="s">
        <v>234</v>
      </c>
      <c r="N1164" t="s">
        <v>40</v>
      </c>
      <c r="O1164" t="s">
        <v>21</v>
      </c>
      <c r="P1164" t="s">
        <v>266</v>
      </c>
      <c r="Q1164">
        <v>0</v>
      </c>
      <c r="R1164" t="s">
        <v>237</v>
      </c>
    </row>
    <row r="1165" spans="1:18" x14ac:dyDescent="0.25">
      <c r="A1165" t="s">
        <v>3580</v>
      </c>
      <c r="B1165">
        <v>2157</v>
      </c>
      <c r="C1165" t="s">
        <v>487</v>
      </c>
      <c r="D1165" t="s">
        <v>322</v>
      </c>
      <c r="E1165" t="s">
        <v>531</v>
      </c>
      <c r="F1165" t="s">
        <v>3056</v>
      </c>
      <c r="G1165" s="25">
        <v>44295</v>
      </c>
      <c r="H1165">
        <v>20</v>
      </c>
      <c r="I1165">
        <v>99</v>
      </c>
      <c r="J1165" t="s">
        <v>231</v>
      </c>
      <c r="K1165" t="s">
        <v>505</v>
      </c>
      <c r="L1165" t="s">
        <v>41</v>
      </c>
      <c r="M1165" t="s">
        <v>234</v>
      </c>
      <c r="N1165" t="s">
        <v>40</v>
      </c>
      <c r="O1165" t="s">
        <v>21</v>
      </c>
      <c r="P1165" t="s">
        <v>266</v>
      </c>
      <c r="Q1165">
        <v>0</v>
      </c>
      <c r="R1165" t="s">
        <v>237</v>
      </c>
    </row>
    <row r="1166" spans="1:18" x14ac:dyDescent="0.25">
      <c r="A1166" t="s">
        <v>3581</v>
      </c>
      <c r="B1166">
        <v>1849</v>
      </c>
      <c r="C1166" t="s">
        <v>487</v>
      </c>
      <c r="D1166" t="s">
        <v>322</v>
      </c>
      <c r="E1166" t="s">
        <v>322</v>
      </c>
      <c r="F1166" t="s">
        <v>2960</v>
      </c>
      <c r="G1166" s="25">
        <v>44281</v>
      </c>
      <c r="H1166">
        <v>17</v>
      </c>
      <c r="I1166">
        <v>85</v>
      </c>
      <c r="J1166" t="s">
        <v>231</v>
      </c>
      <c r="K1166" t="s">
        <v>505</v>
      </c>
      <c r="L1166" t="s">
        <v>41</v>
      </c>
      <c r="M1166" t="s">
        <v>234</v>
      </c>
      <c r="N1166" t="s">
        <v>40</v>
      </c>
      <c r="O1166" t="s">
        <v>21</v>
      </c>
      <c r="P1166" t="s">
        <v>266</v>
      </c>
      <c r="Q1166">
        <v>0</v>
      </c>
      <c r="R1166" t="s">
        <v>237</v>
      </c>
    </row>
    <row r="1167" spans="1:18" x14ac:dyDescent="0.25">
      <c r="A1167" t="s">
        <v>3582</v>
      </c>
      <c r="B1167">
        <v>2290</v>
      </c>
      <c r="C1167" t="s">
        <v>487</v>
      </c>
      <c r="D1167" t="s">
        <v>247</v>
      </c>
      <c r="E1167" t="s">
        <v>322</v>
      </c>
      <c r="F1167" t="s">
        <v>3083</v>
      </c>
      <c r="G1167" s="25">
        <v>44301</v>
      </c>
      <c r="H1167">
        <v>21</v>
      </c>
      <c r="I1167">
        <v>105</v>
      </c>
      <c r="J1167" t="s">
        <v>231</v>
      </c>
      <c r="K1167" t="s">
        <v>504</v>
      </c>
      <c r="L1167" t="s">
        <v>43</v>
      </c>
      <c r="M1167" t="s">
        <v>234</v>
      </c>
      <c r="N1167" t="s">
        <v>42</v>
      </c>
      <c r="O1167" t="s">
        <v>21</v>
      </c>
      <c r="P1167" t="s">
        <v>236</v>
      </c>
      <c r="Q1167">
        <v>0</v>
      </c>
      <c r="R1167" t="s">
        <v>237</v>
      </c>
    </row>
    <row r="1168" spans="1:18" x14ac:dyDescent="0.25">
      <c r="A1168" t="s">
        <v>3583</v>
      </c>
      <c r="B1168">
        <v>1916</v>
      </c>
      <c r="C1168" t="s">
        <v>487</v>
      </c>
      <c r="D1168" t="s">
        <v>322</v>
      </c>
      <c r="E1168" t="s">
        <v>381</v>
      </c>
      <c r="F1168" t="s">
        <v>2971</v>
      </c>
      <c r="G1168" s="25">
        <v>44284</v>
      </c>
      <c r="H1168">
        <v>18</v>
      </c>
      <c r="I1168">
        <v>88</v>
      </c>
      <c r="J1168" t="s">
        <v>231</v>
      </c>
      <c r="K1168" t="s">
        <v>504</v>
      </c>
      <c r="L1168" t="s">
        <v>43</v>
      </c>
      <c r="M1168" t="s">
        <v>234</v>
      </c>
      <c r="N1168" t="s">
        <v>42</v>
      </c>
      <c r="O1168" t="s">
        <v>21</v>
      </c>
      <c r="P1168" t="s">
        <v>236</v>
      </c>
      <c r="Q1168">
        <v>0</v>
      </c>
      <c r="R1168" t="s">
        <v>237</v>
      </c>
    </row>
    <row r="1169" spans="1:18" x14ac:dyDescent="0.25">
      <c r="A1169" t="s">
        <v>1774</v>
      </c>
      <c r="B1169">
        <v>662</v>
      </c>
      <c r="C1169" t="s">
        <v>487</v>
      </c>
      <c r="D1169" t="s">
        <v>231</v>
      </c>
      <c r="E1169" t="s">
        <v>515</v>
      </c>
      <c r="F1169" t="s">
        <v>1150</v>
      </c>
      <c r="G1169" s="25">
        <v>44227</v>
      </c>
      <c r="H1169">
        <v>7</v>
      </c>
      <c r="I1169">
        <v>31</v>
      </c>
      <c r="J1169" t="s">
        <v>231</v>
      </c>
      <c r="K1169" t="s">
        <v>504</v>
      </c>
      <c r="L1169" t="s">
        <v>43</v>
      </c>
      <c r="M1169" t="s">
        <v>234</v>
      </c>
      <c r="N1169" t="s">
        <v>42</v>
      </c>
      <c r="O1169" t="s">
        <v>21</v>
      </c>
      <c r="P1169" t="s">
        <v>236</v>
      </c>
      <c r="Q1169">
        <v>0</v>
      </c>
      <c r="R1169" t="s">
        <v>237</v>
      </c>
    </row>
    <row r="1170" spans="1:18" x14ac:dyDescent="0.25">
      <c r="A1170" t="s">
        <v>3584</v>
      </c>
      <c r="B1170">
        <v>2532</v>
      </c>
      <c r="C1170" t="s">
        <v>487</v>
      </c>
      <c r="D1170" t="s">
        <v>247</v>
      </c>
      <c r="E1170" t="s">
        <v>620</v>
      </c>
      <c r="F1170" t="s">
        <v>3162</v>
      </c>
      <c r="G1170" s="25">
        <v>44312</v>
      </c>
      <c r="H1170">
        <v>24</v>
      </c>
      <c r="I1170">
        <v>116</v>
      </c>
      <c r="J1170" t="s">
        <v>231</v>
      </c>
      <c r="K1170" t="s">
        <v>504</v>
      </c>
      <c r="L1170" t="s">
        <v>43</v>
      </c>
      <c r="M1170" t="s">
        <v>234</v>
      </c>
      <c r="N1170" t="s">
        <v>42</v>
      </c>
      <c r="O1170" t="s">
        <v>21</v>
      </c>
      <c r="P1170" t="s">
        <v>236</v>
      </c>
      <c r="Q1170">
        <v>0</v>
      </c>
      <c r="R1170" t="s">
        <v>237</v>
      </c>
    </row>
    <row r="1171" spans="1:18" x14ac:dyDescent="0.25">
      <c r="A1171" t="s">
        <v>2610</v>
      </c>
      <c r="B1171">
        <v>647</v>
      </c>
      <c r="C1171" t="s">
        <v>487</v>
      </c>
      <c r="D1171" t="s">
        <v>231</v>
      </c>
      <c r="E1171" t="s">
        <v>239</v>
      </c>
      <c r="F1171" t="s">
        <v>1139</v>
      </c>
      <c r="G1171" s="25">
        <v>44226</v>
      </c>
      <c r="H1171">
        <v>6</v>
      </c>
      <c r="I1171">
        <v>30</v>
      </c>
      <c r="J1171" t="s">
        <v>231</v>
      </c>
      <c r="K1171" t="s">
        <v>503</v>
      </c>
      <c r="L1171" t="s">
        <v>303</v>
      </c>
      <c r="M1171" t="s">
        <v>234</v>
      </c>
      <c r="N1171" t="s">
        <v>56</v>
      </c>
      <c r="O1171" t="s">
        <v>235</v>
      </c>
      <c r="P1171" t="s">
        <v>304</v>
      </c>
      <c r="Q1171">
        <v>0</v>
      </c>
      <c r="R1171" t="s">
        <v>237</v>
      </c>
    </row>
    <row r="1172" spans="1:18" x14ac:dyDescent="0.25">
      <c r="A1172" t="s">
        <v>3585</v>
      </c>
      <c r="B1172">
        <v>2517</v>
      </c>
      <c r="C1172" t="s">
        <v>487</v>
      </c>
      <c r="D1172" t="s">
        <v>247</v>
      </c>
      <c r="E1172" t="s">
        <v>575</v>
      </c>
      <c r="F1172" t="s">
        <v>3158</v>
      </c>
      <c r="G1172" s="25">
        <v>44311</v>
      </c>
      <c r="H1172">
        <v>23</v>
      </c>
      <c r="I1172">
        <v>115</v>
      </c>
      <c r="J1172" t="s">
        <v>231</v>
      </c>
      <c r="K1172" t="s">
        <v>503</v>
      </c>
      <c r="L1172" t="s">
        <v>303</v>
      </c>
      <c r="M1172" t="s">
        <v>234</v>
      </c>
      <c r="N1172" t="s">
        <v>56</v>
      </c>
      <c r="O1172" t="s">
        <v>235</v>
      </c>
      <c r="P1172" t="s">
        <v>304</v>
      </c>
      <c r="Q1172">
        <v>0</v>
      </c>
      <c r="R1172" t="s">
        <v>237</v>
      </c>
    </row>
    <row r="1173" spans="1:18" x14ac:dyDescent="0.25">
      <c r="A1173" t="s">
        <v>3586</v>
      </c>
      <c r="B1173">
        <v>2253</v>
      </c>
      <c r="C1173" t="s">
        <v>487</v>
      </c>
      <c r="D1173" t="s">
        <v>247</v>
      </c>
      <c r="E1173" t="s">
        <v>256</v>
      </c>
      <c r="F1173" t="s">
        <v>3073</v>
      </c>
      <c r="G1173" s="25">
        <v>44299</v>
      </c>
      <c r="H1173">
        <v>21</v>
      </c>
      <c r="I1173">
        <v>103</v>
      </c>
      <c r="J1173" t="s">
        <v>231</v>
      </c>
      <c r="K1173" t="s">
        <v>503</v>
      </c>
      <c r="L1173" t="s">
        <v>303</v>
      </c>
      <c r="M1173" t="s">
        <v>234</v>
      </c>
      <c r="N1173" t="s">
        <v>56</v>
      </c>
      <c r="O1173" t="s">
        <v>235</v>
      </c>
      <c r="P1173" t="s">
        <v>304</v>
      </c>
      <c r="Q1173">
        <v>234</v>
      </c>
      <c r="R1173" t="s">
        <v>237</v>
      </c>
    </row>
    <row r="1174" spans="1:18" x14ac:dyDescent="0.25">
      <c r="A1174" t="s">
        <v>2721</v>
      </c>
      <c r="B1174">
        <v>890</v>
      </c>
      <c r="C1174" t="s">
        <v>487</v>
      </c>
      <c r="D1174" t="s">
        <v>256</v>
      </c>
      <c r="E1174" t="s">
        <v>229</v>
      </c>
      <c r="F1174" t="s">
        <v>1241</v>
      </c>
      <c r="G1174" s="25">
        <v>44237</v>
      </c>
      <c r="H1174">
        <v>9</v>
      </c>
      <c r="I1174">
        <v>41</v>
      </c>
      <c r="J1174" t="s">
        <v>231</v>
      </c>
      <c r="K1174" t="s">
        <v>502</v>
      </c>
      <c r="L1174" t="s">
        <v>287</v>
      </c>
      <c r="M1174" t="s">
        <v>234</v>
      </c>
      <c r="N1174" t="s">
        <v>58</v>
      </c>
      <c r="O1174" t="s">
        <v>235</v>
      </c>
      <c r="P1174" t="s">
        <v>288</v>
      </c>
      <c r="Q1174">
        <v>0</v>
      </c>
      <c r="R1174" t="s">
        <v>237</v>
      </c>
    </row>
    <row r="1175" spans="1:18" x14ac:dyDescent="0.25">
      <c r="A1175" t="s">
        <v>3587</v>
      </c>
      <c r="B1175">
        <v>2628</v>
      </c>
      <c r="C1175" t="s">
        <v>487</v>
      </c>
      <c r="D1175" t="s">
        <v>247</v>
      </c>
      <c r="E1175" t="s">
        <v>408</v>
      </c>
      <c r="F1175" t="s">
        <v>3178</v>
      </c>
      <c r="G1175" s="25">
        <v>44316</v>
      </c>
      <c r="H1175">
        <v>24</v>
      </c>
      <c r="I1175">
        <v>120</v>
      </c>
      <c r="J1175" t="s">
        <v>231</v>
      </c>
      <c r="K1175" t="s">
        <v>502</v>
      </c>
      <c r="L1175" t="s">
        <v>287</v>
      </c>
      <c r="M1175" t="s">
        <v>234</v>
      </c>
      <c r="N1175" t="s">
        <v>58</v>
      </c>
      <c r="O1175" t="s">
        <v>235</v>
      </c>
      <c r="P1175" t="s">
        <v>288</v>
      </c>
      <c r="Q1175">
        <v>6500</v>
      </c>
      <c r="R1175" t="s">
        <v>237</v>
      </c>
    </row>
    <row r="1176" spans="1:18" x14ac:dyDescent="0.25">
      <c r="A1176" t="s">
        <v>2172</v>
      </c>
      <c r="B1176">
        <v>1045</v>
      </c>
      <c r="C1176" t="s">
        <v>487</v>
      </c>
      <c r="D1176" t="s">
        <v>256</v>
      </c>
      <c r="E1176" t="s">
        <v>381</v>
      </c>
      <c r="F1176" t="s">
        <v>1311</v>
      </c>
      <c r="G1176" s="25">
        <v>44244</v>
      </c>
      <c r="H1176">
        <v>10</v>
      </c>
      <c r="I1176">
        <v>48</v>
      </c>
      <c r="J1176" t="s">
        <v>231</v>
      </c>
      <c r="K1176" t="s">
        <v>501</v>
      </c>
      <c r="L1176" t="s">
        <v>412</v>
      </c>
      <c r="M1176" t="s">
        <v>234</v>
      </c>
      <c r="N1176" t="s">
        <v>60</v>
      </c>
      <c r="O1176" t="s">
        <v>235</v>
      </c>
      <c r="P1176" t="s">
        <v>413</v>
      </c>
      <c r="Q1176">
        <v>0</v>
      </c>
      <c r="R1176" t="s">
        <v>237</v>
      </c>
    </row>
    <row r="1177" spans="1:18" x14ac:dyDescent="0.25">
      <c r="A1177" t="s">
        <v>1659</v>
      </c>
      <c r="B1177">
        <v>693</v>
      </c>
      <c r="C1177" t="s">
        <v>487</v>
      </c>
      <c r="D1177" t="s">
        <v>231</v>
      </c>
      <c r="E1177" t="s">
        <v>232</v>
      </c>
      <c r="F1177" t="s">
        <v>1162</v>
      </c>
      <c r="G1177" s="25">
        <v>44228</v>
      </c>
      <c r="H1177">
        <v>7</v>
      </c>
      <c r="I1177">
        <v>32</v>
      </c>
      <c r="J1177" t="s">
        <v>231</v>
      </c>
      <c r="K1177" t="s">
        <v>501</v>
      </c>
      <c r="L1177" t="s">
        <v>412</v>
      </c>
      <c r="M1177" t="s">
        <v>234</v>
      </c>
      <c r="N1177" t="s">
        <v>60</v>
      </c>
      <c r="O1177" t="s">
        <v>235</v>
      </c>
      <c r="P1177" t="s">
        <v>413</v>
      </c>
      <c r="Q1177">
        <v>0</v>
      </c>
      <c r="R1177" t="s">
        <v>237</v>
      </c>
    </row>
    <row r="1178" spans="1:18" x14ac:dyDescent="0.25">
      <c r="A1178" t="s">
        <v>350</v>
      </c>
      <c r="B1178">
        <v>77</v>
      </c>
      <c r="C1178" t="s">
        <v>487</v>
      </c>
      <c r="D1178" t="s">
        <v>229</v>
      </c>
      <c r="E1178" t="s">
        <v>261</v>
      </c>
      <c r="F1178" t="s">
        <v>549</v>
      </c>
      <c r="G1178" s="25">
        <v>44200</v>
      </c>
      <c r="H1178">
        <v>1</v>
      </c>
      <c r="I1178">
        <v>4</v>
      </c>
      <c r="J1178" t="s">
        <v>231</v>
      </c>
      <c r="K1178" t="s">
        <v>501</v>
      </c>
      <c r="L1178" t="s">
        <v>412</v>
      </c>
      <c r="M1178" t="s">
        <v>234</v>
      </c>
      <c r="N1178" t="s">
        <v>60</v>
      </c>
      <c r="O1178" t="s">
        <v>235</v>
      </c>
      <c r="P1178" t="s">
        <v>413</v>
      </c>
      <c r="Q1178">
        <v>0</v>
      </c>
      <c r="R1178" t="s">
        <v>237</v>
      </c>
    </row>
    <row r="1179" spans="1:18" x14ac:dyDescent="0.25">
      <c r="A1179" t="s">
        <v>3588</v>
      </c>
      <c r="B1179">
        <v>2255</v>
      </c>
      <c r="C1179" t="s">
        <v>487</v>
      </c>
      <c r="D1179" t="s">
        <v>247</v>
      </c>
      <c r="E1179" t="s">
        <v>256</v>
      </c>
      <c r="F1179" t="s">
        <v>3073</v>
      </c>
      <c r="G1179" s="25">
        <v>44299</v>
      </c>
      <c r="H1179">
        <v>21</v>
      </c>
      <c r="I1179">
        <v>103</v>
      </c>
      <c r="J1179" t="s">
        <v>231</v>
      </c>
      <c r="K1179" t="s">
        <v>501</v>
      </c>
      <c r="L1179" t="s">
        <v>412</v>
      </c>
      <c r="M1179" t="s">
        <v>234</v>
      </c>
      <c r="N1179" t="s">
        <v>60</v>
      </c>
      <c r="O1179" t="s">
        <v>235</v>
      </c>
      <c r="P1179" t="s">
        <v>413</v>
      </c>
      <c r="Q1179">
        <v>0</v>
      </c>
      <c r="R1179" t="s">
        <v>237</v>
      </c>
    </row>
    <row r="1180" spans="1:18" x14ac:dyDescent="0.25">
      <c r="A1180" t="s">
        <v>3589</v>
      </c>
      <c r="B1180">
        <v>1881</v>
      </c>
      <c r="C1180" t="s">
        <v>487</v>
      </c>
      <c r="D1180" t="s">
        <v>322</v>
      </c>
      <c r="E1180" t="s">
        <v>247</v>
      </c>
      <c r="F1180" t="s">
        <v>2963</v>
      </c>
      <c r="G1180" s="25">
        <v>44282</v>
      </c>
      <c r="H1180">
        <v>18</v>
      </c>
      <c r="I1180">
        <v>86</v>
      </c>
      <c r="J1180" t="s">
        <v>231</v>
      </c>
      <c r="K1180" t="s">
        <v>501</v>
      </c>
      <c r="L1180" t="s">
        <v>412</v>
      </c>
      <c r="M1180" t="s">
        <v>234</v>
      </c>
      <c r="N1180" t="s">
        <v>60</v>
      </c>
      <c r="O1180" t="s">
        <v>235</v>
      </c>
      <c r="P1180" t="s">
        <v>413</v>
      </c>
      <c r="Q1180">
        <v>0</v>
      </c>
      <c r="R1180" t="s">
        <v>237</v>
      </c>
    </row>
    <row r="1181" spans="1:18" x14ac:dyDescent="0.25">
      <c r="A1181" t="s">
        <v>2789</v>
      </c>
      <c r="B1181">
        <v>645</v>
      </c>
      <c r="C1181" t="s">
        <v>487</v>
      </c>
      <c r="D1181" t="s">
        <v>231</v>
      </c>
      <c r="E1181" t="s">
        <v>239</v>
      </c>
      <c r="F1181" t="s">
        <v>1139</v>
      </c>
      <c r="G1181" s="25">
        <v>44226</v>
      </c>
      <c r="H1181">
        <v>6</v>
      </c>
      <c r="I1181">
        <v>30</v>
      </c>
      <c r="J1181" t="s">
        <v>231</v>
      </c>
      <c r="K1181" t="s">
        <v>500</v>
      </c>
      <c r="L1181" t="s">
        <v>265</v>
      </c>
      <c r="M1181" t="s">
        <v>234</v>
      </c>
      <c r="N1181" t="s">
        <v>52</v>
      </c>
      <c r="O1181" t="s">
        <v>235</v>
      </c>
      <c r="P1181" t="s">
        <v>266</v>
      </c>
      <c r="Q1181">
        <v>0</v>
      </c>
      <c r="R1181" t="s">
        <v>237</v>
      </c>
    </row>
    <row r="1182" spans="1:18" x14ac:dyDescent="0.25">
      <c r="A1182" t="s">
        <v>3590</v>
      </c>
      <c r="B1182">
        <v>2515</v>
      </c>
      <c r="C1182" t="s">
        <v>487</v>
      </c>
      <c r="D1182" t="s">
        <v>247</v>
      </c>
      <c r="E1182" t="s">
        <v>575</v>
      </c>
      <c r="F1182" t="s">
        <v>3158</v>
      </c>
      <c r="G1182" s="25">
        <v>44311</v>
      </c>
      <c r="H1182">
        <v>23</v>
      </c>
      <c r="I1182">
        <v>115</v>
      </c>
      <c r="J1182" t="s">
        <v>231</v>
      </c>
      <c r="K1182" t="s">
        <v>500</v>
      </c>
      <c r="L1182" t="s">
        <v>265</v>
      </c>
      <c r="M1182" t="s">
        <v>234</v>
      </c>
      <c r="N1182" t="s">
        <v>52</v>
      </c>
      <c r="O1182" t="s">
        <v>235</v>
      </c>
      <c r="P1182" t="s">
        <v>266</v>
      </c>
      <c r="Q1182">
        <v>24000</v>
      </c>
      <c r="R1182" t="s">
        <v>237</v>
      </c>
    </row>
    <row r="1183" spans="1:18" x14ac:dyDescent="0.25">
      <c r="A1183" t="s">
        <v>2519</v>
      </c>
      <c r="B1183">
        <v>1679</v>
      </c>
      <c r="C1183" t="s">
        <v>487</v>
      </c>
      <c r="D1183" t="s">
        <v>261</v>
      </c>
      <c r="E1183" t="s">
        <v>534</v>
      </c>
      <c r="F1183" t="s">
        <v>1563</v>
      </c>
      <c r="G1183" s="25">
        <v>44273</v>
      </c>
      <c r="H1183">
        <v>16</v>
      </c>
      <c r="I1183">
        <v>77</v>
      </c>
      <c r="J1183" t="s">
        <v>231</v>
      </c>
      <c r="K1183" t="s">
        <v>500</v>
      </c>
      <c r="L1183" t="s">
        <v>265</v>
      </c>
      <c r="M1183" t="s">
        <v>234</v>
      </c>
      <c r="N1183" t="s">
        <v>52</v>
      </c>
      <c r="O1183" t="s">
        <v>235</v>
      </c>
      <c r="P1183" t="s">
        <v>266</v>
      </c>
      <c r="Q1183">
        <v>16375</v>
      </c>
      <c r="R1183" t="s">
        <v>237</v>
      </c>
    </row>
    <row r="1184" spans="1:18" x14ac:dyDescent="0.25">
      <c r="A1184" t="s">
        <v>260</v>
      </c>
      <c r="B1184">
        <v>34</v>
      </c>
      <c r="C1184" t="s">
        <v>487</v>
      </c>
      <c r="D1184" t="s">
        <v>229</v>
      </c>
      <c r="E1184" t="s">
        <v>231</v>
      </c>
      <c r="F1184" t="s">
        <v>568</v>
      </c>
      <c r="G1184" s="25">
        <v>44198</v>
      </c>
      <c r="H1184">
        <v>1</v>
      </c>
      <c r="I1184">
        <v>2</v>
      </c>
      <c r="J1184" t="s">
        <v>231</v>
      </c>
      <c r="K1184" t="s">
        <v>499</v>
      </c>
      <c r="L1184" t="s">
        <v>410</v>
      </c>
      <c r="M1184" t="s">
        <v>234</v>
      </c>
      <c r="N1184" t="s">
        <v>62</v>
      </c>
      <c r="O1184" t="s">
        <v>235</v>
      </c>
      <c r="P1184" t="s">
        <v>411</v>
      </c>
      <c r="Q1184">
        <v>0</v>
      </c>
      <c r="R1184" t="s">
        <v>237</v>
      </c>
    </row>
    <row r="1185" spans="1:18" x14ac:dyDescent="0.25">
      <c r="A1185" t="s">
        <v>3591</v>
      </c>
      <c r="B1185">
        <v>2212</v>
      </c>
      <c r="C1185" t="s">
        <v>487</v>
      </c>
      <c r="D1185" t="s">
        <v>247</v>
      </c>
      <c r="E1185" t="s">
        <v>229</v>
      </c>
      <c r="F1185" t="s">
        <v>3063</v>
      </c>
      <c r="G1185" s="25">
        <v>44297</v>
      </c>
      <c r="H1185">
        <v>21</v>
      </c>
      <c r="I1185">
        <v>101</v>
      </c>
      <c r="J1185" t="s">
        <v>231</v>
      </c>
      <c r="K1185" t="s">
        <v>499</v>
      </c>
      <c r="L1185" t="s">
        <v>410</v>
      </c>
      <c r="M1185" t="s">
        <v>234</v>
      </c>
      <c r="N1185" t="s">
        <v>62</v>
      </c>
      <c r="O1185" t="s">
        <v>235</v>
      </c>
      <c r="P1185" t="s">
        <v>411</v>
      </c>
      <c r="Q1185">
        <v>0</v>
      </c>
      <c r="R1185" t="s">
        <v>237</v>
      </c>
    </row>
    <row r="1186" spans="1:18" x14ac:dyDescent="0.25">
      <c r="A1186" t="s">
        <v>2463</v>
      </c>
      <c r="B1186">
        <v>1002</v>
      </c>
      <c r="C1186" t="s">
        <v>487</v>
      </c>
      <c r="D1186" t="s">
        <v>256</v>
      </c>
      <c r="E1186" t="s">
        <v>247</v>
      </c>
      <c r="F1186" t="s">
        <v>1299</v>
      </c>
      <c r="G1186" s="25">
        <v>44242</v>
      </c>
      <c r="H1186">
        <v>10</v>
      </c>
      <c r="I1186">
        <v>46</v>
      </c>
      <c r="J1186" t="s">
        <v>231</v>
      </c>
      <c r="K1186" t="s">
        <v>499</v>
      </c>
      <c r="L1186" t="s">
        <v>410</v>
      </c>
      <c r="M1186" t="s">
        <v>234</v>
      </c>
      <c r="N1186" t="s">
        <v>62</v>
      </c>
      <c r="O1186" t="s">
        <v>235</v>
      </c>
      <c r="P1186" t="s">
        <v>411</v>
      </c>
      <c r="Q1186">
        <v>0</v>
      </c>
      <c r="R1186" t="s">
        <v>237</v>
      </c>
    </row>
    <row r="1187" spans="1:18" x14ac:dyDescent="0.25">
      <c r="A1187" t="s">
        <v>3592</v>
      </c>
      <c r="B1187">
        <v>2023</v>
      </c>
      <c r="C1187" t="s">
        <v>487</v>
      </c>
      <c r="D1187" t="s">
        <v>322</v>
      </c>
      <c r="E1187" t="s">
        <v>232</v>
      </c>
      <c r="F1187" t="s">
        <v>2987</v>
      </c>
      <c r="G1187" s="25">
        <v>44288</v>
      </c>
      <c r="H1187">
        <v>19</v>
      </c>
      <c r="I1187">
        <v>92</v>
      </c>
      <c r="J1187" t="s">
        <v>432</v>
      </c>
      <c r="K1187" t="s">
        <v>498</v>
      </c>
      <c r="L1187" t="s">
        <v>26</v>
      </c>
      <c r="M1187" t="s">
        <v>434</v>
      </c>
      <c r="N1187" t="s">
        <v>77</v>
      </c>
      <c r="O1187" t="s">
        <v>435</v>
      </c>
      <c r="P1187" t="s">
        <v>26</v>
      </c>
      <c r="Q1187">
        <v>277205</v>
      </c>
      <c r="R1187" t="s">
        <v>436</v>
      </c>
    </row>
    <row r="1188" spans="1:18" x14ac:dyDescent="0.25">
      <c r="A1188" t="s">
        <v>1942</v>
      </c>
      <c r="B1188">
        <v>1011</v>
      </c>
      <c r="C1188" t="s">
        <v>487</v>
      </c>
      <c r="D1188" t="s">
        <v>256</v>
      </c>
      <c r="E1188" t="s">
        <v>247</v>
      </c>
      <c r="F1188" t="s">
        <v>1299</v>
      </c>
      <c r="G1188" s="25">
        <v>44242</v>
      </c>
      <c r="H1188">
        <v>10</v>
      </c>
      <c r="I1188">
        <v>46</v>
      </c>
      <c r="J1188" t="s">
        <v>432</v>
      </c>
      <c r="K1188" t="s">
        <v>498</v>
      </c>
      <c r="L1188" t="s">
        <v>26</v>
      </c>
      <c r="M1188" t="s">
        <v>434</v>
      </c>
      <c r="N1188" t="s">
        <v>77</v>
      </c>
      <c r="O1188" t="s">
        <v>435</v>
      </c>
      <c r="P1188" t="s">
        <v>26</v>
      </c>
      <c r="Q1188">
        <v>266000</v>
      </c>
      <c r="R1188" t="s">
        <v>436</v>
      </c>
    </row>
    <row r="1189" spans="1:18" x14ac:dyDescent="0.25">
      <c r="A1189" t="s">
        <v>2114</v>
      </c>
      <c r="B1189">
        <v>703</v>
      </c>
      <c r="C1189" t="s">
        <v>487</v>
      </c>
      <c r="D1189" t="s">
        <v>231</v>
      </c>
      <c r="E1189" t="s">
        <v>232</v>
      </c>
      <c r="F1189" t="s">
        <v>1162</v>
      </c>
      <c r="G1189" s="25">
        <v>44228</v>
      </c>
      <c r="H1189">
        <v>7</v>
      </c>
      <c r="I1189">
        <v>32</v>
      </c>
      <c r="J1189" t="s">
        <v>432</v>
      </c>
      <c r="K1189" t="s">
        <v>498</v>
      </c>
      <c r="L1189" t="s">
        <v>26</v>
      </c>
      <c r="M1189" t="s">
        <v>434</v>
      </c>
      <c r="N1189" t="s">
        <v>77</v>
      </c>
      <c r="O1189" t="s">
        <v>435</v>
      </c>
      <c r="P1189" t="s">
        <v>26</v>
      </c>
      <c r="Q1189">
        <v>121668.75</v>
      </c>
      <c r="R1189" t="s">
        <v>436</v>
      </c>
    </row>
    <row r="1190" spans="1:18" x14ac:dyDescent="0.25">
      <c r="A1190" t="s">
        <v>813</v>
      </c>
      <c r="B1190">
        <v>307</v>
      </c>
      <c r="C1190" t="s">
        <v>487</v>
      </c>
      <c r="D1190" t="s">
        <v>229</v>
      </c>
      <c r="E1190" t="s">
        <v>537</v>
      </c>
      <c r="F1190" t="s">
        <v>538</v>
      </c>
      <c r="G1190" s="25">
        <v>44210</v>
      </c>
      <c r="H1190">
        <v>3</v>
      </c>
      <c r="I1190">
        <v>14</v>
      </c>
      <c r="J1190" t="s">
        <v>432</v>
      </c>
      <c r="K1190" t="s">
        <v>498</v>
      </c>
      <c r="L1190" t="s">
        <v>26</v>
      </c>
      <c r="M1190" t="s">
        <v>434</v>
      </c>
      <c r="N1190" t="s">
        <v>77</v>
      </c>
      <c r="O1190" t="s">
        <v>435</v>
      </c>
      <c r="P1190" t="s">
        <v>26</v>
      </c>
      <c r="Q1190">
        <v>22750</v>
      </c>
      <c r="R1190" t="s">
        <v>436</v>
      </c>
    </row>
    <row r="1191" spans="1:18" x14ac:dyDescent="0.25">
      <c r="A1191" t="s">
        <v>267</v>
      </c>
      <c r="B1191">
        <v>43</v>
      </c>
      <c r="C1191" t="s">
        <v>487</v>
      </c>
      <c r="D1191" t="s">
        <v>229</v>
      </c>
      <c r="E1191" t="s">
        <v>231</v>
      </c>
      <c r="F1191" t="s">
        <v>568</v>
      </c>
      <c r="G1191" s="25">
        <v>44198</v>
      </c>
      <c r="H1191">
        <v>1</v>
      </c>
      <c r="I1191">
        <v>2</v>
      </c>
      <c r="J1191" t="s">
        <v>432</v>
      </c>
      <c r="K1191" t="s">
        <v>498</v>
      </c>
      <c r="L1191" t="s">
        <v>26</v>
      </c>
      <c r="M1191" t="s">
        <v>434</v>
      </c>
      <c r="N1191" t="s">
        <v>77</v>
      </c>
      <c r="O1191" t="s">
        <v>435</v>
      </c>
      <c r="P1191" t="s">
        <v>26</v>
      </c>
      <c r="Q1191">
        <v>0</v>
      </c>
      <c r="R1191" t="s">
        <v>436</v>
      </c>
    </row>
    <row r="1192" spans="1:18" x14ac:dyDescent="0.25">
      <c r="A1192" t="s">
        <v>2467</v>
      </c>
      <c r="B1192">
        <v>1009</v>
      </c>
      <c r="C1192" t="s">
        <v>487</v>
      </c>
      <c r="D1192" t="s">
        <v>256</v>
      </c>
      <c r="E1192" t="s">
        <v>247</v>
      </c>
      <c r="F1192" t="s">
        <v>1299</v>
      </c>
      <c r="G1192" s="25">
        <v>44242</v>
      </c>
      <c r="H1192">
        <v>10</v>
      </c>
      <c r="I1192">
        <v>46</v>
      </c>
      <c r="J1192" t="s">
        <v>432</v>
      </c>
      <c r="K1192" t="s">
        <v>497</v>
      </c>
      <c r="L1192" t="s">
        <v>438</v>
      </c>
      <c r="M1192" t="s">
        <v>434</v>
      </c>
      <c r="N1192" t="s">
        <v>75</v>
      </c>
      <c r="O1192" t="s">
        <v>435</v>
      </c>
      <c r="P1192" t="s">
        <v>438</v>
      </c>
      <c r="Q1192">
        <v>62400</v>
      </c>
      <c r="R1192" t="s">
        <v>436</v>
      </c>
    </row>
    <row r="1193" spans="1:18" x14ac:dyDescent="0.25">
      <c r="A1193" t="s">
        <v>369</v>
      </c>
      <c r="B1193">
        <v>41</v>
      </c>
      <c r="C1193" t="s">
        <v>487</v>
      </c>
      <c r="D1193" t="s">
        <v>229</v>
      </c>
      <c r="E1193" t="s">
        <v>231</v>
      </c>
      <c r="F1193" t="s">
        <v>568</v>
      </c>
      <c r="G1193" s="25">
        <v>44198</v>
      </c>
      <c r="H1193">
        <v>1</v>
      </c>
      <c r="I1193">
        <v>2</v>
      </c>
      <c r="J1193" t="s">
        <v>432</v>
      </c>
      <c r="K1193" t="s">
        <v>497</v>
      </c>
      <c r="L1193" t="s">
        <v>438</v>
      </c>
      <c r="M1193" t="s">
        <v>434</v>
      </c>
      <c r="N1193" t="s">
        <v>75</v>
      </c>
      <c r="O1193" t="s">
        <v>435</v>
      </c>
      <c r="P1193" t="s">
        <v>438</v>
      </c>
      <c r="Q1193">
        <v>0</v>
      </c>
      <c r="R1193" t="s">
        <v>436</v>
      </c>
    </row>
    <row r="1194" spans="1:18" x14ac:dyDescent="0.25">
      <c r="A1194" t="s">
        <v>3593</v>
      </c>
      <c r="B1194">
        <v>2219</v>
      </c>
      <c r="C1194" t="s">
        <v>487</v>
      </c>
      <c r="D1194" t="s">
        <v>247</v>
      </c>
      <c r="E1194" t="s">
        <v>229</v>
      </c>
      <c r="F1194" t="s">
        <v>3063</v>
      </c>
      <c r="G1194" s="25">
        <v>44297</v>
      </c>
      <c r="H1194">
        <v>21</v>
      </c>
      <c r="I1194">
        <v>101</v>
      </c>
      <c r="J1194" t="s">
        <v>432</v>
      </c>
      <c r="K1194" t="s">
        <v>497</v>
      </c>
      <c r="L1194" t="s">
        <v>438</v>
      </c>
      <c r="M1194" t="s">
        <v>434</v>
      </c>
      <c r="N1194" t="s">
        <v>75</v>
      </c>
      <c r="O1194" t="s">
        <v>435</v>
      </c>
      <c r="P1194" t="s">
        <v>438</v>
      </c>
      <c r="Q1194">
        <v>41700</v>
      </c>
      <c r="R1194" t="s">
        <v>436</v>
      </c>
    </row>
    <row r="1195" spans="1:18" x14ac:dyDescent="0.25">
      <c r="A1195" t="s">
        <v>2122</v>
      </c>
      <c r="B1195">
        <v>939</v>
      </c>
      <c r="C1195" t="s">
        <v>487</v>
      </c>
      <c r="D1195" t="s">
        <v>256</v>
      </c>
      <c r="E1195" t="s">
        <v>256</v>
      </c>
      <c r="F1195" t="s">
        <v>1263</v>
      </c>
      <c r="G1195" s="25">
        <v>44239</v>
      </c>
      <c r="H1195">
        <v>9</v>
      </c>
      <c r="I1195">
        <v>43</v>
      </c>
      <c r="J1195" t="s">
        <v>432</v>
      </c>
      <c r="K1195" t="s">
        <v>496</v>
      </c>
      <c r="L1195" t="s">
        <v>69</v>
      </c>
      <c r="M1195" t="s">
        <v>434</v>
      </c>
      <c r="N1195" t="s">
        <v>68</v>
      </c>
      <c r="O1195" t="s">
        <v>21</v>
      </c>
      <c r="P1195" t="s">
        <v>439</v>
      </c>
      <c r="Q1195">
        <v>100000</v>
      </c>
      <c r="R1195" t="s">
        <v>237</v>
      </c>
    </row>
    <row r="1196" spans="1:18" x14ac:dyDescent="0.25">
      <c r="A1196" t="s">
        <v>2897</v>
      </c>
      <c r="B1196">
        <v>565</v>
      </c>
      <c r="C1196" t="s">
        <v>487</v>
      </c>
      <c r="D1196" t="s">
        <v>231</v>
      </c>
      <c r="E1196" t="s">
        <v>247</v>
      </c>
      <c r="F1196" t="s">
        <v>1088</v>
      </c>
      <c r="G1196" s="25">
        <v>44222</v>
      </c>
      <c r="H1196">
        <v>6</v>
      </c>
      <c r="I1196">
        <v>26</v>
      </c>
      <c r="J1196" t="s">
        <v>432</v>
      </c>
      <c r="K1196" t="s">
        <v>496</v>
      </c>
      <c r="L1196" t="s">
        <v>69</v>
      </c>
      <c r="M1196" t="s">
        <v>434</v>
      </c>
      <c r="N1196" t="s">
        <v>68</v>
      </c>
      <c r="O1196" t="s">
        <v>21</v>
      </c>
      <c r="P1196" t="s">
        <v>439</v>
      </c>
      <c r="Q1196">
        <v>64000</v>
      </c>
      <c r="R1196" t="s">
        <v>237</v>
      </c>
    </row>
    <row r="1197" spans="1:18" x14ac:dyDescent="0.25">
      <c r="A1197" t="s">
        <v>810</v>
      </c>
      <c r="B1197">
        <v>367</v>
      </c>
      <c r="C1197" t="s">
        <v>487</v>
      </c>
      <c r="D1197" t="s">
        <v>229</v>
      </c>
      <c r="E1197" t="s">
        <v>534</v>
      </c>
      <c r="F1197" t="s">
        <v>535</v>
      </c>
      <c r="G1197" s="25">
        <v>44213</v>
      </c>
      <c r="H1197">
        <v>4</v>
      </c>
      <c r="I1197">
        <v>17</v>
      </c>
      <c r="J1197" t="s">
        <v>432</v>
      </c>
      <c r="K1197" t="s">
        <v>496</v>
      </c>
      <c r="L1197" t="s">
        <v>69</v>
      </c>
      <c r="M1197" t="s">
        <v>434</v>
      </c>
      <c r="N1197" t="s">
        <v>68</v>
      </c>
      <c r="O1197" t="s">
        <v>21</v>
      </c>
      <c r="P1197" t="s">
        <v>439</v>
      </c>
      <c r="Q1197">
        <v>16625</v>
      </c>
      <c r="R1197" t="s">
        <v>237</v>
      </c>
    </row>
    <row r="1198" spans="1:18" x14ac:dyDescent="0.25">
      <c r="A1198" t="s">
        <v>2406</v>
      </c>
      <c r="B1198">
        <v>1775</v>
      </c>
      <c r="C1198" t="s">
        <v>487</v>
      </c>
      <c r="D1198" t="s">
        <v>322</v>
      </c>
      <c r="E1198" t="s">
        <v>229</v>
      </c>
      <c r="F1198" t="s">
        <v>1643</v>
      </c>
      <c r="G1198" s="25">
        <v>44277</v>
      </c>
      <c r="H1198">
        <v>17</v>
      </c>
      <c r="I1198">
        <v>81</v>
      </c>
      <c r="J1198" t="s">
        <v>432</v>
      </c>
      <c r="K1198" t="s">
        <v>496</v>
      </c>
      <c r="L1198" t="s">
        <v>69</v>
      </c>
      <c r="M1198" t="s">
        <v>434</v>
      </c>
      <c r="N1198" t="s">
        <v>68</v>
      </c>
      <c r="O1198" t="s">
        <v>21</v>
      </c>
      <c r="P1198" t="s">
        <v>439</v>
      </c>
      <c r="Q1198">
        <v>0</v>
      </c>
      <c r="R1198" t="s">
        <v>237</v>
      </c>
    </row>
    <row r="1199" spans="1:18" x14ac:dyDescent="0.25">
      <c r="A1199" t="s">
        <v>2676</v>
      </c>
      <c r="B1199">
        <v>1577</v>
      </c>
      <c r="C1199" t="s">
        <v>487</v>
      </c>
      <c r="D1199" t="s">
        <v>261</v>
      </c>
      <c r="E1199" t="s">
        <v>232</v>
      </c>
      <c r="F1199" t="s">
        <v>1500</v>
      </c>
      <c r="G1199" s="25">
        <v>44268</v>
      </c>
      <c r="H1199">
        <v>15</v>
      </c>
      <c r="I1199">
        <v>72</v>
      </c>
      <c r="J1199" t="s">
        <v>432</v>
      </c>
      <c r="K1199" t="s">
        <v>496</v>
      </c>
      <c r="L1199" t="s">
        <v>69</v>
      </c>
      <c r="M1199" t="s">
        <v>434</v>
      </c>
      <c r="N1199" t="s">
        <v>68</v>
      </c>
      <c r="O1199" t="s">
        <v>21</v>
      </c>
      <c r="P1199" t="s">
        <v>439</v>
      </c>
      <c r="Q1199">
        <v>104625</v>
      </c>
      <c r="R1199" t="s">
        <v>237</v>
      </c>
    </row>
    <row r="1200" spans="1:18" x14ac:dyDescent="0.25">
      <c r="A1200" t="s">
        <v>577</v>
      </c>
      <c r="B1200">
        <v>214</v>
      </c>
      <c r="C1200" t="s">
        <v>487</v>
      </c>
      <c r="D1200" t="s">
        <v>229</v>
      </c>
      <c r="E1200" t="s">
        <v>239</v>
      </c>
      <c r="F1200" t="s">
        <v>578</v>
      </c>
      <c r="G1200" s="25">
        <v>44206</v>
      </c>
      <c r="H1200">
        <v>2</v>
      </c>
      <c r="I1200">
        <v>10</v>
      </c>
      <c r="J1200" t="s">
        <v>432</v>
      </c>
      <c r="K1200" t="s">
        <v>495</v>
      </c>
      <c r="L1200" t="s">
        <v>135</v>
      </c>
      <c r="M1200" t="s">
        <v>434</v>
      </c>
      <c r="N1200" t="s">
        <v>70</v>
      </c>
      <c r="O1200" t="s">
        <v>21</v>
      </c>
      <c r="P1200" t="s">
        <v>440</v>
      </c>
      <c r="Q1200">
        <v>8000</v>
      </c>
      <c r="R1200" t="s">
        <v>237</v>
      </c>
    </row>
    <row r="1201" spans="1:18" x14ac:dyDescent="0.25">
      <c r="A1201" t="s">
        <v>3594</v>
      </c>
      <c r="B1201">
        <v>2282</v>
      </c>
      <c r="C1201" t="s">
        <v>487</v>
      </c>
      <c r="D1201" t="s">
        <v>247</v>
      </c>
      <c r="E1201" t="s">
        <v>261</v>
      </c>
      <c r="F1201" t="s">
        <v>3078</v>
      </c>
      <c r="G1201" s="25">
        <v>44300</v>
      </c>
      <c r="H1201">
        <v>21</v>
      </c>
      <c r="I1201">
        <v>104</v>
      </c>
      <c r="J1201" t="s">
        <v>432</v>
      </c>
      <c r="K1201" t="s">
        <v>495</v>
      </c>
      <c r="L1201" t="s">
        <v>135</v>
      </c>
      <c r="M1201" t="s">
        <v>434</v>
      </c>
      <c r="N1201" t="s">
        <v>70</v>
      </c>
      <c r="O1201" t="s">
        <v>21</v>
      </c>
      <c r="P1201" t="s">
        <v>440</v>
      </c>
      <c r="Q1201">
        <v>551375</v>
      </c>
      <c r="R1201" t="s">
        <v>237</v>
      </c>
    </row>
    <row r="1202" spans="1:18" x14ac:dyDescent="0.25">
      <c r="A1202" t="s">
        <v>3595</v>
      </c>
      <c r="B1202">
        <v>2084</v>
      </c>
      <c r="C1202" t="s">
        <v>487</v>
      </c>
      <c r="D1202" t="s">
        <v>322</v>
      </c>
      <c r="E1202" t="s">
        <v>575</v>
      </c>
      <c r="F1202" t="s">
        <v>3014</v>
      </c>
      <c r="G1202" s="25">
        <v>44291</v>
      </c>
      <c r="H1202">
        <v>19</v>
      </c>
      <c r="I1202">
        <v>95</v>
      </c>
      <c r="J1202" t="s">
        <v>432</v>
      </c>
      <c r="K1202" t="s">
        <v>495</v>
      </c>
      <c r="L1202" t="s">
        <v>135</v>
      </c>
      <c r="M1202" t="s">
        <v>434</v>
      </c>
      <c r="N1202" t="s">
        <v>70</v>
      </c>
      <c r="O1202" t="s">
        <v>21</v>
      </c>
      <c r="P1202" t="s">
        <v>440</v>
      </c>
      <c r="Q1202">
        <v>621000</v>
      </c>
      <c r="R1202" t="s">
        <v>237</v>
      </c>
    </row>
    <row r="1203" spans="1:18" x14ac:dyDescent="0.25">
      <c r="A1203" t="s">
        <v>3596</v>
      </c>
      <c r="B1203">
        <v>2418</v>
      </c>
      <c r="C1203" t="s">
        <v>487</v>
      </c>
      <c r="D1203" t="s">
        <v>247</v>
      </c>
      <c r="E1203" t="s">
        <v>239</v>
      </c>
      <c r="F1203" t="s">
        <v>3118</v>
      </c>
      <c r="G1203" s="25">
        <v>44306</v>
      </c>
      <c r="H1203">
        <v>22</v>
      </c>
      <c r="I1203">
        <v>110</v>
      </c>
      <c r="J1203" t="s">
        <v>432</v>
      </c>
      <c r="K1203" t="s">
        <v>494</v>
      </c>
      <c r="L1203" t="s">
        <v>25</v>
      </c>
      <c r="M1203" t="s">
        <v>434</v>
      </c>
      <c r="N1203" t="s">
        <v>76</v>
      </c>
      <c r="O1203" t="s">
        <v>435</v>
      </c>
      <c r="P1203" t="s">
        <v>25</v>
      </c>
      <c r="Q1203">
        <v>37950</v>
      </c>
      <c r="R1203" t="s">
        <v>436</v>
      </c>
    </row>
    <row r="1204" spans="1:18" x14ac:dyDescent="0.25">
      <c r="A1204" t="s">
        <v>2196</v>
      </c>
      <c r="B1204">
        <v>1780</v>
      </c>
      <c r="C1204" t="s">
        <v>487</v>
      </c>
      <c r="D1204" t="s">
        <v>322</v>
      </c>
      <c r="E1204" t="s">
        <v>229</v>
      </c>
      <c r="F1204" t="s">
        <v>1643</v>
      </c>
      <c r="G1204" s="25">
        <v>44277</v>
      </c>
      <c r="H1204">
        <v>17</v>
      </c>
      <c r="I1204">
        <v>81</v>
      </c>
      <c r="J1204" t="s">
        <v>432</v>
      </c>
      <c r="K1204" t="s">
        <v>494</v>
      </c>
      <c r="L1204" t="s">
        <v>25</v>
      </c>
      <c r="M1204" t="s">
        <v>434</v>
      </c>
      <c r="N1204" t="s">
        <v>76</v>
      </c>
      <c r="O1204" t="s">
        <v>435</v>
      </c>
      <c r="P1204" t="s">
        <v>25</v>
      </c>
      <c r="Q1204">
        <v>25800</v>
      </c>
      <c r="R1204" t="s">
        <v>436</v>
      </c>
    </row>
    <row r="1205" spans="1:18" x14ac:dyDescent="0.25">
      <c r="A1205" t="s">
        <v>2683</v>
      </c>
      <c r="B1205">
        <v>1472</v>
      </c>
      <c r="C1205" t="s">
        <v>487</v>
      </c>
      <c r="D1205" t="s">
        <v>261</v>
      </c>
      <c r="E1205" t="s">
        <v>326</v>
      </c>
      <c r="F1205" t="s">
        <v>1440</v>
      </c>
      <c r="G1205" s="25">
        <v>44263</v>
      </c>
      <c r="H1205">
        <v>14</v>
      </c>
      <c r="I1205">
        <v>67</v>
      </c>
      <c r="J1205" t="s">
        <v>432</v>
      </c>
      <c r="K1205" t="s">
        <v>494</v>
      </c>
      <c r="L1205" t="s">
        <v>25</v>
      </c>
      <c r="M1205" t="s">
        <v>434</v>
      </c>
      <c r="N1205" t="s">
        <v>76</v>
      </c>
      <c r="O1205" t="s">
        <v>435</v>
      </c>
      <c r="P1205" t="s">
        <v>25</v>
      </c>
      <c r="Q1205">
        <v>38100</v>
      </c>
      <c r="R1205" t="s">
        <v>436</v>
      </c>
    </row>
    <row r="1206" spans="1:18" x14ac:dyDescent="0.25">
      <c r="A1206" t="s">
        <v>2572</v>
      </c>
      <c r="B1206">
        <v>944</v>
      </c>
      <c r="C1206" t="s">
        <v>487</v>
      </c>
      <c r="D1206" t="s">
        <v>256</v>
      </c>
      <c r="E1206" t="s">
        <v>256</v>
      </c>
      <c r="F1206" t="s">
        <v>1263</v>
      </c>
      <c r="G1206" s="25">
        <v>44239</v>
      </c>
      <c r="H1206">
        <v>9</v>
      </c>
      <c r="I1206">
        <v>43</v>
      </c>
      <c r="J1206" t="s">
        <v>432</v>
      </c>
      <c r="K1206" t="s">
        <v>494</v>
      </c>
      <c r="L1206" t="s">
        <v>25</v>
      </c>
      <c r="M1206" t="s">
        <v>434</v>
      </c>
      <c r="N1206" t="s">
        <v>76</v>
      </c>
      <c r="O1206" t="s">
        <v>435</v>
      </c>
      <c r="P1206" t="s">
        <v>25</v>
      </c>
      <c r="Q1206">
        <v>21600</v>
      </c>
      <c r="R1206" t="s">
        <v>436</v>
      </c>
    </row>
    <row r="1207" spans="1:18" x14ac:dyDescent="0.25">
      <c r="A1207" t="s">
        <v>2413</v>
      </c>
      <c r="B1207">
        <v>570</v>
      </c>
      <c r="C1207" t="s">
        <v>487</v>
      </c>
      <c r="D1207" t="s">
        <v>231</v>
      </c>
      <c r="E1207" t="s">
        <v>247</v>
      </c>
      <c r="F1207" t="s">
        <v>1088</v>
      </c>
      <c r="G1207" s="25">
        <v>44222</v>
      </c>
      <c r="H1207">
        <v>6</v>
      </c>
      <c r="I1207">
        <v>26</v>
      </c>
      <c r="J1207" t="s">
        <v>432</v>
      </c>
      <c r="K1207" t="s">
        <v>494</v>
      </c>
      <c r="L1207" t="s">
        <v>25</v>
      </c>
      <c r="M1207" t="s">
        <v>434</v>
      </c>
      <c r="N1207" t="s">
        <v>76</v>
      </c>
      <c r="O1207" t="s">
        <v>435</v>
      </c>
      <c r="P1207" t="s">
        <v>25</v>
      </c>
      <c r="Q1207">
        <v>36000</v>
      </c>
      <c r="R1207" t="s">
        <v>436</v>
      </c>
    </row>
    <row r="1208" spans="1:18" x14ac:dyDescent="0.25">
      <c r="A1208" t="s">
        <v>1694</v>
      </c>
      <c r="B1208">
        <v>1276</v>
      </c>
      <c r="C1208" t="s">
        <v>487</v>
      </c>
      <c r="D1208" t="s">
        <v>256</v>
      </c>
      <c r="E1208" t="s">
        <v>552</v>
      </c>
      <c r="F1208" t="s">
        <v>1365</v>
      </c>
      <c r="G1208" s="25">
        <v>44254</v>
      </c>
      <c r="H1208">
        <v>12</v>
      </c>
      <c r="I1208">
        <v>58</v>
      </c>
      <c r="J1208" t="s">
        <v>432</v>
      </c>
      <c r="K1208" t="s">
        <v>493</v>
      </c>
      <c r="L1208" t="s">
        <v>441</v>
      </c>
      <c r="M1208" t="s">
        <v>434</v>
      </c>
      <c r="N1208" t="s">
        <v>78</v>
      </c>
      <c r="O1208" t="s">
        <v>435</v>
      </c>
      <c r="P1208" t="s">
        <v>441</v>
      </c>
      <c r="Q1208">
        <v>192762.5</v>
      </c>
      <c r="R1208" t="s">
        <v>436</v>
      </c>
    </row>
    <row r="1209" spans="1:18" x14ac:dyDescent="0.25">
      <c r="A1209" t="s">
        <v>2011</v>
      </c>
      <c r="B1209">
        <v>1007</v>
      </c>
      <c r="C1209" t="s">
        <v>487</v>
      </c>
      <c r="D1209" t="s">
        <v>256</v>
      </c>
      <c r="E1209" t="s">
        <v>247</v>
      </c>
      <c r="F1209" t="s">
        <v>1299</v>
      </c>
      <c r="G1209" s="25">
        <v>44242</v>
      </c>
      <c r="H1209">
        <v>10</v>
      </c>
      <c r="I1209">
        <v>46</v>
      </c>
      <c r="J1209" t="s">
        <v>432</v>
      </c>
      <c r="K1209" t="s">
        <v>492</v>
      </c>
      <c r="L1209" t="s">
        <v>24</v>
      </c>
      <c r="M1209" t="s">
        <v>434</v>
      </c>
      <c r="N1209" t="s">
        <v>71</v>
      </c>
      <c r="O1209" t="s">
        <v>435</v>
      </c>
      <c r="P1209" t="s">
        <v>24</v>
      </c>
      <c r="Q1209">
        <v>53100</v>
      </c>
      <c r="R1209" t="s">
        <v>436</v>
      </c>
    </row>
    <row r="1210" spans="1:18" x14ac:dyDescent="0.25">
      <c r="A1210" t="s">
        <v>246</v>
      </c>
      <c r="B1210">
        <v>39</v>
      </c>
      <c r="C1210" t="s">
        <v>487</v>
      </c>
      <c r="D1210" t="s">
        <v>229</v>
      </c>
      <c r="E1210" t="s">
        <v>231</v>
      </c>
      <c r="F1210" t="s">
        <v>568</v>
      </c>
      <c r="G1210" s="25">
        <v>44198</v>
      </c>
      <c r="H1210">
        <v>1</v>
      </c>
      <c r="I1210">
        <v>2</v>
      </c>
      <c r="J1210" t="s">
        <v>432</v>
      </c>
      <c r="K1210" t="s">
        <v>492</v>
      </c>
      <c r="L1210" t="s">
        <v>24</v>
      </c>
      <c r="M1210" t="s">
        <v>434</v>
      </c>
      <c r="N1210" t="s">
        <v>71</v>
      </c>
      <c r="O1210" t="s">
        <v>435</v>
      </c>
      <c r="P1210" t="s">
        <v>24</v>
      </c>
      <c r="Q1210">
        <v>0</v>
      </c>
      <c r="R1210" t="s">
        <v>436</v>
      </c>
    </row>
    <row r="1211" spans="1:18" x14ac:dyDescent="0.25">
      <c r="A1211" t="s">
        <v>3597</v>
      </c>
      <c r="B1211">
        <v>2217</v>
      </c>
      <c r="C1211" t="s">
        <v>487</v>
      </c>
      <c r="D1211" t="s">
        <v>247</v>
      </c>
      <c r="E1211" t="s">
        <v>229</v>
      </c>
      <c r="F1211" t="s">
        <v>3063</v>
      </c>
      <c r="G1211" s="25">
        <v>44297</v>
      </c>
      <c r="H1211">
        <v>21</v>
      </c>
      <c r="I1211">
        <v>101</v>
      </c>
      <c r="J1211" t="s">
        <v>432</v>
      </c>
      <c r="K1211" t="s">
        <v>492</v>
      </c>
      <c r="L1211" t="s">
        <v>24</v>
      </c>
      <c r="M1211" t="s">
        <v>434</v>
      </c>
      <c r="N1211" t="s">
        <v>71</v>
      </c>
      <c r="O1211" t="s">
        <v>435</v>
      </c>
      <c r="P1211" t="s">
        <v>24</v>
      </c>
      <c r="Q1211">
        <v>60900</v>
      </c>
      <c r="R1211" t="s">
        <v>436</v>
      </c>
    </row>
    <row r="1212" spans="1:18" x14ac:dyDescent="0.25">
      <c r="A1212" t="s">
        <v>2202</v>
      </c>
      <c r="B1212">
        <v>1020</v>
      </c>
      <c r="C1212" t="s">
        <v>487</v>
      </c>
      <c r="D1212" t="s">
        <v>256</v>
      </c>
      <c r="E1212" t="s">
        <v>326</v>
      </c>
      <c r="F1212" t="s">
        <v>1305</v>
      </c>
      <c r="G1212" s="25">
        <v>44243</v>
      </c>
      <c r="H1212">
        <v>10</v>
      </c>
      <c r="I1212">
        <v>47</v>
      </c>
      <c r="J1212" t="s">
        <v>231</v>
      </c>
      <c r="K1212" t="s">
        <v>491</v>
      </c>
      <c r="L1212" t="s">
        <v>233</v>
      </c>
      <c r="M1212" t="s">
        <v>234</v>
      </c>
      <c r="N1212" t="s">
        <v>54</v>
      </c>
      <c r="O1212" t="s">
        <v>235</v>
      </c>
      <c r="P1212" t="s">
        <v>236</v>
      </c>
      <c r="Q1212">
        <v>16000</v>
      </c>
      <c r="R1212" t="s">
        <v>237</v>
      </c>
    </row>
    <row r="1213" spans="1:18" x14ac:dyDescent="0.25">
      <c r="A1213" t="s">
        <v>354</v>
      </c>
      <c r="B1213">
        <v>52</v>
      </c>
      <c r="C1213" t="s">
        <v>487</v>
      </c>
      <c r="D1213" t="s">
        <v>229</v>
      </c>
      <c r="E1213" t="s">
        <v>256</v>
      </c>
      <c r="F1213" t="s">
        <v>525</v>
      </c>
      <c r="G1213" s="25">
        <v>44199</v>
      </c>
      <c r="H1213">
        <v>1</v>
      </c>
      <c r="I1213">
        <v>3</v>
      </c>
      <c r="J1213" t="s">
        <v>231</v>
      </c>
      <c r="K1213" t="s">
        <v>491</v>
      </c>
      <c r="L1213" t="s">
        <v>233</v>
      </c>
      <c r="M1213" t="s">
        <v>234</v>
      </c>
      <c r="N1213" t="s">
        <v>54</v>
      </c>
      <c r="O1213" t="s">
        <v>235</v>
      </c>
      <c r="P1213" t="s">
        <v>236</v>
      </c>
      <c r="Q1213">
        <v>0</v>
      </c>
      <c r="R1213" t="s">
        <v>237</v>
      </c>
    </row>
    <row r="1214" spans="1:18" x14ac:dyDescent="0.25">
      <c r="A1214" t="s">
        <v>3598</v>
      </c>
      <c r="B1214">
        <v>2230</v>
      </c>
      <c r="C1214" t="s">
        <v>487</v>
      </c>
      <c r="D1214" t="s">
        <v>247</v>
      </c>
      <c r="E1214" t="s">
        <v>231</v>
      </c>
      <c r="F1214" t="s">
        <v>3070</v>
      </c>
      <c r="G1214" s="25">
        <v>44298</v>
      </c>
      <c r="H1214">
        <v>21</v>
      </c>
      <c r="I1214">
        <v>102</v>
      </c>
      <c r="J1214" t="s">
        <v>231</v>
      </c>
      <c r="K1214" t="s">
        <v>491</v>
      </c>
      <c r="L1214" t="s">
        <v>233</v>
      </c>
      <c r="M1214" t="s">
        <v>234</v>
      </c>
      <c r="N1214" t="s">
        <v>54</v>
      </c>
      <c r="O1214" t="s">
        <v>235</v>
      </c>
      <c r="P1214" t="s">
        <v>236</v>
      </c>
      <c r="Q1214">
        <v>24000</v>
      </c>
      <c r="R1214" t="s">
        <v>237</v>
      </c>
    </row>
    <row r="1215" spans="1:18" x14ac:dyDescent="0.25">
      <c r="A1215" t="s">
        <v>772</v>
      </c>
      <c r="B1215">
        <v>431</v>
      </c>
      <c r="C1215" t="s">
        <v>487</v>
      </c>
      <c r="D1215" t="s">
        <v>229</v>
      </c>
      <c r="E1215" t="s">
        <v>408</v>
      </c>
      <c r="F1215" t="s">
        <v>527</v>
      </c>
      <c r="G1215" s="25">
        <v>44216</v>
      </c>
      <c r="H1215">
        <v>4</v>
      </c>
      <c r="I1215">
        <v>20</v>
      </c>
      <c r="J1215" t="s">
        <v>432</v>
      </c>
      <c r="K1215" t="s">
        <v>490</v>
      </c>
      <c r="L1215" t="s">
        <v>65</v>
      </c>
      <c r="M1215" t="s">
        <v>434</v>
      </c>
      <c r="N1215" t="s">
        <v>64</v>
      </c>
      <c r="O1215" t="s">
        <v>235</v>
      </c>
      <c r="P1215" t="s">
        <v>442</v>
      </c>
      <c r="Q1215">
        <v>48000</v>
      </c>
      <c r="R1215" t="s">
        <v>237</v>
      </c>
    </row>
    <row r="1216" spans="1:18" x14ac:dyDescent="0.25">
      <c r="A1216" t="s">
        <v>3599</v>
      </c>
      <c r="B1216">
        <v>2235</v>
      </c>
      <c r="C1216" t="s">
        <v>487</v>
      </c>
      <c r="D1216" t="s">
        <v>247</v>
      </c>
      <c r="E1216" t="s">
        <v>231</v>
      </c>
      <c r="F1216" t="s">
        <v>3070</v>
      </c>
      <c r="G1216" s="25">
        <v>44298</v>
      </c>
      <c r="H1216">
        <v>21</v>
      </c>
      <c r="I1216">
        <v>102</v>
      </c>
      <c r="J1216" t="s">
        <v>432</v>
      </c>
      <c r="K1216" t="s">
        <v>490</v>
      </c>
      <c r="L1216" t="s">
        <v>65</v>
      </c>
      <c r="M1216" t="s">
        <v>434</v>
      </c>
      <c r="N1216" t="s">
        <v>64</v>
      </c>
      <c r="O1216" t="s">
        <v>235</v>
      </c>
      <c r="P1216" t="s">
        <v>442</v>
      </c>
      <c r="Q1216">
        <v>358625</v>
      </c>
      <c r="R1216" t="s">
        <v>237</v>
      </c>
    </row>
    <row r="1217" spans="1:18" x14ac:dyDescent="0.25">
      <c r="A1217" t="s">
        <v>2496</v>
      </c>
      <c r="B1217">
        <v>1334</v>
      </c>
      <c r="C1217" t="s">
        <v>487</v>
      </c>
      <c r="D1217" t="s">
        <v>261</v>
      </c>
      <c r="E1217" t="s">
        <v>229</v>
      </c>
      <c r="F1217" t="s">
        <v>1388</v>
      </c>
      <c r="G1217" s="25">
        <v>44257</v>
      </c>
      <c r="H1217">
        <v>13</v>
      </c>
      <c r="I1217">
        <v>61</v>
      </c>
      <c r="J1217" t="s">
        <v>432</v>
      </c>
      <c r="K1217" t="s">
        <v>489</v>
      </c>
      <c r="L1217" t="s">
        <v>134</v>
      </c>
      <c r="M1217" t="s">
        <v>434</v>
      </c>
      <c r="N1217" t="s">
        <v>67</v>
      </c>
      <c r="O1217" t="s">
        <v>235</v>
      </c>
      <c r="P1217" t="s">
        <v>437</v>
      </c>
      <c r="Q1217">
        <v>344000</v>
      </c>
      <c r="R1217" t="s">
        <v>237</v>
      </c>
    </row>
    <row r="1218" spans="1:18" x14ac:dyDescent="0.25">
      <c r="A1218" t="s">
        <v>2588</v>
      </c>
      <c r="B1218">
        <v>960</v>
      </c>
      <c r="C1218" t="s">
        <v>487</v>
      </c>
      <c r="D1218" t="s">
        <v>256</v>
      </c>
      <c r="E1218" t="s">
        <v>261</v>
      </c>
      <c r="F1218" t="s">
        <v>1276</v>
      </c>
      <c r="G1218" s="25">
        <v>44240</v>
      </c>
      <c r="H1218">
        <v>9</v>
      </c>
      <c r="I1218">
        <v>44</v>
      </c>
      <c r="J1218" t="s">
        <v>432</v>
      </c>
      <c r="K1218" t="s">
        <v>489</v>
      </c>
      <c r="L1218" t="s">
        <v>134</v>
      </c>
      <c r="M1218" t="s">
        <v>434</v>
      </c>
      <c r="N1218" t="s">
        <v>67</v>
      </c>
      <c r="O1218" t="s">
        <v>235</v>
      </c>
      <c r="P1218" t="s">
        <v>437</v>
      </c>
      <c r="Q1218">
        <v>186625</v>
      </c>
      <c r="R1218" t="s">
        <v>237</v>
      </c>
    </row>
    <row r="1219" spans="1:18" x14ac:dyDescent="0.25">
      <c r="A1219" t="s">
        <v>258</v>
      </c>
      <c r="B1219">
        <v>124</v>
      </c>
      <c r="C1219" t="s">
        <v>487</v>
      </c>
      <c r="D1219" t="s">
        <v>229</v>
      </c>
      <c r="E1219" t="s">
        <v>247</v>
      </c>
      <c r="F1219" t="s">
        <v>524</v>
      </c>
      <c r="G1219" s="25">
        <v>44202</v>
      </c>
      <c r="H1219">
        <v>2</v>
      </c>
      <c r="I1219">
        <v>6</v>
      </c>
      <c r="J1219" t="s">
        <v>432</v>
      </c>
      <c r="K1219" t="s">
        <v>489</v>
      </c>
      <c r="L1219" t="s">
        <v>134</v>
      </c>
      <c r="M1219" t="s">
        <v>434</v>
      </c>
      <c r="N1219" t="s">
        <v>67</v>
      </c>
      <c r="O1219" t="s">
        <v>235</v>
      </c>
      <c r="P1219" t="s">
        <v>437</v>
      </c>
      <c r="Q1219">
        <v>96000</v>
      </c>
      <c r="R1219" t="s">
        <v>237</v>
      </c>
    </row>
    <row r="1220" spans="1:18" x14ac:dyDescent="0.25">
      <c r="A1220" t="s">
        <v>3600</v>
      </c>
      <c r="B1220">
        <v>2049</v>
      </c>
      <c r="C1220" t="s">
        <v>487</v>
      </c>
      <c r="D1220" t="s">
        <v>322</v>
      </c>
      <c r="E1220" t="s">
        <v>537</v>
      </c>
      <c r="F1220" t="s">
        <v>2999</v>
      </c>
      <c r="G1220" s="25">
        <v>44290</v>
      </c>
      <c r="H1220">
        <v>19</v>
      </c>
      <c r="I1220">
        <v>94</v>
      </c>
      <c r="J1220" t="s">
        <v>231</v>
      </c>
      <c r="K1220" t="s">
        <v>509</v>
      </c>
      <c r="L1220" t="s">
        <v>45</v>
      </c>
      <c r="M1220" t="s">
        <v>234</v>
      </c>
      <c r="N1220" t="s">
        <v>44</v>
      </c>
      <c r="O1220" t="s">
        <v>21</v>
      </c>
      <c r="P1220" t="s">
        <v>304</v>
      </c>
      <c r="Q1220">
        <v>0</v>
      </c>
      <c r="R1220" t="s">
        <v>237</v>
      </c>
    </row>
    <row r="1221" spans="1:18" x14ac:dyDescent="0.25">
      <c r="A1221" t="s">
        <v>1972</v>
      </c>
      <c r="B1221">
        <v>1147</v>
      </c>
      <c r="C1221" t="s">
        <v>487</v>
      </c>
      <c r="D1221" t="s">
        <v>256</v>
      </c>
      <c r="E1221" t="s">
        <v>512</v>
      </c>
      <c r="F1221" t="s">
        <v>1342</v>
      </c>
      <c r="G1221" s="25">
        <v>44249</v>
      </c>
      <c r="H1221">
        <v>11</v>
      </c>
      <c r="I1221">
        <v>53</v>
      </c>
      <c r="J1221" t="s">
        <v>231</v>
      </c>
      <c r="K1221" t="s">
        <v>509</v>
      </c>
      <c r="L1221" t="s">
        <v>45</v>
      </c>
      <c r="M1221" t="s">
        <v>234</v>
      </c>
      <c r="N1221" t="s">
        <v>44</v>
      </c>
      <c r="O1221" t="s">
        <v>21</v>
      </c>
      <c r="P1221" t="s">
        <v>304</v>
      </c>
      <c r="Q1221">
        <v>0</v>
      </c>
      <c r="R1221" t="s">
        <v>237</v>
      </c>
    </row>
    <row r="1222" spans="1:18" x14ac:dyDescent="0.25">
      <c r="A1222" t="s">
        <v>2435</v>
      </c>
      <c r="B1222">
        <v>531</v>
      </c>
      <c r="C1222" t="s">
        <v>487</v>
      </c>
      <c r="D1222" t="s">
        <v>231</v>
      </c>
      <c r="E1222" t="s">
        <v>322</v>
      </c>
      <c r="F1222" t="s">
        <v>1085</v>
      </c>
      <c r="G1222" s="25">
        <v>44221</v>
      </c>
      <c r="H1222">
        <v>5</v>
      </c>
      <c r="I1222">
        <v>25</v>
      </c>
      <c r="J1222" t="s">
        <v>231</v>
      </c>
      <c r="K1222" t="s">
        <v>509</v>
      </c>
      <c r="L1222" t="s">
        <v>45</v>
      </c>
      <c r="M1222" t="s">
        <v>234</v>
      </c>
      <c r="N1222" t="s">
        <v>44</v>
      </c>
      <c r="O1222" t="s">
        <v>21</v>
      </c>
      <c r="P1222" t="s">
        <v>304</v>
      </c>
      <c r="Q1222">
        <v>0</v>
      </c>
      <c r="R1222" t="s">
        <v>237</v>
      </c>
    </row>
    <row r="1223" spans="1:18" x14ac:dyDescent="0.25">
      <c r="A1223" t="s">
        <v>291</v>
      </c>
      <c r="B1223">
        <v>48</v>
      </c>
      <c r="C1223" t="s">
        <v>487</v>
      </c>
      <c r="D1223" t="s">
        <v>229</v>
      </c>
      <c r="E1223" t="s">
        <v>256</v>
      </c>
      <c r="F1223" t="s">
        <v>525</v>
      </c>
      <c r="G1223" s="25">
        <v>44199</v>
      </c>
      <c r="H1223">
        <v>1</v>
      </c>
      <c r="I1223">
        <v>3</v>
      </c>
      <c r="J1223" t="s">
        <v>231</v>
      </c>
      <c r="K1223" t="s">
        <v>508</v>
      </c>
      <c r="L1223" t="s">
        <v>47</v>
      </c>
      <c r="M1223" t="s">
        <v>234</v>
      </c>
      <c r="N1223" t="s">
        <v>46</v>
      </c>
      <c r="O1223" t="s">
        <v>21</v>
      </c>
      <c r="P1223" t="s">
        <v>288</v>
      </c>
      <c r="Q1223">
        <v>0</v>
      </c>
      <c r="R1223" t="s">
        <v>237</v>
      </c>
    </row>
    <row r="1224" spans="1:18" x14ac:dyDescent="0.25">
      <c r="A1224" t="s">
        <v>3601</v>
      </c>
      <c r="B1224">
        <v>2490</v>
      </c>
      <c r="C1224" t="s">
        <v>487</v>
      </c>
      <c r="D1224" t="s">
        <v>247</v>
      </c>
      <c r="E1224" t="s">
        <v>537</v>
      </c>
      <c r="F1224" t="s">
        <v>3153</v>
      </c>
      <c r="G1224" s="25">
        <v>44310</v>
      </c>
      <c r="H1224">
        <v>23</v>
      </c>
      <c r="I1224">
        <v>114</v>
      </c>
      <c r="J1224" t="s">
        <v>231</v>
      </c>
      <c r="K1224" t="s">
        <v>508</v>
      </c>
      <c r="L1224" t="s">
        <v>47</v>
      </c>
      <c r="M1224" t="s">
        <v>234</v>
      </c>
      <c r="N1224" t="s">
        <v>46</v>
      </c>
      <c r="O1224" t="s">
        <v>21</v>
      </c>
      <c r="P1224" t="s">
        <v>288</v>
      </c>
      <c r="Q1224">
        <v>9082</v>
      </c>
      <c r="R1224" t="s">
        <v>237</v>
      </c>
    </row>
    <row r="1225" spans="1:18" x14ac:dyDescent="0.25">
      <c r="A1225" t="s">
        <v>3602</v>
      </c>
      <c r="B1225">
        <v>2226</v>
      </c>
      <c r="C1225" t="s">
        <v>487</v>
      </c>
      <c r="D1225" t="s">
        <v>247</v>
      </c>
      <c r="E1225" t="s">
        <v>231</v>
      </c>
      <c r="F1225" t="s">
        <v>3070</v>
      </c>
      <c r="G1225" s="25">
        <v>44298</v>
      </c>
      <c r="H1225">
        <v>21</v>
      </c>
      <c r="I1225">
        <v>102</v>
      </c>
      <c r="J1225" t="s">
        <v>231</v>
      </c>
      <c r="K1225" t="s">
        <v>508</v>
      </c>
      <c r="L1225" t="s">
        <v>47</v>
      </c>
      <c r="M1225" t="s">
        <v>234</v>
      </c>
      <c r="N1225" t="s">
        <v>46</v>
      </c>
      <c r="O1225" t="s">
        <v>21</v>
      </c>
      <c r="P1225" t="s">
        <v>288</v>
      </c>
      <c r="Q1225">
        <v>0</v>
      </c>
      <c r="R1225" t="s">
        <v>237</v>
      </c>
    </row>
    <row r="1226" spans="1:18" x14ac:dyDescent="0.25">
      <c r="A1226" t="s">
        <v>2285</v>
      </c>
      <c r="B1226">
        <v>731</v>
      </c>
      <c r="C1226" t="s">
        <v>487</v>
      </c>
      <c r="D1226" t="s">
        <v>231</v>
      </c>
      <c r="E1226" t="s">
        <v>537</v>
      </c>
      <c r="F1226" t="s">
        <v>1192</v>
      </c>
      <c r="G1226" s="25">
        <v>44230</v>
      </c>
      <c r="H1226">
        <v>7</v>
      </c>
      <c r="I1226">
        <v>34</v>
      </c>
      <c r="J1226" t="s">
        <v>231</v>
      </c>
      <c r="K1226" t="s">
        <v>507</v>
      </c>
      <c r="L1226" t="s">
        <v>49</v>
      </c>
      <c r="M1226" t="s">
        <v>234</v>
      </c>
      <c r="N1226" t="s">
        <v>48</v>
      </c>
      <c r="O1226" t="s">
        <v>21</v>
      </c>
      <c r="P1226" t="s">
        <v>413</v>
      </c>
      <c r="Q1226">
        <v>0</v>
      </c>
      <c r="R1226" t="s">
        <v>237</v>
      </c>
    </row>
    <row r="1227" spans="1:18" x14ac:dyDescent="0.25">
      <c r="A1227" t="s">
        <v>1855</v>
      </c>
      <c r="B1227">
        <v>665</v>
      </c>
      <c r="C1227" t="s">
        <v>487</v>
      </c>
      <c r="D1227" t="s">
        <v>231</v>
      </c>
      <c r="E1227" t="s">
        <v>515</v>
      </c>
      <c r="F1227" t="s">
        <v>1150</v>
      </c>
      <c r="G1227" s="25">
        <v>44227</v>
      </c>
      <c r="H1227">
        <v>7</v>
      </c>
      <c r="I1227">
        <v>31</v>
      </c>
      <c r="J1227" t="s">
        <v>231</v>
      </c>
      <c r="K1227" t="s">
        <v>507</v>
      </c>
      <c r="L1227" t="s">
        <v>49</v>
      </c>
      <c r="M1227" t="s">
        <v>234</v>
      </c>
      <c r="N1227" t="s">
        <v>48</v>
      </c>
      <c r="O1227" t="s">
        <v>21</v>
      </c>
      <c r="P1227" t="s">
        <v>413</v>
      </c>
      <c r="Q1227">
        <v>0</v>
      </c>
      <c r="R1227" t="s">
        <v>237</v>
      </c>
    </row>
    <row r="1228" spans="1:18" x14ac:dyDescent="0.25">
      <c r="A1228" t="s">
        <v>832</v>
      </c>
      <c r="B1228">
        <v>357</v>
      </c>
      <c r="C1228" t="s">
        <v>487</v>
      </c>
      <c r="D1228" t="s">
        <v>229</v>
      </c>
      <c r="E1228" t="s">
        <v>534</v>
      </c>
      <c r="F1228" t="s">
        <v>535</v>
      </c>
      <c r="G1228" s="25">
        <v>44213</v>
      </c>
      <c r="H1228">
        <v>4</v>
      </c>
      <c r="I1228">
        <v>17</v>
      </c>
      <c r="J1228" t="s">
        <v>231</v>
      </c>
      <c r="K1228" t="s">
        <v>507</v>
      </c>
      <c r="L1228" t="s">
        <v>49</v>
      </c>
      <c r="M1228" t="s">
        <v>234</v>
      </c>
      <c r="N1228" t="s">
        <v>48</v>
      </c>
      <c r="O1228" t="s">
        <v>21</v>
      </c>
      <c r="P1228" t="s">
        <v>413</v>
      </c>
      <c r="Q1228">
        <v>0</v>
      </c>
      <c r="R1228" t="s">
        <v>237</v>
      </c>
    </row>
    <row r="1229" spans="1:18" x14ac:dyDescent="0.25">
      <c r="A1229" t="s">
        <v>3603</v>
      </c>
      <c r="B1229">
        <v>2535</v>
      </c>
      <c r="C1229" t="s">
        <v>487</v>
      </c>
      <c r="D1229" t="s">
        <v>247</v>
      </c>
      <c r="E1229" t="s">
        <v>620</v>
      </c>
      <c r="F1229" t="s">
        <v>3162</v>
      </c>
      <c r="G1229" s="25">
        <v>44312</v>
      </c>
      <c r="H1229">
        <v>24</v>
      </c>
      <c r="I1229">
        <v>116</v>
      </c>
      <c r="J1229" t="s">
        <v>231</v>
      </c>
      <c r="K1229" t="s">
        <v>507</v>
      </c>
      <c r="L1229" t="s">
        <v>49</v>
      </c>
      <c r="M1229" t="s">
        <v>234</v>
      </c>
      <c r="N1229" t="s">
        <v>48</v>
      </c>
      <c r="O1229" t="s">
        <v>21</v>
      </c>
      <c r="P1229" t="s">
        <v>413</v>
      </c>
      <c r="Q1229">
        <v>0</v>
      </c>
      <c r="R1229" t="s">
        <v>237</v>
      </c>
    </row>
    <row r="1230" spans="1:18" x14ac:dyDescent="0.25">
      <c r="A1230" t="s">
        <v>3604</v>
      </c>
      <c r="B1230">
        <v>2293</v>
      </c>
      <c r="C1230" t="s">
        <v>487</v>
      </c>
      <c r="D1230" t="s">
        <v>247</v>
      </c>
      <c r="E1230" t="s">
        <v>322</v>
      </c>
      <c r="F1230" t="s">
        <v>3083</v>
      </c>
      <c r="G1230" s="25">
        <v>44301</v>
      </c>
      <c r="H1230">
        <v>21</v>
      </c>
      <c r="I1230">
        <v>105</v>
      </c>
      <c r="J1230" t="s">
        <v>231</v>
      </c>
      <c r="K1230" t="s">
        <v>507</v>
      </c>
      <c r="L1230" t="s">
        <v>49</v>
      </c>
      <c r="M1230" t="s">
        <v>234</v>
      </c>
      <c r="N1230" t="s">
        <v>48</v>
      </c>
      <c r="O1230" t="s">
        <v>21</v>
      </c>
      <c r="P1230" t="s">
        <v>413</v>
      </c>
      <c r="Q1230">
        <v>0</v>
      </c>
      <c r="R1230" t="s">
        <v>237</v>
      </c>
    </row>
    <row r="1231" spans="1:18" x14ac:dyDescent="0.25">
      <c r="A1231" t="s">
        <v>3605</v>
      </c>
      <c r="B1231">
        <v>1919</v>
      </c>
      <c r="C1231" t="s">
        <v>487</v>
      </c>
      <c r="D1231" t="s">
        <v>322</v>
      </c>
      <c r="E1231" t="s">
        <v>381</v>
      </c>
      <c r="F1231" t="s">
        <v>2971</v>
      </c>
      <c r="G1231" s="25">
        <v>44284</v>
      </c>
      <c r="H1231">
        <v>18</v>
      </c>
      <c r="I1231">
        <v>88</v>
      </c>
      <c r="J1231" t="s">
        <v>231</v>
      </c>
      <c r="K1231" t="s">
        <v>507</v>
      </c>
      <c r="L1231" t="s">
        <v>49</v>
      </c>
      <c r="M1231" t="s">
        <v>234</v>
      </c>
      <c r="N1231" t="s">
        <v>48</v>
      </c>
      <c r="O1231" t="s">
        <v>21</v>
      </c>
      <c r="P1231" t="s">
        <v>413</v>
      </c>
      <c r="Q1231">
        <v>0</v>
      </c>
      <c r="R1231" t="s">
        <v>237</v>
      </c>
    </row>
    <row r="1232" spans="1:18" x14ac:dyDescent="0.25">
      <c r="A1232" t="s">
        <v>1805</v>
      </c>
      <c r="B1232">
        <v>1567</v>
      </c>
      <c r="C1232" t="s">
        <v>487</v>
      </c>
      <c r="D1232" t="s">
        <v>261</v>
      </c>
      <c r="E1232" t="s">
        <v>232</v>
      </c>
      <c r="F1232" t="s">
        <v>1500</v>
      </c>
      <c r="G1232" s="25">
        <v>44268</v>
      </c>
      <c r="H1232">
        <v>15</v>
      </c>
      <c r="I1232">
        <v>72</v>
      </c>
      <c r="J1232" t="s">
        <v>231</v>
      </c>
      <c r="K1232" t="s">
        <v>507</v>
      </c>
      <c r="L1232" t="s">
        <v>49</v>
      </c>
      <c r="M1232" t="s">
        <v>234</v>
      </c>
      <c r="N1232" t="s">
        <v>48</v>
      </c>
      <c r="O1232" t="s">
        <v>21</v>
      </c>
      <c r="P1232" t="s">
        <v>413</v>
      </c>
      <c r="Q1232">
        <v>0</v>
      </c>
      <c r="R1232" t="s">
        <v>237</v>
      </c>
    </row>
    <row r="1233" spans="1:18" x14ac:dyDescent="0.25">
      <c r="A1233" t="s">
        <v>3606</v>
      </c>
      <c r="B1233">
        <v>2184</v>
      </c>
      <c r="C1233" t="s">
        <v>487</v>
      </c>
      <c r="D1233" t="s">
        <v>322</v>
      </c>
      <c r="E1233" t="s">
        <v>408</v>
      </c>
      <c r="F1233" t="s">
        <v>3059</v>
      </c>
      <c r="G1233" s="25">
        <v>44296</v>
      </c>
      <c r="H1233">
        <v>20</v>
      </c>
      <c r="I1233">
        <v>100</v>
      </c>
      <c r="J1233" t="s">
        <v>231</v>
      </c>
      <c r="K1233" t="s">
        <v>506</v>
      </c>
      <c r="L1233" t="s">
        <v>414</v>
      </c>
      <c r="M1233" t="s">
        <v>234</v>
      </c>
      <c r="N1233" t="s">
        <v>50</v>
      </c>
      <c r="O1233" t="s">
        <v>21</v>
      </c>
      <c r="P1233" t="s">
        <v>411</v>
      </c>
      <c r="Q1233">
        <v>0</v>
      </c>
      <c r="R1233" t="s">
        <v>237</v>
      </c>
    </row>
    <row r="1234" spans="1:18" x14ac:dyDescent="0.25">
      <c r="A1234" t="s">
        <v>1856</v>
      </c>
      <c r="B1234">
        <v>1722</v>
      </c>
      <c r="C1234" t="s">
        <v>487</v>
      </c>
      <c r="D1234" t="s">
        <v>261</v>
      </c>
      <c r="E1234" t="s">
        <v>531</v>
      </c>
      <c r="F1234" t="s">
        <v>1588</v>
      </c>
      <c r="G1234" s="25">
        <v>44275</v>
      </c>
      <c r="H1234">
        <v>16</v>
      </c>
      <c r="I1234">
        <v>79</v>
      </c>
      <c r="J1234" t="s">
        <v>231</v>
      </c>
      <c r="K1234" t="s">
        <v>506</v>
      </c>
      <c r="L1234" t="s">
        <v>414</v>
      </c>
      <c r="M1234" t="s">
        <v>234</v>
      </c>
      <c r="N1234" t="s">
        <v>50</v>
      </c>
      <c r="O1234" t="s">
        <v>21</v>
      </c>
      <c r="P1234" t="s">
        <v>411</v>
      </c>
      <c r="Q1234">
        <v>0</v>
      </c>
      <c r="R1234" t="s">
        <v>237</v>
      </c>
    </row>
    <row r="1235" spans="1:18" x14ac:dyDescent="0.25">
      <c r="A1235" t="s">
        <v>3607</v>
      </c>
      <c r="B1235">
        <v>2641</v>
      </c>
      <c r="C1235" t="s">
        <v>487</v>
      </c>
      <c r="D1235" t="s">
        <v>326</v>
      </c>
      <c r="E1235" t="s">
        <v>229</v>
      </c>
      <c r="F1235" t="s">
        <v>3241</v>
      </c>
      <c r="G1235" s="25">
        <v>44317</v>
      </c>
      <c r="H1235">
        <v>25</v>
      </c>
      <c r="I1235">
        <v>121</v>
      </c>
      <c r="J1235" t="s">
        <v>231</v>
      </c>
      <c r="K1235" t="s">
        <v>505</v>
      </c>
      <c r="L1235" t="s">
        <v>41</v>
      </c>
      <c r="M1235" t="s">
        <v>234</v>
      </c>
      <c r="N1235" t="s">
        <v>40</v>
      </c>
      <c r="O1235" t="s">
        <v>21</v>
      </c>
      <c r="P1235" t="s">
        <v>266</v>
      </c>
      <c r="Q1235">
        <v>0</v>
      </c>
      <c r="R1235" t="s">
        <v>237</v>
      </c>
    </row>
    <row r="1236" spans="1:18" x14ac:dyDescent="0.25">
      <c r="A1236" t="s">
        <v>3608</v>
      </c>
      <c r="B1236">
        <v>2487</v>
      </c>
      <c r="C1236" t="s">
        <v>487</v>
      </c>
      <c r="D1236" t="s">
        <v>247</v>
      </c>
      <c r="E1236" t="s">
        <v>537</v>
      </c>
      <c r="F1236" t="s">
        <v>3153</v>
      </c>
      <c r="G1236" s="25">
        <v>44310</v>
      </c>
      <c r="H1236">
        <v>23</v>
      </c>
      <c r="I1236">
        <v>114</v>
      </c>
      <c r="J1236" t="s">
        <v>231</v>
      </c>
      <c r="K1236" t="s">
        <v>505</v>
      </c>
      <c r="L1236" t="s">
        <v>41</v>
      </c>
      <c r="M1236" t="s">
        <v>234</v>
      </c>
      <c r="N1236" t="s">
        <v>40</v>
      </c>
      <c r="O1236" t="s">
        <v>21</v>
      </c>
      <c r="P1236" t="s">
        <v>266</v>
      </c>
      <c r="Q1236">
        <v>0</v>
      </c>
      <c r="R1236" t="s">
        <v>237</v>
      </c>
    </row>
    <row r="1237" spans="1:18" x14ac:dyDescent="0.25">
      <c r="A1237" t="s">
        <v>2511</v>
      </c>
      <c r="B1237">
        <v>1519</v>
      </c>
      <c r="C1237" t="s">
        <v>487</v>
      </c>
      <c r="D1237" t="s">
        <v>261</v>
      </c>
      <c r="E1237" t="s">
        <v>239</v>
      </c>
      <c r="F1237" t="s">
        <v>1703</v>
      </c>
      <c r="G1237" s="25">
        <v>44266</v>
      </c>
      <c r="H1237">
        <v>14</v>
      </c>
      <c r="I1237">
        <v>70</v>
      </c>
      <c r="J1237" t="s">
        <v>231</v>
      </c>
      <c r="K1237" t="s">
        <v>505</v>
      </c>
      <c r="L1237" t="s">
        <v>41</v>
      </c>
      <c r="M1237" t="s">
        <v>234</v>
      </c>
      <c r="N1237" t="s">
        <v>40</v>
      </c>
      <c r="O1237" t="s">
        <v>21</v>
      </c>
      <c r="P1237" t="s">
        <v>266</v>
      </c>
      <c r="Q1237">
        <v>52576</v>
      </c>
      <c r="R1237" t="s">
        <v>237</v>
      </c>
    </row>
    <row r="1238" spans="1:18" x14ac:dyDescent="0.25">
      <c r="A1238" t="s">
        <v>3609</v>
      </c>
      <c r="B1238">
        <v>2554</v>
      </c>
      <c r="C1238" t="s">
        <v>487</v>
      </c>
      <c r="D1238" t="s">
        <v>247</v>
      </c>
      <c r="E1238" t="s">
        <v>534</v>
      </c>
      <c r="F1238" t="s">
        <v>3166</v>
      </c>
      <c r="G1238" s="25">
        <v>44313</v>
      </c>
      <c r="H1238">
        <v>24</v>
      </c>
      <c r="I1238">
        <v>117</v>
      </c>
      <c r="J1238" t="s">
        <v>231</v>
      </c>
      <c r="K1238" t="s">
        <v>504</v>
      </c>
      <c r="L1238" t="s">
        <v>43</v>
      </c>
      <c r="M1238" t="s">
        <v>234</v>
      </c>
      <c r="N1238" t="s">
        <v>42</v>
      </c>
      <c r="O1238" t="s">
        <v>21</v>
      </c>
      <c r="P1238" t="s">
        <v>236</v>
      </c>
      <c r="Q1238">
        <v>0</v>
      </c>
      <c r="R1238" t="s">
        <v>237</v>
      </c>
    </row>
    <row r="1239" spans="1:18" x14ac:dyDescent="0.25">
      <c r="A1239" t="s">
        <v>3610</v>
      </c>
      <c r="B1239">
        <v>1901</v>
      </c>
      <c r="C1239" t="s">
        <v>487</v>
      </c>
      <c r="D1239" t="s">
        <v>322</v>
      </c>
      <c r="E1239" t="s">
        <v>326</v>
      </c>
      <c r="F1239" t="s">
        <v>2967</v>
      </c>
      <c r="G1239" s="25">
        <v>44283</v>
      </c>
      <c r="H1239">
        <v>18</v>
      </c>
      <c r="I1239">
        <v>87</v>
      </c>
      <c r="J1239" t="s">
        <v>231</v>
      </c>
      <c r="K1239" t="s">
        <v>503</v>
      </c>
      <c r="L1239" t="s">
        <v>303</v>
      </c>
      <c r="M1239" t="s">
        <v>234</v>
      </c>
      <c r="N1239" t="s">
        <v>56</v>
      </c>
      <c r="O1239" t="s">
        <v>235</v>
      </c>
      <c r="P1239" t="s">
        <v>304</v>
      </c>
      <c r="Q1239">
        <v>5750</v>
      </c>
      <c r="R1239" t="s">
        <v>237</v>
      </c>
    </row>
    <row r="1240" spans="1:18" x14ac:dyDescent="0.25">
      <c r="A1240" t="s">
        <v>2163</v>
      </c>
      <c r="B1240">
        <v>1725</v>
      </c>
      <c r="C1240" t="s">
        <v>487</v>
      </c>
      <c r="D1240" t="s">
        <v>261</v>
      </c>
      <c r="E1240" t="s">
        <v>531</v>
      </c>
      <c r="F1240" t="s">
        <v>1588</v>
      </c>
      <c r="G1240" s="25">
        <v>44275</v>
      </c>
      <c r="H1240">
        <v>16</v>
      </c>
      <c r="I1240">
        <v>79</v>
      </c>
      <c r="J1240" t="s">
        <v>231</v>
      </c>
      <c r="K1240" t="s">
        <v>503</v>
      </c>
      <c r="L1240" t="s">
        <v>303</v>
      </c>
      <c r="M1240" t="s">
        <v>234</v>
      </c>
      <c r="N1240" t="s">
        <v>56</v>
      </c>
      <c r="O1240" t="s">
        <v>235</v>
      </c>
      <c r="P1240" t="s">
        <v>304</v>
      </c>
      <c r="Q1240">
        <v>0</v>
      </c>
      <c r="R1240" t="s">
        <v>237</v>
      </c>
    </row>
    <row r="1241" spans="1:18" x14ac:dyDescent="0.25">
      <c r="A1241" t="s">
        <v>3611</v>
      </c>
      <c r="B1241">
        <v>2275</v>
      </c>
      <c r="C1241" t="s">
        <v>487</v>
      </c>
      <c r="D1241" t="s">
        <v>247</v>
      </c>
      <c r="E1241" t="s">
        <v>261</v>
      </c>
      <c r="F1241" t="s">
        <v>3078</v>
      </c>
      <c r="G1241" s="25">
        <v>44300</v>
      </c>
      <c r="H1241">
        <v>21</v>
      </c>
      <c r="I1241">
        <v>104</v>
      </c>
      <c r="J1241" t="s">
        <v>231</v>
      </c>
      <c r="K1241" t="s">
        <v>503</v>
      </c>
      <c r="L1241" t="s">
        <v>303</v>
      </c>
      <c r="M1241" t="s">
        <v>234</v>
      </c>
      <c r="N1241" t="s">
        <v>56</v>
      </c>
      <c r="O1241" t="s">
        <v>235</v>
      </c>
      <c r="P1241" t="s">
        <v>304</v>
      </c>
      <c r="Q1241">
        <v>234</v>
      </c>
      <c r="R1241" t="s">
        <v>237</v>
      </c>
    </row>
    <row r="1242" spans="1:18" x14ac:dyDescent="0.25">
      <c r="A1242" t="s">
        <v>2449</v>
      </c>
      <c r="B1242">
        <v>1440</v>
      </c>
      <c r="C1242" t="s">
        <v>487</v>
      </c>
      <c r="D1242" t="s">
        <v>261</v>
      </c>
      <c r="E1242" t="s">
        <v>247</v>
      </c>
      <c r="F1242" t="s">
        <v>1425</v>
      </c>
      <c r="G1242" s="25">
        <v>44262</v>
      </c>
      <c r="H1242">
        <v>14</v>
      </c>
      <c r="I1242">
        <v>66</v>
      </c>
      <c r="J1242" t="s">
        <v>231</v>
      </c>
      <c r="K1242" t="s">
        <v>502</v>
      </c>
      <c r="L1242" t="s">
        <v>287</v>
      </c>
      <c r="M1242" t="s">
        <v>234</v>
      </c>
      <c r="N1242" t="s">
        <v>58</v>
      </c>
      <c r="O1242" t="s">
        <v>235</v>
      </c>
      <c r="P1242" t="s">
        <v>288</v>
      </c>
      <c r="Q1242">
        <v>0</v>
      </c>
      <c r="R1242" t="s">
        <v>237</v>
      </c>
    </row>
    <row r="1243" spans="1:18" x14ac:dyDescent="0.25">
      <c r="A1243" t="s">
        <v>2612</v>
      </c>
      <c r="B1243">
        <v>912</v>
      </c>
      <c r="C1243" t="s">
        <v>487</v>
      </c>
      <c r="D1243" t="s">
        <v>256</v>
      </c>
      <c r="E1243" t="s">
        <v>231</v>
      </c>
      <c r="F1243" t="s">
        <v>1249</v>
      </c>
      <c r="G1243" s="25">
        <v>44238</v>
      </c>
      <c r="H1243">
        <v>9</v>
      </c>
      <c r="I1243">
        <v>42</v>
      </c>
      <c r="J1243" t="s">
        <v>231</v>
      </c>
      <c r="K1243" t="s">
        <v>502</v>
      </c>
      <c r="L1243" t="s">
        <v>287</v>
      </c>
      <c r="M1243" t="s">
        <v>234</v>
      </c>
      <c r="N1243" t="s">
        <v>58</v>
      </c>
      <c r="O1243" t="s">
        <v>235</v>
      </c>
      <c r="P1243" t="s">
        <v>288</v>
      </c>
      <c r="Q1243">
        <v>0</v>
      </c>
      <c r="R1243" t="s">
        <v>237</v>
      </c>
    </row>
    <row r="1244" spans="1:18" x14ac:dyDescent="0.25">
      <c r="A1244" t="s">
        <v>2173</v>
      </c>
      <c r="B1244">
        <v>715</v>
      </c>
      <c r="C1244" t="s">
        <v>487</v>
      </c>
      <c r="D1244" t="s">
        <v>231</v>
      </c>
      <c r="E1244" t="s">
        <v>512</v>
      </c>
      <c r="F1244" t="s">
        <v>1174</v>
      </c>
      <c r="G1244" s="25">
        <v>44229</v>
      </c>
      <c r="H1244">
        <v>7</v>
      </c>
      <c r="I1244">
        <v>33</v>
      </c>
      <c r="J1244" t="s">
        <v>231</v>
      </c>
      <c r="K1244" t="s">
        <v>501</v>
      </c>
      <c r="L1244" t="s">
        <v>412</v>
      </c>
      <c r="M1244" t="s">
        <v>234</v>
      </c>
      <c r="N1244" t="s">
        <v>60</v>
      </c>
      <c r="O1244" t="s">
        <v>235</v>
      </c>
      <c r="P1244" t="s">
        <v>413</v>
      </c>
      <c r="Q1244">
        <v>0</v>
      </c>
      <c r="R1244" t="s">
        <v>237</v>
      </c>
    </row>
    <row r="1245" spans="1:18" x14ac:dyDescent="0.25">
      <c r="A1245" t="s">
        <v>636</v>
      </c>
      <c r="B1245">
        <v>341</v>
      </c>
      <c r="C1245" t="s">
        <v>487</v>
      </c>
      <c r="D1245" t="s">
        <v>229</v>
      </c>
      <c r="E1245" t="s">
        <v>620</v>
      </c>
      <c r="F1245" t="s">
        <v>621</v>
      </c>
      <c r="G1245" s="25">
        <v>44212</v>
      </c>
      <c r="H1245">
        <v>4</v>
      </c>
      <c r="I1245">
        <v>16</v>
      </c>
      <c r="J1245" t="s">
        <v>231</v>
      </c>
      <c r="K1245" t="s">
        <v>501</v>
      </c>
      <c r="L1245" t="s">
        <v>412</v>
      </c>
      <c r="M1245" t="s">
        <v>234</v>
      </c>
      <c r="N1245" t="s">
        <v>60</v>
      </c>
      <c r="O1245" t="s">
        <v>235</v>
      </c>
      <c r="P1245" t="s">
        <v>413</v>
      </c>
      <c r="Q1245">
        <v>0</v>
      </c>
      <c r="R1245" t="s">
        <v>237</v>
      </c>
    </row>
    <row r="1246" spans="1:18" x14ac:dyDescent="0.25">
      <c r="A1246" t="s">
        <v>251</v>
      </c>
      <c r="B1246">
        <v>99</v>
      </c>
      <c r="C1246" t="s">
        <v>487</v>
      </c>
      <c r="D1246" t="s">
        <v>229</v>
      </c>
      <c r="E1246" t="s">
        <v>322</v>
      </c>
      <c r="F1246" t="s">
        <v>529</v>
      </c>
      <c r="G1246" s="25">
        <v>44201</v>
      </c>
      <c r="H1246">
        <v>1</v>
      </c>
      <c r="I1246">
        <v>5</v>
      </c>
      <c r="J1246" t="s">
        <v>231</v>
      </c>
      <c r="K1246" t="s">
        <v>501</v>
      </c>
      <c r="L1246" t="s">
        <v>412</v>
      </c>
      <c r="M1246" t="s">
        <v>234</v>
      </c>
      <c r="N1246" t="s">
        <v>60</v>
      </c>
      <c r="O1246" t="s">
        <v>235</v>
      </c>
      <c r="P1246" t="s">
        <v>413</v>
      </c>
      <c r="Q1246">
        <v>0</v>
      </c>
      <c r="R1246" t="s">
        <v>237</v>
      </c>
    </row>
    <row r="1247" spans="1:18" x14ac:dyDescent="0.25">
      <c r="A1247" t="s">
        <v>3612</v>
      </c>
      <c r="B1247">
        <v>2277</v>
      </c>
      <c r="C1247" t="s">
        <v>487</v>
      </c>
      <c r="D1247" t="s">
        <v>247</v>
      </c>
      <c r="E1247" t="s">
        <v>261</v>
      </c>
      <c r="F1247" t="s">
        <v>3078</v>
      </c>
      <c r="G1247" s="25">
        <v>44300</v>
      </c>
      <c r="H1247">
        <v>21</v>
      </c>
      <c r="I1247">
        <v>104</v>
      </c>
      <c r="J1247" t="s">
        <v>231</v>
      </c>
      <c r="K1247" t="s">
        <v>501</v>
      </c>
      <c r="L1247" t="s">
        <v>412</v>
      </c>
      <c r="M1247" t="s">
        <v>234</v>
      </c>
      <c r="N1247" t="s">
        <v>60</v>
      </c>
      <c r="O1247" t="s">
        <v>235</v>
      </c>
      <c r="P1247" t="s">
        <v>413</v>
      </c>
      <c r="Q1247">
        <v>0</v>
      </c>
      <c r="R1247" t="s">
        <v>237</v>
      </c>
    </row>
    <row r="1248" spans="1:18" x14ac:dyDescent="0.25">
      <c r="A1248" t="s">
        <v>3613</v>
      </c>
      <c r="B1248">
        <v>1903</v>
      </c>
      <c r="C1248" t="s">
        <v>487</v>
      </c>
      <c r="D1248" t="s">
        <v>322</v>
      </c>
      <c r="E1248" t="s">
        <v>326</v>
      </c>
      <c r="F1248" t="s">
        <v>2967</v>
      </c>
      <c r="G1248" s="25">
        <v>44283</v>
      </c>
      <c r="H1248">
        <v>18</v>
      </c>
      <c r="I1248">
        <v>87</v>
      </c>
      <c r="J1248" t="s">
        <v>231</v>
      </c>
      <c r="K1248" t="s">
        <v>501</v>
      </c>
      <c r="L1248" t="s">
        <v>412</v>
      </c>
      <c r="M1248" t="s">
        <v>234</v>
      </c>
      <c r="N1248" t="s">
        <v>60</v>
      </c>
      <c r="O1248" t="s">
        <v>235</v>
      </c>
      <c r="P1248" t="s">
        <v>413</v>
      </c>
      <c r="Q1248">
        <v>0</v>
      </c>
      <c r="R1248" t="s">
        <v>237</v>
      </c>
    </row>
    <row r="1249" spans="1:18" x14ac:dyDescent="0.25">
      <c r="A1249" t="s">
        <v>2351</v>
      </c>
      <c r="B1249">
        <v>1551</v>
      </c>
      <c r="C1249" t="s">
        <v>487</v>
      </c>
      <c r="D1249" t="s">
        <v>261</v>
      </c>
      <c r="E1249" t="s">
        <v>515</v>
      </c>
      <c r="F1249" t="s">
        <v>1493</v>
      </c>
      <c r="G1249" s="25">
        <v>44267</v>
      </c>
      <c r="H1249">
        <v>15</v>
      </c>
      <c r="I1249">
        <v>71</v>
      </c>
      <c r="J1249" t="s">
        <v>231</v>
      </c>
      <c r="K1249" t="s">
        <v>501</v>
      </c>
      <c r="L1249" t="s">
        <v>412</v>
      </c>
      <c r="M1249" t="s">
        <v>234</v>
      </c>
      <c r="N1249" t="s">
        <v>60</v>
      </c>
      <c r="O1249" t="s">
        <v>235</v>
      </c>
      <c r="P1249" t="s">
        <v>413</v>
      </c>
      <c r="Q1249">
        <v>0</v>
      </c>
      <c r="R1249" t="s">
        <v>237</v>
      </c>
    </row>
    <row r="1250" spans="1:18" x14ac:dyDescent="0.25">
      <c r="A1250" t="s">
        <v>2664</v>
      </c>
      <c r="B1250">
        <v>1067</v>
      </c>
      <c r="C1250" t="s">
        <v>487</v>
      </c>
      <c r="D1250" t="s">
        <v>256</v>
      </c>
      <c r="E1250" t="s">
        <v>371</v>
      </c>
      <c r="F1250" t="s">
        <v>1318</v>
      </c>
      <c r="G1250" s="25">
        <v>44245</v>
      </c>
      <c r="H1250">
        <v>10</v>
      </c>
      <c r="I1250">
        <v>49</v>
      </c>
      <c r="J1250" t="s">
        <v>231</v>
      </c>
      <c r="K1250" t="s">
        <v>501</v>
      </c>
      <c r="L1250" t="s">
        <v>412</v>
      </c>
      <c r="M1250" t="s">
        <v>234</v>
      </c>
      <c r="N1250" t="s">
        <v>60</v>
      </c>
      <c r="O1250" t="s">
        <v>235</v>
      </c>
      <c r="P1250" t="s">
        <v>413</v>
      </c>
      <c r="Q1250">
        <v>0</v>
      </c>
      <c r="R1250" t="s">
        <v>237</v>
      </c>
    </row>
    <row r="1251" spans="1:18" x14ac:dyDescent="0.25">
      <c r="A1251" t="s">
        <v>2355</v>
      </c>
      <c r="B1251">
        <v>1723</v>
      </c>
      <c r="C1251" t="s">
        <v>487</v>
      </c>
      <c r="D1251" t="s">
        <v>261</v>
      </c>
      <c r="E1251" t="s">
        <v>531</v>
      </c>
      <c r="F1251" t="s">
        <v>1588</v>
      </c>
      <c r="G1251" s="25">
        <v>44275</v>
      </c>
      <c r="H1251">
        <v>16</v>
      </c>
      <c r="I1251">
        <v>79</v>
      </c>
      <c r="J1251" t="s">
        <v>231</v>
      </c>
      <c r="K1251" t="s">
        <v>500</v>
      </c>
      <c r="L1251" t="s">
        <v>265</v>
      </c>
      <c r="M1251" t="s">
        <v>234</v>
      </c>
      <c r="N1251" t="s">
        <v>52</v>
      </c>
      <c r="O1251" t="s">
        <v>235</v>
      </c>
      <c r="P1251" t="s">
        <v>266</v>
      </c>
      <c r="Q1251">
        <v>0</v>
      </c>
      <c r="R1251" t="s">
        <v>237</v>
      </c>
    </row>
    <row r="1252" spans="1:18" x14ac:dyDescent="0.25">
      <c r="A1252" t="s">
        <v>259</v>
      </c>
      <c r="B1252">
        <v>56</v>
      </c>
      <c r="C1252" t="s">
        <v>487</v>
      </c>
      <c r="D1252" t="s">
        <v>229</v>
      </c>
      <c r="E1252" t="s">
        <v>256</v>
      </c>
      <c r="F1252" t="s">
        <v>525</v>
      </c>
      <c r="G1252" s="25">
        <v>44199</v>
      </c>
      <c r="H1252">
        <v>1</v>
      </c>
      <c r="I1252">
        <v>3</v>
      </c>
      <c r="J1252" t="s">
        <v>231</v>
      </c>
      <c r="K1252" t="s">
        <v>499</v>
      </c>
      <c r="L1252" t="s">
        <v>410</v>
      </c>
      <c r="M1252" t="s">
        <v>234</v>
      </c>
      <c r="N1252" t="s">
        <v>62</v>
      </c>
      <c r="O1252" t="s">
        <v>235</v>
      </c>
      <c r="P1252" t="s">
        <v>411</v>
      </c>
      <c r="Q1252">
        <v>0</v>
      </c>
      <c r="R1252" t="s">
        <v>237</v>
      </c>
    </row>
    <row r="1253" spans="1:18" x14ac:dyDescent="0.25">
      <c r="A1253" t="s">
        <v>3614</v>
      </c>
      <c r="B1253">
        <v>2234</v>
      </c>
      <c r="C1253" t="s">
        <v>487</v>
      </c>
      <c r="D1253" t="s">
        <v>247</v>
      </c>
      <c r="E1253" t="s">
        <v>231</v>
      </c>
      <c r="F1253" t="s">
        <v>3070</v>
      </c>
      <c r="G1253" s="25">
        <v>44298</v>
      </c>
      <c r="H1253">
        <v>21</v>
      </c>
      <c r="I1253">
        <v>102</v>
      </c>
      <c r="J1253" t="s">
        <v>231</v>
      </c>
      <c r="K1253" t="s">
        <v>499</v>
      </c>
      <c r="L1253" t="s">
        <v>410</v>
      </c>
      <c r="M1253" t="s">
        <v>234</v>
      </c>
      <c r="N1253" t="s">
        <v>62</v>
      </c>
      <c r="O1253" t="s">
        <v>235</v>
      </c>
      <c r="P1253" t="s">
        <v>411</v>
      </c>
      <c r="Q1253">
        <v>0</v>
      </c>
      <c r="R1253" t="s">
        <v>237</v>
      </c>
    </row>
    <row r="1254" spans="1:18" x14ac:dyDescent="0.25">
      <c r="A1254" t="s">
        <v>1669</v>
      </c>
      <c r="B1254">
        <v>1024</v>
      </c>
      <c r="C1254" t="s">
        <v>487</v>
      </c>
      <c r="D1254" t="s">
        <v>256</v>
      </c>
      <c r="E1254" t="s">
        <v>326</v>
      </c>
      <c r="F1254" t="s">
        <v>1305</v>
      </c>
      <c r="G1254" s="25">
        <v>44243</v>
      </c>
      <c r="H1254">
        <v>10</v>
      </c>
      <c r="I1254">
        <v>47</v>
      </c>
      <c r="J1254" t="s">
        <v>231</v>
      </c>
      <c r="K1254" t="s">
        <v>499</v>
      </c>
      <c r="L1254" t="s">
        <v>410</v>
      </c>
      <c r="M1254" t="s">
        <v>234</v>
      </c>
      <c r="N1254" t="s">
        <v>62</v>
      </c>
      <c r="O1254" t="s">
        <v>235</v>
      </c>
      <c r="P1254" t="s">
        <v>411</v>
      </c>
      <c r="Q1254">
        <v>0</v>
      </c>
      <c r="R1254" t="s">
        <v>237</v>
      </c>
    </row>
    <row r="1255" spans="1:18" x14ac:dyDescent="0.25">
      <c r="A1255" t="s">
        <v>3615</v>
      </c>
      <c r="B1255">
        <v>1913</v>
      </c>
      <c r="C1255" t="s">
        <v>487</v>
      </c>
      <c r="D1255" t="s">
        <v>322</v>
      </c>
      <c r="E1255" t="s">
        <v>326</v>
      </c>
      <c r="F1255" t="s">
        <v>2967</v>
      </c>
      <c r="G1255" s="25">
        <v>44283</v>
      </c>
      <c r="H1255">
        <v>18</v>
      </c>
      <c r="I1255">
        <v>87</v>
      </c>
      <c r="J1255" t="s">
        <v>432</v>
      </c>
      <c r="K1255" t="s">
        <v>498</v>
      </c>
      <c r="L1255" t="s">
        <v>26</v>
      </c>
      <c r="M1255" t="s">
        <v>434</v>
      </c>
      <c r="N1255" t="s">
        <v>77</v>
      </c>
      <c r="O1255" t="s">
        <v>435</v>
      </c>
      <c r="P1255" t="s">
        <v>26</v>
      </c>
      <c r="Q1255">
        <v>317848.75</v>
      </c>
      <c r="R1255" t="s">
        <v>436</v>
      </c>
    </row>
    <row r="1256" spans="1:18" x14ac:dyDescent="0.25">
      <c r="A1256" t="s">
        <v>2671</v>
      </c>
      <c r="B1256">
        <v>1297</v>
      </c>
      <c r="C1256" t="s">
        <v>487</v>
      </c>
      <c r="D1256" t="s">
        <v>256</v>
      </c>
      <c r="E1256" t="s">
        <v>531</v>
      </c>
      <c r="F1256" t="s">
        <v>1373</v>
      </c>
      <c r="G1256" s="25">
        <v>44255</v>
      </c>
      <c r="H1256">
        <v>12</v>
      </c>
      <c r="I1256">
        <v>59</v>
      </c>
      <c r="J1256" t="s">
        <v>432</v>
      </c>
      <c r="K1256" t="s">
        <v>498</v>
      </c>
      <c r="L1256" t="s">
        <v>26</v>
      </c>
      <c r="M1256" t="s">
        <v>434</v>
      </c>
      <c r="N1256" t="s">
        <v>77</v>
      </c>
      <c r="O1256" t="s">
        <v>435</v>
      </c>
      <c r="P1256" t="s">
        <v>26</v>
      </c>
      <c r="Q1256">
        <v>188650</v>
      </c>
      <c r="R1256" t="s">
        <v>436</v>
      </c>
    </row>
    <row r="1257" spans="1:18" x14ac:dyDescent="0.25">
      <c r="A1257" t="s">
        <v>2305</v>
      </c>
      <c r="B1257">
        <v>835</v>
      </c>
      <c r="C1257" t="s">
        <v>487</v>
      </c>
      <c r="D1257" t="s">
        <v>231</v>
      </c>
      <c r="E1257" t="s">
        <v>552</v>
      </c>
      <c r="F1257" t="s">
        <v>1222</v>
      </c>
      <c r="G1257" s="25">
        <v>44234</v>
      </c>
      <c r="H1257">
        <v>8</v>
      </c>
      <c r="I1257">
        <v>38</v>
      </c>
      <c r="J1257" t="s">
        <v>432</v>
      </c>
      <c r="K1257" t="s">
        <v>498</v>
      </c>
      <c r="L1257" t="s">
        <v>26</v>
      </c>
      <c r="M1257" t="s">
        <v>434</v>
      </c>
      <c r="N1257" t="s">
        <v>77</v>
      </c>
      <c r="O1257" t="s">
        <v>435</v>
      </c>
      <c r="P1257" t="s">
        <v>26</v>
      </c>
      <c r="Q1257">
        <v>118125</v>
      </c>
      <c r="R1257" t="s">
        <v>436</v>
      </c>
    </row>
    <row r="1258" spans="1:18" x14ac:dyDescent="0.25">
      <c r="A1258" t="s">
        <v>1877</v>
      </c>
      <c r="B1258">
        <v>725</v>
      </c>
      <c r="C1258" t="s">
        <v>487</v>
      </c>
      <c r="D1258" t="s">
        <v>231</v>
      </c>
      <c r="E1258" t="s">
        <v>512</v>
      </c>
      <c r="F1258" t="s">
        <v>1174</v>
      </c>
      <c r="G1258" s="25">
        <v>44229</v>
      </c>
      <c r="H1258">
        <v>7</v>
      </c>
      <c r="I1258">
        <v>33</v>
      </c>
      <c r="J1258" t="s">
        <v>432</v>
      </c>
      <c r="K1258" t="s">
        <v>498</v>
      </c>
      <c r="L1258" t="s">
        <v>26</v>
      </c>
      <c r="M1258" t="s">
        <v>434</v>
      </c>
      <c r="N1258" t="s">
        <v>77</v>
      </c>
      <c r="O1258" t="s">
        <v>435</v>
      </c>
      <c r="P1258" t="s">
        <v>26</v>
      </c>
      <c r="Q1258">
        <v>117468.75</v>
      </c>
      <c r="R1258" t="s">
        <v>436</v>
      </c>
    </row>
    <row r="1259" spans="1:18" x14ac:dyDescent="0.25">
      <c r="A1259" t="s">
        <v>347</v>
      </c>
      <c r="B1259">
        <v>65</v>
      </c>
      <c r="C1259" t="s">
        <v>487</v>
      </c>
      <c r="D1259" t="s">
        <v>229</v>
      </c>
      <c r="E1259" t="s">
        <v>256</v>
      </c>
      <c r="F1259" t="s">
        <v>525</v>
      </c>
      <c r="G1259" s="25">
        <v>44199</v>
      </c>
      <c r="H1259">
        <v>1</v>
      </c>
      <c r="I1259">
        <v>3</v>
      </c>
      <c r="J1259" t="s">
        <v>432</v>
      </c>
      <c r="K1259" t="s">
        <v>498</v>
      </c>
      <c r="L1259" t="s">
        <v>26</v>
      </c>
      <c r="M1259" t="s">
        <v>434</v>
      </c>
      <c r="N1259" t="s">
        <v>77</v>
      </c>
      <c r="O1259" t="s">
        <v>435</v>
      </c>
      <c r="P1259" t="s">
        <v>26</v>
      </c>
      <c r="Q1259">
        <v>0</v>
      </c>
      <c r="R1259" t="s">
        <v>436</v>
      </c>
    </row>
    <row r="1260" spans="1:18" x14ac:dyDescent="0.25">
      <c r="A1260" t="s">
        <v>2844</v>
      </c>
      <c r="B1260">
        <v>1339</v>
      </c>
      <c r="C1260" t="s">
        <v>487</v>
      </c>
      <c r="D1260" t="s">
        <v>261</v>
      </c>
      <c r="E1260" t="s">
        <v>229</v>
      </c>
      <c r="F1260" t="s">
        <v>1388</v>
      </c>
      <c r="G1260" s="25">
        <v>44257</v>
      </c>
      <c r="H1260">
        <v>13</v>
      </c>
      <c r="I1260">
        <v>61</v>
      </c>
      <c r="J1260" t="s">
        <v>432</v>
      </c>
      <c r="K1260" t="s">
        <v>497</v>
      </c>
      <c r="L1260" t="s">
        <v>438</v>
      </c>
      <c r="M1260" t="s">
        <v>434</v>
      </c>
      <c r="N1260" t="s">
        <v>75</v>
      </c>
      <c r="O1260" t="s">
        <v>435</v>
      </c>
      <c r="P1260" t="s">
        <v>438</v>
      </c>
      <c r="Q1260">
        <v>39487.5</v>
      </c>
      <c r="R1260" t="s">
        <v>436</v>
      </c>
    </row>
    <row r="1261" spans="1:18" x14ac:dyDescent="0.25">
      <c r="A1261" t="s">
        <v>2360</v>
      </c>
      <c r="B1261">
        <v>1031</v>
      </c>
      <c r="C1261" t="s">
        <v>487</v>
      </c>
      <c r="D1261" t="s">
        <v>256</v>
      </c>
      <c r="E1261" t="s">
        <v>326</v>
      </c>
      <c r="F1261" t="s">
        <v>1305</v>
      </c>
      <c r="G1261" s="25">
        <v>44243</v>
      </c>
      <c r="H1261">
        <v>10</v>
      </c>
      <c r="I1261">
        <v>47</v>
      </c>
      <c r="J1261" t="s">
        <v>432</v>
      </c>
      <c r="K1261" t="s">
        <v>497</v>
      </c>
      <c r="L1261" t="s">
        <v>438</v>
      </c>
      <c r="M1261" t="s">
        <v>434</v>
      </c>
      <c r="N1261" t="s">
        <v>75</v>
      </c>
      <c r="O1261" t="s">
        <v>435</v>
      </c>
      <c r="P1261" t="s">
        <v>438</v>
      </c>
      <c r="Q1261">
        <v>62400</v>
      </c>
      <c r="R1261" t="s">
        <v>436</v>
      </c>
    </row>
    <row r="1262" spans="1:18" x14ac:dyDescent="0.25">
      <c r="A1262" t="s">
        <v>245</v>
      </c>
      <c r="B1262">
        <v>63</v>
      </c>
      <c r="C1262" t="s">
        <v>487</v>
      </c>
      <c r="D1262" t="s">
        <v>229</v>
      </c>
      <c r="E1262" t="s">
        <v>256</v>
      </c>
      <c r="F1262" t="s">
        <v>525</v>
      </c>
      <c r="G1262" s="25">
        <v>44199</v>
      </c>
      <c r="H1262">
        <v>1</v>
      </c>
      <c r="I1262">
        <v>3</v>
      </c>
      <c r="J1262" t="s">
        <v>432</v>
      </c>
      <c r="K1262" t="s">
        <v>497</v>
      </c>
      <c r="L1262" t="s">
        <v>438</v>
      </c>
      <c r="M1262" t="s">
        <v>434</v>
      </c>
      <c r="N1262" t="s">
        <v>75</v>
      </c>
      <c r="O1262" t="s">
        <v>435</v>
      </c>
      <c r="P1262" t="s">
        <v>438</v>
      </c>
      <c r="Q1262">
        <v>0</v>
      </c>
      <c r="R1262" t="s">
        <v>436</v>
      </c>
    </row>
    <row r="1263" spans="1:18" x14ac:dyDescent="0.25">
      <c r="A1263" t="s">
        <v>3616</v>
      </c>
      <c r="B1263">
        <v>2241</v>
      </c>
      <c r="C1263" t="s">
        <v>487</v>
      </c>
      <c r="D1263" t="s">
        <v>247</v>
      </c>
      <c r="E1263" t="s">
        <v>231</v>
      </c>
      <c r="F1263" t="s">
        <v>3070</v>
      </c>
      <c r="G1263" s="25">
        <v>44298</v>
      </c>
      <c r="H1263">
        <v>21</v>
      </c>
      <c r="I1263">
        <v>102</v>
      </c>
      <c r="J1263" t="s">
        <v>432</v>
      </c>
      <c r="K1263" t="s">
        <v>497</v>
      </c>
      <c r="L1263" t="s">
        <v>438</v>
      </c>
      <c r="M1263" t="s">
        <v>434</v>
      </c>
      <c r="N1263" t="s">
        <v>75</v>
      </c>
      <c r="O1263" t="s">
        <v>435</v>
      </c>
      <c r="P1263" t="s">
        <v>438</v>
      </c>
      <c r="Q1263">
        <v>41700</v>
      </c>
      <c r="R1263" t="s">
        <v>436</v>
      </c>
    </row>
    <row r="1264" spans="1:18" x14ac:dyDescent="0.25">
      <c r="A1264" t="s">
        <v>2623</v>
      </c>
      <c r="B1264">
        <v>961</v>
      </c>
      <c r="C1264" t="s">
        <v>487</v>
      </c>
      <c r="D1264" t="s">
        <v>256</v>
      </c>
      <c r="E1264" t="s">
        <v>261</v>
      </c>
      <c r="F1264" t="s">
        <v>1276</v>
      </c>
      <c r="G1264" s="25">
        <v>44240</v>
      </c>
      <c r="H1264">
        <v>9</v>
      </c>
      <c r="I1264">
        <v>44</v>
      </c>
      <c r="J1264" t="s">
        <v>432</v>
      </c>
      <c r="K1264" t="s">
        <v>496</v>
      </c>
      <c r="L1264" t="s">
        <v>69</v>
      </c>
      <c r="M1264" t="s">
        <v>434</v>
      </c>
      <c r="N1264" t="s">
        <v>68</v>
      </c>
      <c r="O1264" t="s">
        <v>21</v>
      </c>
      <c r="P1264" t="s">
        <v>439</v>
      </c>
      <c r="Q1264">
        <v>100000</v>
      </c>
      <c r="R1264" t="s">
        <v>237</v>
      </c>
    </row>
    <row r="1265" spans="1:18" x14ac:dyDescent="0.25">
      <c r="A1265" t="s">
        <v>759</v>
      </c>
      <c r="B1265">
        <v>235</v>
      </c>
      <c r="C1265" t="s">
        <v>487</v>
      </c>
      <c r="D1265" t="s">
        <v>229</v>
      </c>
      <c r="E1265" t="s">
        <v>515</v>
      </c>
      <c r="F1265" t="s">
        <v>516</v>
      </c>
      <c r="G1265" s="25">
        <v>44207</v>
      </c>
      <c r="H1265">
        <v>3</v>
      </c>
      <c r="I1265">
        <v>11</v>
      </c>
      <c r="J1265" t="s">
        <v>432</v>
      </c>
      <c r="K1265" t="s">
        <v>496</v>
      </c>
      <c r="L1265" t="s">
        <v>69</v>
      </c>
      <c r="M1265" t="s">
        <v>434</v>
      </c>
      <c r="N1265" t="s">
        <v>68</v>
      </c>
      <c r="O1265" t="s">
        <v>21</v>
      </c>
      <c r="P1265" t="s">
        <v>439</v>
      </c>
      <c r="Q1265">
        <v>24000</v>
      </c>
      <c r="R1265" t="s">
        <v>237</v>
      </c>
    </row>
    <row r="1266" spans="1:18" x14ac:dyDescent="0.25">
      <c r="A1266" t="s">
        <v>3617</v>
      </c>
      <c r="B1266">
        <v>1797</v>
      </c>
      <c r="C1266" t="s">
        <v>487</v>
      </c>
      <c r="D1266" t="s">
        <v>322</v>
      </c>
      <c r="E1266" t="s">
        <v>231</v>
      </c>
      <c r="F1266" t="s">
        <v>2945</v>
      </c>
      <c r="G1266" s="25">
        <v>44278</v>
      </c>
      <c r="H1266">
        <v>17</v>
      </c>
      <c r="I1266">
        <v>82</v>
      </c>
      <c r="J1266" t="s">
        <v>432</v>
      </c>
      <c r="K1266" t="s">
        <v>496</v>
      </c>
      <c r="L1266" t="s">
        <v>69</v>
      </c>
      <c r="M1266" t="s">
        <v>434</v>
      </c>
      <c r="N1266" t="s">
        <v>68</v>
      </c>
      <c r="O1266" t="s">
        <v>21</v>
      </c>
      <c r="P1266" t="s">
        <v>439</v>
      </c>
      <c r="Q1266">
        <v>0</v>
      </c>
      <c r="R1266" t="s">
        <v>237</v>
      </c>
    </row>
    <row r="1267" spans="1:18" x14ac:dyDescent="0.25">
      <c r="A1267" t="s">
        <v>3618</v>
      </c>
      <c r="B1267">
        <v>2414</v>
      </c>
      <c r="C1267" t="s">
        <v>487</v>
      </c>
      <c r="D1267" t="s">
        <v>247</v>
      </c>
      <c r="E1267" t="s">
        <v>239</v>
      </c>
      <c r="F1267" t="s">
        <v>3118</v>
      </c>
      <c r="G1267" s="25">
        <v>44306</v>
      </c>
      <c r="H1267">
        <v>22</v>
      </c>
      <c r="I1267">
        <v>110</v>
      </c>
      <c r="J1267" t="s">
        <v>432</v>
      </c>
      <c r="K1267" t="s">
        <v>495</v>
      </c>
      <c r="L1267" t="s">
        <v>135</v>
      </c>
      <c r="M1267" t="s">
        <v>434</v>
      </c>
      <c r="N1267" t="s">
        <v>70</v>
      </c>
      <c r="O1267" t="s">
        <v>21</v>
      </c>
      <c r="P1267" t="s">
        <v>440</v>
      </c>
      <c r="Q1267">
        <v>419000</v>
      </c>
      <c r="R1267" t="s">
        <v>237</v>
      </c>
    </row>
    <row r="1268" spans="1:18" x14ac:dyDescent="0.25">
      <c r="A1268" t="s">
        <v>3619</v>
      </c>
      <c r="B1268">
        <v>2304</v>
      </c>
      <c r="C1268" t="s">
        <v>487</v>
      </c>
      <c r="D1268" t="s">
        <v>247</v>
      </c>
      <c r="E1268" t="s">
        <v>322</v>
      </c>
      <c r="F1268" t="s">
        <v>3083</v>
      </c>
      <c r="G1268" s="25">
        <v>44301</v>
      </c>
      <c r="H1268">
        <v>21</v>
      </c>
      <c r="I1268">
        <v>105</v>
      </c>
      <c r="J1268" t="s">
        <v>432</v>
      </c>
      <c r="K1268" t="s">
        <v>495</v>
      </c>
      <c r="L1268" t="s">
        <v>135</v>
      </c>
      <c r="M1268" t="s">
        <v>434</v>
      </c>
      <c r="N1268" t="s">
        <v>70</v>
      </c>
      <c r="O1268" t="s">
        <v>21</v>
      </c>
      <c r="P1268" t="s">
        <v>440</v>
      </c>
      <c r="Q1268">
        <v>527375</v>
      </c>
      <c r="R1268" t="s">
        <v>237</v>
      </c>
    </row>
    <row r="1269" spans="1:18" x14ac:dyDescent="0.25">
      <c r="A1269" t="s">
        <v>3620</v>
      </c>
      <c r="B1269">
        <v>1952</v>
      </c>
      <c r="C1269" t="s">
        <v>487</v>
      </c>
      <c r="D1269" t="s">
        <v>322</v>
      </c>
      <c r="E1269" t="s">
        <v>371</v>
      </c>
      <c r="F1269" t="s">
        <v>2976</v>
      </c>
      <c r="G1269" s="25">
        <v>44285</v>
      </c>
      <c r="H1269">
        <v>18</v>
      </c>
      <c r="I1269">
        <v>89</v>
      </c>
      <c r="J1269" t="s">
        <v>432</v>
      </c>
      <c r="K1269" t="s">
        <v>495</v>
      </c>
      <c r="L1269" t="s">
        <v>135</v>
      </c>
      <c r="M1269" t="s">
        <v>434</v>
      </c>
      <c r="N1269" t="s">
        <v>70</v>
      </c>
      <c r="O1269" t="s">
        <v>21</v>
      </c>
      <c r="P1269" t="s">
        <v>440</v>
      </c>
      <c r="Q1269">
        <v>681000</v>
      </c>
      <c r="R1269" t="s">
        <v>237</v>
      </c>
    </row>
    <row r="1270" spans="1:18" x14ac:dyDescent="0.25">
      <c r="A1270" t="s">
        <v>768</v>
      </c>
      <c r="B1270">
        <v>240</v>
      </c>
      <c r="C1270" t="s">
        <v>487</v>
      </c>
      <c r="D1270" t="s">
        <v>229</v>
      </c>
      <c r="E1270" t="s">
        <v>515</v>
      </c>
      <c r="F1270" t="s">
        <v>516</v>
      </c>
      <c r="G1270" s="25">
        <v>44207</v>
      </c>
      <c r="H1270">
        <v>3</v>
      </c>
      <c r="I1270">
        <v>11</v>
      </c>
      <c r="J1270" t="s">
        <v>432</v>
      </c>
      <c r="K1270" t="s">
        <v>494</v>
      </c>
      <c r="L1270" t="s">
        <v>25</v>
      </c>
      <c r="M1270" t="s">
        <v>434</v>
      </c>
      <c r="N1270" t="s">
        <v>76</v>
      </c>
      <c r="O1270" t="s">
        <v>435</v>
      </c>
      <c r="P1270" t="s">
        <v>25</v>
      </c>
      <c r="Q1270">
        <v>7200</v>
      </c>
      <c r="R1270" t="s">
        <v>436</v>
      </c>
    </row>
    <row r="1271" spans="1:18" x14ac:dyDescent="0.25">
      <c r="A1271" t="s">
        <v>3621</v>
      </c>
      <c r="B1271">
        <v>1802</v>
      </c>
      <c r="C1271" t="s">
        <v>487</v>
      </c>
      <c r="D1271" t="s">
        <v>322</v>
      </c>
      <c r="E1271" t="s">
        <v>231</v>
      </c>
      <c r="F1271" t="s">
        <v>2945</v>
      </c>
      <c r="G1271" s="25">
        <v>44278</v>
      </c>
      <c r="H1271">
        <v>17</v>
      </c>
      <c r="I1271">
        <v>82</v>
      </c>
      <c r="J1271" t="s">
        <v>432</v>
      </c>
      <c r="K1271" t="s">
        <v>494</v>
      </c>
      <c r="L1271" t="s">
        <v>25</v>
      </c>
      <c r="M1271" t="s">
        <v>434</v>
      </c>
      <c r="N1271" t="s">
        <v>76</v>
      </c>
      <c r="O1271" t="s">
        <v>435</v>
      </c>
      <c r="P1271" t="s">
        <v>25</v>
      </c>
      <c r="Q1271">
        <v>25800</v>
      </c>
      <c r="R1271" t="s">
        <v>436</v>
      </c>
    </row>
    <row r="1272" spans="1:18" x14ac:dyDescent="0.25">
      <c r="A1272" t="s">
        <v>1885</v>
      </c>
      <c r="B1272">
        <v>1494</v>
      </c>
      <c r="C1272" t="s">
        <v>487</v>
      </c>
      <c r="D1272" t="s">
        <v>261</v>
      </c>
      <c r="E1272" t="s">
        <v>381</v>
      </c>
      <c r="F1272" t="s">
        <v>1458</v>
      </c>
      <c r="G1272" s="25">
        <v>44264</v>
      </c>
      <c r="H1272">
        <v>14</v>
      </c>
      <c r="I1272">
        <v>68</v>
      </c>
      <c r="J1272" t="s">
        <v>432</v>
      </c>
      <c r="K1272" t="s">
        <v>494</v>
      </c>
      <c r="L1272" t="s">
        <v>25</v>
      </c>
      <c r="M1272" t="s">
        <v>434</v>
      </c>
      <c r="N1272" t="s">
        <v>76</v>
      </c>
      <c r="O1272" t="s">
        <v>435</v>
      </c>
      <c r="P1272" t="s">
        <v>25</v>
      </c>
      <c r="Q1272">
        <v>38100</v>
      </c>
      <c r="R1272" t="s">
        <v>436</v>
      </c>
    </row>
    <row r="1273" spans="1:18" x14ac:dyDescent="0.25">
      <c r="A1273" t="s">
        <v>1789</v>
      </c>
      <c r="B1273">
        <v>966</v>
      </c>
      <c r="C1273" t="s">
        <v>487</v>
      </c>
      <c r="D1273" t="s">
        <v>256</v>
      </c>
      <c r="E1273" t="s">
        <v>261</v>
      </c>
      <c r="F1273" t="s">
        <v>1276</v>
      </c>
      <c r="G1273" s="25">
        <v>44240</v>
      </c>
      <c r="H1273">
        <v>9</v>
      </c>
      <c r="I1273">
        <v>44</v>
      </c>
      <c r="J1273" t="s">
        <v>432</v>
      </c>
      <c r="K1273" t="s">
        <v>494</v>
      </c>
      <c r="L1273" t="s">
        <v>25</v>
      </c>
      <c r="M1273" t="s">
        <v>434</v>
      </c>
      <c r="N1273" t="s">
        <v>76</v>
      </c>
      <c r="O1273" t="s">
        <v>435</v>
      </c>
      <c r="P1273" t="s">
        <v>25</v>
      </c>
      <c r="Q1273">
        <v>21600</v>
      </c>
      <c r="R1273" t="s">
        <v>436</v>
      </c>
    </row>
    <row r="1274" spans="1:18" x14ac:dyDescent="0.25">
      <c r="A1274" t="s">
        <v>2902</v>
      </c>
      <c r="B1274">
        <v>592</v>
      </c>
      <c r="C1274" t="s">
        <v>487</v>
      </c>
      <c r="D1274" t="s">
        <v>231</v>
      </c>
      <c r="E1274" t="s">
        <v>326</v>
      </c>
      <c r="F1274" t="s">
        <v>1095</v>
      </c>
      <c r="G1274" s="25">
        <v>44223</v>
      </c>
      <c r="H1274">
        <v>6</v>
      </c>
      <c r="I1274">
        <v>27</v>
      </c>
      <c r="J1274" t="s">
        <v>432</v>
      </c>
      <c r="K1274" t="s">
        <v>494</v>
      </c>
      <c r="L1274" t="s">
        <v>25</v>
      </c>
      <c r="M1274" t="s">
        <v>434</v>
      </c>
      <c r="N1274" t="s">
        <v>76</v>
      </c>
      <c r="O1274" t="s">
        <v>435</v>
      </c>
      <c r="P1274" t="s">
        <v>25</v>
      </c>
      <c r="Q1274">
        <v>36000</v>
      </c>
      <c r="R1274" t="s">
        <v>436</v>
      </c>
    </row>
    <row r="1275" spans="1:18" x14ac:dyDescent="0.25">
      <c r="A1275" t="s">
        <v>1839</v>
      </c>
      <c r="B1275">
        <v>1760</v>
      </c>
      <c r="C1275" t="s">
        <v>487</v>
      </c>
      <c r="D1275" t="s">
        <v>261</v>
      </c>
      <c r="E1275" t="s">
        <v>408</v>
      </c>
      <c r="F1275" t="s">
        <v>1595</v>
      </c>
      <c r="G1275" s="25">
        <v>44276</v>
      </c>
      <c r="H1275">
        <v>16</v>
      </c>
      <c r="I1275">
        <v>80</v>
      </c>
      <c r="J1275" t="s">
        <v>432</v>
      </c>
      <c r="K1275" t="s">
        <v>493</v>
      </c>
      <c r="L1275" t="s">
        <v>441</v>
      </c>
      <c r="M1275" t="s">
        <v>434</v>
      </c>
      <c r="N1275" t="s">
        <v>78</v>
      </c>
      <c r="O1275" t="s">
        <v>435</v>
      </c>
      <c r="P1275" t="s">
        <v>441</v>
      </c>
      <c r="Q1275">
        <v>95243.75</v>
      </c>
      <c r="R1275" t="s">
        <v>436</v>
      </c>
    </row>
    <row r="1276" spans="1:18" x14ac:dyDescent="0.25">
      <c r="A1276" t="s">
        <v>1791</v>
      </c>
      <c r="B1276">
        <v>1606</v>
      </c>
      <c r="C1276" t="s">
        <v>487</v>
      </c>
      <c r="D1276" t="s">
        <v>261</v>
      </c>
      <c r="E1276" t="s">
        <v>512</v>
      </c>
      <c r="F1276" t="s">
        <v>1518</v>
      </c>
      <c r="G1276" s="25">
        <v>44269</v>
      </c>
      <c r="H1276">
        <v>15</v>
      </c>
      <c r="I1276">
        <v>73</v>
      </c>
      <c r="J1276" t="s">
        <v>432</v>
      </c>
      <c r="K1276" t="s">
        <v>493</v>
      </c>
      <c r="L1276" t="s">
        <v>441</v>
      </c>
      <c r="M1276" t="s">
        <v>434</v>
      </c>
      <c r="N1276" t="s">
        <v>78</v>
      </c>
      <c r="O1276" t="s">
        <v>435</v>
      </c>
      <c r="P1276" t="s">
        <v>441</v>
      </c>
      <c r="Q1276">
        <v>134750</v>
      </c>
      <c r="R1276" t="s">
        <v>436</v>
      </c>
    </row>
    <row r="1277" spans="1:18" x14ac:dyDescent="0.25">
      <c r="A1277" t="s">
        <v>292</v>
      </c>
      <c r="B1277">
        <v>132</v>
      </c>
      <c r="C1277" t="s">
        <v>487</v>
      </c>
      <c r="D1277" t="s">
        <v>229</v>
      </c>
      <c r="E1277" t="s">
        <v>247</v>
      </c>
      <c r="F1277" t="s">
        <v>524</v>
      </c>
      <c r="G1277" s="25">
        <v>44202</v>
      </c>
      <c r="H1277">
        <v>2</v>
      </c>
      <c r="I1277">
        <v>6</v>
      </c>
      <c r="J1277" t="s">
        <v>432</v>
      </c>
      <c r="K1277" t="s">
        <v>493</v>
      </c>
      <c r="L1277" t="s">
        <v>441</v>
      </c>
      <c r="M1277" t="s">
        <v>434</v>
      </c>
      <c r="N1277" t="s">
        <v>78</v>
      </c>
      <c r="O1277" t="s">
        <v>435</v>
      </c>
      <c r="P1277" t="s">
        <v>441</v>
      </c>
      <c r="Q1277">
        <v>43400</v>
      </c>
      <c r="R1277" t="s">
        <v>436</v>
      </c>
    </row>
    <row r="1278" spans="1:18" x14ac:dyDescent="0.25">
      <c r="A1278" t="s">
        <v>2532</v>
      </c>
      <c r="B1278">
        <v>1029</v>
      </c>
      <c r="C1278" t="s">
        <v>487</v>
      </c>
      <c r="D1278" t="s">
        <v>256</v>
      </c>
      <c r="E1278" t="s">
        <v>326</v>
      </c>
      <c r="F1278" t="s">
        <v>1305</v>
      </c>
      <c r="G1278" s="25">
        <v>44243</v>
      </c>
      <c r="H1278">
        <v>10</v>
      </c>
      <c r="I1278">
        <v>47</v>
      </c>
      <c r="J1278" t="s">
        <v>432</v>
      </c>
      <c r="K1278" t="s">
        <v>492</v>
      </c>
      <c r="L1278" t="s">
        <v>24</v>
      </c>
      <c r="M1278" t="s">
        <v>434</v>
      </c>
      <c r="N1278" t="s">
        <v>71</v>
      </c>
      <c r="O1278" t="s">
        <v>435</v>
      </c>
      <c r="P1278" t="s">
        <v>24</v>
      </c>
      <c r="Q1278">
        <v>53100</v>
      </c>
      <c r="R1278" t="s">
        <v>436</v>
      </c>
    </row>
    <row r="1279" spans="1:18" x14ac:dyDescent="0.25">
      <c r="A1279" t="s">
        <v>243</v>
      </c>
      <c r="B1279">
        <v>61</v>
      </c>
      <c r="C1279" t="s">
        <v>487</v>
      </c>
      <c r="D1279" t="s">
        <v>229</v>
      </c>
      <c r="E1279" t="s">
        <v>256</v>
      </c>
      <c r="F1279" t="s">
        <v>525</v>
      </c>
      <c r="G1279" s="25">
        <v>44199</v>
      </c>
      <c r="H1279">
        <v>1</v>
      </c>
      <c r="I1279">
        <v>3</v>
      </c>
      <c r="J1279" t="s">
        <v>432</v>
      </c>
      <c r="K1279" t="s">
        <v>492</v>
      </c>
      <c r="L1279" t="s">
        <v>24</v>
      </c>
      <c r="M1279" t="s">
        <v>434</v>
      </c>
      <c r="N1279" t="s">
        <v>71</v>
      </c>
      <c r="O1279" t="s">
        <v>435</v>
      </c>
      <c r="P1279" t="s">
        <v>24</v>
      </c>
      <c r="Q1279">
        <v>0</v>
      </c>
      <c r="R1279" t="s">
        <v>436</v>
      </c>
    </row>
    <row r="1280" spans="1:18" x14ac:dyDescent="0.25">
      <c r="A1280" t="s">
        <v>3622</v>
      </c>
      <c r="B1280">
        <v>2239</v>
      </c>
      <c r="C1280" t="s">
        <v>487</v>
      </c>
      <c r="D1280" t="s">
        <v>247</v>
      </c>
      <c r="E1280" t="s">
        <v>231</v>
      </c>
      <c r="F1280" t="s">
        <v>3070</v>
      </c>
      <c r="G1280" s="25">
        <v>44298</v>
      </c>
      <c r="H1280">
        <v>21</v>
      </c>
      <c r="I1280">
        <v>102</v>
      </c>
      <c r="J1280" t="s">
        <v>432</v>
      </c>
      <c r="K1280" t="s">
        <v>492</v>
      </c>
      <c r="L1280" t="s">
        <v>24</v>
      </c>
      <c r="M1280" t="s">
        <v>434</v>
      </c>
      <c r="N1280" t="s">
        <v>71</v>
      </c>
      <c r="O1280" t="s">
        <v>435</v>
      </c>
      <c r="P1280" t="s">
        <v>24</v>
      </c>
      <c r="Q1280">
        <v>60900</v>
      </c>
      <c r="R1280" t="s">
        <v>436</v>
      </c>
    </row>
    <row r="1281" spans="1:18" x14ac:dyDescent="0.25">
      <c r="A1281" t="s">
        <v>2633</v>
      </c>
      <c r="B1281">
        <v>690</v>
      </c>
      <c r="C1281" t="s">
        <v>487</v>
      </c>
      <c r="D1281" t="s">
        <v>231</v>
      </c>
      <c r="E1281" t="s">
        <v>232</v>
      </c>
      <c r="F1281" t="s">
        <v>1162</v>
      </c>
      <c r="G1281" s="25">
        <v>44228</v>
      </c>
      <c r="H1281">
        <v>7</v>
      </c>
      <c r="I1281">
        <v>32</v>
      </c>
      <c r="J1281" t="s">
        <v>231</v>
      </c>
      <c r="K1281" t="s">
        <v>491</v>
      </c>
      <c r="L1281" t="s">
        <v>233</v>
      </c>
      <c r="M1281" t="s">
        <v>234</v>
      </c>
      <c r="N1281" t="s">
        <v>54</v>
      </c>
      <c r="O1281" t="s">
        <v>235</v>
      </c>
      <c r="P1281" t="s">
        <v>236</v>
      </c>
      <c r="Q1281">
        <v>0</v>
      </c>
      <c r="R1281" t="s">
        <v>237</v>
      </c>
    </row>
    <row r="1282" spans="1:18" x14ac:dyDescent="0.25">
      <c r="A1282" t="s">
        <v>344</v>
      </c>
      <c r="B1282">
        <v>74</v>
      </c>
      <c r="C1282" t="s">
        <v>487</v>
      </c>
      <c r="D1282" t="s">
        <v>229</v>
      </c>
      <c r="E1282" t="s">
        <v>261</v>
      </c>
      <c r="F1282" t="s">
        <v>549</v>
      </c>
      <c r="G1282" s="25">
        <v>44200</v>
      </c>
      <c r="H1282">
        <v>1</v>
      </c>
      <c r="I1282">
        <v>4</v>
      </c>
      <c r="J1282" t="s">
        <v>231</v>
      </c>
      <c r="K1282" t="s">
        <v>491</v>
      </c>
      <c r="L1282" t="s">
        <v>233</v>
      </c>
      <c r="M1282" t="s">
        <v>234</v>
      </c>
      <c r="N1282" t="s">
        <v>54</v>
      </c>
      <c r="O1282" t="s">
        <v>235</v>
      </c>
      <c r="P1282" t="s">
        <v>236</v>
      </c>
      <c r="Q1282">
        <v>0</v>
      </c>
      <c r="R1282" t="s">
        <v>237</v>
      </c>
    </row>
    <row r="1283" spans="1:18" x14ac:dyDescent="0.25">
      <c r="A1283" t="s">
        <v>3623</v>
      </c>
      <c r="B1283">
        <v>2516</v>
      </c>
      <c r="C1283" t="s">
        <v>487</v>
      </c>
      <c r="D1283" t="s">
        <v>247</v>
      </c>
      <c r="E1283" t="s">
        <v>575</v>
      </c>
      <c r="F1283" t="s">
        <v>3158</v>
      </c>
      <c r="G1283" s="25">
        <v>44311</v>
      </c>
      <c r="H1283">
        <v>23</v>
      </c>
      <c r="I1283">
        <v>115</v>
      </c>
      <c r="J1283" t="s">
        <v>231</v>
      </c>
      <c r="K1283" t="s">
        <v>491</v>
      </c>
      <c r="L1283" t="s">
        <v>233</v>
      </c>
      <c r="M1283" t="s">
        <v>234</v>
      </c>
      <c r="N1283" t="s">
        <v>54</v>
      </c>
      <c r="O1283" t="s">
        <v>235</v>
      </c>
      <c r="P1283" t="s">
        <v>236</v>
      </c>
      <c r="Q1283">
        <v>5438</v>
      </c>
      <c r="R1283" t="s">
        <v>237</v>
      </c>
    </row>
    <row r="1284" spans="1:18" x14ac:dyDescent="0.25">
      <c r="A1284" t="s">
        <v>3624</v>
      </c>
      <c r="B1284">
        <v>2631</v>
      </c>
      <c r="C1284" t="s">
        <v>487</v>
      </c>
      <c r="D1284" t="s">
        <v>247</v>
      </c>
      <c r="E1284" t="s">
        <v>408</v>
      </c>
      <c r="F1284" t="s">
        <v>3178</v>
      </c>
      <c r="G1284" s="25">
        <v>44316</v>
      </c>
      <c r="H1284">
        <v>24</v>
      </c>
      <c r="I1284">
        <v>120</v>
      </c>
      <c r="J1284" t="s">
        <v>432</v>
      </c>
      <c r="K1284" t="s">
        <v>490</v>
      </c>
      <c r="L1284" t="s">
        <v>65</v>
      </c>
      <c r="M1284" t="s">
        <v>434</v>
      </c>
      <c r="N1284" t="s">
        <v>64</v>
      </c>
      <c r="O1284" t="s">
        <v>235</v>
      </c>
      <c r="P1284" t="s">
        <v>442</v>
      </c>
      <c r="Q1284">
        <v>156000</v>
      </c>
      <c r="R1284" t="s">
        <v>237</v>
      </c>
    </row>
    <row r="1285" spans="1:18" x14ac:dyDescent="0.25">
      <c r="A1285" t="s">
        <v>268</v>
      </c>
      <c r="B1285">
        <v>18</v>
      </c>
      <c r="C1285" t="s">
        <v>487</v>
      </c>
      <c r="D1285" t="s">
        <v>229</v>
      </c>
      <c r="E1285" t="s">
        <v>229</v>
      </c>
      <c r="F1285" t="s">
        <v>230</v>
      </c>
      <c r="G1285" s="25">
        <v>44197</v>
      </c>
      <c r="H1285">
        <v>1</v>
      </c>
      <c r="I1285">
        <v>1</v>
      </c>
      <c r="J1285" t="s">
        <v>432</v>
      </c>
      <c r="K1285" t="s">
        <v>488</v>
      </c>
      <c r="L1285" t="s">
        <v>433</v>
      </c>
      <c r="M1285" t="s">
        <v>434</v>
      </c>
      <c r="N1285" t="s">
        <v>74</v>
      </c>
      <c r="O1285" t="s">
        <v>435</v>
      </c>
      <c r="P1285" t="s">
        <v>433</v>
      </c>
      <c r="Q1285">
        <v>0</v>
      </c>
      <c r="R1285" t="s">
        <v>436</v>
      </c>
    </row>
    <row r="1286" spans="1:18" x14ac:dyDescent="0.25">
      <c r="A1286" t="s">
        <v>2268</v>
      </c>
      <c r="B1286">
        <v>1756</v>
      </c>
      <c r="C1286" t="s">
        <v>487</v>
      </c>
      <c r="D1286" t="s">
        <v>261</v>
      </c>
      <c r="E1286" t="s">
        <v>408</v>
      </c>
      <c r="F1286" t="s">
        <v>1595</v>
      </c>
      <c r="G1286" s="25">
        <v>44276</v>
      </c>
      <c r="H1286">
        <v>16</v>
      </c>
      <c r="I1286">
        <v>80</v>
      </c>
      <c r="J1286" t="s">
        <v>432</v>
      </c>
      <c r="K1286" t="s">
        <v>488</v>
      </c>
      <c r="L1286" t="s">
        <v>433</v>
      </c>
      <c r="M1286" t="s">
        <v>434</v>
      </c>
      <c r="N1286" t="s">
        <v>74</v>
      </c>
      <c r="O1286" t="s">
        <v>435</v>
      </c>
      <c r="P1286" t="s">
        <v>433</v>
      </c>
      <c r="Q1286">
        <v>25800</v>
      </c>
      <c r="R1286" t="s">
        <v>436</v>
      </c>
    </row>
    <row r="1287" spans="1:18" x14ac:dyDescent="0.25">
      <c r="A1287" t="s">
        <v>3625</v>
      </c>
      <c r="B1287">
        <v>2324</v>
      </c>
      <c r="C1287" t="s">
        <v>487</v>
      </c>
      <c r="D1287" t="s">
        <v>247</v>
      </c>
      <c r="E1287" t="s">
        <v>247</v>
      </c>
      <c r="F1287" t="s">
        <v>3085</v>
      </c>
      <c r="G1287" s="25">
        <v>44302</v>
      </c>
      <c r="H1287">
        <v>22</v>
      </c>
      <c r="I1287">
        <v>106</v>
      </c>
      <c r="J1287" t="s">
        <v>432</v>
      </c>
      <c r="K1287" t="s">
        <v>489</v>
      </c>
      <c r="L1287" t="s">
        <v>134</v>
      </c>
      <c r="M1287" t="s">
        <v>434</v>
      </c>
      <c r="N1287" t="s">
        <v>67</v>
      </c>
      <c r="O1287" t="s">
        <v>235</v>
      </c>
      <c r="P1287" t="s">
        <v>437</v>
      </c>
      <c r="Q1287">
        <v>328000</v>
      </c>
      <c r="R1287" t="s">
        <v>237</v>
      </c>
    </row>
    <row r="1288" spans="1:18" x14ac:dyDescent="0.25">
      <c r="A1288" t="s">
        <v>1714</v>
      </c>
      <c r="B1288">
        <v>1356</v>
      </c>
      <c r="C1288" t="s">
        <v>487</v>
      </c>
      <c r="D1288" t="s">
        <v>261</v>
      </c>
      <c r="E1288" t="s">
        <v>231</v>
      </c>
      <c r="F1288" t="s">
        <v>1400</v>
      </c>
      <c r="G1288" s="25">
        <v>44258</v>
      </c>
      <c r="H1288">
        <v>13</v>
      </c>
      <c r="I1288">
        <v>62</v>
      </c>
      <c r="J1288" t="s">
        <v>432</v>
      </c>
      <c r="K1288" t="s">
        <v>489</v>
      </c>
      <c r="L1288" t="s">
        <v>134</v>
      </c>
      <c r="M1288" t="s">
        <v>434</v>
      </c>
      <c r="N1288" t="s">
        <v>67</v>
      </c>
      <c r="O1288" t="s">
        <v>235</v>
      </c>
      <c r="P1288" t="s">
        <v>437</v>
      </c>
      <c r="Q1288">
        <v>344000</v>
      </c>
      <c r="R1288" t="s">
        <v>237</v>
      </c>
    </row>
    <row r="1289" spans="1:18" x14ac:dyDescent="0.25">
      <c r="A1289" t="s">
        <v>2819</v>
      </c>
      <c r="B1289">
        <v>982</v>
      </c>
      <c r="C1289" t="s">
        <v>487</v>
      </c>
      <c r="D1289" t="s">
        <v>256</v>
      </c>
      <c r="E1289" t="s">
        <v>322</v>
      </c>
      <c r="F1289" t="s">
        <v>1288</v>
      </c>
      <c r="G1289" s="25">
        <v>44241</v>
      </c>
      <c r="H1289">
        <v>9</v>
      </c>
      <c r="I1289">
        <v>45</v>
      </c>
      <c r="J1289" t="s">
        <v>432</v>
      </c>
      <c r="K1289" t="s">
        <v>489</v>
      </c>
      <c r="L1289" t="s">
        <v>134</v>
      </c>
      <c r="M1289" t="s">
        <v>434</v>
      </c>
      <c r="N1289" t="s">
        <v>67</v>
      </c>
      <c r="O1289" t="s">
        <v>235</v>
      </c>
      <c r="P1289" t="s">
        <v>437</v>
      </c>
      <c r="Q1289">
        <v>162625</v>
      </c>
      <c r="R1289" t="s">
        <v>237</v>
      </c>
    </row>
    <row r="1290" spans="1:18" x14ac:dyDescent="0.25">
      <c r="A1290" t="s">
        <v>521</v>
      </c>
      <c r="B1290">
        <v>146</v>
      </c>
      <c r="C1290" t="s">
        <v>487</v>
      </c>
      <c r="D1290" t="s">
        <v>229</v>
      </c>
      <c r="E1290" t="s">
        <v>326</v>
      </c>
      <c r="F1290" t="s">
        <v>522</v>
      </c>
      <c r="G1290" s="25">
        <v>44203</v>
      </c>
      <c r="H1290">
        <v>2</v>
      </c>
      <c r="I1290">
        <v>7</v>
      </c>
      <c r="J1290" t="s">
        <v>432</v>
      </c>
      <c r="K1290" t="s">
        <v>489</v>
      </c>
      <c r="L1290" t="s">
        <v>134</v>
      </c>
      <c r="M1290" t="s">
        <v>434</v>
      </c>
      <c r="N1290" t="s">
        <v>67</v>
      </c>
      <c r="O1290" t="s">
        <v>235</v>
      </c>
      <c r="P1290" t="s">
        <v>437</v>
      </c>
      <c r="Q1290">
        <v>96000</v>
      </c>
      <c r="R1290" t="s">
        <v>237</v>
      </c>
    </row>
    <row r="1291" spans="1:18" x14ac:dyDescent="0.25">
      <c r="A1291" t="s">
        <v>3626</v>
      </c>
      <c r="B1291">
        <v>2071</v>
      </c>
      <c r="C1291" t="s">
        <v>487</v>
      </c>
      <c r="D1291" t="s">
        <v>322</v>
      </c>
      <c r="E1291" t="s">
        <v>575</v>
      </c>
      <c r="F1291" t="s">
        <v>3014</v>
      </c>
      <c r="G1291" s="25">
        <v>44291</v>
      </c>
      <c r="H1291">
        <v>19</v>
      </c>
      <c r="I1291">
        <v>95</v>
      </c>
      <c r="J1291" t="s">
        <v>231</v>
      </c>
      <c r="K1291" t="s">
        <v>509</v>
      </c>
      <c r="L1291" t="s">
        <v>45</v>
      </c>
      <c r="M1291" t="s">
        <v>234</v>
      </c>
      <c r="N1291" t="s">
        <v>44</v>
      </c>
      <c r="O1291" t="s">
        <v>21</v>
      </c>
      <c r="P1291" t="s">
        <v>304</v>
      </c>
      <c r="Q1291">
        <v>0</v>
      </c>
      <c r="R1291" t="s">
        <v>237</v>
      </c>
    </row>
    <row r="1292" spans="1:18" x14ac:dyDescent="0.25">
      <c r="A1292" t="s">
        <v>2501</v>
      </c>
      <c r="B1292">
        <v>1169</v>
      </c>
      <c r="C1292" t="s">
        <v>487</v>
      </c>
      <c r="D1292" t="s">
        <v>256</v>
      </c>
      <c r="E1292" t="s">
        <v>537</v>
      </c>
      <c r="F1292" t="s">
        <v>1348</v>
      </c>
      <c r="G1292" s="25">
        <v>44250</v>
      </c>
      <c r="H1292">
        <v>11</v>
      </c>
      <c r="I1292">
        <v>54</v>
      </c>
      <c r="J1292" t="s">
        <v>231</v>
      </c>
      <c r="K1292" t="s">
        <v>509</v>
      </c>
      <c r="L1292" t="s">
        <v>45</v>
      </c>
      <c r="M1292" t="s">
        <v>234</v>
      </c>
      <c r="N1292" t="s">
        <v>44</v>
      </c>
      <c r="O1292" t="s">
        <v>21</v>
      </c>
      <c r="P1292" t="s">
        <v>304</v>
      </c>
      <c r="Q1292">
        <v>0</v>
      </c>
      <c r="R1292" t="s">
        <v>237</v>
      </c>
    </row>
    <row r="1293" spans="1:18" x14ac:dyDescent="0.25">
      <c r="A1293" t="s">
        <v>790</v>
      </c>
      <c r="B1293">
        <v>201</v>
      </c>
      <c r="C1293" t="s">
        <v>487</v>
      </c>
      <c r="D1293" t="s">
        <v>229</v>
      </c>
      <c r="E1293" t="s">
        <v>239</v>
      </c>
      <c r="F1293" t="s">
        <v>578</v>
      </c>
      <c r="G1293" s="25">
        <v>44206</v>
      </c>
      <c r="H1293">
        <v>2</v>
      </c>
      <c r="I1293">
        <v>10</v>
      </c>
      <c r="J1293" t="s">
        <v>231</v>
      </c>
      <c r="K1293" t="s">
        <v>509</v>
      </c>
      <c r="L1293" t="s">
        <v>45</v>
      </c>
      <c r="M1293" t="s">
        <v>234</v>
      </c>
      <c r="N1293" t="s">
        <v>44</v>
      </c>
      <c r="O1293" t="s">
        <v>21</v>
      </c>
      <c r="P1293" t="s">
        <v>304</v>
      </c>
      <c r="Q1293">
        <v>0</v>
      </c>
      <c r="R1293" t="s">
        <v>237</v>
      </c>
    </row>
    <row r="1294" spans="1:18" x14ac:dyDescent="0.25">
      <c r="A1294" t="s">
        <v>2222</v>
      </c>
      <c r="B1294">
        <v>1676</v>
      </c>
      <c r="C1294" t="s">
        <v>487</v>
      </c>
      <c r="D1294" t="s">
        <v>261</v>
      </c>
      <c r="E1294" t="s">
        <v>534</v>
      </c>
      <c r="F1294" t="s">
        <v>1563</v>
      </c>
      <c r="G1294" s="25">
        <v>44273</v>
      </c>
      <c r="H1294">
        <v>16</v>
      </c>
      <c r="I1294">
        <v>77</v>
      </c>
      <c r="J1294" t="s">
        <v>231</v>
      </c>
      <c r="K1294" t="s">
        <v>508</v>
      </c>
      <c r="L1294" t="s">
        <v>47</v>
      </c>
      <c r="M1294" t="s">
        <v>234</v>
      </c>
      <c r="N1294" t="s">
        <v>46</v>
      </c>
      <c r="O1294" t="s">
        <v>21</v>
      </c>
      <c r="P1294" t="s">
        <v>288</v>
      </c>
      <c r="Q1294">
        <v>16361</v>
      </c>
      <c r="R1294" t="s">
        <v>237</v>
      </c>
    </row>
    <row r="1295" spans="1:18" x14ac:dyDescent="0.25">
      <c r="A1295" t="s">
        <v>2767</v>
      </c>
      <c r="B1295">
        <v>840</v>
      </c>
      <c r="C1295" t="s">
        <v>487</v>
      </c>
      <c r="D1295" t="s">
        <v>231</v>
      </c>
      <c r="E1295" t="s">
        <v>531</v>
      </c>
      <c r="F1295" t="s">
        <v>1230</v>
      </c>
      <c r="G1295" s="25">
        <v>44235</v>
      </c>
      <c r="H1295">
        <v>8</v>
      </c>
      <c r="I1295">
        <v>39</v>
      </c>
      <c r="J1295" t="s">
        <v>231</v>
      </c>
      <c r="K1295" t="s">
        <v>508</v>
      </c>
      <c r="L1295" t="s">
        <v>47</v>
      </c>
      <c r="M1295" t="s">
        <v>234</v>
      </c>
      <c r="N1295" t="s">
        <v>46</v>
      </c>
      <c r="O1295" t="s">
        <v>21</v>
      </c>
      <c r="P1295" t="s">
        <v>288</v>
      </c>
      <c r="Q1295">
        <v>5125</v>
      </c>
      <c r="R1295" t="s">
        <v>237</v>
      </c>
    </row>
    <row r="1296" spans="1:18" x14ac:dyDescent="0.25">
      <c r="A1296" t="s">
        <v>1762</v>
      </c>
      <c r="B1296">
        <v>686</v>
      </c>
      <c r="C1296" t="s">
        <v>487</v>
      </c>
      <c r="D1296" t="s">
        <v>231</v>
      </c>
      <c r="E1296" t="s">
        <v>232</v>
      </c>
      <c r="F1296" t="s">
        <v>1162</v>
      </c>
      <c r="G1296" s="25">
        <v>44228</v>
      </c>
      <c r="H1296">
        <v>7</v>
      </c>
      <c r="I1296">
        <v>32</v>
      </c>
      <c r="J1296" t="s">
        <v>231</v>
      </c>
      <c r="K1296" t="s">
        <v>508</v>
      </c>
      <c r="L1296" t="s">
        <v>47</v>
      </c>
      <c r="M1296" t="s">
        <v>234</v>
      </c>
      <c r="N1296" t="s">
        <v>46</v>
      </c>
      <c r="O1296" t="s">
        <v>21</v>
      </c>
      <c r="P1296" t="s">
        <v>288</v>
      </c>
      <c r="Q1296">
        <v>0</v>
      </c>
      <c r="R1296" t="s">
        <v>237</v>
      </c>
    </row>
    <row r="1297" spans="1:18" x14ac:dyDescent="0.25">
      <c r="A1297" t="s">
        <v>312</v>
      </c>
      <c r="B1297">
        <v>70</v>
      </c>
      <c r="C1297" t="s">
        <v>487</v>
      </c>
      <c r="D1297" t="s">
        <v>229</v>
      </c>
      <c r="E1297" t="s">
        <v>261</v>
      </c>
      <c r="F1297" t="s">
        <v>549</v>
      </c>
      <c r="G1297" s="25">
        <v>44200</v>
      </c>
      <c r="H1297">
        <v>1</v>
      </c>
      <c r="I1297">
        <v>4</v>
      </c>
      <c r="J1297" t="s">
        <v>231</v>
      </c>
      <c r="K1297" t="s">
        <v>508</v>
      </c>
      <c r="L1297" t="s">
        <v>47</v>
      </c>
      <c r="M1297" t="s">
        <v>234</v>
      </c>
      <c r="N1297" t="s">
        <v>46</v>
      </c>
      <c r="O1297" t="s">
        <v>21</v>
      </c>
      <c r="P1297" t="s">
        <v>288</v>
      </c>
      <c r="Q1297">
        <v>0</v>
      </c>
      <c r="R1297" t="s">
        <v>237</v>
      </c>
    </row>
    <row r="1298" spans="1:18" x14ac:dyDescent="0.25">
      <c r="A1298" t="s">
        <v>3627</v>
      </c>
      <c r="B1298">
        <v>2248</v>
      </c>
      <c r="C1298" t="s">
        <v>487</v>
      </c>
      <c r="D1298" t="s">
        <v>247</v>
      </c>
      <c r="E1298" t="s">
        <v>256</v>
      </c>
      <c r="F1298" t="s">
        <v>3073</v>
      </c>
      <c r="G1298" s="25">
        <v>44299</v>
      </c>
      <c r="H1298">
        <v>21</v>
      </c>
      <c r="I1298">
        <v>103</v>
      </c>
      <c r="J1298" t="s">
        <v>231</v>
      </c>
      <c r="K1298" t="s">
        <v>508</v>
      </c>
      <c r="L1298" t="s">
        <v>47</v>
      </c>
      <c r="M1298" t="s">
        <v>234</v>
      </c>
      <c r="N1298" t="s">
        <v>46</v>
      </c>
      <c r="O1298" t="s">
        <v>21</v>
      </c>
      <c r="P1298" t="s">
        <v>288</v>
      </c>
      <c r="Q1298">
        <v>0</v>
      </c>
      <c r="R1298" t="s">
        <v>237</v>
      </c>
    </row>
    <row r="1299" spans="1:18" x14ac:dyDescent="0.25">
      <c r="A1299" t="s">
        <v>3628</v>
      </c>
      <c r="B1299">
        <v>1874</v>
      </c>
      <c r="C1299" t="s">
        <v>487</v>
      </c>
      <c r="D1299" t="s">
        <v>322</v>
      </c>
      <c r="E1299" t="s">
        <v>247</v>
      </c>
      <c r="F1299" t="s">
        <v>2963</v>
      </c>
      <c r="G1299" s="25">
        <v>44282</v>
      </c>
      <c r="H1299">
        <v>18</v>
      </c>
      <c r="I1299">
        <v>86</v>
      </c>
      <c r="J1299" t="s">
        <v>231</v>
      </c>
      <c r="K1299" t="s">
        <v>508</v>
      </c>
      <c r="L1299" t="s">
        <v>47</v>
      </c>
      <c r="M1299" t="s">
        <v>234</v>
      </c>
      <c r="N1299" t="s">
        <v>46</v>
      </c>
      <c r="O1299" t="s">
        <v>21</v>
      </c>
      <c r="P1299" t="s">
        <v>288</v>
      </c>
      <c r="Q1299">
        <v>0</v>
      </c>
      <c r="R1299" t="s">
        <v>237</v>
      </c>
    </row>
    <row r="1300" spans="1:18" x14ac:dyDescent="0.25">
      <c r="A1300" t="s">
        <v>2771</v>
      </c>
      <c r="B1300">
        <v>753</v>
      </c>
      <c r="C1300" t="s">
        <v>487</v>
      </c>
      <c r="D1300" t="s">
        <v>231</v>
      </c>
      <c r="E1300" t="s">
        <v>575</v>
      </c>
      <c r="F1300" t="s">
        <v>1210</v>
      </c>
      <c r="G1300" s="25">
        <v>44231</v>
      </c>
      <c r="H1300">
        <v>7</v>
      </c>
      <c r="I1300">
        <v>35</v>
      </c>
      <c r="J1300" t="s">
        <v>231</v>
      </c>
      <c r="K1300" t="s">
        <v>507</v>
      </c>
      <c r="L1300" t="s">
        <v>49</v>
      </c>
      <c r="M1300" t="s">
        <v>234</v>
      </c>
      <c r="N1300" t="s">
        <v>48</v>
      </c>
      <c r="O1300" t="s">
        <v>21</v>
      </c>
      <c r="P1300" t="s">
        <v>413</v>
      </c>
      <c r="Q1300">
        <v>0</v>
      </c>
      <c r="R1300" t="s">
        <v>237</v>
      </c>
    </row>
    <row r="1301" spans="1:18" x14ac:dyDescent="0.25">
      <c r="A1301" t="s">
        <v>784</v>
      </c>
      <c r="B1301">
        <v>379</v>
      </c>
      <c r="C1301" t="s">
        <v>487</v>
      </c>
      <c r="D1301" t="s">
        <v>229</v>
      </c>
      <c r="E1301" t="s">
        <v>552</v>
      </c>
      <c r="F1301" t="s">
        <v>553</v>
      </c>
      <c r="G1301" s="25">
        <v>44214</v>
      </c>
      <c r="H1301">
        <v>4</v>
      </c>
      <c r="I1301">
        <v>18</v>
      </c>
      <c r="J1301" t="s">
        <v>231</v>
      </c>
      <c r="K1301" t="s">
        <v>507</v>
      </c>
      <c r="L1301" t="s">
        <v>49</v>
      </c>
      <c r="M1301" t="s">
        <v>234</v>
      </c>
      <c r="N1301" t="s">
        <v>48</v>
      </c>
      <c r="O1301" t="s">
        <v>21</v>
      </c>
      <c r="P1301" t="s">
        <v>413</v>
      </c>
      <c r="Q1301">
        <v>0</v>
      </c>
      <c r="R1301" t="s">
        <v>237</v>
      </c>
    </row>
    <row r="1302" spans="1:18" x14ac:dyDescent="0.25">
      <c r="A1302" t="s">
        <v>3629</v>
      </c>
      <c r="B1302">
        <v>2557</v>
      </c>
      <c r="C1302" t="s">
        <v>487</v>
      </c>
      <c r="D1302" t="s">
        <v>247</v>
      </c>
      <c r="E1302" t="s">
        <v>534</v>
      </c>
      <c r="F1302" t="s">
        <v>3166</v>
      </c>
      <c r="G1302" s="25">
        <v>44313</v>
      </c>
      <c r="H1302">
        <v>24</v>
      </c>
      <c r="I1302">
        <v>117</v>
      </c>
      <c r="J1302" t="s">
        <v>231</v>
      </c>
      <c r="K1302" t="s">
        <v>507</v>
      </c>
      <c r="L1302" t="s">
        <v>49</v>
      </c>
      <c r="M1302" t="s">
        <v>234</v>
      </c>
      <c r="N1302" t="s">
        <v>48</v>
      </c>
      <c r="O1302" t="s">
        <v>21</v>
      </c>
      <c r="P1302" t="s">
        <v>413</v>
      </c>
      <c r="Q1302">
        <v>0</v>
      </c>
      <c r="R1302" t="s">
        <v>237</v>
      </c>
    </row>
    <row r="1303" spans="1:18" x14ac:dyDescent="0.25">
      <c r="A1303" t="s">
        <v>2334</v>
      </c>
      <c r="B1303">
        <v>1589</v>
      </c>
      <c r="C1303" t="s">
        <v>487</v>
      </c>
      <c r="D1303" t="s">
        <v>261</v>
      </c>
      <c r="E1303" t="s">
        <v>512</v>
      </c>
      <c r="F1303" t="s">
        <v>1518</v>
      </c>
      <c r="G1303" s="25">
        <v>44269</v>
      </c>
      <c r="H1303">
        <v>15</v>
      </c>
      <c r="I1303">
        <v>73</v>
      </c>
      <c r="J1303" t="s">
        <v>231</v>
      </c>
      <c r="K1303" t="s">
        <v>507</v>
      </c>
      <c r="L1303" t="s">
        <v>49</v>
      </c>
      <c r="M1303" t="s">
        <v>234</v>
      </c>
      <c r="N1303" t="s">
        <v>48</v>
      </c>
      <c r="O1303" t="s">
        <v>21</v>
      </c>
      <c r="P1303" t="s">
        <v>413</v>
      </c>
      <c r="Q1303">
        <v>0</v>
      </c>
      <c r="R1303" t="s">
        <v>237</v>
      </c>
    </row>
    <row r="1304" spans="1:18" x14ac:dyDescent="0.25">
      <c r="A1304" t="s">
        <v>2592</v>
      </c>
      <c r="B1304">
        <v>1501</v>
      </c>
      <c r="C1304" t="s">
        <v>487</v>
      </c>
      <c r="D1304" t="s">
        <v>261</v>
      </c>
      <c r="E1304" t="s">
        <v>371</v>
      </c>
      <c r="F1304" t="s">
        <v>1478</v>
      </c>
      <c r="G1304" s="25">
        <v>44265</v>
      </c>
      <c r="H1304">
        <v>14</v>
      </c>
      <c r="I1304">
        <v>69</v>
      </c>
      <c r="J1304" t="s">
        <v>231</v>
      </c>
      <c r="K1304" t="s">
        <v>507</v>
      </c>
      <c r="L1304" t="s">
        <v>49</v>
      </c>
      <c r="M1304" t="s">
        <v>234</v>
      </c>
      <c r="N1304" t="s">
        <v>48</v>
      </c>
      <c r="O1304" t="s">
        <v>21</v>
      </c>
      <c r="P1304" t="s">
        <v>413</v>
      </c>
      <c r="Q1304">
        <v>0</v>
      </c>
      <c r="R1304" t="s">
        <v>237</v>
      </c>
    </row>
    <row r="1305" spans="1:18" x14ac:dyDescent="0.25">
      <c r="A1305" t="s">
        <v>3630</v>
      </c>
      <c r="B1305">
        <v>2509</v>
      </c>
      <c r="C1305" t="s">
        <v>487</v>
      </c>
      <c r="D1305" t="s">
        <v>247</v>
      </c>
      <c r="E1305" t="s">
        <v>575</v>
      </c>
      <c r="F1305" t="s">
        <v>3158</v>
      </c>
      <c r="G1305" s="25">
        <v>44311</v>
      </c>
      <c r="H1305">
        <v>23</v>
      </c>
      <c r="I1305">
        <v>115</v>
      </c>
      <c r="J1305" t="s">
        <v>231</v>
      </c>
      <c r="K1305" t="s">
        <v>505</v>
      </c>
      <c r="L1305" t="s">
        <v>41</v>
      </c>
      <c r="M1305" t="s">
        <v>234</v>
      </c>
      <c r="N1305" t="s">
        <v>40</v>
      </c>
      <c r="O1305" t="s">
        <v>21</v>
      </c>
      <c r="P1305" t="s">
        <v>266</v>
      </c>
      <c r="Q1305">
        <v>0</v>
      </c>
      <c r="R1305" t="s">
        <v>237</v>
      </c>
    </row>
    <row r="1306" spans="1:18" x14ac:dyDescent="0.25">
      <c r="A1306" t="s">
        <v>3631</v>
      </c>
      <c r="B1306">
        <v>2114</v>
      </c>
      <c r="C1306" t="s">
        <v>487</v>
      </c>
      <c r="D1306" t="s">
        <v>322</v>
      </c>
      <c r="E1306" t="s">
        <v>534</v>
      </c>
      <c r="F1306" t="s">
        <v>3031</v>
      </c>
      <c r="G1306" s="25">
        <v>44293</v>
      </c>
      <c r="H1306">
        <v>20</v>
      </c>
      <c r="I1306">
        <v>97</v>
      </c>
      <c r="J1306" t="s">
        <v>231</v>
      </c>
      <c r="K1306" t="s">
        <v>504</v>
      </c>
      <c r="L1306" t="s">
        <v>43</v>
      </c>
      <c r="M1306" t="s">
        <v>234</v>
      </c>
      <c r="N1306" t="s">
        <v>42</v>
      </c>
      <c r="O1306" t="s">
        <v>21</v>
      </c>
      <c r="P1306" t="s">
        <v>236</v>
      </c>
      <c r="Q1306">
        <v>527</v>
      </c>
      <c r="R1306" t="s">
        <v>237</v>
      </c>
    </row>
    <row r="1307" spans="1:18" x14ac:dyDescent="0.25">
      <c r="A1307" t="s">
        <v>2872</v>
      </c>
      <c r="B1307">
        <v>1344</v>
      </c>
      <c r="C1307" t="s">
        <v>487</v>
      </c>
      <c r="D1307" t="s">
        <v>261</v>
      </c>
      <c r="E1307" t="s">
        <v>231</v>
      </c>
      <c r="F1307" t="s">
        <v>1400</v>
      </c>
      <c r="G1307" s="25">
        <v>44258</v>
      </c>
      <c r="H1307">
        <v>13</v>
      </c>
      <c r="I1307">
        <v>62</v>
      </c>
      <c r="J1307" t="s">
        <v>231</v>
      </c>
      <c r="K1307" t="s">
        <v>504</v>
      </c>
      <c r="L1307" t="s">
        <v>43</v>
      </c>
      <c r="M1307" t="s">
        <v>234</v>
      </c>
      <c r="N1307" t="s">
        <v>42</v>
      </c>
      <c r="O1307" t="s">
        <v>21</v>
      </c>
      <c r="P1307" t="s">
        <v>236</v>
      </c>
      <c r="Q1307">
        <v>1618</v>
      </c>
      <c r="R1307" t="s">
        <v>237</v>
      </c>
    </row>
    <row r="1308" spans="1:18" x14ac:dyDescent="0.25">
      <c r="A1308" t="s">
        <v>3632</v>
      </c>
      <c r="B1308">
        <v>2576</v>
      </c>
      <c r="C1308" t="s">
        <v>487</v>
      </c>
      <c r="D1308" t="s">
        <v>247</v>
      </c>
      <c r="E1308" t="s">
        <v>552</v>
      </c>
      <c r="F1308" t="s">
        <v>3170</v>
      </c>
      <c r="G1308" s="25">
        <v>44314</v>
      </c>
      <c r="H1308">
        <v>24</v>
      </c>
      <c r="I1308">
        <v>118</v>
      </c>
      <c r="J1308" t="s">
        <v>231</v>
      </c>
      <c r="K1308" t="s">
        <v>504</v>
      </c>
      <c r="L1308" t="s">
        <v>43</v>
      </c>
      <c r="M1308" t="s">
        <v>234</v>
      </c>
      <c r="N1308" t="s">
        <v>42</v>
      </c>
      <c r="O1308" t="s">
        <v>21</v>
      </c>
      <c r="P1308" t="s">
        <v>236</v>
      </c>
      <c r="Q1308">
        <v>0</v>
      </c>
      <c r="R1308" t="s">
        <v>237</v>
      </c>
    </row>
    <row r="1309" spans="1:18" x14ac:dyDescent="0.25">
      <c r="A1309" t="s">
        <v>3633</v>
      </c>
      <c r="B1309">
        <v>2297</v>
      </c>
      <c r="C1309" t="s">
        <v>487</v>
      </c>
      <c r="D1309" t="s">
        <v>247</v>
      </c>
      <c r="E1309" t="s">
        <v>322</v>
      </c>
      <c r="F1309" t="s">
        <v>3083</v>
      </c>
      <c r="G1309" s="25">
        <v>44301</v>
      </c>
      <c r="H1309">
        <v>21</v>
      </c>
      <c r="I1309">
        <v>105</v>
      </c>
      <c r="J1309" t="s">
        <v>231</v>
      </c>
      <c r="K1309" t="s">
        <v>503</v>
      </c>
      <c r="L1309" t="s">
        <v>303</v>
      </c>
      <c r="M1309" t="s">
        <v>234</v>
      </c>
      <c r="N1309" t="s">
        <v>56</v>
      </c>
      <c r="O1309" t="s">
        <v>235</v>
      </c>
      <c r="P1309" t="s">
        <v>304</v>
      </c>
      <c r="Q1309">
        <v>234</v>
      </c>
      <c r="R1309" t="s">
        <v>237</v>
      </c>
    </row>
    <row r="1310" spans="1:18" x14ac:dyDescent="0.25">
      <c r="A1310" t="s">
        <v>1650</v>
      </c>
      <c r="B1310">
        <v>1462</v>
      </c>
      <c r="C1310" t="s">
        <v>487</v>
      </c>
      <c r="D1310" t="s">
        <v>261</v>
      </c>
      <c r="E1310" t="s">
        <v>326</v>
      </c>
      <c r="F1310" t="s">
        <v>1440</v>
      </c>
      <c r="G1310" s="25">
        <v>44263</v>
      </c>
      <c r="H1310">
        <v>14</v>
      </c>
      <c r="I1310">
        <v>67</v>
      </c>
      <c r="J1310" t="s">
        <v>231</v>
      </c>
      <c r="K1310" t="s">
        <v>502</v>
      </c>
      <c r="L1310" t="s">
        <v>287</v>
      </c>
      <c r="M1310" t="s">
        <v>234</v>
      </c>
      <c r="N1310" t="s">
        <v>58</v>
      </c>
      <c r="O1310" t="s">
        <v>235</v>
      </c>
      <c r="P1310" t="s">
        <v>288</v>
      </c>
      <c r="Q1310">
        <v>0</v>
      </c>
      <c r="R1310" t="s">
        <v>237</v>
      </c>
    </row>
    <row r="1311" spans="1:18" x14ac:dyDescent="0.25">
      <c r="A1311" t="s">
        <v>1826</v>
      </c>
      <c r="B1311">
        <v>934</v>
      </c>
      <c r="C1311" t="s">
        <v>487</v>
      </c>
      <c r="D1311" t="s">
        <v>256</v>
      </c>
      <c r="E1311" t="s">
        <v>256</v>
      </c>
      <c r="F1311" t="s">
        <v>1263</v>
      </c>
      <c r="G1311" s="25">
        <v>44239</v>
      </c>
      <c r="H1311">
        <v>9</v>
      </c>
      <c r="I1311">
        <v>43</v>
      </c>
      <c r="J1311" t="s">
        <v>231</v>
      </c>
      <c r="K1311" t="s">
        <v>502</v>
      </c>
      <c r="L1311" t="s">
        <v>287</v>
      </c>
      <c r="M1311" t="s">
        <v>234</v>
      </c>
      <c r="N1311" t="s">
        <v>58</v>
      </c>
      <c r="O1311" t="s">
        <v>235</v>
      </c>
      <c r="P1311" t="s">
        <v>288</v>
      </c>
      <c r="Q1311">
        <v>0</v>
      </c>
      <c r="R1311" t="s">
        <v>237</v>
      </c>
    </row>
    <row r="1312" spans="1:18" x14ac:dyDescent="0.25">
      <c r="A1312" t="s">
        <v>1827</v>
      </c>
      <c r="B1312">
        <v>670</v>
      </c>
      <c r="C1312" t="s">
        <v>487</v>
      </c>
      <c r="D1312" t="s">
        <v>231</v>
      </c>
      <c r="E1312" t="s">
        <v>515</v>
      </c>
      <c r="F1312" t="s">
        <v>1150</v>
      </c>
      <c r="G1312" s="25">
        <v>44227</v>
      </c>
      <c r="H1312">
        <v>7</v>
      </c>
      <c r="I1312">
        <v>31</v>
      </c>
      <c r="J1312" t="s">
        <v>231</v>
      </c>
      <c r="K1312" t="s">
        <v>502</v>
      </c>
      <c r="L1312" t="s">
        <v>287</v>
      </c>
      <c r="M1312" t="s">
        <v>234</v>
      </c>
      <c r="N1312" t="s">
        <v>58</v>
      </c>
      <c r="O1312" t="s">
        <v>235</v>
      </c>
      <c r="P1312" t="s">
        <v>288</v>
      </c>
      <c r="Q1312">
        <v>4625</v>
      </c>
      <c r="R1312" t="s">
        <v>237</v>
      </c>
    </row>
    <row r="1313" spans="1:18" x14ac:dyDescent="0.25">
      <c r="A1313" t="s">
        <v>2397</v>
      </c>
      <c r="B1313">
        <v>560</v>
      </c>
      <c r="C1313" t="s">
        <v>487</v>
      </c>
      <c r="D1313" t="s">
        <v>231</v>
      </c>
      <c r="E1313" t="s">
        <v>247</v>
      </c>
      <c r="F1313" t="s">
        <v>1088</v>
      </c>
      <c r="G1313" s="25">
        <v>44222</v>
      </c>
      <c r="H1313">
        <v>6</v>
      </c>
      <c r="I1313">
        <v>26</v>
      </c>
      <c r="J1313" t="s">
        <v>231</v>
      </c>
      <c r="K1313" t="s">
        <v>502</v>
      </c>
      <c r="L1313" t="s">
        <v>287</v>
      </c>
      <c r="M1313" t="s">
        <v>234</v>
      </c>
      <c r="N1313" t="s">
        <v>58</v>
      </c>
      <c r="O1313" t="s">
        <v>235</v>
      </c>
      <c r="P1313" t="s">
        <v>288</v>
      </c>
      <c r="Q1313">
        <v>0</v>
      </c>
      <c r="R1313" t="s">
        <v>237</v>
      </c>
    </row>
    <row r="1314" spans="1:18" x14ac:dyDescent="0.25">
      <c r="A1314" t="s">
        <v>1990</v>
      </c>
      <c r="B1314">
        <v>1770</v>
      </c>
      <c r="C1314" t="s">
        <v>487</v>
      </c>
      <c r="D1314" t="s">
        <v>322</v>
      </c>
      <c r="E1314" t="s">
        <v>229</v>
      </c>
      <c r="F1314" t="s">
        <v>1643</v>
      </c>
      <c r="G1314" s="25">
        <v>44277</v>
      </c>
      <c r="H1314">
        <v>17</v>
      </c>
      <c r="I1314">
        <v>81</v>
      </c>
      <c r="J1314" t="s">
        <v>231</v>
      </c>
      <c r="K1314" t="s">
        <v>502</v>
      </c>
      <c r="L1314" t="s">
        <v>287</v>
      </c>
      <c r="M1314" t="s">
        <v>234</v>
      </c>
      <c r="N1314" t="s">
        <v>58</v>
      </c>
      <c r="O1314" t="s">
        <v>235</v>
      </c>
      <c r="P1314" t="s">
        <v>288</v>
      </c>
      <c r="Q1314">
        <v>0</v>
      </c>
      <c r="R1314" t="s">
        <v>237</v>
      </c>
    </row>
    <row r="1315" spans="1:18" x14ac:dyDescent="0.25">
      <c r="A1315" t="s">
        <v>2666</v>
      </c>
      <c r="B1315">
        <v>737</v>
      </c>
      <c r="C1315" t="s">
        <v>487</v>
      </c>
      <c r="D1315" t="s">
        <v>231</v>
      </c>
      <c r="E1315" t="s">
        <v>537</v>
      </c>
      <c r="F1315" t="s">
        <v>1192</v>
      </c>
      <c r="G1315" s="25">
        <v>44230</v>
      </c>
      <c r="H1315">
        <v>7</v>
      </c>
      <c r="I1315">
        <v>34</v>
      </c>
      <c r="J1315" t="s">
        <v>231</v>
      </c>
      <c r="K1315" t="s">
        <v>501</v>
      </c>
      <c r="L1315" t="s">
        <v>412</v>
      </c>
      <c r="M1315" t="s">
        <v>234</v>
      </c>
      <c r="N1315" t="s">
        <v>60</v>
      </c>
      <c r="O1315" t="s">
        <v>235</v>
      </c>
      <c r="P1315" t="s">
        <v>413</v>
      </c>
      <c r="Q1315">
        <v>0</v>
      </c>
      <c r="R1315" t="s">
        <v>237</v>
      </c>
    </row>
    <row r="1316" spans="1:18" x14ac:dyDescent="0.25">
      <c r="A1316" t="s">
        <v>2294</v>
      </c>
      <c r="B1316">
        <v>671</v>
      </c>
      <c r="C1316" t="s">
        <v>487</v>
      </c>
      <c r="D1316" t="s">
        <v>231</v>
      </c>
      <c r="E1316" t="s">
        <v>515</v>
      </c>
      <c r="F1316" t="s">
        <v>1150</v>
      </c>
      <c r="G1316" s="25">
        <v>44227</v>
      </c>
      <c r="H1316">
        <v>7</v>
      </c>
      <c r="I1316">
        <v>31</v>
      </c>
      <c r="J1316" t="s">
        <v>231</v>
      </c>
      <c r="K1316" t="s">
        <v>501</v>
      </c>
      <c r="L1316" t="s">
        <v>412</v>
      </c>
      <c r="M1316" t="s">
        <v>234</v>
      </c>
      <c r="N1316" t="s">
        <v>60</v>
      </c>
      <c r="O1316" t="s">
        <v>235</v>
      </c>
      <c r="P1316" t="s">
        <v>413</v>
      </c>
      <c r="Q1316">
        <v>0</v>
      </c>
      <c r="R1316" t="s">
        <v>237</v>
      </c>
    </row>
    <row r="1317" spans="1:18" x14ac:dyDescent="0.25">
      <c r="A1317" t="s">
        <v>692</v>
      </c>
      <c r="B1317">
        <v>363</v>
      </c>
      <c r="C1317" t="s">
        <v>487</v>
      </c>
      <c r="D1317" t="s">
        <v>229</v>
      </c>
      <c r="E1317" t="s">
        <v>534</v>
      </c>
      <c r="F1317" t="s">
        <v>535</v>
      </c>
      <c r="G1317" s="25">
        <v>44213</v>
      </c>
      <c r="H1317">
        <v>4</v>
      </c>
      <c r="I1317">
        <v>17</v>
      </c>
      <c r="J1317" t="s">
        <v>231</v>
      </c>
      <c r="K1317" t="s">
        <v>501</v>
      </c>
      <c r="L1317" t="s">
        <v>412</v>
      </c>
      <c r="M1317" t="s">
        <v>234</v>
      </c>
      <c r="N1317" t="s">
        <v>60</v>
      </c>
      <c r="O1317" t="s">
        <v>235</v>
      </c>
      <c r="P1317" t="s">
        <v>413</v>
      </c>
      <c r="Q1317">
        <v>0</v>
      </c>
      <c r="R1317" t="s">
        <v>237</v>
      </c>
    </row>
    <row r="1318" spans="1:18" x14ac:dyDescent="0.25">
      <c r="A1318" t="s">
        <v>3634</v>
      </c>
      <c r="B1318">
        <v>2541</v>
      </c>
      <c r="C1318" t="s">
        <v>487</v>
      </c>
      <c r="D1318" t="s">
        <v>247</v>
      </c>
      <c r="E1318" t="s">
        <v>620</v>
      </c>
      <c r="F1318" t="s">
        <v>3162</v>
      </c>
      <c r="G1318" s="25">
        <v>44312</v>
      </c>
      <c r="H1318">
        <v>24</v>
      </c>
      <c r="I1318">
        <v>116</v>
      </c>
      <c r="J1318" t="s">
        <v>231</v>
      </c>
      <c r="K1318" t="s">
        <v>501</v>
      </c>
      <c r="L1318" t="s">
        <v>412</v>
      </c>
      <c r="M1318" t="s">
        <v>234</v>
      </c>
      <c r="N1318" t="s">
        <v>60</v>
      </c>
      <c r="O1318" t="s">
        <v>235</v>
      </c>
      <c r="P1318" t="s">
        <v>413</v>
      </c>
      <c r="Q1318">
        <v>0</v>
      </c>
      <c r="R1318" t="s">
        <v>237</v>
      </c>
    </row>
    <row r="1319" spans="1:18" x14ac:dyDescent="0.25">
      <c r="A1319" t="s">
        <v>3635</v>
      </c>
      <c r="B1319">
        <v>2299</v>
      </c>
      <c r="C1319" t="s">
        <v>487</v>
      </c>
      <c r="D1319" t="s">
        <v>247</v>
      </c>
      <c r="E1319" t="s">
        <v>322</v>
      </c>
      <c r="F1319" t="s">
        <v>3083</v>
      </c>
      <c r="G1319" s="25">
        <v>44301</v>
      </c>
      <c r="H1319">
        <v>21</v>
      </c>
      <c r="I1319">
        <v>105</v>
      </c>
      <c r="J1319" t="s">
        <v>231</v>
      </c>
      <c r="K1319" t="s">
        <v>501</v>
      </c>
      <c r="L1319" t="s">
        <v>412</v>
      </c>
      <c r="M1319" t="s">
        <v>234</v>
      </c>
      <c r="N1319" t="s">
        <v>60</v>
      </c>
      <c r="O1319" t="s">
        <v>235</v>
      </c>
      <c r="P1319" t="s">
        <v>413</v>
      </c>
      <c r="Q1319">
        <v>0</v>
      </c>
      <c r="R1319" t="s">
        <v>237</v>
      </c>
    </row>
    <row r="1320" spans="1:18" x14ac:dyDescent="0.25">
      <c r="A1320" t="s">
        <v>3636</v>
      </c>
      <c r="B1320">
        <v>1925</v>
      </c>
      <c r="C1320" t="s">
        <v>487</v>
      </c>
      <c r="D1320" t="s">
        <v>322</v>
      </c>
      <c r="E1320" t="s">
        <v>381</v>
      </c>
      <c r="F1320" t="s">
        <v>2971</v>
      </c>
      <c r="G1320" s="25">
        <v>44284</v>
      </c>
      <c r="H1320">
        <v>18</v>
      </c>
      <c r="I1320">
        <v>88</v>
      </c>
      <c r="J1320" t="s">
        <v>231</v>
      </c>
      <c r="K1320" t="s">
        <v>501</v>
      </c>
      <c r="L1320" t="s">
        <v>412</v>
      </c>
      <c r="M1320" t="s">
        <v>234</v>
      </c>
      <c r="N1320" t="s">
        <v>60</v>
      </c>
      <c r="O1320" t="s">
        <v>235</v>
      </c>
      <c r="P1320" t="s">
        <v>413</v>
      </c>
      <c r="Q1320">
        <v>0</v>
      </c>
      <c r="R1320" t="s">
        <v>237</v>
      </c>
    </row>
    <row r="1321" spans="1:18" x14ac:dyDescent="0.25">
      <c r="A1321" t="s">
        <v>2234</v>
      </c>
      <c r="B1321">
        <v>1573</v>
      </c>
      <c r="C1321" t="s">
        <v>487</v>
      </c>
      <c r="D1321" t="s">
        <v>261</v>
      </c>
      <c r="E1321" t="s">
        <v>232</v>
      </c>
      <c r="F1321" t="s">
        <v>1500</v>
      </c>
      <c r="G1321" s="25">
        <v>44268</v>
      </c>
      <c r="H1321">
        <v>15</v>
      </c>
      <c r="I1321">
        <v>72</v>
      </c>
      <c r="J1321" t="s">
        <v>231</v>
      </c>
      <c r="K1321" t="s">
        <v>501</v>
      </c>
      <c r="L1321" t="s">
        <v>412</v>
      </c>
      <c r="M1321" t="s">
        <v>234</v>
      </c>
      <c r="N1321" t="s">
        <v>60</v>
      </c>
      <c r="O1321" t="s">
        <v>235</v>
      </c>
      <c r="P1321" t="s">
        <v>413</v>
      </c>
      <c r="Q1321">
        <v>0</v>
      </c>
      <c r="R1321" t="s">
        <v>237</v>
      </c>
    </row>
    <row r="1322" spans="1:18" x14ac:dyDescent="0.25">
      <c r="A1322" t="s">
        <v>2110</v>
      </c>
      <c r="B1322">
        <v>1767</v>
      </c>
      <c r="C1322" t="s">
        <v>487</v>
      </c>
      <c r="D1322" t="s">
        <v>322</v>
      </c>
      <c r="E1322" t="s">
        <v>229</v>
      </c>
      <c r="F1322" t="s">
        <v>1643</v>
      </c>
      <c r="G1322" s="25">
        <v>44277</v>
      </c>
      <c r="H1322">
        <v>17</v>
      </c>
      <c r="I1322">
        <v>81</v>
      </c>
      <c r="J1322" t="s">
        <v>231</v>
      </c>
      <c r="K1322" t="s">
        <v>500</v>
      </c>
      <c r="L1322" t="s">
        <v>265</v>
      </c>
      <c r="M1322" t="s">
        <v>234</v>
      </c>
      <c r="N1322" t="s">
        <v>52</v>
      </c>
      <c r="O1322" t="s">
        <v>235</v>
      </c>
      <c r="P1322" t="s">
        <v>266</v>
      </c>
      <c r="Q1322">
        <v>14125</v>
      </c>
      <c r="R1322" t="s">
        <v>237</v>
      </c>
    </row>
    <row r="1323" spans="1:18" x14ac:dyDescent="0.25">
      <c r="A1323" t="s">
        <v>3637</v>
      </c>
      <c r="B1323">
        <v>2256</v>
      </c>
      <c r="C1323" t="s">
        <v>487</v>
      </c>
      <c r="D1323" t="s">
        <v>247</v>
      </c>
      <c r="E1323" t="s">
        <v>256</v>
      </c>
      <c r="F1323" t="s">
        <v>3073</v>
      </c>
      <c r="G1323" s="25">
        <v>44299</v>
      </c>
      <c r="H1323">
        <v>21</v>
      </c>
      <c r="I1323">
        <v>103</v>
      </c>
      <c r="J1323" t="s">
        <v>231</v>
      </c>
      <c r="K1323" t="s">
        <v>499</v>
      </c>
      <c r="L1323" t="s">
        <v>410</v>
      </c>
      <c r="M1323" t="s">
        <v>234</v>
      </c>
      <c r="N1323" t="s">
        <v>62</v>
      </c>
      <c r="O1323" t="s">
        <v>235</v>
      </c>
      <c r="P1323" t="s">
        <v>411</v>
      </c>
      <c r="Q1323">
        <v>0</v>
      </c>
      <c r="R1323" t="s">
        <v>237</v>
      </c>
    </row>
    <row r="1324" spans="1:18" x14ac:dyDescent="0.25">
      <c r="A1324" t="s">
        <v>3638</v>
      </c>
      <c r="B1324">
        <v>1882</v>
      </c>
      <c r="C1324" t="s">
        <v>487</v>
      </c>
      <c r="D1324" t="s">
        <v>322</v>
      </c>
      <c r="E1324" t="s">
        <v>247</v>
      </c>
      <c r="F1324" t="s">
        <v>2963</v>
      </c>
      <c r="G1324" s="25">
        <v>44282</v>
      </c>
      <c r="H1324">
        <v>18</v>
      </c>
      <c r="I1324">
        <v>86</v>
      </c>
      <c r="J1324" t="s">
        <v>231</v>
      </c>
      <c r="K1324" t="s">
        <v>499</v>
      </c>
      <c r="L1324" t="s">
        <v>410</v>
      </c>
      <c r="M1324" t="s">
        <v>234</v>
      </c>
      <c r="N1324" t="s">
        <v>62</v>
      </c>
      <c r="O1324" t="s">
        <v>235</v>
      </c>
      <c r="P1324" t="s">
        <v>411</v>
      </c>
      <c r="Q1324">
        <v>0</v>
      </c>
      <c r="R1324" t="s">
        <v>237</v>
      </c>
    </row>
    <row r="1325" spans="1:18" x14ac:dyDescent="0.25">
      <c r="A1325" t="s">
        <v>2181</v>
      </c>
      <c r="B1325">
        <v>1046</v>
      </c>
      <c r="C1325" t="s">
        <v>487</v>
      </c>
      <c r="D1325" t="s">
        <v>256</v>
      </c>
      <c r="E1325" t="s">
        <v>381</v>
      </c>
      <c r="F1325" t="s">
        <v>1311</v>
      </c>
      <c r="G1325" s="25">
        <v>44244</v>
      </c>
      <c r="H1325">
        <v>10</v>
      </c>
      <c r="I1325">
        <v>48</v>
      </c>
      <c r="J1325" t="s">
        <v>231</v>
      </c>
      <c r="K1325" t="s">
        <v>499</v>
      </c>
      <c r="L1325" t="s">
        <v>410</v>
      </c>
      <c r="M1325" t="s">
        <v>234</v>
      </c>
      <c r="N1325" t="s">
        <v>62</v>
      </c>
      <c r="O1325" t="s">
        <v>235</v>
      </c>
      <c r="P1325" t="s">
        <v>411</v>
      </c>
      <c r="Q1325">
        <v>0</v>
      </c>
      <c r="R1325" t="s">
        <v>237</v>
      </c>
    </row>
    <row r="1326" spans="1:18" x14ac:dyDescent="0.25">
      <c r="A1326" t="s">
        <v>1664</v>
      </c>
      <c r="B1326">
        <v>694</v>
      </c>
      <c r="C1326" t="s">
        <v>487</v>
      </c>
      <c r="D1326" t="s">
        <v>231</v>
      </c>
      <c r="E1326" t="s">
        <v>232</v>
      </c>
      <c r="F1326" t="s">
        <v>1162</v>
      </c>
      <c r="G1326" s="25">
        <v>44228</v>
      </c>
      <c r="H1326">
        <v>7</v>
      </c>
      <c r="I1326">
        <v>32</v>
      </c>
      <c r="J1326" t="s">
        <v>231</v>
      </c>
      <c r="K1326" t="s">
        <v>499</v>
      </c>
      <c r="L1326" t="s">
        <v>410</v>
      </c>
      <c r="M1326" t="s">
        <v>234</v>
      </c>
      <c r="N1326" t="s">
        <v>62</v>
      </c>
      <c r="O1326" t="s">
        <v>235</v>
      </c>
      <c r="P1326" t="s">
        <v>411</v>
      </c>
      <c r="Q1326">
        <v>0</v>
      </c>
      <c r="R1326" t="s">
        <v>237</v>
      </c>
    </row>
    <row r="1327" spans="1:18" x14ac:dyDescent="0.25">
      <c r="A1327" t="s">
        <v>336</v>
      </c>
      <c r="B1327">
        <v>78</v>
      </c>
      <c r="C1327" t="s">
        <v>487</v>
      </c>
      <c r="D1327" t="s">
        <v>229</v>
      </c>
      <c r="E1327" t="s">
        <v>261</v>
      </c>
      <c r="F1327" t="s">
        <v>549</v>
      </c>
      <c r="G1327" s="25">
        <v>44200</v>
      </c>
      <c r="H1327">
        <v>1</v>
      </c>
      <c r="I1327">
        <v>4</v>
      </c>
      <c r="J1327" t="s">
        <v>231</v>
      </c>
      <c r="K1327" t="s">
        <v>499</v>
      </c>
      <c r="L1327" t="s">
        <v>410</v>
      </c>
      <c r="M1327" t="s">
        <v>234</v>
      </c>
      <c r="N1327" t="s">
        <v>62</v>
      </c>
      <c r="O1327" t="s">
        <v>235</v>
      </c>
      <c r="P1327" t="s">
        <v>411</v>
      </c>
      <c r="Q1327">
        <v>0</v>
      </c>
      <c r="R1327" t="s">
        <v>237</v>
      </c>
    </row>
    <row r="1328" spans="1:18" x14ac:dyDescent="0.25">
      <c r="A1328" t="s">
        <v>3639</v>
      </c>
      <c r="B1328">
        <v>1935</v>
      </c>
      <c r="C1328" t="s">
        <v>487</v>
      </c>
      <c r="D1328" t="s">
        <v>322</v>
      </c>
      <c r="E1328" t="s">
        <v>381</v>
      </c>
      <c r="F1328" t="s">
        <v>2971</v>
      </c>
      <c r="G1328" s="25">
        <v>44284</v>
      </c>
      <c r="H1328">
        <v>18</v>
      </c>
      <c r="I1328">
        <v>88</v>
      </c>
      <c r="J1328" t="s">
        <v>432</v>
      </c>
      <c r="K1328" t="s">
        <v>498</v>
      </c>
      <c r="L1328" t="s">
        <v>26</v>
      </c>
      <c r="M1328" t="s">
        <v>434</v>
      </c>
      <c r="N1328" t="s">
        <v>77</v>
      </c>
      <c r="O1328" t="s">
        <v>435</v>
      </c>
      <c r="P1328" t="s">
        <v>26</v>
      </c>
      <c r="Q1328">
        <v>309448.75</v>
      </c>
      <c r="R1328" t="s">
        <v>436</v>
      </c>
    </row>
    <row r="1329" spans="1:18" x14ac:dyDescent="0.25">
      <c r="A1329" t="s">
        <v>2302</v>
      </c>
      <c r="B1329">
        <v>1517</v>
      </c>
      <c r="C1329" t="s">
        <v>487</v>
      </c>
      <c r="D1329" t="s">
        <v>261</v>
      </c>
      <c r="E1329" t="s">
        <v>371</v>
      </c>
      <c r="F1329" t="s">
        <v>1478</v>
      </c>
      <c r="G1329" s="25">
        <v>44265</v>
      </c>
      <c r="H1329">
        <v>14</v>
      </c>
      <c r="I1329">
        <v>69</v>
      </c>
      <c r="J1329" t="s">
        <v>432</v>
      </c>
      <c r="K1329" t="s">
        <v>498</v>
      </c>
      <c r="L1329" t="s">
        <v>26</v>
      </c>
      <c r="M1329" t="s">
        <v>434</v>
      </c>
      <c r="N1329" t="s">
        <v>77</v>
      </c>
      <c r="O1329" t="s">
        <v>435</v>
      </c>
      <c r="P1329" t="s">
        <v>26</v>
      </c>
      <c r="Q1329">
        <v>149953.125</v>
      </c>
      <c r="R1329" t="s">
        <v>436</v>
      </c>
    </row>
    <row r="1330" spans="1:18" x14ac:dyDescent="0.25">
      <c r="A1330" t="s">
        <v>1678</v>
      </c>
      <c r="B1330">
        <v>747</v>
      </c>
      <c r="C1330" t="s">
        <v>487</v>
      </c>
      <c r="D1330" t="s">
        <v>231</v>
      </c>
      <c r="E1330" t="s">
        <v>537</v>
      </c>
      <c r="F1330" t="s">
        <v>1192</v>
      </c>
      <c r="G1330" s="25">
        <v>44230</v>
      </c>
      <c r="H1330">
        <v>7</v>
      </c>
      <c r="I1330">
        <v>34</v>
      </c>
      <c r="J1330" t="s">
        <v>432</v>
      </c>
      <c r="K1330" t="s">
        <v>498</v>
      </c>
      <c r="L1330" t="s">
        <v>26</v>
      </c>
      <c r="M1330" t="s">
        <v>434</v>
      </c>
      <c r="N1330" t="s">
        <v>77</v>
      </c>
      <c r="O1330" t="s">
        <v>435</v>
      </c>
      <c r="P1330" t="s">
        <v>26</v>
      </c>
      <c r="Q1330">
        <v>113268.75</v>
      </c>
      <c r="R1330" t="s">
        <v>436</v>
      </c>
    </row>
    <row r="1331" spans="1:18" x14ac:dyDescent="0.25">
      <c r="A1331" t="s">
        <v>702</v>
      </c>
      <c r="B1331">
        <v>461</v>
      </c>
      <c r="C1331" t="s">
        <v>487</v>
      </c>
      <c r="D1331" t="s">
        <v>231</v>
      </c>
      <c r="E1331" t="s">
        <v>229</v>
      </c>
      <c r="F1331" t="s">
        <v>541</v>
      </c>
      <c r="G1331" s="25">
        <v>44217</v>
      </c>
      <c r="H1331">
        <v>5</v>
      </c>
      <c r="I1331">
        <v>21</v>
      </c>
      <c r="J1331" t="s">
        <v>432</v>
      </c>
      <c r="K1331" t="s">
        <v>498</v>
      </c>
      <c r="L1331" t="s">
        <v>26</v>
      </c>
      <c r="M1331" t="s">
        <v>434</v>
      </c>
      <c r="N1331" t="s">
        <v>77</v>
      </c>
      <c r="O1331" t="s">
        <v>435</v>
      </c>
      <c r="P1331" t="s">
        <v>26</v>
      </c>
      <c r="Q1331">
        <v>9887.5</v>
      </c>
      <c r="R1331" t="s">
        <v>436</v>
      </c>
    </row>
    <row r="1332" spans="1:18" x14ac:dyDescent="0.25">
      <c r="A1332" t="s">
        <v>337</v>
      </c>
      <c r="B1332">
        <v>87</v>
      </c>
      <c r="C1332" t="s">
        <v>487</v>
      </c>
      <c r="D1332" t="s">
        <v>229</v>
      </c>
      <c r="E1332" t="s">
        <v>261</v>
      </c>
      <c r="F1332" t="s">
        <v>549</v>
      </c>
      <c r="G1332" s="25">
        <v>44200</v>
      </c>
      <c r="H1332">
        <v>1</v>
      </c>
      <c r="I1332">
        <v>4</v>
      </c>
      <c r="J1332" t="s">
        <v>432</v>
      </c>
      <c r="K1332" t="s">
        <v>498</v>
      </c>
      <c r="L1332" t="s">
        <v>26</v>
      </c>
      <c r="M1332" t="s">
        <v>434</v>
      </c>
      <c r="N1332" t="s">
        <v>77</v>
      </c>
      <c r="O1332" t="s">
        <v>435</v>
      </c>
      <c r="P1332" t="s">
        <v>26</v>
      </c>
      <c r="Q1332">
        <v>50400</v>
      </c>
      <c r="R1332" t="s">
        <v>436</v>
      </c>
    </row>
    <row r="1333" spans="1:18" x14ac:dyDescent="0.25">
      <c r="A1333" t="s">
        <v>2845</v>
      </c>
      <c r="B1333">
        <v>1053</v>
      </c>
      <c r="C1333" t="s">
        <v>487</v>
      </c>
      <c r="D1333" t="s">
        <v>256</v>
      </c>
      <c r="E1333" t="s">
        <v>381</v>
      </c>
      <c r="F1333" t="s">
        <v>1311</v>
      </c>
      <c r="G1333" s="25">
        <v>44244</v>
      </c>
      <c r="H1333">
        <v>10</v>
      </c>
      <c r="I1333">
        <v>48</v>
      </c>
      <c r="J1333" t="s">
        <v>432</v>
      </c>
      <c r="K1333" t="s">
        <v>497</v>
      </c>
      <c r="L1333" t="s">
        <v>438</v>
      </c>
      <c r="M1333" t="s">
        <v>434</v>
      </c>
      <c r="N1333" t="s">
        <v>75</v>
      </c>
      <c r="O1333" t="s">
        <v>435</v>
      </c>
      <c r="P1333" t="s">
        <v>438</v>
      </c>
      <c r="Q1333">
        <v>62400</v>
      </c>
      <c r="R1333" t="s">
        <v>436</v>
      </c>
    </row>
    <row r="1334" spans="1:18" x14ac:dyDescent="0.25">
      <c r="A1334" t="s">
        <v>1682</v>
      </c>
      <c r="B1334">
        <v>701</v>
      </c>
      <c r="C1334" t="s">
        <v>487</v>
      </c>
      <c r="D1334" t="s">
        <v>231</v>
      </c>
      <c r="E1334" t="s">
        <v>232</v>
      </c>
      <c r="F1334" t="s">
        <v>1162</v>
      </c>
      <c r="G1334" s="25">
        <v>44228</v>
      </c>
      <c r="H1334">
        <v>7</v>
      </c>
      <c r="I1334">
        <v>32</v>
      </c>
      <c r="J1334" t="s">
        <v>432</v>
      </c>
      <c r="K1334" t="s">
        <v>497</v>
      </c>
      <c r="L1334" t="s">
        <v>438</v>
      </c>
      <c r="M1334" t="s">
        <v>434</v>
      </c>
      <c r="N1334" t="s">
        <v>75</v>
      </c>
      <c r="O1334" t="s">
        <v>435</v>
      </c>
      <c r="P1334" t="s">
        <v>438</v>
      </c>
      <c r="Q1334">
        <v>28800</v>
      </c>
      <c r="R1334" t="s">
        <v>436</v>
      </c>
    </row>
    <row r="1335" spans="1:18" x14ac:dyDescent="0.25">
      <c r="A1335" t="s">
        <v>323</v>
      </c>
      <c r="B1335">
        <v>85</v>
      </c>
      <c r="C1335" t="s">
        <v>487</v>
      </c>
      <c r="D1335" t="s">
        <v>229</v>
      </c>
      <c r="E1335" t="s">
        <v>261</v>
      </c>
      <c r="F1335" t="s">
        <v>549</v>
      </c>
      <c r="G1335" s="25">
        <v>44200</v>
      </c>
      <c r="H1335">
        <v>1</v>
      </c>
      <c r="I1335">
        <v>4</v>
      </c>
      <c r="J1335" t="s">
        <v>432</v>
      </c>
      <c r="K1335" t="s">
        <v>497</v>
      </c>
      <c r="L1335" t="s">
        <v>438</v>
      </c>
      <c r="M1335" t="s">
        <v>434</v>
      </c>
      <c r="N1335" t="s">
        <v>75</v>
      </c>
      <c r="O1335" t="s">
        <v>435</v>
      </c>
      <c r="P1335" t="s">
        <v>438</v>
      </c>
      <c r="Q1335">
        <v>10800</v>
      </c>
      <c r="R1335" t="s">
        <v>436</v>
      </c>
    </row>
    <row r="1336" spans="1:18" x14ac:dyDescent="0.25">
      <c r="A1336" t="s">
        <v>3640</v>
      </c>
      <c r="B1336">
        <v>2263</v>
      </c>
      <c r="C1336" t="s">
        <v>487</v>
      </c>
      <c r="D1336" t="s">
        <v>247</v>
      </c>
      <c r="E1336" t="s">
        <v>256</v>
      </c>
      <c r="F1336" t="s">
        <v>3073</v>
      </c>
      <c r="G1336" s="25">
        <v>44299</v>
      </c>
      <c r="H1336">
        <v>21</v>
      </c>
      <c r="I1336">
        <v>103</v>
      </c>
      <c r="J1336" t="s">
        <v>432</v>
      </c>
      <c r="K1336" t="s">
        <v>497</v>
      </c>
      <c r="L1336" t="s">
        <v>438</v>
      </c>
      <c r="M1336" t="s">
        <v>434</v>
      </c>
      <c r="N1336" t="s">
        <v>75</v>
      </c>
      <c r="O1336" t="s">
        <v>435</v>
      </c>
      <c r="P1336" t="s">
        <v>438</v>
      </c>
      <c r="Q1336">
        <v>41700</v>
      </c>
      <c r="R1336" t="s">
        <v>436</v>
      </c>
    </row>
    <row r="1337" spans="1:18" x14ac:dyDescent="0.25">
      <c r="A1337" t="s">
        <v>1833</v>
      </c>
      <c r="B1337">
        <v>983</v>
      </c>
      <c r="C1337" t="s">
        <v>487</v>
      </c>
      <c r="D1337" t="s">
        <v>256</v>
      </c>
      <c r="E1337" t="s">
        <v>322</v>
      </c>
      <c r="F1337" t="s">
        <v>1288</v>
      </c>
      <c r="G1337" s="25">
        <v>44241</v>
      </c>
      <c r="H1337">
        <v>9</v>
      </c>
      <c r="I1337">
        <v>45</v>
      </c>
      <c r="J1337" t="s">
        <v>432</v>
      </c>
      <c r="K1337" t="s">
        <v>496</v>
      </c>
      <c r="L1337" t="s">
        <v>69</v>
      </c>
      <c r="M1337" t="s">
        <v>434</v>
      </c>
      <c r="N1337" t="s">
        <v>68</v>
      </c>
      <c r="O1337" t="s">
        <v>21</v>
      </c>
      <c r="P1337" t="s">
        <v>439</v>
      </c>
      <c r="Q1337">
        <v>100000</v>
      </c>
      <c r="R1337" t="s">
        <v>237</v>
      </c>
    </row>
    <row r="1338" spans="1:18" x14ac:dyDescent="0.25">
      <c r="A1338" t="s">
        <v>811</v>
      </c>
      <c r="B1338">
        <v>257</v>
      </c>
      <c r="C1338" t="s">
        <v>487</v>
      </c>
      <c r="D1338" t="s">
        <v>229</v>
      </c>
      <c r="E1338" t="s">
        <v>232</v>
      </c>
      <c r="F1338" t="s">
        <v>520</v>
      </c>
      <c r="G1338" s="25">
        <v>44208</v>
      </c>
      <c r="H1338">
        <v>3</v>
      </c>
      <c r="I1338">
        <v>12</v>
      </c>
      <c r="J1338" t="s">
        <v>432</v>
      </c>
      <c r="K1338" t="s">
        <v>496</v>
      </c>
      <c r="L1338" t="s">
        <v>69</v>
      </c>
      <c r="M1338" t="s">
        <v>434</v>
      </c>
      <c r="N1338" t="s">
        <v>68</v>
      </c>
      <c r="O1338" t="s">
        <v>21</v>
      </c>
      <c r="P1338" t="s">
        <v>439</v>
      </c>
      <c r="Q1338">
        <v>72000</v>
      </c>
      <c r="R1338" t="s">
        <v>237</v>
      </c>
    </row>
    <row r="1339" spans="1:18" x14ac:dyDescent="0.25">
      <c r="A1339" t="s">
        <v>3641</v>
      </c>
      <c r="B1339">
        <v>2435</v>
      </c>
      <c r="C1339" t="s">
        <v>487</v>
      </c>
      <c r="D1339" t="s">
        <v>247</v>
      </c>
      <c r="E1339" t="s">
        <v>515</v>
      </c>
      <c r="F1339" t="s">
        <v>3134</v>
      </c>
      <c r="G1339" s="25">
        <v>44307</v>
      </c>
      <c r="H1339">
        <v>23</v>
      </c>
      <c r="I1339">
        <v>111</v>
      </c>
      <c r="J1339" t="s">
        <v>432</v>
      </c>
      <c r="K1339" t="s">
        <v>496</v>
      </c>
      <c r="L1339" t="s">
        <v>69</v>
      </c>
      <c r="M1339" t="s">
        <v>434</v>
      </c>
      <c r="N1339" t="s">
        <v>68</v>
      </c>
      <c r="O1339" t="s">
        <v>21</v>
      </c>
      <c r="P1339" t="s">
        <v>439</v>
      </c>
      <c r="Q1339">
        <v>395000</v>
      </c>
      <c r="R1339" t="s">
        <v>237</v>
      </c>
    </row>
    <row r="1340" spans="1:18" x14ac:dyDescent="0.25">
      <c r="A1340" t="s">
        <v>3642</v>
      </c>
      <c r="B1340">
        <v>2127</v>
      </c>
      <c r="C1340" t="s">
        <v>487</v>
      </c>
      <c r="D1340" t="s">
        <v>322</v>
      </c>
      <c r="E1340" t="s">
        <v>534</v>
      </c>
      <c r="F1340" t="s">
        <v>3031</v>
      </c>
      <c r="G1340" s="25">
        <v>44293</v>
      </c>
      <c r="H1340">
        <v>20</v>
      </c>
      <c r="I1340">
        <v>97</v>
      </c>
      <c r="J1340" t="s">
        <v>432</v>
      </c>
      <c r="K1340" t="s">
        <v>496</v>
      </c>
      <c r="L1340" t="s">
        <v>69</v>
      </c>
      <c r="M1340" t="s">
        <v>434</v>
      </c>
      <c r="N1340" t="s">
        <v>68</v>
      </c>
      <c r="O1340" t="s">
        <v>21</v>
      </c>
      <c r="P1340" t="s">
        <v>439</v>
      </c>
      <c r="Q1340">
        <v>580000</v>
      </c>
      <c r="R1340" t="s">
        <v>237</v>
      </c>
    </row>
    <row r="1341" spans="1:18" x14ac:dyDescent="0.25">
      <c r="A1341" t="s">
        <v>3643</v>
      </c>
      <c r="B1341">
        <v>1819</v>
      </c>
      <c r="C1341" t="s">
        <v>487</v>
      </c>
      <c r="D1341" t="s">
        <v>322</v>
      </c>
      <c r="E1341" t="s">
        <v>256</v>
      </c>
      <c r="F1341" t="s">
        <v>2952</v>
      </c>
      <c r="G1341" s="25">
        <v>44279</v>
      </c>
      <c r="H1341">
        <v>17</v>
      </c>
      <c r="I1341">
        <v>83</v>
      </c>
      <c r="J1341" t="s">
        <v>432</v>
      </c>
      <c r="K1341" t="s">
        <v>496</v>
      </c>
      <c r="L1341" t="s">
        <v>69</v>
      </c>
      <c r="M1341" t="s">
        <v>434</v>
      </c>
      <c r="N1341" t="s">
        <v>68</v>
      </c>
      <c r="O1341" t="s">
        <v>21</v>
      </c>
      <c r="P1341" t="s">
        <v>439</v>
      </c>
      <c r="Q1341">
        <v>0</v>
      </c>
      <c r="R1341" t="s">
        <v>237</v>
      </c>
    </row>
    <row r="1342" spans="1:18" x14ac:dyDescent="0.25">
      <c r="A1342" t="s">
        <v>2898</v>
      </c>
      <c r="B1342">
        <v>1512</v>
      </c>
      <c r="C1342" t="s">
        <v>487</v>
      </c>
      <c r="D1342" t="s">
        <v>261</v>
      </c>
      <c r="E1342" t="s">
        <v>371</v>
      </c>
      <c r="F1342" t="s">
        <v>1478</v>
      </c>
      <c r="G1342" s="25">
        <v>44265</v>
      </c>
      <c r="H1342">
        <v>14</v>
      </c>
      <c r="I1342">
        <v>69</v>
      </c>
      <c r="J1342" t="s">
        <v>432</v>
      </c>
      <c r="K1342" t="s">
        <v>495</v>
      </c>
      <c r="L1342" t="s">
        <v>135</v>
      </c>
      <c r="M1342" t="s">
        <v>434</v>
      </c>
      <c r="N1342" t="s">
        <v>70</v>
      </c>
      <c r="O1342" t="s">
        <v>21</v>
      </c>
      <c r="P1342" t="s">
        <v>440</v>
      </c>
      <c r="Q1342">
        <v>168875</v>
      </c>
      <c r="R1342" t="s">
        <v>237</v>
      </c>
    </row>
    <row r="1343" spans="1:18" x14ac:dyDescent="0.25">
      <c r="A1343" t="s">
        <v>591</v>
      </c>
      <c r="B1343">
        <v>262</v>
      </c>
      <c r="C1343" t="s">
        <v>487</v>
      </c>
      <c r="D1343" t="s">
        <v>229</v>
      </c>
      <c r="E1343" t="s">
        <v>232</v>
      </c>
      <c r="F1343" t="s">
        <v>520</v>
      </c>
      <c r="G1343" s="25">
        <v>44208</v>
      </c>
      <c r="H1343">
        <v>3</v>
      </c>
      <c r="I1343">
        <v>12</v>
      </c>
      <c r="J1343" t="s">
        <v>432</v>
      </c>
      <c r="K1343" t="s">
        <v>494</v>
      </c>
      <c r="L1343" t="s">
        <v>25</v>
      </c>
      <c r="M1343" t="s">
        <v>434</v>
      </c>
      <c r="N1343" t="s">
        <v>76</v>
      </c>
      <c r="O1343" t="s">
        <v>435</v>
      </c>
      <c r="P1343" t="s">
        <v>25</v>
      </c>
      <c r="Q1343">
        <v>6600</v>
      </c>
      <c r="R1343" t="s">
        <v>436</v>
      </c>
    </row>
    <row r="1344" spans="1:18" x14ac:dyDescent="0.25">
      <c r="A1344" t="s">
        <v>3644</v>
      </c>
      <c r="B1344">
        <v>1824</v>
      </c>
      <c r="C1344" t="s">
        <v>487</v>
      </c>
      <c r="D1344" t="s">
        <v>322</v>
      </c>
      <c r="E1344" t="s">
        <v>256</v>
      </c>
      <c r="F1344" t="s">
        <v>2952</v>
      </c>
      <c r="G1344" s="25">
        <v>44279</v>
      </c>
      <c r="H1344">
        <v>17</v>
      </c>
      <c r="I1344">
        <v>83</v>
      </c>
      <c r="J1344" t="s">
        <v>432</v>
      </c>
      <c r="K1344" t="s">
        <v>494</v>
      </c>
      <c r="L1344" t="s">
        <v>25</v>
      </c>
      <c r="M1344" t="s">
        <v>434</v>
      </c>
      <c r="N1344" t="s">
        <v>76</v>
      </c>
      <c r="O1344" t="s">
        <v>435</v>
      </c>
      <c r="P1344" t="s">
        <v>25</v>
      </c>
      <c r="Q1344">
        <v>25800</v>
      </c>
      <c r="R1344" t="s">
        <v>436</v>
      </c>
    </row>
    <row r="1345" spans="1:18" x14ac:dyDescent="0.25">
      <c r="A1345" t="s">
        <v>2476</v>
      </c>
      <c r="B1345">
        <v>1230</v>
      </c>
      <c r="C1345" t="s">
        <v>487</v>
      </c>
      <c r="D1345" t="s">
        <v>256</v>
      </c>
      <c r="E1345" t="s">
        <v>620</v>
      </c>
      <c r="F1345" t="s">
        <v>1350</v>
      </c>
      <c r="G1345" s="25">
        <v>44252</v>
      </c>
      <c r="H1345">
        <v>12</v>
      </c>
      <c r="I1345">
        <v>56</v>
      </c>
      <c r="J1345" t="s">
        <v>432</v>
      </c>
      <c r="K1345" t="s">
        <v>494</v>
      </c>
      <c r="L1345" t="s">
        <v>25</v>
      </c>
      <c r="M1345" t="s">
        <v>434</v>
      </c>
      <c r="N1345" t="s">
        <v>76</v>
      </c>
      <c r="O1345" t="s">
        <v>435</v>
      </c>
      <c r="P1345" t="s">
        <v>25</v>
      </c>
      <c r="Q1345">
        <v>40500</v>
      </c>
      <c r="R1345" t="s">
        <v>436</v>
      </c>
    </row>
    <row r="1346" spans="1:18" x14ac:dyDescent="0.25">
      <c r="A1346" t="s">
        <v>2849</v>
      </c>
      <c r="B1346">
        <v>988</v>
      </c>
      <c r="C1346" t="s">
        <v>487</v>
      </c>
      <c r="D1346" t="s">
        <v>256</v>
      </c>
      <c r="E1346" t="s">
        <v>322</v>
      </c>
      <c r="F1346" t="s">
        <v>1288</v>
      </c>
      <c r="G1346" s="25">
        <v>44241</v>
      </c>
      <c r="H1346">
        <v>9</v>
      </c>
      <c r="I1346">
        <v>45</v>
      </c>
      <c r="J1346" t="s">
        <v>432</v>
      </c>
      <c r="K1346" t="s">
        <v>494</v>
      </c>
      <c r="L1346" t="s">
        <v>25</v>
      </c>
      <c r="M1346" t="s">
        <v>434</v>
      </c>
      <c r="N1346" t="s">
        <v>76</v>
      </c>
      <c r="O1346" t="s">
        <v>435</v>
      </c>
      <c r="P1346" t="s">
        <v>25</v>
      </c>
      <c r="Q1346">
        <v>62100</v>
      </c>
      <c r="R1346" t="s">
        <v>436</v>
      </c>
    </row>
    <row r="1347" spans="1:18" x14ac:dyDescent="0.25">
      <c r="A1347" t="s">
        <v>2128</v>
      </c>
      <c r="B1347">
        <v>614</v>
      </c>
      <c r="C1347" t="s">
        <v>487</v>
      </c>
      <c r="D1347" t="s">
        <v>231</v>
      </c>
      <c r="E1347" t="s">
        <v>381</v>
      </c>
      <c r="F1347" t="s">
        <v>1099</v>
      </c>
      <c r="G1347" s="25">
        <v>44224</v>
      </c>
      <c r="H1347">
        <v>6</v>
      </c>
      <c r="I1347">
        <v>28</v>
      </c>
      <c r="J1347" t="s">
        <v>432</v>
      </c>
      <c r="K1347" t="s">
        <v>494</v>
      </c>
      <c r="L1347" t="s">
        <v>25</v>
      </c>
      <c r="M1347" t="s">
        <v>434</v>
      </c>
      <c r="N1347" t="s">
        <v>76</v>
      </c>
      <c r="O1347" t="s">
        <v>435</v>
      </c>
      <c r="P1347" t="s">
        <v>25</v>
      </c>
      <c r="Q1347">
        <v>36000</v>
      </c>
      <c r="R1347" t="s">
        <v>436</v>
      </c>
    </row>
    <row r="1348" spans="1:18" x14ac:dyDescent="0.25">
      <c r="A1348" t="s">
        <v>3645</v>
      </c>
      <c r="B1348">
        <v>2134</v>
      </c>
      <c r="C1348" t="s">
        <v>487</v>
      </c>
      <c r="D1348" t="s">
        <v>322</v>
      </c>
      <c r="E1348" t="s">
        <v>534</v>
      </c>
      <c r="F1348" t="s">
        <v>3031</v>
      </c>
      <c r="G1348" s="25">
        <v>44293</v>
      </c>
      <c r="H1348">
        <v>20</v>
      </c>
      <c r="I1348">
        <v>97</v>
      </c>
      <c r="J1348" t="s">
        <v>432</v>
      </c>
      <c r="K1348" t="s">
        <v>493</v>
      </c>
      <c r="L1348" t="s">
        <v>441</v>
      </c>
      <c r="M1348" t="s">
        <v>434</v>
      </c>
      <c r="N1348" t="s">
        <v>78</v>
      </c>
      <c r="O1348" t="s">
        <v>435</v>
      </c>
      <c r="P1348" t="s">
        <v>441</v>
      </c>
      <c r="Q1348">
        <v>258305</v>
      </c>
      <c r="R1348" t="s">
        <v>436</v>
      </c>
    </row>
    <row r="1349" spans="1:18" x14ac:dyDescent="0.25">
      <c r="A1349" t="s">
        <v>3646</v>
      </c>
      <c r="B1349">
        <v>1892</v>
      </c>
      <c r="C1349" t="s">
        <v>487</v>
      </c>
      <c r="D1349" t="s">
        <v>322</v>
      </c>
      <c r="E1349" t="s">
        <v>247</v>
      </c>
      <c r="F1349" t="s">
        <v>2963</v>
      </c>
      <c r="G1349" s="25">
        <v>44282</v>
      </c>
      <c r="H1349">
        <v>18</v>
      </c>
      <c r="I1349">
        <v>86</v>
      </c>
      <c r="J1349" t="s">
        <v>432</v>
      </c>
      <c r="K1349" t="s">
        <v>493</v>
      </c>
      <c r="L1349" t="s">
        <v>441</v>
      </c>
      <c r="M1349" t="s">
        <v>434</v>
      </c>
      <c r="N1349" t="s">
        <v>78</v>
      </c>
      <c r="O1349" t="s">
        <v>435</v>
      </c>
      <c r="P1349" t="s">
        <v>441</v>
      </c>
      <c r="Q1349">
        <v>324892.5</v>
      </c>
      <c r="R1349" t="s">
        <v>436</v>
      </c>
    </row>
    <row r="1350" spans="1:18" x14ac:dyDescent="0.25">
      <c r="A1350" t="s">
        <v>2063</v>
      </c>
      <c r="B1350">
        <v>1320</v>
      </c>
      <c r="C1350" t="s">
        <v>487</v>
      </c>
      <c r="D1350" t="s">
        <v>256</v>
      </c>
      <c r="E1350" t="s">
        <v>408</v>
      </c>
      <c r="F1350" t="s">
        <v>1383</v>
      </c>
      <c r="G1350" s="25">
        <v>44256</v>
      </c>
      <c r="H1350">
        <v>12</v>
      </c>
      <c r="I1350">
        <v>60</v>
      </c>
      <c r="J1350" t="s">
        <v>432</v>
      </c>
      <c r="K1350" t="s">
        <v>493</v>
      </c>
      <c r="L1350" t="s">
        <v>441</v>
      </c>
      <c r="M1350" t="s">
        <v>434</v>
      </c>
      <c r="N1350" t="s">
        <v>78</v>
      </c>
      <c r="O1350" t="s">
        <v>435</v>
      </c>
      <c r="P1350" t="s">
        <v>441</v>
      </c>
      <c r="Q1350">
        <v>185718.75</v>
      </c>
      <c r="R1350" t="s">
        <v>436</v>
      </c>
    </row>
    <row r="1351" spans="1:18" x14ac:dyDescent="0.25">
      <c r="A1351" t="s">
        <v>2750</v>
      </c>
      <c r="B1351">
        <v>682</v>
      </c>
      <c r="C1351" t="s">
        <v>487</v>
      </c>
      <c r="D1351" t="s">
        <v>231</v>
      </c>
      <c r="E1351" t="s">
        <v>515</v>
      </c>
      <c r="F1351" t="s">
        <v>1150</v>
      </c>
      <c r="G1351" s="25">
        <v>44227</v>
      </c>
      <c r="H1351">
        <v>7</v>
      </c>
      <c r="I1351">
        <v>31</v>
      </c>
      <c r="J1351" t="s">
        <v>432</v>
      </c>
      <c r="K1351" t="s">
        <v>493</v>
      </c>
      <c r="L1351" t="s">
        <v>441</v>
      </c>
      <c r="M1351" t="s">
        <v>434</v>
      </c>
      <c r="N1351" t="s">
        <v>78</v>
      </c>
      <c r="O1351" t="s">
        <v>435</v>
      </c>
      <c r="P1351" t="s">
        <v>441</v>
      </c>
      <c r="Q1351">
        <v>128581.25</v>
      </c>
      <c r="R1351" t="s">
        <v>436</v>
      </c>
    </row>
    <row r="1352" spans="1:18" x14ac:dyDescent="0.25">
      <c r="A1352" t="s">
        <v>708</v>
      </c>
      <c r="B1352">
        <v>154</v>
      </c>
      <c r="C1352" t="s">
        <v>487</v>
      </c>
      <c r="D1352" t="s">
        <v>229</v>
      </c>
      <c r="E1352" t="s">
        <v>326</v>
      </c>
      <c r="F1352" t="s">
        <v>522</v>
      </c>
      <c r="G1352" s="25">
        <v>44203</v>
      </c>
      <c r="H1352">
        <v>2</v>
      </c>
      <c r="I1352">
        <v>7</v>
      </c>
      <c r="J1352" t="s">
        <v>432</v>
      </c>
      <c r="K1352" t="s">
        <v>493</v>
      </c>
      <c r="L1352" t="s">
        <v>441</v>
      </c>
      <c r="M1352" t="s">
        <v>434</v>
      </c>
      <c r="N1352" t="s">
        <v>78</v>
      </c>
      <c r="O1352" t="s">
        <v>435</v>
      </c>
      <c r="P1352" t="s">
        <v>441</v>
      </c>
      <c r="Q1352">
        <v>40600</v>
      </c>
      <c r="R1352" t="s">
        <v>436</v>
      </c>
    </row>
    <row r="1353" spans="1:18" x14ac:dyDescent="0.25">
      <c r="A1353" t="s">
        <v>3647</v>
      </c>
      <c r="B1353">
        <v>1887</v>
      </c>
      <c r="C1353" t="s">
        <v>487</v>
      </c>
      <c r="D1353" t="s">
        <v>322</v>
      </c>
      <c r="E1353" t="s">
        <v>247</v>
      </c>
      <c r="F1353" t="s">
        <v>2963</v>
      </c>
      <c r="G1353" s="25">
        <v>44282</v>
      </c>
      <c r="H1353">
        <v>18</v>
      </c>
      <c r="I1353">
        <v>86</v>
      </c>
      <c r="J1353" t="s">
        <v>432</v>
      </c>
      <c r="K1353" t="s">
        <v>492</v>
      </c>
      <c r="L1353" t="s">
        <v>24</v>
      </c>
      <c r="M1353" t="s">
        <v>434</v>
      </c>
      <c r="N1353" t="s">
        <v>71</v>
      </c>
      <c r="O1353" t="s">
        <v>435</v>
      </c>
      <c r="P1353" t="s">
        <v>24</v>
      </c>
      <c r="Q1353">
        <v>74400</v>
      </c>
      <c r="R1353" t="s">
        <v>436</v>
      </c>
    </row>
    <row r="1354" spans="1:18" x14ac:dyDescent="0.25">
      <c r="A1354" t="s">
        <v>1751</v>
      </c>
      <c r="B1354">
        <v>1051</v>
      </c>
      <c r="C1354" t="s">
        <v>487</v>
      </c>
      <c r="D1354" t="s">
        <v>256</v>
      </c>
      <c r="E1354" t="s">
        <v>381</v>
      </c>
      <c r="F1354" t="s">
        <v>1311</v>
      </c>
      <c r="G1354" s="25">
        <v>44244</v>
      </c>
      <c r="H1354">
        <v>10</v>
      </c>
      <c r="I1354">
        <v>48</v>
      </c>
      <c r="J1354" t="s">
        <v>432</v>
      </c>
      <c r="K1354" t="s">
        <v>492</v>
      </c>
      <c r="L1354" t="s">
        <v>24</v>
      </c>
      <c r="M1354" t="s">
        <v>434</v>
      </c>
      <c r="N1354" t="s">
        <v>71</v>
      </c>
      <c r="O1354" t="s">
        <v>435</v>
      </c>
      <c r="P1354" t="s">
        <v>24</v>
      </c>
      <c r="Q1354">
        <v>53100</v>
      </c>
      <c r="R1354" t="s">
        <v>436</v>
      </c>
    </row>
    <row r="1355" spans="1:18" x14ac:dyDescent="0.25">
      <c r="A1355" t="s">
        <v>2908</v>
      </c>
      <c r="B1355">
        <v>699</v>
      </c>
      <c r="C1355" t="s">
        <v>487</v>
      </c>
      <c r="D1355" t="s">
        <v>231</v>
      </c>
      <c r="E1355" t="s">
        <v>232</v>
      </c>
      <c r="F1355" t="s">
        <v>1162</v>
      </c>
      <c r="G1355" s="25">
        <v>44228</v>
      </c>
      <c r="H1355">
        <v>7</v>
      </c>
      <c r="I1355">
        <v>32</v>
      </c>
      <c r="J1355" t="s">
        <v>432</v>
      </c>
      <c r="K1355" t="s">
        <v>492</v>
      </c>
      <c r="L1355" t="s">
        <v>24</v>
      </c>
      <c r="M1355" t="s">
        <v>434</v>
      </c>
      <c r="N1355" t="s">
        <v>71</v>
      </c>
      <c r="O1355" t="s">
        <v>435</v>
      </c>
      <c r="P1355" t="s">
        <v>24</v>
      </c>
      <c r="Q1355">
        <v>14400</v>
      </c>
      <c r="R1355" t="s">
        <v>436</v>
      </c>
    </row>
    <row r="1356" spans="1:18" x14ac:dyDescent="0.25">
      <c r="A1356" t="s">
        <v>328</v>
      </c>
      <c r="B1356">
        <v>83</v>
      </c>
      <c r="C1356" t="s">
        <v>487</v>
      </c>
      <c r="D1356" t="s">
        <v>229</v>
      </c>
      <c r="E1356" t="s">
        <v>261</v>
      </c>
      <c r="F1356" t="s">
        <v>549</v>
      </c>
      <c r="G1356" s="25">
        <v>44200</v>
      </c>
      <c r="H1356">
        <v>1</v>
      </c>
      <c r="I1356">
        <v>4</v>
      </c>
      <c r="J1356" t="s">
        <v>432</v>
      </c>
      <c r="K1356" t="s">
        <v>492</v>
      </c>
      <c r="L1356" t="s">
        <v>24</v>
      </c>
      <c r="M1356" t="s">
        <v>434</v>
      </c>
      <c r="N1356" t="s">
        <v>71</v>
      </c>
      <c r="O1356" t="s">
        <v>435</v>
      </c>
      <c r="P1356" t="s">
        <v>24</v>
      </c>
      <c r="Q1356">
        <v>10800</v>
      </c>
      <c r="R1356" t="s">
        <v>436</v>
      </c>
    </row>
    <row r="1357" spans="1:18" x14ac:dyDescent="0.25">
      <c r="A1357" t="s">
        <v>3648</v>
      </c>
      <c r="B1357">
        <v>2261</v>
      </c>
      <c r="C1357" t="s">
        <v>487</v>
      </c>
      <c r="D1357" t="s">
        <v>247</v>
      </c>
      <c r="E1357" t="s">
        <v>256</v>
      </c>
      <c r="F1357" t="s">
        <v>3073</v>
      </c>
      <c r="G1357" s="25">
        <v>44299</v>
      </c>
      <c r="H1357">
        <v>21</v>
      </c>
      <c r="I1357">
        <v>103</v>
      </c>
      <c r="J1357" t="s">
        <v>432</v>
      </c>
      <c r="K1357" t="s">
        <v>492</v>
      </c>
      <c r="L1357" t="s">
        <v>24</v>
      </c>
      <c r="M1357" t="s">
        <v>434</v>
      </c>
      <c r="N1357" t="s">
        <v>71</v>
      </c>
      <c r="O1357" t="s">
        <v>435</v>
      </c>
      <c r="P1357" t="s">
        <v>24</v>
      </c>
      <c r="Q1357">
        <v>60900</v>
      </c>
      <c r="R1357" t="s">
        <v>436</v>
      </c>
    </row>
    <row r="1358" spans="1:18" x14ac:dyDescent="0.25">
      <c r="A1358" t="s">
        <v>2694</v>
      </c>
      <c r="B1358">
        <v>1548</v>
      </c>
      <c r="C1358" t="s">
        <v>487</v>
      </c>
      <c r="D1358" t="s">
        <v>261</v>
      </c>
      <c r="E1358" t="s">
        <v>515</v>
      </c>
      <c r="F1358" t="s">
        <v>1493</v>
      </c>
      <c r="G1358" s="25">
        <v>44267</v>
      </c>
      <c r="H1358">
        <v>15</v>
      </c>
      <c r="I1358">
        <v>71</v>
      </c>
      <c r="J1358" t="s">
        <v>231</v>
      </c>
      <c r="K1358" t="s">
        <v>491</v>
      </c>
      <c r="L1358" t="s">
        <v>233</v>
      </c>
      <c r="M1358" t="s">
        <v>234</v>
      </c>
      <c r="N1358" t="s">
        <v>54</v>
      </c>
      <c r="O1358" t="s">
        <v>235</v>
      </c>
      <c r="P1358" t="s">
        <v>236</v>
      </c>
      <c r="Q1358">
        <v>0</v>
      </c>
      <c r="R1358" t="s">
        <v>237</v>
      </c>
    </row>
    <row r="1359" spans="1:18" x14ac:dyDescent="0.25">
      <c r="A1359" t="s">
        <v>1752</v>
      </c>
      <c r="B1359">
        <v>1064</v>
      </c>
      <c r="C1359" t="s">
        <v>487</v>
      </c>
      <c r="D1359" t="s">
        <v>256</v>
      </c>
      <c r="E1359" t="s">
        <v>371</v>
      </c>
      <c r="F1359" t="s">
        <v>1318</v>
      </c>
      <c r="G1359" s="25">
        <v>44245</v>
      </c>
      <c r="H1359">
        <v>10</v>
      </c>
      <c r="I1359">
        <v>49</v>
      </c>
      <c r="J1359" t="s">
        <v>231</v>
      </c>
      <c r="K1359" t="s">
        <v>491</v>
      </c>
      <c r="L1359" t="s">
        <v>233</v>
      </c>
      <c r="M1359" t="s">
        <v>234</v>
      </c>
      <c r="N1359" t="s">
        <v>54</v>
      </c>
      <c r="O1359" t="s">
        <v>235</v>
      </c>
      <c r="P1359" t="s">
        <v>236</v>
      </c>
      <c r="Q1359">
        <v>0</v>
      </c>
      <c r="R1359" t="s">
        <v>237</v>
      </c>
    </row>
    <row r="1360" spans="1:18" x14ac:dyDescent="0.25">
      <c r="A1360" t="s">
        <v>1843</v>
      </c>
      <c r="B1360">
        <v>712</v>
      </c>
      <c r="C1360" t="s">
        <v>487</v>
      </c>
      <c r="D1360" t="s">
        <v>231</v>
      </c>
      <c r="E1360" t="s">
        <v>512</v>
      </c>
      <c r="F1360" t="s">
        <v>1174</v>
      </c>
      <c r="G1360" s="25">
        <v>44229</v>
      </c>
      <c r="H1360">
        <v>7</v>
      </c>
      <c r="I1360">
        <v>33</v>
      </c>
      <c r="J1360" t="s">
        <v>231</v>
      </c>
      <c r="K1360" t="s">
        <v>491</v>
      </c>
      <c r="L1360" t="s">
        <v>233</v>
      </c>
      <c r="M1360" t="s">
        <v>234</v>
      </c>
      <c r="N1360" t="s">
        <v>54</v>
      </c>
      <c r="O1360" t="s">
        <v>235</v>
      </c>
      <c r="P1360" t="s">
        <v>236</v>
      </c>
      <c r="Q1360">
        <v>0</v>
      </c>
      <c r="R1360" t="s">
        <v>237</v>
      </c>
    </row>
    <row r="1361" spans="1:18" x14ac:dyDescent="0.25">
      <c r="A1361" t="s">
        <v>777</v>
      </c>
      <c r="B1361">
        <v>338</v>
      </c>
      <c r="C1361" t="s">
        <v>487</v>
      </c>
      <c r="D1361" t="s">
        <v>229</v>
      </c>
      <c r="E1361" t="s">
        <v>620</v>
      </c>
      <c r="F1361" t="s">
        <v>621</v>
      </c>
      <c r="G1361" s="25">
        <v>44212</v>
      </c>
      <c r="H1361">
        <v>4</v>
      </c>
      <c r="I1361">
        <v>16</v>
      </c>
      <c r="J1361" t="s">
        <v>231</v>
      </c>
      <c r="K1361" t="s">
        <v>491</v>
      </c>
      <c r="L1361" t="s">
        <v>233</v>
      </c>
      <c r="M1361" t="s">
        <v>234</v>
      </c>
      <c r="N1361" t="s">
        <v>54</v>
      </c>
      <c r="O1361" t="s">
        <v>235</v>
      </c>
      <c r="P1361" t="s">
        <v>236</v>
      </c>
      <c r="Q1361">
        <v>0</v>
      </c>
      <c r="R1361" t="s">
        <v>237</v>
      </c>
    </row>
    <row r="1362" spans="1:18" x14ac:dyDescent="0.25">
      <c r="A1362" t="s">
        <v>383</v>
      </c>
      <c r="B1362">
        <v>96</v>
      </c>
      <c r="C1362" t="s">
        <v>487</v>
      </c>
      <c r="D1362" t="s">
        <v>229</v>
      </c>
      <c r="E1362" t="s">
        <v>322</v>
      </c>
      <c r="F1362" t="s">
        <v>529</v>
      </c>
      <c r="G1362" s="25">
        <v>44201</v>
      </c>
      <c r="H1362">
        <v>1</v>
      </c>
      <c r="I1362">
        <v>5</v>
      </c>
      <c r="J1362" t="s">
        <v>231</v>
      </c>
      <c r="K1362" t="s">
        <v>491</v>
      </c>
      <c r="L1362" t="s">
        <v>233</v>
      </c>
      <c r="M1362" t="s">
        <v>234</v>
      </c>
      <c r="N1362" t="s">
        <v>54</v>
      </c>
      <c r="O1362" t="s">
        <v>235</v>
      </c>
      <c r="P1362" t="s">
        <v>236</v>
      </c>
      <c r="Q1362">
        <v>0</v>
      </c>
      <c r="R1362" t="s">
        <v>237</v>
      </c>
    </row>
    <row r="1363" spans="1:18" x14ac:dyDescent="0.25">
      <c r="A1363" t="s">
        <v>3649</v>
      </c>
      <c r="B1363">
        <v>2274</v>
      </c>
      <c r="C1363" t="s">
        <v>487</v>
      </c>
      <c r="D1363" t="s">
        <v>247</v>
      </c>
      <c r="E1363" t="s">
        <v>261</v>
      </c>
      <c r="F1363" t="s">
        <v>3078</v>
      </c>
      <c r="G1363" s="25">
        <v>44300</v>
      </c>
      <c r="H1363">
        <v>21</v>
      </c>
      <c r="I1363">
        <v>104</v>
      </c>
      <c r="J1363" t="s">
        <v>231</v>
      </c>
      <c r="K1363" t="s">
        <v>491</v>
      </c>
      <c r="L1363" t="s">
        <v>233</v>
      </c>
      <c r="M1363" t="s">
        <v>234</v>
      </c>
      <c r="N1363" t="s">
        <v>54</v>
      </c>
      <c r="O1363" t="s">
        <v>235</v>
      </c>
      <c r="P1363" t="s">
        <v>236</v>
      </c>
      <c r="Q1363">
        <v>0</v>
      </c>
      <c r="R1363" t="s">
        <v>237</v>
      </c>
    </row>
    <row r="1364" spans="1:18" x14ac:dyDescent="0.25">
      <c r="A1364" t="s">
        <v>3650</v>
      </c>
      <c r="B1364">
        <v>1905</v>
      </c>
      <c r="C1364" t="s">
        <v>487</v>
      </c>
      <c r="D1364" t="s">
        <v>322</v>
      </c>
      <c r="E1364" t="s">
        <v>326</v>
      </c>
      <c r="F1364" t="s">
        <v>2967</v>
      </c>
      <c r="G1364" s="25">
        <v>44283</v>
      </c>
      <c r="H1364">
        <v>18</v>
      </c>
      <c r="I1364">
        <v>87</v>
      </c>
      <c r="J1364" t="s">
        <v>432</v>
      </c>
      <c r="K1364" t="s">
        <v>490</v>
      </c>
      <c r="L1364" t="s">
        <v>65</v>
      </c>
      <c r="M1364" t="s">
        <v>434</v>
      </c>
      <c r="N1364" t="s">
        <v>64</v>
      </c>
      <c r="O1364" t="s">
        <v>235</v>
      </c>
      <c r="P1364" t="s">
        <v>442</v>
      </c>
      <c r="Q1364">
        <v>567625</v>
      </c>
      <c r="R1364" t="s">
        <v>237</v>
      </c>
    </row>
    <row r="1365" spans="1:18" x14ac:dyDescent="0.25">
      <c r="A1365" t="s">
        <v>1899</v>
      </c>
      <c r="B1365">
        <v>1443</v>
      </c>
      <c r="C1365" t="s">
        <v>487</v>
      </c>
      <c r="D1365" t="s">
        <v>261</v>
      </c>
      <c r="E1365" t="s">
        <v>247</v>
      </c>
      <c r="F1365" t="s">
        <v>1425</v>
      </c>
      <c r="G1365" s="25">
        <v>44262</v>
      </c>
      <c r="H1365">
        <v>14</v>
      </c>
      <c r="I1365">
        <v>66</v>
      </c>
      <c r="J1365" t="s">
        <v>432</v>
      </c>
      <c r="K1365" t="s">
        <v>490</v>
      </c>
      <c r="L1365" t="s">
        <v>65</v>
      </c>
      <c r="M1365" t="s">
        <v>434</v>
      </c>
      <c r="N1365" t="s">
        <v>64</v>
      </c>
      <c r="O1365" t="s">
        <v>235</v>
      </c>
      <c r="P1365" t="s">
        <v>442</v>
      </c>
      <c r="Q1365">
        <v>344000</v>
      </c>
      <c r="R1365" t="s">
        <v>237</v>
      </c>
    </row>
    <row r="1366" spans="1:18" x14ac:dyDescent="0.25">
      <c r="A1366" t="s">
        <v>1966</v>
      </c>
      <c r="B1366">
        <v>1008</v>
      </c>
      <c r="C1366" t="s">
        <v>487</v>
      </c>
      <c r="D1366" t="s">
        <v>256</v>
      </c>
      <c r="E1366" t="s">
        <v>247</v>
      </c>
      <c r="F1366" t="s">
        <v>1299</v>
      </c>
      <c r="G1366" s="25">
        <v>44242</v>
      </c>
      <c r="H1366">
        <v>10</v>
      </c>
      <c r="I1366">
        <v>46</v>
      </c>
      <c r="J1366" t="s">
        <v>432</v>
      </c>
      <c r="K1366" t="s">
        <v>488</v>
      </c>
      <c r="L1366" t="s">
        <v>433</v>
      </c>
      <c r="M1366" t="s">
        <v>434</v>
      </c>
      <c r="N1366" t="s">
        <v>74</v>
      </c>
      <c r="O1366" t="s">
        <v>435</v>
      </c>
      <c r="P1366" t="s">
        <v>433</v>
      </c>
      <c r="Q1366">
        <v>52800</v>
      </c>
      <c r="R1366" t="s">
        <v>436</v>
      </c>
    </row>
    <row r="1367" spans="1:18" x14ac:dyDescent="0.25">
      <c r="A1367" t="s">
        <v>294</v>
      </c>
      <c r="B1367">
        <v>40</v>
      </c>
      <c r="C1367" t="s">
        <v>487</v>
      </c>
      <c r="D1367" t="s">
        <v>229</v>
      </c>
      <c r="E1367" t="s">
        <v>231</v>
      </c>
      <c r="F1367" t="s">
        <v>568</v>
      </c>
      <c r="G1367" s="25">
        <v>44198</v>
      </c>
      <c r="H1367">
        <v>1</v>
      </c>
      <c r="I1367">
        <v>2</v>
      </c>
      <c r="J1367" t="s">
        <v>432</v>
      </c>
      <c r="K1367" t="s">
        <v>488</v>
      </c>
      <c r="L1367" t="s">
        <v>433</v>
      </c>
      <c r="M1367" t="s">
        <v>434</v>
      </c>
      <c r="N1367" t="s">
        <v>74</v>
      </c>
      <c r="O1367" t="s">
        <v>435</v>
      </c>
      <c r="P1367" t="s">
        <v>433</v>
      </c>
      <c r="Q1367">
        <v>0</v>
      </c>
      <c r="R1367" t="s">
        <v>436</v>
      </c>
    </row>
    <row r="1368" spans="1:18" x14ac:dyDescent="0.25">
      <c r="A1368" t="s">
        <v>3651</v>
      </c>
      <c r="B1368">
        <v>2346</v>
      </c>
      <c r="C1368" t="s">
        <v>487</v>
      </c>
      <c r="D1368" t="s">
        <v>247</v>
      </c>
      <c r="E1368" t="s">
        <v>326</v>
      </c>
      <c r="F1368" t="s">
        <v>3091</v>
      </c>
      <c r="G1368" s="25">
        <v>44303</v>
      </c>
      <c r="H1368">
        <v>22</v>
      </c>
      <c r="I1368">
        <v>107</v>
      </c>
      <c r="J1368" t="s">
        <v>432</v>
      </c>
      <c r="K1368" t="s">
        <v>489</v>
      </c>
      <c r="L1368" t="s">
        <v>134</v>
      </c>
      <c r="M1368" t="s">
        <v>434</v>
      </c>
      <c r="N1368" t="s">
        <v>67</v>
      </c>
      <c r="O1368" t="s">
        <v>235</v>
      </c>
      <c r="P1368" t="s">
        <v>437</v>
      </c>
      <c r="Q1368">
        <v>328000</v>
      </c>
      <c r="R1368" t="s">
        <v>237</v>
      </c>
    </row>
    <row r="1369" spans="1:18" x14ac:dyDescent="0.25">
      <c r="A1369" t="s">
        <v>3652</v>
      </c>
      <c r="B1369">
        <v>1994</v>
      </c>
      <c r="C1369" t="s">
        <v>487</v>
      </c>
      <c r="D1369" t="s">
        <v>322</v>
      </c>
      <c r="E1369" t="s">
        <v>515</v>
      </c>
      <c r="F1369" t="s">
        <v>2983</v>
      </c>
      <c r="G1369" s="25">
        <v>44287</v>
      </c>
      <c r="H1369">
        <v>19</v>
      </c>
      <c r="I1369">
        <v>91</v>
      </c>
      <c r="J1369" t="s">
        <v>432</v>
      </c>
      <c r="K1369" t="s">
        <v>489</v>
      </c>
      <c r="L1369" t="s">
        <v>134</v>
      </c>
      <c r="M1369" t="s">
        <v>434</v>
      </c>
      <c r="N1369" t="s">
        <v>67</v>
      </c>
      <c r="O1369" t="s">
        <v>235</v>
      </c>
      <c r="P1369" t="s">
        <v>437</v>
      </c>
      <c r="Q1369">
        <v>475500</v>
      </c>
      <c r="R1369" t="s">
        <v>237</v>
      </c>
    </row>
    <row r="1370" spans="1:18" x14ac:dyDescent="0.25">
      <c r="A1370" t="s">
        <v>2210</v>
      </c>
      <c r="B1370">
        <v>1378</v>
      </c>
      <c r="C1370" t="s">
        <v>487</v>
      </c>
      <c r="D1370" t="s">
        <v>261</v>
      </c>
      <c r="E1370" t="s">
        <v>256</v>
      </c>
      <c r="F1370" t="s">
        <v>1402</v>
      </c>
      <c r="G1370" s="25">
        <v>44259</v>
      </c>
      <c r="H1370">
        <v>13</v>
      </c>
      <c r="I1370">
        <v>63</v>
      </c>
      <c r="J1370" t="s">
        <v>432</v>
      </c>
      <c r="K1370" t="s">
        <v>489</v>
      </c>
      <c r="L1370" t="s">
        <v>134</v>
      </c>
      <c r="M1370" t="s">
        <v>434</v>
      </c>
      <c r="N1370" t="s">
        <v>67</v>
      </c>
      <c r="O1370" t="s">
        <v>235</v>
      </c>
      <c r="P1370" t="s">
        <v>437</v>
      </c>
      <c r="Q1370">
        <v>344000</v>
      </c>
      <c r="R1370" t="s">
        <v>237</v>
      </c>
    </row>
    <row r="1371" spans="1:18" x14ac:dyDescent="0.25">
      <c r="A1371" t="s">
        <v>2273</v>
      </c>
      <c r="B1371">
        <v>1246</v>
      </c>
      <c r="C1371" t="s">
        <v>487</v>
      </c>
      <c r="D1371" t="s">
        <v>256</v>
      </c>
      <c r="E1371" t="s">
        <v>534</v>
      </c>
      <c r="F1371" t="s">
        <v>1357</v>
      </c>
      <c r="G1371" s="25">
        <v>44253</v>
      </c>
      <c r="H1371">
        <v>12</v>
      </c>
      <c r="I1371">
        <v>57</v>
      </c>
      <c r="J1371" t="s">
        <v>432</v>
      </c>
      <c r="K1371" t="s">
        <v>489</v>
      </c>
      <c r="L1371" t="s">
        <v>134</v>
      </c>
      <c r="M1371" t="s">
        <v>434</v>
      </c>
      <c r="N1371" t="s">
        <v>67</v>
      </c>
      <c r="O1371" t="s">
        <v>235</v>
      </c>
      <c r="P1371" t="s">
        <v>437</v>
      </c>
      <c r="Q1371">
        <v>349625</v>
      </c>
      <c r="R1371" t="s">
        <v>237</v>
      </c>
    </row>
    <row r="1372" spans="1:18" x14ac:dyDescent="0.25">
      <c r="A1372" t="s">
        <v>2761</v>
      </c>
      <c r="B1372">
        <v>1092</v>
      </c>
      <c r="C1372" t="s">
        <v>487</v>
      </c>
      <c r="D1372" t="s">
        <v>256</v>
      </c>
      <c r="E1372" t="s">
        <v>239</v>
      </c>
      <c r="F1372" t="s">
        <v>1322</v>
      </c>
      <c r="G1372" s="25">
        <v>44246</v>
      </c>
      <c r="H1372">
        <v>10</v>
      </c>
      <c r="I1372">
        <v>50</v>
      </c>
      <c r="J1372" t="s">
        <v>432</v>
      </c>
      <c r="K1372" t="s">
        <v>489</v>
      </c>
      <c r="L1372" t="s">
        <v>134</v>
      </c>
      <c r="M1372" t="s">
        <v>434</v>
      </c>
      <c r="N1372" t="s">
        <v>67</v>
      </c>
      <c r="O1372" t="s">
        <v>235</v>
      </c>
      <c r="P1372" t="s">
        <v>437</v>
      </c>
      <c r="Q1372">
        <v>418125</v>
      </c>
      <c r="R1372" t="s">
        <v>237</v>
      </c>
    </row>
    <row r="1373" spans="1:18" x14ac:dyDescent="0.25">
      <c r="A1373" t="s">
        <v>2212</v>
      </c>
      <c r="B1373">
        <v>784</v>
      </c>
      <c r="C1373" t="s">
        <v>487</v>
      </c>
      <c r="D1373" t="s">
        <v>231</v>
      </c>
      <c r="E1373" t="s">
        <v>620</v>
      </c>
      <c r="F1373" t="s">
        <v>1215</v>
      </c>
      <c r="G1373" s="25">
        <v>44232</v>
      </c>
      <c r="H1373">
        <v>8</v>
      </c>
      <c r="I1373">
        <v>36</v>
      </c>
      <c r="J1373" t="s">
        <v>432</v>
      </c>
      <c r="K1373" t="s">
        <v>489</v>
      </c>
      <c r="L1373" t="s">
        <v>134</v>
      </c>
      <c r="M1373" t="s">
        <v>434</v>
      </c>
      <c r="N1373" t="s">
        <v>67</v>
      </c>
      <c r="O1373" t="s">
        <v>235</v>
      </c>
      <c r="P1373" t="s">
        <v>437</v>
      </c>
      <c r="Q1373">
        <v>240000</v>
      </c>
      <c r="R1373" t="s">
        <v>237</v>
      </c>
    </row>
    <row r="1374" spans="1:18" x14ac:dyDescent="0.25">
      <c r="A1374" t="s">
        <v>1573</v>
      </c>
      <c r="B1374">
        <v>476</v>
      </c>
      <c r="C1374" t="s">
        <v>487</v>
      </c>
      <c r="D1374" t="s">
        <v>231</v>
      </c>
      <c r="E1374" t="s">
        <v>231</v>
      </c>
      <c r="F1374" t="s">
        <v>1080</v>
      </c>
      <c r="G1374" s="25">
        <v>44218</v>
      </c>
      <c r="H1374">
        <v>5</v>
      </c>
      <c r="I1374">
        <v>22</v>
      </c>
      <c r="J1374" t="s">
        <v>432</v>
      </c>
      <c r="K1374" t="s">
        <v>489</v>
      </c>
      <c r="L1374" t="s">
        <v>134</v>
      </c>
      <c r="M1374" t="s">
        <v>434</v>
      </c>
      <c r="N1374" t="s">
        <v>67</v>
      </c>
      <c r="O1374" t="s">
        <v>235</v>
      </c>
      <c r="P1374" t="s">
        <v>437</v>
      </c>
      <c r="Q1374">
        <v>24000</v>
      </c>
      <c r="R1374" t="s">
        <v>237</v>
      </c>
    </row>
    <row r="1375" spans="1:18" x14ac:dyDescent="0.25">
      <c r="A1375" t="s">
        <v>598</v>
      </c>
      <c r="B1375">
        <v>168</v>
      </c>
      <c r="C1375" t="s">
        <v>487</v>
      </c>
      <c r="D1375" t="s">
        <v>229</v>
      </c>
      <c r="E1375" t="s">
        <v>381</v>
      </c>
      <c r="F1375" t="s">
        <v>518</v>
      </c>
      <c r="G1375" s="25">
        <v>44204</v>
      </c>
      <c r="H1375">
        <v>2</v>
      </c>
      <c r="I1375">
        <v>8</v>
      </c>
      <c r="J1375" t="s">
        <v>432</v>
      </c>
      <c r="K1375" t="s">
        <v>489</v>
      </c>
      <c r="L1375" t="s">
        <v>134</v>
      </c>
      <c r="M1375" t="s">
        <v>434</v>
      </c>
      <c r="N1375" t="s">
        <v>67</v>
      </c>
      <c r="O1375" t="s">
        <v>235</v>
      </c>
      <c r="P1375" t="s">
        <v>437</v>
      </c>
      <c r="Q1375">
        <v>96000</v>
      </c>
      <c r="R1375" t="s">
        <v>237</v>
      </c>
    </row>
    <row r="1376" spans="1:18" x14ac:dyDescent="0.25">
      <c r="A1376" t="s">
        <v>3653</v>
      </c>
      <c r="B1376">
        <v>1939</v>
      </c>
      <c r="C1376" t="s">
        <v>487</v>
      </c>
      <c r="D1376" t="s">
        <v>322</v>
      </c>
      <c r="E1376" t="s">
        <v>371</v>
      </c>
      <c r="F1376" t="s">
        <v>2976</v>
      </c>
      <c r="G1376" s="25">
        <v>44285</v>
      </c>
      <c r="H1376">
        <v>18</v>
      </c>
      <c r="I1376">
        <v>89</v>
      </c>
      <c r="J1376" t="s">
        <v>231</v>
      </c>
      <c r="K1376" t="s">
        <v>509</v>
      </c>
      <c r="L1376" t="s">
        <v>45</v>
      </c>
      <c r="M1376" t="s">
        <v>234</v>
      </c>
      <c r="N1376" t="s">
        <v>44</v>
      </c>
      <c r="O1376" t="s">
        <v>21</v>
      </c>
      <c r="P1376" t="s">
        <v>304</v>
      </c>
      <c r="Q1376">
        <v>0</v>
      </c>
      <c r="R1376" t="s">
        <v>237</v>
      </c>
    </row>
    <row r="1377" spans="1:18" x14ac:dyDescent="0.25">
      <c r="A1377" t="s">
        <v>2214</v>
      </c>
      <c r="B1377">
        <v>1565</v>
      </c>
      <c r="C1377" t="s">
        <v>487</v>
      </c>
      <c r="D1377" t="s">
        <v>261</v>
      </c>
      <c r="E1377" t="s">
        <v>232</v>
      </c>
      <c r="F1377" t="s">
        <v>1500</v>
      </c>
      <c r="G1377" s="25">
        <v>44268</v>
      </c>
      <c r="H1377">
        <v>15</v>
      </c>
      <c r="I1377">
        <v>72</v>
      </c>
      <c r="J1377" t="s">
        <v>231</v>
      </c>
      <c r="K1377" t="s">
        <v>509</v>
      </c>
      <c r="L1377" t="s">
        <v>45</v>
      </c>
      <c r="M1377" t="s">
        <v>234</v>
      </c>
      <c r="N1377" t="s">
        <v>44</v>
      </c>
      <c r="O1377" t="s">
        <v>21</v>
      </c>
      <c r="P1377" t="s">
        <v>304</v>
      </c>
      <c r="Q1377">
        <v>19375</v>
      </c>
      <c r="R1377" t="s">
        <v>237</v>
      </c>
    </row>
    <row r="1378" spans="1:18" x14ac:dyDescent="0.25">
      <c r="A1378" t="s">
        <v>2762</v>
      </c>
      <c r="B1378">
        <v>1455</v>
      </c>
      <c r="C1378" t="s">
        <v>487</v>
      </c>
      <c r="D1378" t="s">
        <v>261</v>
      </c>
      <c r="E1378" t="s">
        <v>326</v>
      </c>
      <c r="F1378" t="s">
        <v>1440</v>
      </c>
      <c r="G1378" s="25">
        <v>44263</v>
      </c>
      <c r="H1378">
        <v>14</v>
      </c>
      <c r="I1378">
        <v>67</v>
      </c>
      <c r="J1378" t="s">
        <v>231</v>
      </c>
      <c r="K1378" t="s">
        <v>509</v>
      </c>
      <c r="L1378" t="s">
        <v>45</v>
      </c>
      <c r="M1378" t="s">
        <v>234</v>
      </c>
      <c r="N1378" t="s">
        <v>44</v>
      </c>
      <c r="O1378" t="s">
        <v>21</v>
      </c>
      <c r="P1378" t="s">
        <v>304</v>
      </c>
      <c r="Q1378">
        <v>21162</v>
      </c>
      <c r="R1378" t="s">
        <v>237</v>
      </c>
    </row>
    <row r="1379" spans="1:18" x14ac:dyDescent="0.25">
      <c r="A1379" t="s">
        <v>1717</v>
      </c>
      <c r="B1379">
        <v>1191</v>
      </c>
      <c r="C1379" t="s">
        <v>487</v>
      </c>
      <c r="D1379" t="s">
        <v>256</v>
      </c>
      <c r="E1379" t="s">
        <v>575</v>
      </c>
      <c r="F1379" t="s">
        <v>1668</v>
      </c>
      <c r="G1379" s="25">
        <v>44251</v>
      </c>
      <c r="H1379">
        <v>11</v>
      </c>
      <c r="I1379">
        <v>55</v>
      </c>
      <c r="J1379" t="s">
        <v>231</v>
      </c>
      <c r="K1379" t="s">
        <v>509</v>
      </c>
      <c r="L1379" t="s">
        <v>45</v>
      </c>
      <c r="M1379" t="s">
        <v>234</v>
      </c>
      <c r="N1379" t="s">
        <v>44</v>
      </c>
      <c r="O1379" t="s">
        <v>21</v>
      </c>
      <c r="P1379" t="s">
        <v>304</v>
      </c>
      <c r="Q1379">
        <v>0</v>
      </c>
      <c r="R1379" t="s">
        <v>237</v>
      </c>
    </row>
    <row r="1380" spans="1:18" x14ac:dyDescent="0.25">
      <c r="A1380" t="s">
        <v>613</v>
      </c>
      <c r="B1380">
        <v>355</v>
      </c>
      <c r="C1380" t="s">
        <v>487</v>
      </c>
      <c r="D1380" t="s">
        <v>229</v>
      </c>
      <c r="E1380" t="s">
        <v>534</v>
      </c>
      <c r="F1380" t="s">
        <v>535</v>
      </c>
      <c r="G1380" s="25">
        <v>44213</v>
      </c>
      <c r="H1380">
        <v>4</v>
      </c>
      <c r="I1380">
        <v>17</v>
      </c>
      <c r="J1380" t="s">
        <v>231</v>
      </c>
      <c r="K1380" t="s">
        <v>509</v>
      </c>
      <c r="L1380" t="s">
        <v>45</v>
      </c>
      <c r="M1380" t="s">
        <v>234</v>
      </c>
      <c r="N1380" t="s">
        <v>44</v>
      </c>
      <c r="O1380" t="s">
        <v>21</v>
      </c>
      <c r="P1380" t="s">
        <v>304</v>
      </c>
      <c r="Q1380">
        <v>7375</v>
      </c>
      <c r="R1380" t="s">
        <v>237</v>
      </c>
    </row>
    <row r="1381" spans="1:18" x14ac:dyDescent="0.25">
      <c r="A1381" t="s">
        <v>2863</v>
      </c>
      <c r="B1381">
        <v>1434</v>
      </c>
      <c r="C1381" t="s">
        <v>487</v>
      </c>
      <c r="D1381" t="s">
        <v>261</v>
      </c>
      <c r="E1381" t="s">
        <v>247</v>
      </c>
      <c r="F1381" t="s">
        <v>1425</v>
      </c>
      <c r="G1381" s="25">
        <v>44262</v>
      </c>
      <c r="H1381">
        <v>14</v>
      </c>
      <c r="I1381">
        <v>66</v>
      </c>
      <c r="J1381" t="s">
        <v>231</v>
      </c>
      <c r="K1381" t="s">
        <v>508</v>
      </c>
      <c r="L1381" t="s">
        <v>47</v>
      </c>
      <c r="M1381" t="s">
        <v>234</v>
      </c>
      <c r="N1381" t="s">
        <v>46</v>
      </c>
      <c r="O1381" t="s">
        <v>21</v>
      </c>
      <c r="P1381" t="s">
        <v>288</v>
      </c>
      <c r="Q1381">
        <v>1171</v>
      </c>
      <c r="R1381" t="s">
        <v>237</v>
      </c>
    </row>
    <row r="1382" spans="1:18" x14ac:dyDescent="0.25">
      <c r="A1382" t="s">
        <v>2155</v>
      </c>
      <c r="B1382">
        <v>1060</v>
      </c>
      <c r="C1382" t="s">
        <v>487</v>
      </c>
      <c r="D1382" t="s">
        <v>256</v>
      </c>
      <c r="E1382" t="s">
        <v>371</v>
      </c>
      <c r="F1382" t="s">
        <v>1318</v>
      </c>
      <c r="G1382" s="25">
        <v>44245</v>
      </c>
      <c r="H1382">
        <v>10</v>
      </c>
      <c r="I1382">
        <v>49</v>
      </c>
      <c r="J1382" t="s">
        <v>231</v>
      </c>
      <c r="K1382" t="s">
        <v>508</v>
      </c>
      <c r="L1382" t="s">
        <v>47</v>
      </c>
      <c r="M1382" t="s">
        <v>234</v>
      </c>
      <c r="N1382" t="s">
        <v>46</v>
      </c>
      <c r="O1382" t="s">
        <v>21</v>
      </c>
      <c r="P1382" t="s">
        <v>288</v>
      </c>
      <c r="Q1382">
        <v>0</v>
      </c>
      <c r="R1382" t="s">
        <v>237</v>
      </c>
    </row>
    <row r="1383" spans="1:18" x14ac:dyDescent="0.25">
      <c r="A1383" t="s">
        <v>2281</v>
      </c>
      <c r="B1383">
        <v>708</v>
      </c>
      <c r="C1383" t="s">
        <v>487</v>
      </c>
      <c r="D1383" t="s">
        <v>231</v>
      </c>
      <c r="E1383" t="s">
        <v>512</v>
      </c>
      <c r="F1383" t="s">
        <v>1174</v>
      </c>
      <c r="G1383" s="25">
        <v>44229</v>
      </c>
      <c r="H1383">
        <v>7</v>
      </c>
      <c r="I1383">
        <v>33</v>
      </c>
      <c r="J1383" t="s">
        <v>231</v>
      </c>
      <c r="K1383" t="s">
        <v>508</v>
      </c>
      <c r="L1383" t="s">
        <v>47</v>
      </c>
      <c r="M1383" t="s">
        <v>234</v>
      </c>
      <c r="N1383" t="s">
        <v>46</v>
      </c>
      <c r="O1383" t="s">
        <v>21</v>
      </c>
      <c r="P1383" t="s">
        <v>288</v>
      </c>
      <c r="Q1383">
        <v>0</v>
      </c>
      <c r="R1383" t="s">
        <v>237</v>
      </c>
    </row>
    <row r="1384" spans="1:18" x14ac:dyDescent="0.25">
      <c r="A1384" t="s">
        <v>834</v>
      </c>
      <c r="B1384">
        <v>334</v>
      </c>
      <c r="C1384" t="s">
        <v>487</v>
      </c>
      <c r="D1384" t="s">
        <v>229</v>
      </c>
      <c r="E1384" t="s">
        <v>620</v>
      </c>
      <c r="F1384" t="s">
        <v>621</v>
      </c>
      <c r="G1384" s="25">
        <v>44212</v>
      </c>
      <c r="H1384">
        <v>4</v>
      </c>
      <c r="I1384">
        <v>16</v>
      </c>
      <c r="J1384" t="s">
        <v>231</v>
      </c>
      <c r="K1384" t="s">
        <v>508</v>
      </c>
      <c r="L1384" t="s">
        <v>47</v>
      </c>
      <c r="M1384" t="s">
        <v>234</v>
      </c>
      <c r="N1384" t="s">
        <v>46</v>
      </c>
      <c r="O1384" t="s">
        <v>21</v>
      </c>
      <c r="P1384" t="s">
        <v>288</v>
      </c>
      <c r="Q1384">
        <v>0</v>
      </c>
      <c r="R1384" t="s">
        <v>237</v>
      </c>
    </row>
    <row r="1385" spans="1:18" x14ac:dyDescent="0.25">
      <c r="A1385" t="s">
        <v>378</v>
      </c>
      <c r="B1385">
        <v>92</v>
      </c>
      <c r="C1385" t="s">
        <v>487</v>
      </c>
      <c r="D1385" t="s">
        <v>229</v>
      </c>
      <c r="E1385" t="s">
        <v>322</v>
      </c>
      <c r="F1385" t="s">
        <v>529</v>
      </c>
      <c r="G1385" s="25">
        <v>44201</v>
      </c>
      <c r="H1385">
        <v>1</v>
      </c>
      <c r="I1385">
        <v>5</v>
      </c>
      <c r="J1385" t="s">
        <v>231</v>
      </c>
      <c r="K1385" t="s">
        <v>508</v>
      </c>
      <c r="L1385" t="s">
        <v>47</v>
      </c>
      <c r="M1385" t="s">
        <v>234</v>
      </c>
      <c r="N1385" t="s">
        <v>46</v>
      </c>
      <c r="O1385" t="s">
        <v>21</v>
      </c>
      <c r="P1385" t="s">
        <v>288</v>
      </c>
      <c r="Q1385">
        <v>0</v>
      </c>
      <c r="R1385" t="s">
        <v>237</v>
      </c>
    </row>
    <row r="1386" spans="1:18" x14ac:dyDescent="0.25">
      <c r="A1386" t="s">
        <v>3654</v>
      </c>
      <c r="B1386">
        <v>2270</v>
      </c>
      <c r="C1386" t="s">
        <v>487</v>
      </c>
      <c r="D1386" t="s">
        <v>247</v>
      </c>
      <c r="E1386" t="s">
        <v>261</v>
      </c>
      <c r="F1386" t="s">
        <v>3078</v>
      </c>
      <c r="G1386" s="25">
        <v>44300</v>
      </c>
      <c r="H1386">
        <v>21</v>
      </c>
      <c r="I1386">
        <v>104</v>
      </c>
      <c r="J1386" t="s">
        <v>231</v>
      </c>
      <c r="K1386" t="s">
        <v>508</v>
      </c>
      <c r="L1386" t="s">
        <v>47</v>
      </c>
      <c r="M1386" t="s">
        <v>234</v>
      </c>
      <c r="N1386" t="s">
        <v>46</v>
      </c>
      <c r="O1386" t="s">
        <v>21</v>
      </c>
      <c r="P1386" t="s">
        <v>288</v>
      </c>
      <c r="Q1386">
        <v>0</v>
      </c>
      <c r="R1386" t="s">
        <v>237</v>
      </c>
    </row>
    <row r="1387" spans="1:18" x14ac:dyDescent="0.25">
      <c r="A1387" t="s">
        <v>3655</v>
      </c>
      <c r="B1387">
        <v>1896</v>
      </c>
      <c r="C1387" t="s">
        <v>487</v>
      </c>
      <c r="D1387" t="s">
        <v>322</v>
      </c>
      <c r="E1387" t="s">
        <v>326</v>
      </c>
      <c r="F1387" t="s">
        <v>2967</v>
      </c>
      <c r="G1387" s="25">
        <v>44283</v>
      </c>
      <c r="H1387">
        <v>18</v>
      </c>
      <c r="I1387">
        <v>87</v>
      </c>
      <c r="J1387" t="s">
        <v>231</v>
      </c>
      <c r="K1387" t="s">
        <v>508</v>
      </c>
      <c r="L1387" t="s">
        <v>47</v>
      </c>
      <c r="M1387" t="s">
        <v>234</v>
      </c>
      <c r="N1387" t="s">
        <v>46</v>
      </c>
      <c r="O1387" t="s">
        <v>21</v>
      </c>
      <c r="P1387" t="s">
        <v>288</v>
      </c>
      <c r="Q1387">
        <v>0</v>
      </c>
      <c r="R1387" t="s">
        <v>237</v>
      </c>
    </row>
    <row r="1388" spans="1:18" x14ac:dyDescent="0.25">
      <c r="A1388" t="s">
        <v>2862</v>
      </c>
      <c r="B1388">
        <v>1720</v>
      </c>
      <c r="C1388" t="s">
        <v>487</v>
      </c>
      <c r="D1388" t="s">
        <v>261</v>
      </c>
      <c r="E1388" t="s">
        <v>531</v>
      </c>
      <c r="F1388" t="s">
        <v>1588</v>
      </c>
      <c r="G1388" s="25">
        <v>44275</v>
      </c>
      <c r="H1388">
        <v>16</v>
      </c>
      <c r="I1388">
        <v>79</v>
      </c>
      <c r="J1388" t="s">
        <v>231</v>
      </c>
      <c r="K1388" t="s">
        <v>508</v>
      </c>
      <c r="L1388" t="s">
        <v>47</v>
      </c>
      <c r="M1388" t="s">
        <v>234</v>
      </c>
      <c r="N1388" t="s">
        <v>46</v>
      </c>
      <c r="O1388" t="s">
        <v>21</v>
      </c>
      <c r="P1388" t="s">
        <v>288</v>
      </c>
      <c r="Q1388">
        <v>44714</v>
      </c>
      <c r="R1388" t="s">
        <v>237</v>
      </c>
    </row>
    <row r="1389" spans="1:18" x14ac:dyDescent="0.25">
      <c r="A1389" t="s">
        <v>1724</v>
      </c>
      <c r="B1389">
        <v>863</v>
      </c>
      <c r="C1389" t="s">
        <v>487</v>
      </c>
      <c r="D1389" t="s">
        <v>231</v>
      </c>
      <c r="E1389" t="s">
        <v>408</v>
      </c>
      <c r="F1389" t="s">
        <v>1234</v>
      </c>
      <c r="G1389" s="25">
        <v>44236</v>
      </c>
      <c r="H1389">
        <v>8</v>
      </c>
      <c r="I1389">
        <v>40</v>
      </c>
      <c r="J1389" t="s">
        <v>231</v>
      </c>
      <c r="K1389" t="s">
        <v>507</v>
      </c>
      <c r="L1389" t="s">
        <v>49</v>
      </c>
      <c r="M1389" t="s">
        <v>234</v>
      </c>
      <c r="N1389" t="s">
        <v>48</v>
      </c>
      <c r="O1389" t="s">
        <v>21</v>
      </c>
      <c r="P1389" t="s">
        <v>413</v>
      </c>
      <c r="Q1389">
        <v>0</v>
      </c>
      <c r="R1389" t="s">
        <v>237</v>
      </c>
    </row>
    <row r="1390" spans="1:18" x14ac:dyDescent="0.25">
      <c r="A1390" t="s">
        <v>831</v>
      </c>
      <c r="B1390">
        <v>401</v>
      </c>
      <c r="C1390" t="s">
        <v>487</v>
      </c>
      <c r="D1390" t="s">
        <v>229</v>
      </c>
      <c r="E1390" t="s">
        <v>531</v>
      </c>
      <c r="F1390" t="s">
        <v>532</v>
      </c>
      <c r="G1390" s="25">
        <v>44215</v>
      </c>
      <c r="H1390">
        <v>4</v>
      </c>
      <c r="I1390">
        <v>19</v>
      </c>
      <c r="J1390" t="s">
        <v>231</v>
      </c>
      <c r="K1390" t="s">
        <v>507</v>
      </c>
      <c r="L1390" t="s">
        <v>49</v>
      </c>
      <c r="M1390" t="s">
        <v>234</v>
      </c>
      <c r="N1390" t="s">
        <v>48</v>
      </c>
      <c r="O1390" t="s">
        <v>21</v>
      </c>
      <c r="P1390" t="s">
        <v>413</v>
      </c>
      <c r="Q1390">
        <v>0</v>
      </c>
      <c r="R1390" t="s">
        <v>237</v>
      </c>
    </row>
    <row r="1391" spans="1:18" x14ac:dyDescent="0.25">
      <c r="A1391" t="s">
        <v>3656</v>
      </c>
      <c r="B1391">
        <v>2579</v>
      </c>
      <c r="C1391" t="s">
        <v>487</v>
      </c>
      <c r="D1391" t="s">
        <v>247</v>
      </c>
      <c r="E1391" t="s">
        <v>552</v>
      </c>
      <c r="F1391" t="s">
        <v>3170</v>
      </c>
      <c r="G1391" s="25">
        <v>44314</v>
      </c>
      <c r="H1391">
        <v>24</v>
      </c>
      <c r="I1391">
        <v>118</v>
      </c>
      <c r="J1391" t="s">
        <v>231</v>
      </c>
      <c r="K1391" t="s">
        <v>507</v>
      </c>
      <c r="L1391" t="s">
        <v>49</v>
      </c>
      <c r="M1391" t="s">
        <v>234</v>
      </c>
      <c r="N1391" t="s">
        <v>48</v>
      </c>
      <c r="O1391" t="s">
        <v>21</v>
      </c>
      <c r="P1391" t="s">
        <v>413</v>
      </c>
      <c r="Q1391">
        <v>0</v>
      </c>
      <c r="R1391" t="s">
        <v>237</v>
      </c>
    </row>
    <row r="1392" spans="1:18" x14ac:dyDescent="0.25">
      <c r="A1392" t="s">
        <v>2825</v>
      </c>
      <c r="B1392">
        <v>1611</v>
      </c>
      <c r="C1392" t="s">
        <v>487</v>
      </c>
      <c r="D1392" t="s">
        <v>261</v>
      </c>
      <c r="E1392" t="s">
        <v>537</v>
      </c>
      <c r="F1392" t="s">
        <v>1530</v>
      </c>
      <c r="G1392" s="25">
        <v>44270</v>
      </c>
      <c r="H1392">
        <v>15</v>
      </c>
      <c r="I1392">
        <v>74</v>
      </c>
      <c r="J1392" t="s">
        <v>231</v>
      </c>
      <c r="K1392" t="s">
        <v>507</v>
      </c>
      <c r="L1392" t="s">
        <v>49</v>
      </c>
      <c r="M1392" t="s">
        <v>234</v>
      </c>
      <c r="N1392" t="s">
        <v>48</v>
      </c>
      <c r="O1392" t="s">
        <v>21</v>
      </c>
      <c r="P1392" t="s">
        <v>413</v>
      </c>
      <c r="Q1392">
        <v>0</v>
      </c>
      <c r="R1392" t="s">
        <v>237</v>
      </c>
    </row>
    <row r="1393" spans="1:18" x14ac:dyDescent="0.25">
      <c r="A1393" t="s">
        <v>279</v>
      </c>
      <c r="B1393">
        <v>116</v>
      </c>
      <c r="C1393" t="s">
        <v>487</v>
      </c>
      <c r="D1393" t="s">
        <v>229</v>
      </c>
      <c r="E1393" t="s">
        <v>247</v>
      </c>
      <c r="F1393" t="s">
        <v>524</v>
      </c>
      <c r="G1393" s="25">
        <v>44202</v>
      </c>
      <c r="H1393">
        <v>2</v>
      </c>
      <c r="I1393">
        <v>6</v>
      </c>
      <c r="J1393" t="s">
        <v>231</v>
      </c>
      <c r="K1393" t="s">
        <v>506</v>
      </c>
      <c r="L1393" t="s">
        <v>414</v>
      </c>
      <c r="M1393" t="s">
        <v>234</v>
      </c>
      <c r="N1393" t="s">
        <v>50</v>
      </c>
      <c r="O1393" t="s">
        <v>21</v>
      </c>
      <c r="P1393" t="s">
        <v>411</v>
      </c>
      <c r="Q1393">
        <v>0</v>
      </c>
      <c r="R1393" t="s">
        <v>237</v>
      </c>
    </row>
    <row r="1394" spans="1:18" x14ac:dyDescent="0.25">
      <c r="A1394" t="s">
        <v>1859</v>
      </c>
      <c r="B1394">
        <v>1326</v>
      </c>
      <c r="C1394" t="s">
        <v>487</v>
      </c>
      <c r="D1394" t="s">
        <v>261</v>
      </c>
      <c r="E1394" t="s">
        <v>229</v>
      </c>
      <c r="F1394" t="s">
        <v>1388</v>
      </c>
      <c r="G1394" s="25">
        <v>44257</v>
      </c>
      <c r="H1394">
        <v>13</v>
      </c>
      <c r="I1394">
        <v>61</v>
      </c>
      <c r="J1394" t="s">
        <v>231</v>
      </c>
      <c r="K1394" t="s">
        <v>506</v>
      </c>
      <c r="L1394" t="s">
        <v>414</v>
      </c>
      <c r="M1394" t="s">
        <v>234</v>
      </c>
      <c r="N1394" t="s">
        <v>50</v>
      </c>
      <c r="O1394" t="s">
        <v>21</v>
      </c>
      <c r="P1394" t="s">
        <v>411</v>
      </c>
      <c r="Q1394">
        <v>0</v>
      </c>
      <c r="R1394" t="s">
        <v>237</v>
      </c>
    </row>
    <row r="1395" spans="1:18" x14ac:dyDescent="0.25">
      <c r="A1395" t="s">
        <v>3657</v>
      </c>
      <c r="B1395">
        <v>2179</v>
      </c>
      <c r="C1395" t="s">
        <v>487</v>
      </c>
      <c r="D1395" t="s">
        <v>322</v>
      </c>
      <c r="E1395" t="s">
        <v>408</v>
      </c>
      <c r="F1395" t="s">
        <v>3059</v>
      </c>
      <c r="G1395" s="25">
        <v>44296</v>
      </c>
      <c r="H1395">
        <v>20</v>
      </c>
      <c r="I1395">
        <v>100</v>
      </c>
      <c r="J1395" t="s">
        <v>231</v>
      </c>
      <c r="K1395" t="s">
        <v>505</v>
      </c>
      <c r="L1395" t="s">
        <v>41</v>
      </c>
      <c r="M1395" t="s">
        <v>234</v>
      </c>
      <c r="N1395" t="s">
        <v>40</v>
      </c>
      <c r="O1395" t="s">
        <v>21</v>
      </c>
      <c r="P1395" t="s">
        <v>266</v>
      </c>
      <c r="Q1395">
        <v>0</v>
      </c>
      <c r="R1395" t="s">
        <v>237</v>
      </c>
    </row>
    <row r="1396" spans="1:18" x14ac:dyDescent="0.25">
      <c r="A1396" t="s">
        <v>1815</v>
      </c>
      <c r="B1396">
        <v>1431</v>
      </c>
      <c r="C1396" t="s">
        <v>487</v>
      </c>
      <c r="D1396" t="s">
        <v>261</v>
      </c>
      <c r="E1396" t="s">
        <v>247</v>
      </c>
      <c r="F1396" t="s">
        <v>1425</v>
      </c>
      <c r="G1396" s="25">
        <v>44262</v>
      </c>
      <c r="H1396">
        <v>14</v>
      </c>
      <c r="I1396">
        <v>66</v>
      </c>
      <c r="J1396" t="s">
        <v>231</v>
      </c>
      <c r="K1396" t="s">
        <v>505</v>
      </c>
      <c r="L1396" t="s">
        <v>41</v>
      </c>
      <c r="M1396" t="s">
        <v>234</v>
      </c>
      <c r="N1396" t="s">
        <v>40</v>
      </c>
      <c r="O1396" t="s">
        <v>21</v>
      </c>
      <c r="P1396" t="s">
        <v>266</v>
      </c>
      <c r="Q1396">
        <v>61153</v>
      </c>
      <c r="R1396" t="s">
        <v>237</v>
      </c>
    </row>
    <row r="1397" spans="1:18" x14ac:dyDescent="0.25">
      <c r="A1397" t="s">
        <v>3658</v>
      </c>
      <c r="B1397">
        <v>2136</v>
      </c>
      <c r="C1397" t="s">
        <v>487</v>
      </c>
      <c r="D1397" t="s">
        <v>322</v>
      </c>
      <c r="E1397" t="s">
        <v>552</v>
      </c>
      <c r="F1397" t="s">
        <v>3045</v>
      </c>
      <c r="G1397" s="25">
        <v>44294</v>
      </c>
      <c r="H1397">
        <v>20</v>
      </c>
      <c r="I1397">
        <v>98</v>
      </c>
      <c r="J1397" t="s">
        <v>231</v>
      </c>
      <c r="K1397" t="s">
        <v>504</v>
      </c>
      <c r="L1397" t="s">
        <v>43</v>
      </c>
      <c r="M1397" t="s">
        <v>234</v>
      </c>
      <c r="N1397" t="s">
        <v>42</v>
      </c>
      <c r="O1397" t="s">
        <v>21</v>
      </c>
      <c r="P1397" t="s">
        <v>236</v>
      </c>
      <c r="Q1397">
        <v>527</v>
      </c>
      <c r="R1397" t="s">
        <v>237</v>
      </c>
    </row>
    <row r="1398" spans="1:18" x14ac:dyDescent="0.25">
      <c r="A1398" t="s">
        <v>2778</v>
      </c>
      <c r="B1398">
        <v>1366</v>
      </c>
      <c r="C1398" t="s">
        <v>487</v>
      </c>
      <c r="D1398" t="s">
        <v>261</v>
      </c>
      <c r="E1398" t="s">
        <v>256</v>
      </c>
      <c r="F1398" t="s">
        <v>1402</v>
      </c>
      <c r="G1398" s="25">
        <v>44259</v>
      </c>
      <c r="H1398">
        <v>13</v>
      </c>
      <c r="I1398">
        <v>63</v>
      </c>
      <c r="J1398" t="s">
        <v>231</v>
      </c>
      <c r="K1398" t="s">
        <v>504</v>
      </c>
      <c r="L1398" t="s">
        <v>43</v>
      </c>
      <c r="M1398" t="s">
        <v>234</v>
      </c>
      <c r="N1398" t="s">
        <v>42</v>
      </c>
      <c r="O1398" t="s">
        <v>21</v>
      </c>
      <c r="P1398" t="s">
        <v>236</v>
      </c>
      <c r="Q1398">
        <v>1618</v>
      </c>
      <c r="R1398" t="s">
        <v>237</v>
      </c>
    </row>
    <row r="1399" spans="1:18" x14ac:dyDescent="0.25">
      <c r="A1399" t="s">
        <v>2292</v>
      </c>
      <c r="B1399">
        <v>1234</v>
      </c>
      <c r="C1399" t="s">
        <v>487</v>
      </c>
      <c r="D1399" t="s">
        <v>256</v>
      </c>
      <c r="E1399" t="s">
        <v>534</v>
      </c>
      <c r="F1399" t="s">
        <v>1357</v>
      </c>
      <c r="G1399" s="25">
        <v>44253</v>
      </c>
      <c r="H1399">
        <v>12</v>
      </c>
      <c r="I1399">
        <v>57</v>
      </c>
      <c r="J1399" t="s">
        <v>231</v>
      </c>
      <c r="K1399" t="s">
        <v>504</v>
      </c>
      <c r="L1399" t="s">
        <v>43</v>
      </c>
      <c r="M1399" t="s">
        <v>234</v>
      </c>
      <c r="N1399" t="s">
        <v>42</v>
      </c>
      <c r="O1399" t="s">
        <v>21</v>
      </c>
      <c r="P1399" t="s">
        <v>236</v>
      </c>
      <c r="Q1399">
        <v>13787</v>
      </c>
      <c r="R1399" t="s">
        <v>237</v>
      </c>
    </row>
    <row r="1400" spans="1:18" x14ac:dyDescent="0.25">
      <c r="A1400" t="s">
        <v>3659</v>
      </c>
      <c r="B1400">
        <v>2598</v>
      </c>
      <c r="C1400" t="s">
        <v>487</v>
      </c>
      <c r="D1400" t="s">
        <v>247</v>
      </c>
      <c r="E1400" t="s">
        <v>531</v>
      </c>
      <c r="F1400" t="s">
        <v>3173</v>
      </c>
      <c r="G1400" s="25">
        <v>44315</v>
      </c>
      <c r="H1400">
        <v>24</v>
      </c>
      <c r="I1400">
        <v>119</v>
      </c>
      <c r="J1400" t="s">
        <v>231</v>
      </c>
      <c r="K1400" t="s">
        <v>504</v>
      </c>
      <c r="L1400" t="s">
        <v>43</v>
      </c>
      <c r="M1400" t="s">
        <v>234</v>
      </c>
      <c r="N1400" t="s">
        <v>42</v>
      </c>
      <c r="O1400" t="s">
        <v>21</v>
      </c>
      <c r="P1400" t="s">
        <v>236</v>
      </c>
      <c r="Q1400">
        <v>0</v>
      </c>
      <c r="R1400" t="s">
        <v>237</v>
      </c>
    </row>
    <row r="1401" spans="1:18" x14ac:dyDescent="0.25">
      <c r="A1401" t="s">
        <v>2782</v>
      </c>
      <c r="B1401">
        <v>1329</v>
      </c>
      <c r="C1401" t="s">
        <v>487</v>
      </c>
      <c r="D1401" t="s">
        <v>261</v>
      </c>
      <c r="E1401" t="s">
        <v>229</v>
      </c>
      <c r="F1401" t="s">
        <v>1388</v>
      </c>
      <c r="G1401" s="25">
        <v>44257</v>
      </c>
      <c r="H1401">
        <v>13</v>
      </c>
      <c r="I1401">
        <v>61</v>
      </c>
      <c r="J1401" t="s">
        <v>231</v>
      </c>
      <c r="K1401" t="s">
        <v>503</v>
      </c>
      <c r="L1401" t="s">
        <v>303</v>
      </c>
      <c r="M1401" t="s">
        <v>234</v>
      </c>
      <c r="N1401" t="s">
        <v>56</v>
      </c>
      <c r="O1401" t="s">
        <v>235</v>
      </c>
      <c r="P1401" t="s">
        <v>304</v>
      </c>
      <c r="Q1401">
        <v>0</v>
      </c>
      <c r="R1401" t="s">
        <v>237</v>
      </c>
    </row>
    <row r="1402" spans="1:18" x14ac:dyDescent="0.25">
      <c r="A1402" t="s">
        <v>357</v>
      </c>
      <c r="B1402">
        <v>119</v>
      </c>
      <c r="C1402" t="s">
        <v>487</v>
      </c>
      <c r="D1402" t="s">
        <v>229</v>
      </c>
      <c r="E1402" t="s">
        <v>247</v>
      </c>
      <c r="F1402" t="s">
        <v>524</v>
      </c>
      <c r="G1402" s="25">
        <v>44202</v>
      </c>
      <c r="H1402">
        <v>2</v>
      </c>
      <c r="I1402">
        <v>6</v>
      </c>
      <c r="J1402" t="s">
        <v>231</v>
      </c>
      <c r="K1402" t="s">
        <v>503</v>
      </c>
      <c r="L1402" t="s">
        <v>303</v>
      </c>
      <c r="M1402" t="s">
        <v>234</v>
      </c>
      <c r="N1402" t="s">
        <v>56</v>
      </c>
      <c r="O1402" t="s">
        <v>235</v>
      </c>
      <c r="P1402" t="s">
        <v>304</v>
      </c>
      <c r="Q1402">
        <v>0</v>
      </c>
      <c r="R1402" t="s">
        <v>237</v>
      </c>
    </row>
    <row r="1403" spans="1:18" x14ac:dyDescent="0.25">
      <c r="A1403" t="s">
        <v>2168</v>
      </c>
      <c r="B1403">
        <v>1484</v>
      </c>
      <c r="C1403" t="s">
        <v>487</v>
      </c>
      <c r="D1403" t="s">
        <v>261</v>
      </c>
      <c r="E1403" t="s">
        <v>381</v>
      </c>
      <c r="F1403" t="s">
        <v>1458</v>
      </c>
      <c r="G1403" s="25">
        <v>44264</v>
      </c>
      <c r="H1403">
        <v>14</v>
      </c>
      <c r="I1403">
        <v>68</v>
      </c>
      <c r="J1403" t="s">
        <v>231</v>
      </c>
      <c r="K1403" t="s">
        <v>502</v>
      </c>
      <c r="L1403" t="s">
        <v>287</v>
      </c>
      <c r="M1403" t="s">
        <v>234</v>
      </c>
      <c r="N1403" t="s">
        <v>58</v>
      </c>
      <c r="O1403" t="s">
        <v>235</v>
      </c>
      <c r="P1403" t="s">
        <v>288</v>
      </c>
      <c r="Q1403">
        <v>0</v>
      </c>
      <c r="R1403" t="s">
        <v>237</v>
      </c>
    </row>
    <row r="1404" spans="1:18" x14ac:dyDescent="0.25">
      <c r="A1404" t="s">
        <v>2350</v>
      </c>
      <c r="B1404">
        <v>956</v>
      </c>
      <c r="C1404" t="s">
        <v>487</v>
      </c>
      <c r="D1404" t="s">
        <v>256</v>
      </c>
      <c r="E1404" t="s">
        <v>261</v>
      </c>
      <c r="F1404" t="s">
        <v>1276</v>
      </c>
      <c r="G1404" s="25">
        <v>44240</v>
      </c>
      <c r="H1404">
        <v>9</v>
      </c>
      <c r="I1404">
        <v>44</v>
      </c>
      <c r="J1404" t="s">
        <v>231</v>
      </c>
      <c r="K1404" t="s">
        <v>502</v>
      </c>
      <c r="L1404" t="s">
        <v>287</v>
      </c>
      <c r="M1404" t="s">
        <v>234</v>
      </c>
      <c r="N1404" t="s">
        <v>58</v>
      </c>
      <c r="O1404" t="s">
        <v>235</v>
      </c>
      <c r="P1404" t="s">
        <v>288</v>
      </c>
      <c r="Q1404">
        <v>0</v>
      </c>
      <c r="R1404" t="s">
        <v>237</v>
      </c>
    </row>
    <row r="1405" spans="1:18" x14ac:dyDescent="0.25">
      <c r="A1405" t="s">
        <v>2885</v>
      </c>
      <c r="B1405">
        <v>582</v>
      </c>
      <c r="C1405" t="s">
        <v>487</v>
      </c>
      <c r="D1405" t="s">
        <v>231</v>
      </c>
      <c r="E1405" t="s">
        <v>326</v>
      </c>
      <c r="F1405" t="s">
        <v>1095</v>
      </c>
      <c r="G1405" s="25">
        <v>44223</v>
      </c>
      <c r="H1405">
        <v>6</v>
      </c>
      <c r="I1405">
        <v>27</v>
      </c>
      <c r="J1405" t="s">
        <v>231</v>
      </c>
      <c r="K1405" t="s">
        <v>502</v>
      </c>
      <c r="L1405" t="s">
        <v>287</v>
      </c>
      <c r="M1405" t="s">
        <v>234</v>
      </c>
      <c r="N1405" t="s">
        <v>58</v>
      </c>
      <c r="O1405" t="s">
        <v>235</v>
      </c>
      <c r="P1405" t="s">
        <v>288</v>
      </c>
      <c r="Q1405">
        <v>0</v>
      </c>
      <c r="R1405" t="s">
        <v>237</v>
      </c>
    </row>
    <row r="1406" spans="1:18" x14ac:dyDescent="0.25">
      <c r="A1406" t="s">
        <v>754</v>
      </c>
      <c r="B1406">
        <v>230</v>
      </c>
      <c r="C1406" t="s">
        <v>487</v>
      </c>
      <c r="D1406" t="s">
        <v>229</v>
      </c>
      <c r="E1406" t="s">
        <v>515</v>
      </c>
      <c r="F1406" t="s">
        <v>516</v>
      </c>
      <c r="G1406" s="25">
        <v>44207</v>
      </c>
      <c r="H1406">
        <v>3</v>
      </c>
      <c r="I1406">
        <v>11</v>
      </c>
      <c r="J1406" t="s">
        <v>231</v>
      </c>
      <c r="K1406" t="s">
        <v>502</v>
      </c>
      <c r="L1406" t="s">
        <v>287</v>
      </c>
      <c r="M1406" t="s">
        <v>234</v>
      </c>
      <c r="N1406" t="s">
        <v>58</v>
      </c>
      <c r="O1406" t="s">
        <v>235</v>
      </c>
      <c r="P1406" t="s">
        <v>288</v>
      </c>
      <c r="Q1406">
        <v>0</v>
      </c>
      <c r="R1406" t="s">
        <v>237</v>
      </c>
    </row>
    <row r="1407" spans="1:18" x14ac:dyDescent="0.25">
      <c r="A1407" t="s">
        <v>3660</v>
      </c>
      <c r="B1407">
        <v>2100</v>
      </c>
      <c r="C1407" t="s">
        <v>487</v>
      </c>
      <c r="D1407" t="s">
        <v>322</v>
      </c>
      <c r="E1407" t="s">
        <v>620</v>
      </c>
      <c r="F1407" t="s">
        <v>3025</v>
      </c>
      <c r="G1407" s="25">
        <v>44292</v>
      </c>
      <c r="H1407">
        <v>20</v>
      </c>
      <c r="I1407">
        <v>96</v>
      </c>
      <c r="J1407" t="s">
        <v>231</v>
      </c>
      <c r="K1407" t="s">
        <v>502</v>
      </c>
      <c r="L1407" t="s">
        <v>287</v>
      </c>
      <c r="M1407" t="s">
        <v>234</v>
      </c>
      <c r="N1407" t="s">
        <v>58</v>
      </c>
      <c r="O1407" t="s">
        <v>235</v>
      </c>
      <c r="P1407" t="s">
        <v>288</v>
      </c>
      <c r="Q1407">
        <v>0</v>
      </c>
      <c r="R1407" t="s">
        <v>237</v>
      </c>
    </row>
    <row r="1408" spans="1:18" x14ac:dyDescent="0.25">
      <c r="A1408" t="s">
        <v>3661</v>
      </c>
      <c r="B1408">
        <v>1792</v>
      </c>
      <c r="C1408" t="s">
        <v>487</v>
      </c>
      <c r="D1408" t="s">
        <v>322</v>
      </c>
      <c r="E1408" t="s">
        <v>231</v>
      </c>
      <c r="F1408" t="s">
        <v>2945</v>
      </c>
      <c r="G1408" s="25">
        <v>44278</v>
      </c>
      <c r="H1408">
        <v>17</v>
      </c>
      <c r="I1408">
        <v>82</v>
      </c>
      <c r="J1408" t="s">
        <v>231</v>
      </c>
      <c r="K1408" t="s">
        <v>502</v>
      </c>
      <c r="L1408" t="s">
        <v>287</v>
      </c>
      <c r="M1408" t="s">
        <v>234</v>
      </c>
      <c r="N1408" t="s">
        <v>58</v>
      </c>
      <c r="O1408" t="s">
        <v>235</v>
      </c>
      <c r="P1408" t="s">
        <v>288</v>
      </c>
      <c r="Q1408">
        <v>0</v>
      </c>
      <c r="R1408" t="s">
        <v>237</v>
      </c>
    </row>
    <row r="1409" spans="1:18" x14ac:dyDescent="0.25">
      <c r="A1409" t="s">
        <v>1870</v>
      </c>
      <c r="B1409">
        <v>759</v>
      </c>
      <c r="C1409" t="s">
        <v>487</v>
      </c>
      <c r="D1409" t="s">
        <v>231</v>
      </c>
      <c r="E1409" t="s">
        <v>575</v>
      </c>
      <c r="F1409" t="s">
        <v>1210</v>
      </c>
      <c r="G1409" s="25">
        <v>44231</v>
      </c>
      <c r="H1409">
        <v>7</v>
      </c>
      <c r="I1409">
        <v>35</v>
      </c>
      <c r="J1409" t="s">
        <v>231</v>
      </c>
      <c r="K1409" t="s">
        <v>501</v>
      </c>
      <c r="L1409" t="s">
        <v>412</v>
      </c>
      <c r="M1409" t="s">
        <v>234</v>
      </c>
      <c r="N1409" t="s">
        <v>60</v>
      </c>
      <c r="O1409" t="s">
        <v>235</v>
      </c>
      <c r="P1409" t="s">
        <v>413</v>
      </c>
      <c r="Q1409">
        <v>0</v>
      </c>
      <c r="R1409" t="s">
        <v>237</v>
      </c>
    </row>
    <row r="1410" spans="1:18" x14ac:dyDescent="0.25">
      <c r="A1410" t="s">
        <v>635</v>
      </c>
      <c r="B1410">
        <v>385</v>
      </c>
      <c r="C1410" t="s">
        <v>487</v>
      </c>
      <c r="D1410" t="s">
        <v>229</v>
      </c>
      <c r="E1410" t="s">
        <v>552</v>
      </c>
      <c r="F1410" t="s">
        <v>553</v>
      </c>
      <c r="G1410" s="25">
        <v>44214</v>
      </c>
      <c r="H1410">
        <v>4</v>
      </c>
      <c r="I1410">
        <v>18</v>
      </c>
      <c r="J1410" t="s">
        <v>231</v>
      </c>
      <c r="K1410" t="s">
        <v>501</v>
      </c>
      <c r="L1410" t="s">
        <v>412</v>
      </c>
      <c r="M1410" t="s">
        <v>234</v>
      </c>
      <c r="N1410" t="s">
        <v>60</v>
      </c>
      <c r="O1410" t="s">
        <v>235</v>
      </c>
      <c r="P1410" t="s">
        <v>413</v>
      </c>
      <c r="Q1410">
        <v>0</v>
      </c>
      <c r="R1410" t="s">
        <v>237</v>
      </c>
    </row>
    <row r="1411" spans="1:18" x14ac:dyDescent="0.25">
      <c r="A1411" t="s">
        <v>3662</v>
      </c>
      <c r="B1411">
        <v>2563</v>
      </c>
      <c r="C1411" t="s">
        <v>487</v>
      </c>
      <c r="D1411" t="s">
        <v>247</v>
      </c>
      <c r="E1411" t="s">
        <v>534</v>
      </c>
      <c r="F1411" t="s">
        <v>3166</v>
      </c>
      <c r="G1411" s="25">
        <v>44313</v>
      </c>
      <c r="H1411">
        <v>24</v>
      </c>
      <c r="I1411">
        <v>117</v>
      </c>
      <c r="J1411" t="s">
        <v>231</v>
      </c>
      <c r="K1411" t="s">
        <v>501</v>
      </c>
      <c r="L1411" t="s">
        <v>412</v>
      </c>
      <c r="M1411" t="s">
        <v>234</v>
      </c>
      <c r="N1411" t="s">
        <v>60</v>
      </c>
      <c r="O1411" t="s">
        <v>235</v>
      </c>
      <c r="P1411" t="s">
        <v>413</v>
      </c>
      <c r="Q1411">
        <v>0</v>
      </c>
      <c r="R1411" t="s">
        <v>237</v>
      </c>
    </row>
    <row r="1412" spans="1:18" x14ac:dyDescent="0.25">
      <c r="A1412" t="s">
        <v>2722</v>
      </c>
      <c r="B1412">
        <v>1595</v>
      </c>
      <c r="C1412" t="s">
        <v>487</v>
      </c>
      <c r="D1412" t="s">
        <v>261</v>
      </c>
      <c r="E1412" t="s">
        <v>512</v>
      </c>
      <c r="F1412" t="s">
        <v>1518</v>
      </c>
      <c r="G1412" s="25">
        <v>44269</v>
      </c>
      <c r="H1412">
        <v>15</v>
      </c>
      <c r="I1412">
        <v>73</v>
      </c>
      <c r="J1412" t="s">
        <v>231</v>
      </c>
      <c r="K1412" t="s">
        <v>501</v>
      </c>
      <c r="L1412" t="s">
        <v>412</v>
      </c>
      <c r="M1412" t="s">
        <v>234</v>
      </c>
      <c r="N1412" t="s">
        <v>60</v>
      </c>
      <c r="O1412" t="s">
        <v>235</v>
      </c>
      <c r="P1412" t="s">
        <v>413</v>
      </c>
      <c r="Q1412">
        <v>0</v>
      </c>
      <c r="R1412" t="s">
        <v>237</v>
      </c>
    </row>
    <row r="1413" spans="1:18" x14ac:dyDescent="0.25">
      <c r="A1413" t="s">
        <v>1734</v>
      </c>
      <c r="B1413">
        <v>1507</v>
      </c>
      <c r="C1413" t="s">
        <v>487</v>
      </c>
      <c r="D1413" t="s">
        <v>261</v>
      </c>
      <c r="E1413" t="s">
        <v>371</v>
      </c>
      <c r="F1413" t="s">
        <v>1478</v>
      </c>
      <c r="G1413" s="25">
        <v>44265</v>
      </c>
      <c r="H1413">
        <v>14</v>
      </c>
      <c r="I1413">
        <v>69</v>
      </c>
      <c r="J1413" t="s">
        <v>231</v>
      </c>
      <c r="K1413" t="s">
        <v>501</v>
      </c>
      <c r="L1413" t="s">
        <v>412</v>
      </c>
      <c r="M1413" t="s">
        <v>234</v>
      </c>
      <c r="N1413" t="s">
        <v>60</v>
      </c>
      <c r="O1413" t="s">
        <v>235</v>
      </c>
      <c r="P1413" t="s">
        <v>413</v>
      </c>
      <c r="Q1413">
        <v>0</v>
      </c>
      <c r="R1413" t="s">
        <v>237</v>
      </c>
    </row>
    <row r="1414" spans="1:18" x14ac:dyDescent="0.25">
      <c r="A1414" t="s">
        <v>349</v>
      </c>
      <c r="B1414">
        <v>117</v>
      </c>
      <c r="C1414" t="s">
        <v>487</v>
      </c>
      <c r="D1414" t="s">
        <v>229</v>
      </c>
      <c r="E1414" t="s">
        <v>247</v>
      </c>
      <c r="F1414" t="s">
        <v>524</v>
      </c>
      <c r="G1414" s="25">
        <v>44202</v>
      </c>
      <c r="H1414">
        <v>2</v>
      </c>
      <c r="I1414">
        <v>6</v>
      </c>
      <c r="J1414" t="s">
        <v>231</v>
      </c>
      <c r="K1414" t="s">
        <v>500</v>
      </c>
      <c r="L1414" t="s">
        <v>265</v>
      </c>
      <c r="M1414" t="s">
        <v>234</v>
      </c>
      <c r="N1414" t="s">
        <v>52</v>
      </c>
      <c r="O1414" t="s">
        <v>235</v>
      </c>
      <c r="P1414" t="s">
        <v>266</v>
      </c>
      <c r="Q1414">
        <v>0</v>
      </c>
      <c r="R1414" t="s">
        <v>237</v>
      </c>
    </row>
    <row r="1415" spans="1:18" x14ac:dyDescent="0.25">
      <c r="A1415" t="s">
        <v>1661</v>
      </c>
      <c r="B1415">
        <v>1327</v>
      </c>
      <c r="C1415" t="s">
        <v>487</v>
      </c>
      <c r="D1415" t="s">
        <v>261</v>
      </c>
      <c r="E1415" t="s">
        <v>229</v>
      </c>
      <c r="F1415" t="s">
        <v>1388</v>
      </c>
      <c r="G1415" s="25">
        <v>44257</v>
      </c>
      <c r="H1415">
        <v>13</v>
      </c>
      <c r="I1415">
        <v>61</v>
      </c>
      <c r="J1415" t="s">
        <v>231</v>
      </c>
      <c r="K1415" t="s">
        <v>500</v>
      </c>
      <c r="L1415" t="s">
        <v>265</v>
      </c>
      <c r="M1415" t="s">
        <v>234</v>
      </c>
      <c r="N1415" t="s">
        <v>52</v>
      </c>
      <c r="O1415" t="s">
        <v>235</v>
      </c>
      <c r="P1415" t="s">
        <v>266</v>
      </c>
      <c r="Q1415">
        <v>0</v>
      </c>
      <c r="R1415" t="s">
        <v>237</v>
      </c>
    </row>
    <row r="1416" spans="1:18" x14ac:dyDescent="0.25">
      <c r="A1416" t="s">
        <v>3663</v>
      </c>
      <c r="B1416">
        <v>2278</v>
      </c>
      <c r="C1416" t="s">
        <v>487</v>
      </c>
      <c r="D1416" t="s">
        <v>247</v>
      </c>
      <c r="E1416" t="s">
        <v>261</v>
      </c>
      <c r="F1416" t="s">
        <v>3078</v>
      </c>
      <c r="G1416" s="25">
        <v>44300</v>
      </c>
      <c r="H1416">
        <v>21</v>
      </c>
      <c r="I1416">
        <v>104</v>
      </c>
      <c r="J1416" t="s">
        <v>231</v>
      </c>
      <c r="K1416" t="s">
        <v>499</v>
      </c>
      <c r="L1416" t="s">
        <v>410</v>
      </c>
      <c r="M1416" t="s">
        <v>234</v>
      </c>
      <c r="N1416" t="s">
        <v>62</v>
      </c>
      <c r="O1416" t="s">
        <v>235</v>
      </c>
      <c r="P1416" t="s">
        <v>411</v>
      </c>
      <c r="Q1416">
        <v>0</v>
      </c>
      <c r="R1416" t="s">
        <v>237</v>
      </c>
    </row>
    <row r="1417" spans="1:18" x14ac:dyDescent="0.25">
      <c r="A1417" t="s">
        <v>3664</v>
      </c>
      <c r="B1417">
        <v>1904</v>
      </c>
      <c r="C1417" t="s">
        <v>487</v>
      </c>
      <c r="D1417" t="s">
        <v>322</v>
      </c>
      <c r="E1417" t="s">
        <v>326</v>
      </c>
      <c r="F1417" t="s">
        <v>2967</v>
      </c>
      <c r="G1417" s="25">
        <v>44283</v>
      </c>
      <c r="H1417">
        <v>18</v>
      </c>
      <c r="I1417">
        <v>87</v>
      </c>
      <c r="J1417" t="s">
        <v>231</v>
      </c>
      <c r="K1417" t="s">
        <v>499</v>
      </c>
      <c r="L1417" t="s">
        <v>410</v>
      </c>
      <c r="M1417" t="s">
        <v>234</v>
      </c>
      <c r="N1417" t="s">
        <v>62</v>
      </c>
      <c r="O1417" t="s">
        <v>235</v>
      </c>
      <c r="P1417" t="s">
        <v>411</v>
      </c>
      <c r="Q1417">
        <v>0</v>
      </c>
      <c r="R1417" t="s">
        <v>237</v>
      </c>
    </row>
    <row r="1418" spans="1:18" x14ac:dyDescent="0.25">
      <c r="A1418" t="s">
        <v>2357</v>
      </c>
      <c r="B1418">
        <v>1552</v>
      </c>
      <c r="C1418" t="s">
        <v>487</v>
      </c>
      <c r="D1418" t="s">
        <v>261</v>
      </c>
      <c r="E1418" t="s">
        <v>515</v>
      </c>
      <c r="F1418" t="s">
        <v>1493</v>
      </c>
      <c r="G1418" s="25">
        <v>44267</v>
      </c>
      <c r="H1418">
        <v>15</v>
      </c>
      <c r="I1418">
        <v>71</v>
      </c>
      <c r="J1418" t="s">
        <v>231</v>
      </c>
      <c r="K1418" t="s">
        <v>499</v>
      </c>
      <c r="L1418" t="s">
        <v>410</v>
      </c>
      <c r="M1418" t="s">
        <v>234</v>
      </c>
      <c r="N1418" t="s">
        <v>62</v>
      </c>
      <c r="O1418" t="s">
        <v>235</v>
      </c>
      <c r="P1418" t="s">
        <v>411</v>
      </c>
      <c r="Q1418">
        <v>0</v>
      </c>
      <c r="R1418" t="s">
        <v>237</v>
      </c>
    </row>
    <row r="1419" spans="1:18" x14ac:dyDescent="0.25">
      <c r="A1419" t="s">
        <v>2670</v>
      </c>
      <c r="B1419">
        <v>1068</v>
      </c>
      <c r="C1419" t="s">
        <v>487</v>
      </c>
      <c r="D1419" t="s">
        <v>256</v>
      </c>
      <c r="E1419" t="s">
        <v>371</v>
      </c>
      <c r="F1419" t="s">
        <v>1318</v>
      </c>
      <c r="G1419" s="25">
        <v>44245</v>
      </c>
      <c r="H1419">
        <v>10</v>
      </c>
      <c r="I1419">
        <v>49</v>
      </c>
      <c r="J1419" t="s">
        <v>231</v>
      </c>
      <c r="K1419" t="s">
        <v>499</v>
      </c>
      <c r="L1419" t="s">
        <v>410</v>
      </c>
      <c r="M1419" t="s">
        <v>234</v>
      </c>
      <c r="N1419" t="s">
        <v>62</v>
      </c>
      <c r="O1419" t="s">
        <v>235</v>
      </c>
      <c r="P1419" t="s">
        <v>411</v>
      </c>
      <c r="Q1419">
        <v>0</v>
      </c>
      <c r="R1419" t="s">
        <v>237</v>
      </c>
    </row>
    <row r="1420" spans="1:18" x14ac:dyDescent="0.25">
      <c r="A1420" t="s">
        <v>2178</v>
      </c>
      <c r="B1420">
        <v>716</v>
      </c>
      <c r="C1420" t="s">
        <v>487</v>
      </c>
      <c r="D1420" t="s">
        <v>231</v>
      </c>
      <c r="E1420" t="s">
        <v>512</v>
      </c>
      <c r="F1420" t="s">
        <v>1174</v>
      </c>
      <c r="G1420" s="25">
        <v>44229</v>
      </c>
      <c r="H1420">
        <v>7</v>
      </c>
      <c r="I1420">
        <v>33</v>
      </c>
      <c r="J1420" t="s">
        <v>231</v>
      </c>
      <c r="K1420" t="s">
        <v>499</v>
      </c>
      <c r="L1420" t="s">
        <v>410</v>
      </c>
      <c r="M1420" t="s">
        <v>234</v>
      </c>
      <c r="N1420" t="s">
        <v>62</v>
      </c>
      <c r="O1420" t="s">
        <v>235</v>
      </c>
      <c r="P1420" t="s">
        <v>411</v>
      </c>
      <c r="Q1420">
        <v>0</v>
      </c>
      <c r="R1420" t="s">
        <v>237</v>
      </c>
    </row>
    <row r="1421" spans="1:18" x14ac:dyDescent="0.25">
      <c r="A1421" t="s">
        <v>630</v>
      </c>
      <c r="B1421">
        <v>342</v>
      </c>
      <c r="C1421" t="s">
        <v>487</v>
      </c>
      <c r="D1421" t="s">
        <v>229</v>
      </c>
      <c r="E1421" t="s">
        <v>620</v>
      </c>
      <c r="F1421" t="s">
        <v>621</v>
      </c>
      <c r="G1421" s="25">
        <v>44212</v>
      </c>
      <c r="H1421">
        <v>4</v>
      </c>
      <c r="I1421">
        <v>16</v>
      </c>
      <c r="J1421" t="s">
        <v>231</v>
      </c>
      <c r="K1421" t="s">
        <v>499</v>
      </c>
      <c r="L1421" t="s">
        <v>410</v>
      </c>
      <c r="M1421" t="s">
        <v>234</v>
      </c>
      <c r="N1421" t="s">
        <v>62</v>
      </c>
      <c r="O1421" t="s">
        <v>235</v>
      </c>
      <c r="P1421" t="s">
        <v>411</v>
      </c>
      <c r="Q1421">
        <v>0</v>
      </c>
      <c r="R1421" t="s">
        <v>237</v>
      </c>
    </row>
    <row r="1422" spans="1:18" x14ac:dyDescent="0.25">
      <c r="A1422" t="s">
        <v>238</v>
      </c>
      <c r="B1422">
        <v>100</v>
      </c>
      <c r="C1422" t="s">
        <v>487</v>
      </c>
      <c r="D1422" t="s">
        <v>229</v>
      </c>
      <c r="E1422" t="s">
        <v>322</v>
      </c>
      <c r="F1422" t="s">
        <v>529</v>
      </c>
      <c r="G1422" s="25">
        <v>44201</v>
      </c>
      <c r="H1422">
        <v>1</v>
      </c>
      <c r="I1422">
        <v>5</v>
      </c>
      <c r="J1422" t="s">
        <v>231</v>
      </c>
      <c r="K1422" t="s">
        <v>499</v>
      </c>
      <c r="L1422" t="s">
        <v>410</v>
      </c>
      <c r="M1422" t="s">
        <v>234</v>
      </c>
      <c r="N1422" t="s">
        <v>62</v>
      </c>
      <c r="O1422" t="s">
        <v>235</v>
      </c>
      <c r="P1422" t="s">
        <v>411</v>
      </c>
      <c r="Q1422">
        <v>0</v>
      </c>
      <c r="R1422" t="s">
        <v>237</v>
      </c>
    </row>
    <row r="1423" spans="1:18" x14ac:dyDescent="0.25">
      <c r="A1423" t="s">
        <v>3665</v>
      </c>
      <c r="B1423">
        <v>2375</v>
      </c>
      <c r="C1423" t="s">
        <v>487</v>
      </c>
      <c r="D1423" t="s">
        <v>247</v>
      </c>
      <c r="E1423" t="s">
        <v>381</v>
      </c>
      <c r="F1423" t="s">
        <v>3107</v>
      </c>
      <c r="G1423" s="25">
        <v>44304</v>
      </c>
      <c r="H1423">
        <v>22</v>
      </c>
      <c r="I1423">
        <v>108</v>
      </c>
      <c r="J1423" t="s">
        <v>432</v>
      </c>
      <c r="K1423" t="s">
        <v>498</v>
      </c>
      <c r="L1423" t="s">
        <v>26</v>
      </c>
      <c r="M1423" t="s">
        <v>434</v>
      </c>
      <c r="N1423" t="s">
        <v>77</v>
      </c>
      <c r="O1423" t="s">
        <v>435</v>
      </c>
      <c r="P1423" t="s">
        <v>26</v>
      </c>
      <c r="Q1423">
        <v>195851.875</v>
      </c>
      <c r="R1423" t="s">
        <v>436</v>
      </c>
    </row>
    <row r="1424" spans="1:18" x14ac:dyDescent="0.25">
      <c r="A1424" t="s">
        <v>2522</v>
      </c>
      <c r="B1424">
        <v>1341</v>
      </c>
      <c r="C1424" t="s">
        <v>487</v>
      </c>
      <c r="D1424" t="s">
        <v>261</v>
      </c>
      <c r="E1424" t="s">
        <v>229</v>
      </c>
      <c r="F1424" t="s">
        <v>1388</v>
      </c>
      <c r="G1424" s="25">
        <v>44257</v>
      </c>
      <c r="H1424">
        <v>13</v>
      </c>
      <c r="I1424">
        <v>61</v>
      </c>
      <c r="J1424" t="s">
        <v>432</v>
      </c>
      <c r="K1424" t="s">
        <v>498</v>
      </c>
      <c r="L1424" t="s">
        <v>26</v>
      </c>
      <c r="M1424" t="s">
        <v>434</v>
      </c>
      <c r="N1424" t="s">
        <v>77</v>
      </c>
      <c r="O1424" t="s">
        <v>435</v>
      </c>
      <c r="P1424" t="s">
        <v>26</v>
      </c>
      <c r="Q1424">
        <v>181518.75</v>
      </c>
      <c r="R1424" t="s">
        <v>436</v>
      </c>
    </row>
    <row r="1425" spans="1:18" x14ac:dyDescent="0.25">
      <c r="A1425" t="s">
        <v>2840</v>
      </c>
      <c r="B1425">
        <v>1077</v>
      </c>
      <c r="C1425" t="s">
        <v>487</v>
      </c>
      <c r="D1425" t="s">
        <v>256</v>
      </c>
      <c r="E1425" t="s">
        <v>371</v>
      </c>
      <c r="F1425" t="s">
        <v>1318</v>
      </c>
      <c r="G1425" s="25">
        <v>44245</v>
      </c>
      <c r="H1425">
        <v>10</v>
      </c>
      <c r="I1425">
        <v>49</v>
      </c>
      <c r="J1425" t="s">
        <v>432</v>
      </c>
      <c r="K1425" t="s">
        <v>498</v>
      </c>
      <c r="L1425" t="s">
        <v>26</v>
      </c>
      <c r="M1425" t="s">
        <v>434</v>
      </c>
      <c r="N1425" t="s">
        <v>77</v>
      </c>
      <c r="O1425" t="s">
        <v>435</v>
      </c>
      <c r="P1425" t="s">
        <v>26</v>
      </c>
      <c r="Q1425">
        <v>243600</v>
      </c>
      <c r="R1425" t="s">
        <v>436</v>
      </c>
    </row>
    <row r="1426" spans="1:18" x14ac:dyDescent="0.25">
      <c r="A1426" t="s">
        <v>273</v>
      </c>
      <c r="B1426">
        <v>109</v>
      </c>
      <c r="C1426" t="s">
        <v>487</v>
      </c>
      <c r="D1426" t="s">
        <v>229</v>
      </c>
      <c r="E1426" t="s">
        <v>322</v>
      </c>
      <c r="F1426" t="s">
        <v>529</v>
      </c>
      <c r="G1426" s="25">
        <v>44201</v>
      </c>
      <c r="H1426">
        <v>1</v>
      </c>
      <c r="I1426">
        <v>5</v>
      </c>
      <c r="J1426" t="s">
        <v>432</v>
      </c>
      <c r="K1426" t="s">
        <v>498</v>
      </c>
      <c r="L1426" t="s">
        <v>26</v>
      </c>
      <c r="M1426" t="s">
        <v>434</v>
      </c>
      <c r="N1426" t="s">
        <v>77</v>
      </c>
      <c r="O1426" t="s">
        <v>435</v>
      </c>
      <c r="P1426" t="s">
        <v>26</v>
      </c>
      <c r="Q1426">
        <v>46200</v>
      </c>
      <c r="R1426" t="s">
        <v>436</v>
      </c>
    </row>
    <row r="1427" spans="1:18" x14ac:dyDescent="0.25">
      <c r="A1427" t="s">
        <v>2307</v>
      </c>
      <c r="B1427">
        <v>1559</v>
      </c>
      <c r="C1427" t="s">
        <v>487</v>
      </c>
      <c r="D1427" t="s">
        <v>261</v>
      </c>
      <c r="E1427" t="s">
        <v>515</v>
      </c>
      <c r="F1427" t="s">
        <v>1493</v>
      </c>
      <c r="G1427" s="25">
        <v>44267</v>
      </c>
      <c r="H1427">
        <v>15</v>
      </c>
      <c r="I1427">
        <v>71</v>
      </c>
      <c r="J1427" t="s">
        <v>432</v>
      </c>
      <c r="K1427" t="s">
        <v>497</v>
      </c>
      <c r="L1427" t="s">
        <v>438</v>
      </c>
      <c r="M1427" t="s">
        <v>434</v>
      </c>
      <c r="N1427" t="s">
        <v>75</v>
      </c>
      <c r="O1427" t="s">
        <v>435</v>
      </c>
      <c r="P1427" t="s">
        <v>438</v>
      </c>
      <c r="Q1427">
        <v>32100</v>
      </c>
      <c r="R1427" t="s">
        <v>436</v>
      </c>
    </row>
    <row r="1428" spans="1:18" x14ac:dyDescent="0.25">
      <c r="A1428" t="s">
        <v>2055</v>
      </c>
      <c r="B1428">
        <v>1075</v>
      </c>
      <c r="C1428" t="s">
        <v>487</v>
      </c>
      <c r="D1428" t="s">
        <v>256</v>
      </c>
      <c r="E1428" t="s">
        <v>371</v>
      </c>
      <c r="F1428" t="s">
        <v>1318</v>
      </c>
      <c r="G1428" s="25">
        <v>44245</v>
      </c>
      <c r="H1428">
        <v>10</v>
      </c>
      <c r="I1428">
        <v>49</v>
      </c>
      <c r="J1428" t="s">
        <v>432</v>
      </c>
      <c r="K1428" t="s">
        <v>497</v>
      </c>
      <c r="L1428" t="s">
        <v>438</v>
      </c>
      <c r="M1428" t="s">
        <v>434</v>
      </c>
      <c r="N1428" t="s">
        <v>75</v>
      </c>
      <c r="O1428" t="s">
        <v>435</v>
      </c>
      <c r="P1428" t="s">
        <v>438</v>
      </c>
      <c r="Q1428">
        <v>62400</v>
      </c>
      <c r="R1428" t="s">
        <v>436</v>
      </c>
    </row>
    <row r="1429" spans="1:18" x14ac:dyDescent="0.25">
      <c r="A1429" t="s">
        <v>2185</v>
      </c>
      <c r="B1429">
        <v>723</v>
      </c>
      <c r="C1429" t="s">
        <v>487</v>
      </c>
      <c r="D1429" t="s">
        <v>231</v>
      </c>
      <c r="E1429" t="s">
        <v>512</v>
      </c>
      <c r="F1429" t="s">
        <v>1174</v>
      </c>
      <c r="G1429" s="25">
        <v>44229</v>
      </c>
      <c r="H1429">
        <v>7</v>
      </c>
      <c r="I1429">
        <v>33</v>
      </c>
      <c r="J1429" t="s">
        <v>432</v>
      </c>
      <c r="K1429" t="s">
        <v>497</v>
      </c>
      <c r="L1429" t="s">
        <v>438</v>
      </c>
      <c r="M1429" t="s">
        <v>434</v>
      </c>
      <c r="N1429" t="s">
        <v>75</v>
      </c>
      <c r="O1429" t="s">
        <v>435</v>
      </c>
      <c r="P1429" t="s">
        <v>438</v>
      </c>
      <c r="Q1429">
        <v>28800</v>
      </c>
      <c r="R1429" t="s">
        <v>436</v>
      </c>
    </row>
    <row r="1430" spans="1:18" x14ac:dyDescent="0.25">
      <c r="A1430" t="s">
        <v>762</v>
      </c>
      <c r="B1430">
        <v>349</v>
      </c>
      <c r="C1430" t="s">
        <v>487</v>
      </c>
      <c r="D1430" t="s">
        <v>229</v>
      </c>
      <c r="E1430" t="s">
        <v>620</v>
      </c>
      <c r="F1430" t="s">
        <v>621</v>
      </c>
      <c r="G1430" s="25">
        <v>44212</v>
      </c>
      <c r="H1430">
        <v>4</v>
      </c>
      <c r="I1430">
        <v>16</v>
      </c>
      <c r="J1430" t="s">
        <v>432</v>
      </c>
      <c r="K1430" t="s">
        <v>497</v>
      </c>
      <c r="L1430" t="s">
        <v>438</v>
      </c>
      <c r="M1430" t="s">
        <v>434</v>
      </c>
      <c r="N1430" t="s">
        <v>75</v>
      </c>
      <c r="O1430" t="s">
        <v>435</v>
      </c>
      <c r="P1430" t="s">
        <v>438</v>
      </c>
      <c r="Q1430">
        <v>3600</v>
      </c>
      <c r="R1430" t="s">
        <v>436</v>
      </c>
    </row>
    <row r="1431" spans="1:18" x14ac:dyDescent="0.25">
      <c r="A1431" t="s">
        <v>367</v>
      </c>
      <c r="B1431">
        <v>107</v>
      </c>
      <c r="C1431" t="s">
        <v>487</v>
      </c>
      <c r="D1431" t="s">
        <v>229</v>
      </c>
      <c r="E1431" t="s">
        <v>322</v>
      </c>
      <c r="F1431" t="s">
        <v>529</v>
      </c>
      <c r="G1431" s="25">
        <v>44201</v>
      </c>
      <c r="H1431">
        <v>1</v>
      </c>
      <c r="I1431">
        <v>5</v>
      </c>
      <c r="J1431" t="s">
        <v>432</v>
      </c>
      <c r="K1431" t="s">
        <v>497</v>
      </c>
      <c r="L1431" t="s">
        <v>438</v>
      </c>
      <c r="M1431" t="s">
        <v>434</v>
      </c>
      <c r="N1431" t="s">
        <v>75</v>
      </c>
      <c r="O1431" t="s">
        <v>435</v>
      </c>
      <c r="P1431" t="s">
        <v>438</v>
      </c>
      <c r="Q1431">
        <v>10800</v>
      </c>
      <c r="R1431" t="s">
        <v>436</v>
      </c>
    </row>
    <row r="1432" spans="1:18" x14ac:dyDescent="0.25">
      <c r="A1432" t="s">
        <v>3666</v>
      </c>
      <c r="B1432">
        <v>2285</v>
      </c>
      <c r="C1432" t="s">
        <v>487</v>
      </c>
      <c r="D1432" t="s">
        <v>247</v>
      </c>
      <c r="E1432" t="s">
        <v>261</v>
      </c>
      <c r="F1432" t="s">
        <v>3078</v>
      </c>
      <c r="G1432" s="25">
        <v>44300</v>
      </c>
      <c r="H1432">
        <v>21</v>
      </c>
      <c r="I1432">
        <v>104</v>
      </c>
      <c r="J1432" t="s">
        <v>432</v>
      </c>
      <c r="K1432" t="s">
        <v>497</v>
      </c>
      <c r="L1432" t="s">
        <v>438</v>
      </c>
      <c r="M1432" t="s">
        <v>434</v>
      </c>
      <c r="N1432" t="s">
        <v>75</v>
      </c>
      <c r="O1432" t="s">
        <v>435</v>
      </c>
      <c r="P1432" t="s">
        <v>438</v>
      </c>
      <c r="Q1432">
        <v>41700</v>
      </c>
      <c r="R1432" t="s">
        <v>436</v>
      </c>
    </row>
    <row r="1433" spans="1:18" x14ac:dyDescent="0.25">
      <c r="A1433" t="s">
        <v>3667</v>
      </c>
      <c r="B1433">
        <v>1911</v>
      </c>
      <c r="C1433" t="s">
        <v>487</v>
      </c>
      <c r="D1433" t="s">
        <v>322</v>
      </c>
      <c r="E1433" t="s">
        <v>326</v>
      </c>
      <c r="F1433" t="s">
        <v>2967</v>
      </c>
      <c r="G1433" s="25">
        <v>44283</v>
      </c>
      <c r="H1433">
        <v>18</v>
      </c>
      <c r="I1433">
        <v>87</v>
      </c>
      <c r="J1433" t="s">
        <v>432</v>
      </c>
      <c r="K1433" t="s">
        <v>497</v>
      </c>
      <c r="L1433" t="s">
        <v>438</v>
      </c>
      <c r="M1433" t="s">
        <v>434</v>
      </c>
      <c r="N1433" t="s">
        <v>75</v>
      </c>
      <c r="O1433" t="s">
        <v>435</v>
      </c>
      <c r="P1433" t="s">
        <v>438</v>
      </c>
      <c r="Q1433">
        <v>55200</v>
      </c>
      <c r="R1433" t="s">
        <v>436</v>
      </c>
    </row>
    <row r="1434" spans="1:18" x14ac:dyDescent="0.25">
      <c r="A1434" t="s">
        <v>2468</v>
      </c>
      <c r="B1434">
        <v>1247</v>
      </c>
      <c r="C1434" t="s">
        <v>487</v>
      </c>
      <c r="D1434" t="s">
        <v>256</v>
      </c>
      <c r="E1434" t="s">
        <v>534</v>
      </c>
      <c r="F1434" t="s">
        <v>1357</v>
      </c>
      <c r="G1434" s="25">
        <v>44253</v>
      </c>
      <c r="H1434">
        <v>12</v>
      </c>
      <c r="I1434">
        <v>57</v>
      </c>
      <c r="J1434" t="s">
        <v>432</v>
      </c>
      <c r="K1434" t="s">
        <v>496</v>
      </c>
      <c r="L1434" t="s">
        <v>69</v>
      </c>
      <c r="M1434" t="s">
        <v>434</v>
      </c>
      <c r="N1434" t="s">
        <v>68</v>
      </c>
      <c r="O1434" t="s">
        <v>21</v>
      </c>
      <c r="P1434" t="s">
        <v>439</v>
      </c>
      <c r="Q1434">
        <v>428000</v>
      </c>
      <c r="R1434" t="s">
        <v>237</v>
      </c>
    </row>
    <row r="1435" spans="1:18" x14ac:dyDescent="0.25">
      <c r="A1435" t="s">
        <v>2408</v>
      </c>
      <c r="B1435">
        <v>1093</v>
      </c>
      <c r="C1435" t="s">
        <v>487</v>
      </c>
      <c r="D1435" t="s">
        <v>256</v>
      </c>
      <c r="E1435" t="s">
        <v>239</v>
      </c>
      <c r="F1435" t="s">
        <v>1322</v>
      </c>
      <c r="G1435" s="25">
        <v>44246</v>
      </c>
      <c r="H1435">
        <v>10</v>
      </c>
      <c r="I1435">
        <v>50</v>
      </c>
      <c r="J1435" t="s">
        <v>432</v>
      </c>
      <c r="K1435" t="s">
        <v>496</v>
      </c>
      <c r="L1435" t="s">
        <v>69</v>
      </c>
      <c r="M1435" t="s">
        <v>434</v>
      </c>
      <c r="N1435" t="s">
        <v>68</v>
      </c>
      <c r="O1435" t="s">
        <v>21</v>
      </c>
      <c r="P1435" t="s">
        <v>439</v>
      </c>
      <c r="Q1435">
        <v>512000</v>
      </c>
      <c r="R1435" t="s">
        <v>237</v>
      </c>
    </row>
    <row r="1436" spans="1:18" x14ac:dyDescent="0.25">
      <c r="A1436" t="s">
        <v>852</v>
      </c>
      <c r="B1436">
        <v>279</v>
      </c>
      <c r="C1436" t="s">
        <v>487</v>
      </c>
      <c r="D1436" t="s">
        <v>229</v>
      </c>
      <c r="E1436" t="s">
        <v>512</v>
      </c>
      <c r="F1436" t="s">
        <v>513</v>
      </c>
      <c r="G1436" s="25">
        <v>44209</v>
      </c>
      <c r="H1436">
        <v>3</v>
      </c>
      <c r="I1436">
        <v>13</v>
      </c>
      <c r="J1436" t="s">
        <v>432</v>
      </c>
      <c r="K1436" t="s">
        <v>496</v>
      </c>
      <c r="L1436" t="s">
        <v>69</v>
      </c>
      <c r="M1436" t="s">
        <v>434</v>
      </c>
      <c r="N1436" t="s">
        <v>68</v>
      </c>
      <c r="O1436" t="s">
        <v>21</v>
      </c>
      <c r="P1436" t="s">
        <v>439</v>
      </c>
      <c r="Q1436">
        <v>72000</v>
      </c>
      <c r="R1436" t="s">
        <v>237</v>
      </c>
    </row>
    <row r="1437" spans="1:18" x14ac:dyDescent="0.25">
      <c r="A1437" t="s">
        <v>3668</v>
      </c>
      <c r="B1437">
        <v>2457</v>
      </c>
      <c r="C1437" t="s">
        <v>487</v>
      </c>
      <c r="D1437" t="s">
        <v>247</v>
      </c>
      <c r="E1437" t="s">
        <v>232</v>
      </c>
      <c r="F1437" t="s">
        <v>3140</v>
      </c>
      <c r="G1437" s="25">
        <v>44308</v>
      </c>
      <c r="H1437">
        <v>23</v>
      </c>
      <c r="I1437">
        <v>112</v>
      </c>
      <c r="J1437" t="s">
        <v>432</v>
      </c>
      <c r="K1437" t="s">
        <v>496</v>
      </c>
      <c r="L1437" t="s">
        <v>69</v>
      </c>
      <c r="M1437" t="s">
        <v>434</v>
      </c>
      <c r="N1437" t="s">
        <v>68</v>
      </c>
      <c r="O1437" t="s">
        <v>21</v>
      </c>
      <c r="P1437" t="s">
        <v>439</v>
      </c>
      <c r="Q1437">
        <v>384000</v>
      </c>
      <c r="R1437" t="s">
        <v>237</v>
      </c>
    </row>
    <row r="1438" spans="1:18" x14ac:dyDescent="0.25">
      <c r="A1438" t="s">
        <v>3669</v>
      </c>
      <c r="B1438">
        <v>2149</v>
      </c>
      <c r="C1438" t="s">
        <v>487</v>
      </c>
      <c r="D1438" t="s">
        <v>322</v>
      </c>
      <c r="E1438" t="s">
        <v>552</v>
      </c>
      <c r="F1438" t="s">
        <v>3045</v>
      </c>
      <c r="G1438" s="25">
        <v>44294</v>
      </c>
      <c r="H1438">
        <v>20</v>
      </c>
      <c r="I1438">
        <v>98</v>
      </c>
      <c r="J1438" t="s">
        <v>432</v>
      </c>
      <c r="K1438" t="s">
        <v>496</v>
      </c>
      <c r="L1438" t="s">
        <v>69</v>
      </c>
      <c r="M1438" t="s">
        <v>434</v>
      </c>
      <c r="N1438" t="s">
        <v>68</v>
      </c>
      <c r="O1438" t="s">
        <v>21</v>
      </c>
      <c r="P1438" t="s">
        <v>439</v>
      </c>
      <c r="Q1438">
        <v>561000</v>
      </c>
      <c r="R1438" t="s">
        <v>237</v>
      </c>
    </row>
    <row r="1439" spans="1:18" x14ac:dyDescent="0.25">
      <c r="A1439" t="s">
        <v>3670</v>
      </c>
      <c r="B1439">
        <v>1841</v>
      </c>
      <c r="C1439" t="s">
        <v>487</v>
      </c>
      <c r="D1439" t="s">
        <v>322</v>
      </c>
      <c r="E1439" t="s">
        <v>261</v>
      </c>
      <c r="F1439" t="s">
        <v>2956</v>
      </c>
      <c r="G1439" s="25">
        <v>44280</v>
      </c>
      <c r="H1439">
        <v>17</v>
      </c>
      <c r="I1439">
        <v>84</v>
      </c>
      <c r="J1439" t="s">
        <v>432</v>
      </c>
      <c r="K1439" t="s">
        <v>496</v>
      </c>
      <c r="L1439" t="s">
        <v>69</v>
      </c>
      <c r="M1439" t="s">
        <v>434</v>
      </c>
      <c r="N1439" t="s">
        <v>68</v>
      </c>
      <c r="O1439" t="s">
        <v>21</v>
      </c>
      <c r="P1439" t="s">
        <v>439</v>
      </c>
      <c r="Q1439">
        <v>681000</v>
      </c>
      <c r="R1439" t="s">
        <v>237</v>
      </c>
    </row>
    <row r="1440" spans="1:18" x14ac:dyDescent="0.25">
      <c r="A1440" t="s">
        <v>1788</v>
      </c>
      <c r="B1440">
        <v>1358</v>
      </c>
      <c r="C1440" t="s">
        <v>487</v>
      </c>
      <c r="D1440" t="s">
        <v>261</v>
      </c>
      <c r="E1440" t="s">
        <v>231</v>
      </c>
      <c r="F1440" t="s">
        <v>1400</v>
      </c>
      <c r="G1440" s="25">
        <v>44258</v>
      </c>
      <c r="H1440">
        <v>13</v>
      </c>
      <c r="I1440">
        <v>62</v>
      </c>
      <c r="J1440" t="s">
        <v>432</v>
      </c>
      <c r="K1440" t="s">
        <v>495</v>
      </c>
      <c r="L1440" t="s">
        <v>135</v>
      </c>
      <c r="M1440" t="s">
        <v>434</v>
      </c>
      <c r="N1440" t="s">
        <v>70</v>
      </c>
      <c r="O1440" t="s">
        <v>21</v>
      </c>
      <c r="P1440" t="s">
        <v>440</v>
      </c>
      <c r="Q1440">
        <v>329125</v>
      </c>
      <c r="R1440" t="s">
        <v>237</v>
      </c>
    </row>
    <row r="1441" spans="1:18" x14ac:dyDescent="0.25">
      <c r="A1441" t="s">
        <v>2900</v>
      </c>
      <c r="B1441">
        <v>1226</v>
      </c>
      <c r="C1441" t="s">
        <v>487</v>
      </c>
      <c r="D1441" t="s">
        <v>256</v>
      </c>
      <c r="E1441" t="s">
        <v>620</v>
      </c>
      <c r="F1441" t="s">
        <v>1350</v>
      </c>
      <c r="G1441" s="25">
        <v>44252</v>
      </c>
      <c r="H1441">
        <v>12</v>
      </c>
      <c r="I1441">
        <v>56</v>
      </c>
      <c r="J1441" t="s">
        <v>432</v>
      </c>
      <c r="K1441" t="s">
        <v>495</v>
      </c>
      <c r="L1441" t="s">
        <v>135</v>
      </c>
      <c r="M1441" t="s">
        <v>434</v>
      </c>
      <c r="N1441" t="s">
        <v>70</v>
      </c>
      <c r="O1441" t="s">
        <v>21</v>
      </c>
      <c r="P1441" t="s">
        <v>440</v>
      </c>
      <c r="Q1441">
        <v>437750</v>
      </c>
      <c r="R1441" t="s">
        <v>237</v>
      </c>
    </row>
    <row r="1442" spans="1:18" x14ac:dyDescent="0.25">
      <c r="A1442" t="s">
        <v>2682</v>
      </c>
      <c r="B1442">
        <v>874</v>
      </c>
      <c r="C1442" t="s">
        <v>487</v>
      </c>
      <c r="D1442" t="s">
        <v>231</v>
      </c>
      <c r="E1442" t="s">
        <v>408</v>
      </c>
      <c r="F1442" t="s">
        <v>1234</v>
      </c>
      <c r="G1442" s="25">
        <v>44236</v>
      </c>
      <c r="H1442">
        <v>8</v>
      </c>
      <c r="I1442">
        <v>40</v>
      </c>
      <c r="J1442" t="s">
        <v>432</v>
      </c>
      <c r="K1442" t="s">
        <v>495</v>
      </c>
      <c r="L1442" t="s">
        <v>135</v>
      </c>
      <c r="M1442" t="s">
        <v>434</v>
      </c>
      <c r="N1442" t="s">
        <v>70</v>
      </c>
      <c r="O1442" t="s">
        <v>21</v>
      </c>
      <c r="P1442" t="s">
        <v>440</v>
      </c>
      <c r="Q1442">
        <v>34875</v>
      </c>
      <c r="R1442" t="s">
        <v>237</v>
      </c>
    </row>
    <row r="1443" spans="1:18" x14ac:dyDescent="0.25">
      <c r="A1443" t="s">
        <v>767</v>
      </c>
      <c r="B1443">
        <v>284</v>
      </c>
      <c r="C1443" t="s">
        <v>487</v>
      </c>
      <c r="D1443" t="s">
        <v>229</v>
      </c>
      <c r="E1443" t="s">
        <v>512</v>
      </c>
      <c r="F1443" t="s">
        <v>513</v>
      </c>
      <c r="G1443" s="25">
        <v>44209</v>
      </c>
      <c r="H1443">
        <v>3</v>
      </c>
      <c r="I1443">
        <v>13</v>
      </c>
      <c r="J1443" t="s">
        <v>432</v>
      </c>
      <c r="K1443" t="s">
        <v>494</v>
      </c>
      <c r="L1443" t="s">
        <v>25</v>
      </c>
      <c r="M1443" t="s">
        <v>434</v>
      </c>
      <c r="N1443" t="s">
        <v>76</v>
      </c>
      <c r="O1443" t="s">
        <v>435</v>
      </c>
      <c r="P1443" t="s">
        <v>25</v>
      </c>
      <c r="Q1443">
        <v>0</v>
      </c>
      <c r="R1443" t="s">
        <v>436</v>
      </c>
    </row>
    <row r="1444" spans="1:18" x14ac:dyDescent="0.25">
      <c r="A1444" t="s">
        <v>3671</v>
      </c>
      <c r="B1444">
        <v>2462</v>
      </c>
      <c r="C1444" t="s">
        <v>487</v>
      </c>
      <c r="D1444" t="s">
        <v>247</v>
      </c>
      <c r="E1444" t="s">
        <v>232</v>
      </c>
      <c r="F1444" t="s">
        <v>3140</v>
      </c>
      <c r="G1444" s="25">
        <v>44308</v>
      </c>
      <c r="H1444">
        <v>23</v>
      </c>
      <c r="I1444">
        <v>112</v>
      </c>
      <c r="J1444" t="s">
        <v>432</v>
      </c>
      <c r="K1444" t="s">
        <v>494</v>
      </c>
      <c r="L1444" t="s">
        <v>25</v>
      </c>
      <c r="M1444" t="s">
        <v>434</v>
      </c>
      <c r="N1444" t="s">
        <v>76</v>
      </c>
      <c r="O1444" t="s">
        <v>435</v>
      </c>
      <c r="P1444" t="s">
        <v>25</v>
      </c>
      <c r="Q1444">
        <v>32700</v>
      </c>
      <c r="R1444" t="s">
        <v>436</v>
      </c>
    </row>
    <row r="1445" spans="1:18" x14ac:dyDescent="0.25">
      <c r="A1445" t="s">
        <v>1691</v>
      </c>
      <c r="B1445">
        <v>1252</v>
      </c>
      <c r="C1445" t="s">
        <v>487</v>
      </c>
      <c r="D1445" t="s">
        <v>256</v>
      </c>
      <c r="E1445" t="s">
        <v>534</v>
      </c>
      <c r="F1445" t="s">
        <v>1357</v>
      </c>
      <c r="G1445" s="25">
        <v>44253</v>
      </c>
      <c r="H1445">
        <v>12</v>
      </c>
      <c r="I1445">
        <v>57</v>
      </c>
      <c r="J1445" t="s">
        <v>432</v>
      </c>
      <c r="K1445" t="s">
        <v>494</v>
      </c>
      <c r="L1445" t="s">
        <v>25</v>
      </c>
      <c r="M1445" t="s">
        <v>434</v>
      </c>
      <c r="N1445" t="s">
        <v>76</v>
      </c>
      <c r="O1445" t="s">
        <v>435</v>
      </c>
      <c r="P1445" t="s">
        <v>25</v>
      </c>
      <c r="Q1445">
        <v>40500</v>
      </c>
      <c r="R1445" t="s">
        <v>436</v>
      </c>
    </row>
    <row r="1446" spans="1:18" x14ac:dyDescent="0.25">
      <c r="A1446" t="s">
        <v>2748</v>
      </c>
      <c r="B1446">
        <v>1098</v>
      </c>
      <c r="C1446" t="s">
        <v>487</v>
      </c>
      <c r="D1446" t="s">
        <v>256</v>
      </c>
      <c r="E1446" t="s">
        <v>239</v>
      </c>
      <c r="F1446" t="s">
        <v>1322</v>
      </c>
      <c r="G1446" s="25">
        <v>44246</v>
      </c>
      <c r="H1446">
        <v>10</v>
      </c>
      <c r="I1446">
        <v>50</v>
      </c>
      <c r="J1446" t="s">
        <v>432</v>
      </c>
      <c r="K1446" t="s">
        <v>494</v>
      </c>
      <c r="L1446" t="s">
        <v>25</v>
      </c>
      <c r="M1446" t="s">
        <v>434</v>
      </c>
      <c r="N1446" t="s">
        <v>76</v>
      </c>
      <c r="O1446" t="s">
        <v>435</v>
      </c>
      <c r="P1446" t="s">
        <v>25</v>
      </c>
      <c r="Q1446">
        <v>45300</v>
      </c>
      <c r="R1446" t="s">
        <v>436</v>
      </c>
    </row>
    <row r="1447" spans="1:18" x14ac:dyDescent="0.25">
      <c r="A1447" t="s">
        <v>2628</v>
      </c>
      <c r="B1447">
        <v>636</v>
      </c>
      <c r="C1447" t="s">
        <v>487</v>
      </c>
      <c r="D1447" t="s">
        <v>231</v>
      </c>
      <c r="E1447" t="s">
        <v>371</v>
      </c>
      <c r="F1447" t="s">
        <v>1124</v>
      </c>
      <c r="G1447" s="25">
        <v>44225</v>
      </c>
      <c r="H1447">
        <v>6</v>
      </c>
      <c r="I1447">
        <v>29</v>
      </c>
      <c r="J1447" t="s">
        <v>432</v>
      </c>
      <c r="K1447" t="s">
        <v>494</v>
      </c>
      <c r="L1447" t="s">
        <v>25</v>
      </c>
      <c r="M1447" t="s">
        <v>434</v>
      </c>
      <c r="N1447" t="s">
        <v>76</v>
      </c>
      <c r="O1447" t="s">
        <v>435</v>
      </c>
      <c r="P1447" t="s">
        <v>25</v>
      </c>
      <c r="Q1447">
        <v>36000</v>
      </c>
      <c r="R1447" t="s">
        <v>436</v>
      </c>
    </row>
    <row r="1448" spans="1:18" x14ac:dyDescent="0.25">
      <c r="A1448" t="s">
        <v>3672</v>
      </c>
      <c r="B1448">
        <v>2200</v>
      </c>
      <c r="C1448" t="s">
        <v>487</v>
      </c>
      <c r="D1448" t="s">
        <v>322</v>
      </c>
      <c r="E1448" t="s">
        <v>408</v>
      </c>
      <c r="F1448" t="s">
        <v>3059</v>
      </c>
      <c r="G1448" s="25">
        <v>44296</v>
      </c>
      <c r="H1448">
        <v>20</v>
      </c>
      <c r="I1448">
        <v>100</v>
      </c>
      <c r="J1448" t="s">
        <v>432</v>
      </c>
      <c r="K1448" t="s">
        <v>493</v>
      </c>
      <c r="L1448" t="s">
        <v>441</v>
      </c>
      <c r="M1448" t="s">
        <v>434</v>
      </c>
      <c r="N1448" t="s">
        <v>78</v>
      </c>
      <c r="O1448" t="s">
        <v>435</v>
      </c>
      <c r="P1448" t="s">
        <v>441</v>
      </c>
      <c r="Q1448">
        <v>239142.5</v>
      </c>
      <c r="R1448" t="s">
        <v>436</v>
      </c>
    </row>
    <row r="1449" spans="1:18" x14ac:dyDescent="0.25">
      <c r="A1449" t="s">
        <v>1600</v>
      </c>
      <c r="B1449">
        <v>484</v>
      </c>
      <c r="C1449" t="s">
        <v>487</v>
      </c>
      <c r="D1449" t="s">
        <v>231</v>
      </c>
      <c r="E1449" t="s">
        <v>231</v>
      </c>
      <c r="F1449" t="s">
        <v>1080</v>
      </c>
      <c r="G1449" s="25">
        <v>44218</v>
      </c>
      <c r="H1449">
        <v>5</v>
      </c>
      <c r="I1449">
        <v>22</v>
      </c>
      <c r="J1449" t="s">
        <v>432</v>
      </c>
      <c r="K1449" t="s">
        <v>493</v>
      </c>
      <c r="L1449" t="s">
        <v>441</v>
      </c>
      <c r="M1449" t="s">
        <v>434</v>
      </c>
      <c r="N1449" t="s">
        <v>78</v>
      </c>
      <c r="O1449" t="s">
        <v>435</v>
      </c>
      <c r="P1449" t="s">
        <v>441</v>
      </c>
      <c r="Q1449">
        <v>8400</v>
      </c>
      <c r="R1449" t="s">
        <v>436</v>
      </c>
    </row>
    <row r="1450" spans="1:18" x14ac:dyDescent="0.25">
      <c r="A1450" t="s">
        <v>858</v>
      </c>
      <c r="B1450">
        <v>176</v>
      </c>
      <c r="C1450" t="s">
        <v>487</v>
      </c>
      <c r="D1450" t="s">
        <v>229</v>
      </c>
      <c r="E1450" t="s">
        <v>381</v>
      </c>
      <c r="F1450" t="s">
        <v>518</v>
      </c>
      <c r="G1450" s="25">
        <v>44204</v>
      </c>
      <c r="H1450">
        <v>2</v>
      </c>
      <c r="I1450">
        <v>8</v>
      </c>
      <c r="J1450" t="s">
        <v>432</v>
      </c>
      <c r="K1450" t="s">
        <v>493</v>
      </c>
      <c r="L1450" t="s">
        <v>441</v>
      </c>
      <c r="M1450" t="s">
        <v>434</v>
      </c>
      <c r="N1450" t="s">
        <v>78</v>
      </c>
      <c r="O1450" t="s">
        <v>435</v>
      </c>
      <c r="P1450" t="s">
        <v>441</v>
      </c>
      <c r="Q1450">
        <v>37800</v>
      </c>
      <c r="R1450" t="s">
        <v>436</v>
      </c>
    </row>
    <row r="1451" spans="1:18" x14ac:dyDescent="0.25">
      <c r="A1451" t="s">
        <v>3673</v>
      </c>
      <c r="B1451">
        <v>1909</v>
      </c>
      <c r="C1451" t="s">
        <v>487</v>
      </c>
      <c r="D1451" t="s">
        <v>322</v>
      </c>
      <c r="E1451" t="s">
        <v>326</v>
      </c>
      <c r="F1451" t="s">
        <v>2967</v>
      </c>
      <c r="G1451" s="25">
        <v>44283</v>
      </c>
      <c r="H1451">
        <v>18</v>
      </c>
      <c r="I1451">
        <v>87</v>
      </c>
      <c r="J1451" t="s">
        <v>432</v>
      </c>
      <c r="K1451" t="s">
        <v>492</v>
      </c>
      <c r="L1451" t="s">
        <v>24</v>
      </c>
      <c r="M1451" t="s">
        <v>434</v>
      </c>
      <c r="N1451" t="s">
        <v>71</v>
      </c>
      <c r="O1451" t="s">
        <v>435</v>
      </c>
      <c r="P1451" t="s">
        <v>24</v>
      </c>
      <c r="Q1451">
        <v>74400</v>
      </c>
      <c r="R1451" t="s">
        <v>436</v>
      </c>
    </row>
    <row r="1452" spans="1:18" x14ac:dyDescent="0.25">
      <c r="A1452" t="s">
        <v>2906</v>
      </c>
      <c r="B1452">
        <v>1073</v>
      </c>
      <c r="C1452" t="s">
        <v>487</v>
      </c>
      <c r="D1452" t="s">
        <v>256</v>
      </c>
      <c r="E1452" t="s">
        <v>371</v>
      </c>
      <c r="F1452" t="s">
        <v>1318</v>
      </c>
      <c r="G1452" s="25">
        <v>44245</v>
      </c>
      <c r="H1452">
        <v>10</v>
      </c>
      <c r="I1452">
        <v>49</v>
      </c>
      <c r="J1452" t="s">
        <v>432</v>
      </c>
      <c r="K1452" t="s">
        <v>492</v>
      </c>
      <c r="L1452" t="s">
        <v>24</v>
      </c>
      <c r="M1452" t="s">
        <v>434</v>
      </c>
      <c r="N1452" t="s">
        <v>71</v>
      </c>
      <c r="O1452" t="s">
        <v>435</v>
      </c>
      <c r="P1452" t="s">
        <v>24</v>
      </c>
      <c r="Q1452">
        <v>53100</v>
      </c>
      <c r="R1452" t="s">
        <v>436</v>
      </c>
    </row>
    <row r="1453" spans="1:18" x14ac:dyDescent="0.25">
      <c r="A1453" t="s">
        <v>2136</v>
      </c>
      <c r="B1453">
        <v>721</v>
      </c>
      <c r="C1453" t="s">
        <v>487</v>
      </c>
      <c r="D1453" t="s">
        <v>231</v>
      </c>
      <c r="E1453" t="s">
        <v>512</v>
      </c>
      <c r="F1453" t="s">
        <v>1174</v>
      </c>
      <c r="G1453" s="25">
        <v>44229</v>
      </c>
      <c r="H1453">
        <v>7</v>
      </c>
      <c r="I1453">
        <v>33</v>
      </c>
      <c r="J1453" t="s">
        <v>432</v>
      </c>
      <c r="K1453" t="s">
        <v>492</v>
      </c>
      <c r="L1453" t="s">
        <v>24</v>
      </c>
      <c r="M1453" t="s">
        <v>434</v>
      </c>
      <c r="N1453" t="s">
        <v>71</v>
      </c>
      <c r="O1453" t="s">
        <v>435</v>
      </c>
      <c r="P1453" t="s">
        <v>24</v>
      </c>
      <c r="Q1453">
        <v>14400</v>
      </c>
      <c r="R1453" t="s">
        <v>436</v>
      </c>
    </row>
    <row r="1454" spans="1:18" x14ac:dyDescent="0.25">
      <c r="A1454" t="s">
        <v>2137</v>
      </c>
      <c r="B1454">
        <v>589</v>
      </c>
      <c r="C1454" t="s">
        <v>487</v>
      </c>
      <c r="D1454" t="s">
        <v>231</v>
      </c>
      <c r="E1454" t="s">
        <v>326</v>
      </c>
      <c r="F1454" t="s">
        <v>1095</v>
      </c>
      <c r="G1454" s="25">
        <v>44223</v>
      </c>
      <c r="H1454">
        <v>6</v>
      </c>
      <c r="I1454">
        <v>27</v>
      </c>
      <c r="J1454" t="s">
        <v>432</v>
      </c>
      <c r="K1454" t="s">
        <v>492</v>
      </c>
      <c r="L1454" t="s">
        <v>24</v>
      </c>
      <c r="M1454" t="s">
        <v>434</v>
      </c>
      <c r="N1454" t="s">
        <v>71</v>
      </c>
      <c r="O1454" t="s">
        <v>435</v>
      </c>
      <c r="P1454" t="s">
        <v>24</v>
      </c>
      <c r="Q1454">
        <v>24543.75</v>
      </c>
      <c r="R1454" t="s">
        <v>436</v>
      </c>
    </row>
    <row r="1455" spans="1:18" x14ac:dyDescent="0.25">
      <c r="A1455" t="s">
        <v>827</v>
      </c>
      <c r="B1455">
        <v>347</v>
      </c>
      <c r="C1455" t="s">
        <v>487</v>
      </c>
      <c r="D1455" t="s">
        <v>229</v>
      </c>
      <c r="E1455" t="s">
        <v>620</v>
      </c>
      <c r="F1455" t="s">
        <v>621</v>
      </c>
      <c r="G1455" s="25">
        <v>44212</v>
      </c>
      <c r="H1455">
        <v>4</v>
      </c>
      <c r="I1455">
        <v>16</v>
      </c>
      <c r="J1455" t="s">
        <v>432</v>
      </c>
      <c r="K1455" t="s">
        <v>492</v>
      </c>
      <c r="L1455" t="s">
        <v>24</v>
      </c>
      <c r="M1455" t="s">
        <v>434</v>
      </c>
      <c r="N1455" t="s">
        <v>71</v>
      </c>
      <c r="O1455" t="s">
        <v>435</v>
      </c>
      <c r="P1455" t="s">
        <v>24</v>
      </c>
      <c r="Q1455">
        <v>7200</v>
      </c>
      <c r="R1455" t="s">
        <v>436</v>
      </c>
    </row>
    <row r="1456" spans="1:18" x14ac:dyDescent="0.25">
      <c r="A1456" t="s">
        <v>352</v>
      </c>
      <c r="B1456">
        <v>105</v>
      </c>
      <c r="C1456" t="s">
        <v>487</v>
      </c>
      <c r="D1456" t="s">
        <v>229</v>
      </c>
      <c r="E1456" t="s">
        <v>322</v>
      </c>
      <c r="F1456" t="s">
        <v>529</v>
      </c>
      <c r="G1456" s="25">
        <v>44201</v>
      </c>
      <c r="H1456">
        <v>1</v>
      </c>
      <c r="I1456">
        <v>5</v>
      </c>
      <c r="J1456" t="s">
        <v>432</v>
      </c>
      <c r="K1456" t="s">
        <v>492</v>
      </c>
      <c r="L1456" t="s">
        <v>24</v>
      </c>
      <c r="M1456" t="s">
        <v>434</v>
      </c>
      <c r="N1456" t="s">
        <v>71</v>
      </c>
      <c r="O1456" t="s">
        <v>435</v>
      </c>
      <c r="P1456" t="s">
        <v>24</v>
      </c>
      <c r="Q1456">
        <v>7200</v>
      </c>
      <c r="R1456" t="s">
        <v>436</v>
      </c>
    </row>
    <row r="1457" spans="1:18" x14ac:dyDescent="0.25">
      <c r="A1457" t="s">
        <v>1893</v>
      </c>
      <c r="B1457">
        <v>1570</v>
      </c>
      <c r="C1457" t="s">
        <v>487</v>
      </c>
      <c r="D1457" t="s">
        <v>261</v>
      </c>
      <c r="E1457" t="s">
        <v>232</v>
      </c>
      <c r="F1457" t="s">
        <v>1500</v>
      </c>
      <c r="G1457" s="25">
        <v>44268</v>
      </c>
      <c r="H1457">
        <v>15</v>
      </c>
      <c r="I1457">
        <v>72</v>
      </c>
      <c r="J1457" t="s">
        <v>231</v>
      </c>
      <c r="K1457" t="s">
        <v>491</v>
      </c>
      <c r="L1457" t="s">
        <v>233</v>
      </c>
      <c r="M1457" t="s">
        <v>234</v>
      </c>
      <c r="N1457" t="s">
        <v>54</v>
      </c>
      <c r="O1457" t="s">
        <v>235</v>
      </c>
      <c r="P1457" t="s">
        <v>236</v>
      </c>
      <c r="Q1457">
        <v>0</v>
      </c>
      <c r="R1457" t="s">
        <v>237</v>
      </c>
    </row>
    <row r="1458" spans="1:18" x14ac:dyDescent="0.25">
      <c r="A1458" t="s">
        <v>2373</v>
      </c>
      <c r="B1458">
        <v>734</v>
      </c>
      <c r="C1458" t="s">
        <v>487</v>
      </c>
      <c r="D1458" t="s">
        <v>231</v>
      </c>
      <c r="E1458" t="s">
        <v>537</v>
      </c>
      <c r="F1458" t="s">
        <v>1192</v>
      </c>
      <c r="G1458" s="25">
        <v>44230</v>
      </c>
      <c r="H1458">
        <v>7</v>
      </c>
      <c r="I1458">
        <v>34</v>
      </c>
      <c r="J1458" t="s">
        <v>231</v>
      </c>
      <c r="K1458" t="s">
        <v>491</v>
      </c>
      <c r="L1458" t="s">
        <v>233</v>
      </c>
      <c r="M1458" t="s">
        <v>234</v>
      </c>
      <c r="N1458" t="s">
        <v>54</v>
      </c>
      <c r="O1458" t="s">
        <v>235</v>
      </c>
      <c r="P1458" t="s">
        <v>236</v>
      </c>
      <c r="Q1458">
        <v>0</v>
      </c>
      <c r="R1458" t="s">
        <v>237</v>
      </c>
    </row>
    <row r="1459" spans="1:18" x14ac:dyDescent="0.25">
      <c r="A1459" t="s">
        <v>2634</v>
      </c>
      <c r="B1459">
        <v>668</v>
      </c>
      <c r="C1459" t="s">
        <v>487</v>
      </c>
      <c r="D1459" t="s">
        <v>231</v>
      </c>
      <c r="E1459" t="s">
        <v>515</v>
      </c>
      <c r="F1459" t="s">
        <v>1150</v>
      </c>
      <c r="G1459" s="25">
        <v>44227</v>
      </c>
      <c r="H1459">
        <v>7</v>
      </c>
      <c r="I1459">
        <v>31</v>
      </c>
      <c r="J1459" t="s">
        <v>231</v>
      </c>
      <c r="K1459" t="s">
        <v>491</v>
      </c>
      <c r="L1459" t="s">
        <v>233</v>
      </c>
      <c r="M1459" t="s">
        <v>234</v>
      </c>
      <c r="N1459" t="s">
        <v>54</v>
      </c>
      <c r="O1459" t="s">
        <v>235</v>
      </c>
      <c r="P1459" t="s">
        <v>236</v>
      </c>
      <c r="Q1459">
        <v>0</v>
      </c>
      <c r="R1459" t="s">
        <v>237</v>
      </c>
    </row>
    <row r="1460" spans="1:18" x14ac:dyDescent="0.25">
      <c r="A1460" t="s">
        <v>826</v>
      </c>
      <c r="B1460">
        <v>360</v>
      </c>
      <c r="C1460" t="s">
        <v>487</v>
      </c>
      <c r="D1460" t="s">
        <v>229</v>
      </c>
      <c r="E1460" t="s">
        <v>534</v>
      </c>
      <c r="F1460" t="s">
        <v>535</v>
      </c>
      <c r="G1460" s="25">
        <v>44213</v>
      </c>
      <c r="H1460">
        <v>4</v>
      </c>
      <c r="I1460">
        <v>17</v>
      </c>
      <c r="J1460" t="s">
        <v>231</v>
      </c>
      <c r="K1460" t="s">
        <v>491</v>
      </c>
      <c r="L1460" t="s">
        <v>233</v>
      </c>
      <c r="M1460" t="s">
        <v>234</v>
      </c>
      <c r="N1460" t="s">
        <v>54</v>
      </c>
      <c r="O1460" t="s">
        <v>235</v>
      </c>
      <c r="P1460" t="s">
        <v>236</v>
      </c>
      <c r="Q1460">
        <v>0</v>
      </c>
      <c r="R1460" t="s">
        <v>237</v>
      </c>
    </row>
    <row r="1461" spans="1:18" x14ac:dyDescent="0.25">
      <c r="A1461" t="s">
        <v>3674</v>
      </c>
      <c r="B1461">
        <v>2296</v>
      </c>
      <c r="C1461" t="s">
        <v>487</v>
      </c>
      <c r="D1461" t="s">
        <v>247</v>
      </c>
      <c r="E1461" t="s">
        <v>322</v>
      </c>
      <c r="F1461" t="s">
        <v>3083</v>
      </c>
      <c r="G1461" s="25">
        <v>44301</v>
      </c>
      <c r="H1461">
        <v>21</v>
      </c>
      <c r="I1461">
        <v>105</v>
      </c>
      <c r="J1461" t="s">
        <v>231</v>
      </c>
      <c r="K1461" t="s">
        <v>491</v>
      </c>
      <c r="L1461" t="s">
        <v>233</v>
      </c>
      <c r="M1461" t="s">
        <v>234</v>
      </c>
      <c r="N1461" t="s">
        <v>54</v>
      </c>
      <c r="O1461" t="s">
        <v>235</v>
      </c>
      <c r="P1461" t="s">
        <v>236</v>
      </c>
      <c r="Q1461">
        <v>0</v>
      </c>
      <c r="R1461" t="s">
        <v>237</v>
      </c>
    </row>
    <row r="1462" spans="1:18" x14ac:dyDescent="0.25">
      <c r="A1462" t="s">
        <v>3675</v>
      </c>
      <c r="B1462">
        <v>1944</v>
      </c>
      <c r="C1462" t="s">
        <v>487</v>
      </c>
      <c r="D1462" t="s">
        <v>322</v>
      </c>
      <c r="E1462" t="s">
        <v>371</v>
      </c>
      <c r="F1462" t="s">
        <v>2976</v>
      </c>
      <c r="G1462" s="25">
        <v>44285</v>
      </c>
      <c r="H1462">
        <v>18</v>
      </c>
      <c r="I1462">
        <v>89</v>
      </c>
      <c r="J1462" t="s">
        <v>231</v>
      </c>
      <c r="K1462" t="s">
        <v>491</v>
      </c>
      <c r="L1462" t="s">
        <v>233</v>
      </c>
      <c r="M1462" t="s">
        <v>234</v>
      </c>
      <c r="N1462" t="s">
        <v>54</v>
      </c>
      <c r="O1462" t="s">
        <v>235</v>
      </c>
      <c r="P1462" t="s">
        <v>236</v>
      </c>
      <c r="Q1462">
        <v>9625</v>
      </c>
      <c r="R1462" t="s">
        <v>237</v>
      </c>
    </row>
    <row r="1463" spans="1:18" x14ac:dyDescent="0.25">
      <c r="A1463" t="s">
        <v>3676</v>
      </c>
      <c r="B1463">
        <v>1922</v>
      </c>
      <c r="C1463" t="s">
        <v>487</v>
      </c>
      <c r="D1463" t="s">
        <v>322</v>
      </c>
      <c r="E1463" t="s">
        <v>381</v>
      </c>
      <c r="F1463" t="s">
        <v>2971</v>
      </c>
      <c r="G1463" s="25">
        <v>44284</v>
      </c>
      <c r="H1463">
        <v>18</v>
      </c>
      <c r="I1463">
        <v>88</v>
      </c>
      <c r="J1463" t="s">
        <v>231</v>
      </c>
      <c r="K1463" t="s">
        <v>491</v>
      </c>
      <c r="L1463" t="s">
        <v>233</v>
      </c>
      <c r="M1463" t="s">
        <v>234</v>
      </c>
      <c r="N1463" t="s">
        <v>54</v>
      </c>
      <c r="O1463" t="s">
        <v>235</v>
      </c>
      <c r="P1463" t="s">
        <v>236</v>
      </c>
      <c r="Q1463">
        <v>24000</v>
      </c>
      <c r="R1463" t="s">
        <v>237</v>
      </c>
    </row>
    <row r="1464" spans="1:18" x14ac:dyDescent="0.25">
      <c r="A1464" t="s">
        <v>2267</v>
      </c>
      <c r="B1464">
        <v>937</v>
      </c>
      <c r="C1464" t="s">
        <v>487</v>
      </c>
      <c r="D1464" t="s">
        <v>256</v>
      </c>
      <c r="E1464" t="s">
        <v>256</v>
      </c>
      <c r="F1464" t="s">
        <v>1263</v>
      </c>
      <c r="G1464" s="25">
        <v>44239</v>
      </c>
      <c r="H1464">
        <v>9</v>
      </c>
      <c r="I1464">
        <v>43</v>
      </c>
      <c r="J1464" t="s">
        <v>432</v>
      </c>
      <c r="K1464" t="s">
        <v>490</v>
      </c>
      <c r="L1464" t="s">
        <v>65</v>
      </c>
      <c r="M1464" t="s">
        <v>434</v>
      </c>
      <c r="N1464" t="s">
        <v>64</v>
      </c>
      <c r="O1464" t="s">
        <v>235</v>
      </c>
      <c r="P1464" t="s">
        <v>442</v>
      </c>
      <c r="Q1464">
        <v>208000</v>
      </c>
      <c r="R1464" t="s">
        <v>237</v>
      </c>
    </row>
    <row r="1465" spans="1:18" x14ac:dyDescent="0.25">
      <c r="A1465" t="s">
        <v>1753</v>
      </c>
      <c r="B1465">
        <v>563</v>
      </c>
      <c r="C1465" t="s">
        <v>487</v>
      </c>
      <c r="D1465" t="s">
        <v>231</v>
      </c>
      <c r="E1465" t="s">
        <v>247</v>
      </c>
      <c r="F1465" t="s">
        <v>1088</v>
      </c>
      <c r="G1465" s="25">
        <v>44222</v>
      </c>
      <c r="H1465">
        <v>6</v>
      </c>
      <c r="I1465">
        <v>26</v>
      </c>
      <c r="J1465" t="s">
        <v>432</v>
      </c>
      <c r="K1465" t="s">
        <v>490</v>
      </c>
      <c r="L1465" t="s">
        <v>65</v>
      </c>
      <c r="M1465" t="s">
        <v>434</v>
      </c>
      <c r="N1465" t="s">
        <v>64</v>
      </c>
      <c r="O1465" t="s">
        <v>235</v>
      </c>
      <c r="P1465" t="s">
        <v>442</v>
      </c>
      <c r="Q1465">
        <v>8000</v>
      </c>
      <c r="R1465" t="s">
        <v>237</v>
      </c>
    </row>
    <row r="1466" spans="1:18" x14ac:dyDescent="0.25">
      <c r="A1466" t="s">
        <v>3677</v>
      </c>
      <c r="B1466">
        <v>2543</v>
      </c>
      <c r="C1466" t="s">
        <v>487</v>
      </c>
      <c r="D1466" t="s">
        <v>247</v>
      </c>
      <c r="E1466" t="s">
        <v>620</v>
      </c>
      <c r="F1466" t="s">
        <v>3162</v>
      </c>
      <c r="G1466" s="25">
        <v>44312</v>
      </c>
      <c r="H1466">
        <v>24</v>
      </c>
      <c r="I1466">
        <v>116</v>
      </c>
      <c r="J1466" t="s">
        <v>432</v>
      </c>
      <c r="K1466" t="s">
        <v>490</v>
      </c>
      <c r="L1466" t="s">
        <v>65</v>
      </c>
      <c r="M1466" t="s">
        <v>434</v>
      </c>
      <c r="N1466" t="s">
        <v>64</v>
      </c>
      <c r="O1466" t="s">
        <v>235</v>
      </c>
      <c r="P1466" t="s">
        <v>442</v>
      </c>
      <c r="Q1466">
        <v>230625</v>
      </c>
      <c r="R1466" t="s">
        <v>237</v>
      </c>
    </row>
    <row r="1467" spans="1:18" x14ac:dyDescent="0.25">
      <c r="A1467" t="s">
        <v>3678</v>
      </c>
      <c r="B1467">
        <v>1927</v>
      </c>
      <c r="C1467" t="s">
        <v>487</v>
      </c>
      <c r="D1467" t="s">
        <v>322</v>
      </c>
      <c r="E1467" t="s">
        <v>381</v>
      </c>
      <c r="F1467" t="s">
        <v>2971</v>
      </c>
      <c r="G1467" s="25">
        <v>44284</v>
      </c>
      <c r="H1467">
        <v>18</v>
      </c>
      <c r="I1467">
        <v>88</v>
      </c>
      <c r="J1467" t="s">
        <v>432</v>
      </c>
      <c r="K1467" t="s">
        <v>490</v>
      </c>
      <c r="L1467" t="s">
        <v>65</v>
      </c>
      <c r="M1467" t="s">
        <v>434</v>
      </c>
      <c r="N1467" t="s">
        <v>64</v>
      </c>
      <c r="O1467" t="s">
        <v>235</v>
      </c>
      <c r="P1467" t="s">
        <v>442</v>
      </c>
      <c r="Q1467">
        <v>543625</v>
      </c>
      <c r="R1467" t="s">
        <v>237</v>
      </c>
    </row>
    <row r="1468" spans="1:18" x14ac:dyDescent="0.25">
      <c r="A1468" t="s">
        <v>2322</v>
      </c>
      <c r="B1468">
        <v>1773</v>
      </c>
      <c r="C1468" t="s">
        <v>487</v>
      </c>
      <c r="D1468" t="s">
        <v>322</v>
      </c>
      <c r="E1468" t="s">
        <v>229</v>
      </c>
      <c r="F1468" t="s">
        <v>1643</v>
      </c>
      <c r="G1468" s="25">
        <v>44277</v>
      </c>
      <c r="H1468">
        <v>17</v>
      </c>
      <c r="I1468">
        <v>81</v>
      </c>
      <c r="J1468" t="s">
        <v>432</v>
      </c>
      <c r="K1468" t="s">
        <v>490</v>
      </c>
      <c r="L1468" t="s">
        <v>65</v>
      </c>
      <c r="M1468" t="s">
        <v>434</v>
      </c>
      <c r="N1468" t="s">
        <v>64</v>
      </c>
      <c r="O1468" t="s">
        <v>235</v>
      </c>
      <c r="P1468" t="s">
        <v>442</v>
      </c>
      <c r="Q1468">
        <v>252000</v>
      </c>
      <c r="R1468" t="s">
        <v>237</v>
      </c>
    </row>
    <row r="1469" spans="1:18" x14ac:dyDescent="0.25">
      <c r="A1469" t="s">
        <v>2423</v>
      </c>
      <c r="B1469">
        <v>1465</v>
      </c>
      <c r="C1469" t="s">
        <v>487</v>
      </c>
      <c r="D1469" t="s">
        <v>261</v>
      </c>
      <c r="E1469" t="s">
        <v>326</v>
      </c>
      <c r="F1469" t="s">
        <v>1440</v>
      </c>
      <c r="G1469" s="25">
        <v>44263</v>
      </c>
      <c r="H1469">
        <v>14</v>
      </c>
      <c r="I1469">
        <v>67</v>
      </c>
      <c r="J1469" t="s">
        <v>432</v>
      </c>
      <c r="K1469" t="s">
        <v>490</v>
      </c>
      <c r="L1469" t="s">
        <v>65</v>
      </c>
      <c r="M1469" t="s">
        <v>434</v>
      </c>
      <c r="N1469" t="s">
        <v>64</v>
      </c>
      <c r="O1469" t="s">
        <v>235</v>
      </c>
      <c r="P1469" t="s">
        <v>442</v>
      </c>
      <c r="Q1469">
        <v>344000</v>
      </c>
      <c r="R1469" t="s">
        <v>237</v>
      </c>
    </row>
    <row r="1470" spans="1:18" x14ac:dyDescent="0.25">
      <c r="A1470" t="s">
        <v>2324</v>
      </c>
      <c r="B1470">
        <v>1030</v>
      </c>
      <c r="C1470" t="s">
        <v>487</v>
      </c>
      <c r="D1470" t="s">
        <v>256</v>
      </c>
      <c r="E1470" t="s">
        <v>326</v>
      </c>
      <c r="F1470" t="s">
        <v>1305</v>
      </c>
      <c r="G1470" s="25">
        <v>44243</v>
      </c>
      <c r="H1470">
        <v>10</v>
      </c>
      <c r="I1470">
        <v>47</v>
      </c>
      <c r="J1470" t="s">
        <v>432</v>
      </c>
      <c r="K1470" t="s">
        <v>488</v>
      </c>
      <c r="L1470" t="s">
        <v>433</v>
      </c>
      <c r="M1470" t="s">
        <v>434</v>
      </c>
      <c r="N1470" t="s">
        <v>74</v>
      </c>
      <c r="O1470" t="s">
        <v>435</v>
      </c>
      <c r="P1470" t="s">
        <v>433</v>
      </c>
      <c r="Q1470">
        <v>48000</v>
      </c>
      <c r="R1470" t="s">
        <v>436</v>
      </c>
    </row>
    <row r="1471" spans="1:18" x14ac:dyDescent="0.25">
      <c r="A1471" t="s">
        <v>244</v>
      </c>
      <c r="B1471">
        <v>62</v>
      </c>
      <c r="C1471" t="s">
        <v>487</v>
      </c>
      <c r="D1471" t="s">
        <v>229</v>
      </c>
      <c r="E1471" t="s">
        <v>256</v>
      </c>
      <c r="F1471" t="s">
        <v>525</v>
      </c>
      <c r="G1471" s="25">
        <v>44199</v>
      </c>
      <c r="H1471">
        <v>1</v>
      </c>
      <c r="I1471">
        <v>3</v>
      </c>
      <c r="J1471" t="s">
        <v>432</v>
      </c>
      <c r="K1471" t="s">
        <v>488</v>
      </c>
      <c r="L1471" t="s">
        <v>433</v>
      </c>
      <c r="M1471" t="s">
        <v>434</v>
      </c>
      <c r="N1471" t="s">
        <v>74</v>
      </c>
      <c r="O1471" t="s">
        <v>435</v>
      </c>
      <c r="P1471" t="s">
        <v>433</v>
      </c>
      <c r="Q1471">
        <v>0</v>
      </c>
      <c r="R1471" t="s">
        <v>436</v>
      </c>
    </row>
    <row r="1472" spans="1:18" x14ac:dyDescent="0.25">
      <c r="A1472" t="s">
        <v>3679</v>
      </c>
      <c r="B1472">
        <v>2368</v>
      </c>
      <c r="C1472" t="s">
        <v>487</v>
      </c>
      <c r="D1472" t="s">
        <v>247</v>
      </c>
      <c r="E1472" t="s">
        <v>381</v>
      </c>
      <c r="F1472" t="s">
        <v>3107</v>
      </c>
      <c r="G1472" s="25">
        <v>44304</v>
      </c>
      <c r="H1472">
        <v>22</v>
      </c>
      <c r="I1472">
        <v>108</v>
      </c>
      <c r="J1472" t="s">
        <v>432</v>
      </c>
      <c r="K1472" t="s">
        <v>489</v>
      </c>
      <c r="L1472" t="s">
        <v>134</v>
      </c>
      <c r="M1472" t="s">
        <v>434</v>
      </c>
      <c r="N1472" t="s">
        <v>67</v>
      </c>
      <c r="O1472" t="s">
        <v>235</v>
      </c>
      <c r="P1472" t="s">
        <v>437</v>
      </c>
      <c r="Q1472">
        <v>328000</v>
      </c>
      <c r="R1472" t="s">
        <v>237</v>
      </c>
    </row>
    <row r="1473" spans="1:18" x14ac:dyDescent="0.25">
      <c r="A1473" t="s">
        <v>3680</v>
      </c>
      <c r="B1473">
        <v>2016</v>
      </c>
      <c r="C1473" t="s">
        <v>487</v>
      </c>
      <c r="D1473" t="s">
        <v>322</v>
      </c>
      <c r="E1473" t="s">
        <v>232</v>
      </c>
      <c r="F1473" t="s">
        <v>2987</v>
      </c>
      <c r="G1473" s="25">
        <v>44288</v>
      </c>
      <c r="H1473">
        <v>19</v>
      </c>
      <c r="I1473">
        <v>92</v>
      </c>
      <c r="J1473" t="s">
        <v>432</v>
      </c>
      <c r="K1473" t="s">
        <v>489</v>
      </c>
      <c r="L1473" t="s">
        <v>134</v>
      </c>
      <c r="M1473" t="s">
        <v>434</v>
      </c>
      <c r="N1473" t="s">
        <v>67</v>
      </c>
      <c r="O1473" t="s">
        <v>235</v>
      </c>
      <c r="P1473" t="s">
        <v>437</v>
      </c>
      <c r="Q1473">
        <v>451500</v>
      </c>
      <c r="R1473" t="s">
        <v>237</v>
      </c>
    </row>
    <row r="1474" spans="1:18" x14ac:dyDescent="0.25">
      <c r="A1474" t="s">
        <v>2703</v>
      </c>
      <c r="B1474">
        <v>1400</v>
      </c>
      <c r="C1474" t="s">
        <v>487</v>
      </c>
      <c r="D1474" t="s">
        <v>261</v>
      </c>
      <c r="E1474" t="s">
        <v>261</v>
      </c>
      <c r="F1474" t="s">
        <v>1410</v>
      </c>
      <c r="G1474" s="25">
        <v>44260</v>
      </c>
      <c r="H1474">
        <v>13</v>
      </c>
      <c r="I1474">
        <v>64</v>
      </c>
      <c r="J1474" t="s">
        <v>432</v>
      </c>
      <c r="K1474" t="s">
        <v>489</v>
      </c>
      <c r="L1474" t="s">
        <v>134</v>
      </c>
      <c r="M1474" t="s">
        <v>434</v>
      </c>
      <c r="N1474" t="s">
        <v>67</v>
      </c>
      <c r="O1474" t="s">
        <v>235</v>
      </c>
      <c r="P1474" t="s">
        <v>437</v>
      </c>
      <c r="Q1474">
        <v>344000</v>
      </c>
      <c r="R1474" t="s">
        <v>237</v>
      </c>
    </row>
    <row r="1475" spans="1:18" x14ac:dyDescent="0.25">
      <c r="A1475" t="s">
        <v>2705</v>
      </c>
      <c r="B1475">
        <v>806</v>
      </c>
      <c r="C1475" t="s">
        <v>487</v>
      </c>
      <c r="D1475" t="s">
        <v>231</v>
      </c>
      <c r="E1475" t="s">
        <v>534</v>
      </c>
      <c r="F1475" t="s">
        <v>1731</v>
      </c>
      <c r="G1475" s="25">
        <v>44233</v>
      </c>
      <c r="H1475">
        <v>8</v>
      </c>
      <c r="I1475">
        <v>37</v>
      </c>
      <c r="J1475" t="s">
        <v>432</v>
      </c>
      <c r="K1475" t="s">
        <v>489</v>
      </c>
      <c r="L1475" t="s">
        <v>134</v>
      </c>
      <c r="M1475" t="s">
        <v>434</v>
      </c>
      <c r="N1475" t="s">
        <v>67</v>
      </c>
      <c r="O1475" t="s">
        <v>235</v>
      </c>
      <c r="P1475" t="s">
        <v>437</v>
      </c>
      <c r="Q1475">
        <v>240000</v>
      </c>
      <c r="R1475" t="s">
        <v>237</v>
      </c>
    </row>
    <row r="1476" spans="1:18" x14ac:dyDescent="0.25">
      <c r="A1476" t="s">
        <v>1618</v>
      </c>
      <c r="B1476">
        <v>498</v>
      </c>
      <c r="C1476" t="s">
        <v>487</v>
      </c>
      <c r="D1476" t="s">
        <v>231</v>
      </c>
      <c r="E1476" t="s">
        <v>256</v>
      </c>
      <c r="F1476" t="s">
        <v>1064</v>
      </c>
      <c r="G1476" s="25">
        <v>44219</v>
      </c>
      <c r="H1476">
        <v>5</v>
      </c>
      <c r="I1476">
        <v>23</v>
      </c>
      <c r="J1476" t="s">
        <v>432</v>
      </c>
      <c r="K1476" t="s">
        <v>489</v>
      </c>
      <c r="L1476" t="s">
        <v>134</v>
      </c>
      <c r="M1476" t="s">
        <v>434</v>
      </c>
      <c r="N1476" t="s">
        <v>67</v>
      </c>
      <c r="O1476" t="s">
        <v>235</v>
      </c>
      <c r="P1476" t="s">
        <v>437</v>
      </c>
      <c r="Q1476">
        <v>24000</v>
      </c>
      <c r="R1476" t="s">
        <v>237</v>
      </c>
    </row>
    <row r="1477" spans="1:18" x14ac:dyDescent="0.25">
      <c r="A1477" t="s">
        <v>771</v>
      </c>
      <c r="B1477">
        <v>190</v>
      </c>
      <c r="C1477" t="s">
        <v>487</v>
      </c>
      <c r="D1477" t="s">
        <v>229</v>
      </c>
      <c r="E1477" t="s">
        <v>371</v>
      </c>
      <c r="F1477" t="s">
        <v>557</v>
      </c>
      <c r="G1477" s="25">
        <v>44205</v>
      </c>
      <c r="H1477">
        <v>2</v>
      </c>
      <c r="I1477">
        <v>9</v>
      </c>
      <c r="J1477" t="s">
        <v>432</v>
      </c>
      <c r="K1477" t="s">
        <v>489</v>
      </c>
      <c r="L1477" t="s">
        <v>134</v>
      </c>
      <c r="M1477" t="s">
        <v>434</v>
      </c>
      <c r="N1477" t="s">
        <v>67</v>
      </c>
      <c r="O1477" t="s">
        <v>235</v>
      </c>
      <c r="P1477" t="s">
        <v>437</v>
      </c>
      <c r="Q1477">
        <v>72000</v>
      </c>
      <c r="R1477" t="s">
        <v>237</v>
      </c>
    </row>
    <row r="1478" spans="1:18" x14ac:dyDescent="0.25">
      <c r="A1478" t="s">
        <v>2084</v>
      </c>
      <c r="B1478">
        <v>1456</v>
      </c>
      <c r="C1478" t="s">
        <v>487</v>
      </c>
      <c r="D1478" t="s">
        <v>261</v>
      </c>
      <c r="E1478" t="s">
        <v>326</v>
      </c>
      <c r="F1478" t="s">
        <v>1440</v>
      </c>
      <c r="G1478" s="25">
        <v>44263</v>
      </c>
      <c r="H1478">
        <v>14</v>
      </c>
      <c r="I1478">
        <v>67</v>
      </c>
      <c r="J1478" t="s">
        <v>231</v>
      </c>
      <c r="K1478" t="s">
        <v>508</v>
      </c>
      <c r="L1478" t="s">
        <v>47</v>
      </c>
      <c r="M1478" t="s">
        <v>234</v>
      </c>
      <c r="N1478" t="s">
        <v>46</v>
      </c>
      <c r="O1478" t="s">
        <v>21</v>
      </c>
      <c r="P1478" t="s">
        <v>288</v>
      </c>
      <c r="Q1478">
        <v>1171</v>
      </c>
      <c r="R1478" t="s">
        <v>237</v>
      </c>
    </row>
    <row r="1479" spans="1:18" x14ac:dyDescent="0.25">
      <c r="A1479" t="s">
        <v>2769</v>
      </c>
      <c r="B1479">
        <v>730</v>
      </c>
      <c r="C1479" t="s">
        <v>487</v>
      </c>
      <c r="D1479" t="s">
        <v>231</v>
      </c>
      <c r="E1479" t="s">
        <v>537</v>
      </c>
      <c r="F1479" t="s">
        <v>1192</v>
      </c>
      <c r="G1479" s="25">
        <v>44230</v>
      </c>
      <c r="H1479">
        <v>7</v>
      </c>
      <c r="I1479">
        <v>34</v>
      </c>
      <c r="J1479" t="s">
        <v>231</v>
      </c>
      <c r="K1479" t="s">
        <v>508</v>
      </c>
      <c r="L1479" t="s">
        <v>47</v>
      </c>
      <c r="M1479" t="s">
        <v>234</v>
      </c>
      <c r="N1479" t="s">
        <v>46</v>
      </c>
      <c r="O1479" t="s">
        <v>21</v>
      </c>
      <c r="P1479" t="s">
        <v>288</v>
      </c>
      <c r="Q1479">
        <v>0</v>
      </c>
      <c r="R1479" t="s">
        <v>237</v>
      </c>
    </row>
    <row r="1480" spans="1:18" x14ac:dyDescent="0.25">
      <c r="A1480" t="s">
        <v>1763</v>
      </c>
      <c r="B1480">
        <v>664</v>
      </c>
      <c r="C1480" t="s">
        <v>487</v>
      </c>
      <c r="D1480" t="s">
        <v>231</v>
      </c>
      <c r="E1480" t="s">
        <v>515</v>
      </c>
      <c r="F1480" t="s">
        <v>1150</v>
      </c>
      <c r="G1480" s="25">
        <v>44227</v>
      </c>
      <c r="H1480">
        <v>7</v>
      </c>
      <c r="I1480">
        <v>31</v>
      </c>
      <c r="J1480" t="s">
        <v>231</v>
      </c>
      <c r="K1480" t="s">
        <v>508</v>
      </c>
      <c r="L1480" t="s">
        <v>47</v>
      </c>
      <c r="M1480" t="s">
        <v>234</v>
      </c>
      <c r="N1480" t="s">
        <v>46</v>
      </c>
      <c r="O1480" t="s">
        <v>21</v>
      </c>
      <c r="P1480" t="s">
        <v>288</v>
      </c>
      <c r="Q1480">
        <v>0</v>
      </c>
      <c r="R1480" t="s">
        <v>237</v>
      </c>
    </row>
    <row r="1481" spans="1:18" x14ac:dyDescent="0.25">
      <c r="A1481" t="s">
        <v>787</v>
      </c>
      <c r="B1481">
        <v>356</v>
      </c>
      <c r="C1481" t="s">
        <v>487</v>
      </c>
      <c r="D1481" t="s">
        <v>229</v>
      </c>
      <c r="E1481" t="s">
        <v>534</v>
      </c>
      <c r="F1481" t="s">
        <v>535</v>
      </c>
      <c r="G1481" s="25">
        <v>44213</v>
      </c>
      <c r="H1481">
        <v>4</v>
      </c>
      <c r="I1481">
        <v>17</v>
      </c>
      <c r="J1481" t="s">
        <v>231</v>
      </c>
      <c r="K1481" t="s">
        <v>508</v>
      </c>
      <c r="L1481" t="s">
        <v>47</v>
      </c>
      <c r="M1481" t="s">
        <v>234</v>
      </c>
      <c r="N1481" t="s">
        <v>46</v>
      </c>
      <c r="O1481" t="s">
        <v>21</v>
      </c>
      <c r="P1481" t="s">
        <v>288</v>
      </c>
      <c r="Q1481">
        <v>0</v>
      </c>
      <c r="R1481" t="s">
        <v>237</v>
      </c>
    </row>
    <row r="1482" spans="1:18" x14ac:dyDescent="0.25">
      <c r="A1482" t="s">
        <v>3681</v>
      </c>
      <c r="B1482">
        <v>2534</v>
      </c>
      <c r="C1482" t="s">
        <v>487</v>
      </c>
      <c r="D1482" t="s">
        <v>247</v>
      </c>
      <c r="E1482" t="s">
        <v>620</v>
      </c>
      <c r="F1482" t="s">
        <v>3162</v>
      </c>
      <c r="G1482" s="25">
        <v>44312</v>
      </c>
      <c r="H1482">
        <v>24</v>
      </c>
      <c r="I1482">
        <v>116</v>
      </c>
      <c r="J1482" t="s">
        <v>231</v>
      </c>
      <c r="K1482" t="s">
        <v>508</v>
      </c>
      <c r="L1482" t="s">
        <v>47</v>
      </c>
      <c r="M1482" t="s">
        <v>234</v>
      </c>
      <c r="N1482" t="s">
        <v>46</v>
      </c>
      <c r="O1482" t="s">
        <v>21</v>
      </c>
      <c r="P1482" t="s">
        <v>288</v>
      </c>
      <c r="Q1482">
        <v>0</v>
      </c>
      <c r="R1482" t="s">
        <v>237</v>
      </c>
    </row>
    <row r="1483" spans="1:18" x14ac:dyDescent="0.25">
      <c r="A1483" t="s">
        <v>3682</v>
      </c>
      <c r="B1483">
        <v>2292</v>
      </c>
      <c r="C1483" t="s">
        <v>487</v>
      </c>
      <c r="D1483" t="s">
        <v>247</v>
      </c>
      <c r="E1483" t="s">
        <v>322</v>
      </c>
      <c r="F1483" t="s">
        <v>3083</v>
      </c>
      <c r="G1483" s="25">
        <v>44301</v>
      </c>
      <c r="H1483">
        <v>21</v>
      </c>
      <c r="I1483">
        <v>105</v>
      </c>
      <c r="J1483" t="s">
        <v>231</v>
      </c>
      <c r="K1483" t="s">
        <v>508</v>
      </c>
      <c r="L1483" t="s">
        <v>47</v>
      </c>
      <c r="M1483" t="s">
        <v>234</v>
      </c>
      <c r="N1483" t="s">
        <v>46</v>
      </c>
      <c r="O1483" t="s">
        <v>21</v>
      </c>
      <c r="P1483" t="s">
        <v>288</v>
      </c>
      <c r="Q1483">
        <v>0</v>
      </c>
      <c r="R1483" t="s">
        <v>237</v>
      </c>
    </row>
    <row r="1484" spans="1:18" x14ac:dyDescent="0.25">
      <c r="A1484" t="s">
        <v>3683</v>
      </c>
      <c r="B1484">
        <v>1918</v>
      </c>
      <c r="C1484" t="s">
        <v>487</v>
      </c>
      <c r="D1484" t="s">
        <v>322</v>
      </c>
      <c r="E1484" t="s">
        <v>381</v>
      </c>
      <c r="F1484" t="s">
        <v>2971</v>
      </c>
      <c r="G1484" s="25">
        <v>44284</v>
      </c>
      <c r="H1484">
        <v>18</v>
      </c>
      <c r="I1484">
        <v>88</v>
      </c>
      <c r="J1484" t="s">
        <v>231</v>
      </c>
      <c r="K1484" t="s">
        <v>508</v>
      </c>
      <c r="L1484" t="s">
        <v>47</v>
      </c>
      <c r="M1484" t="s">
        <v>234</v>
      </c>
      <c r="N1484" t="s">
        <v>46</v>
      </c>
      <c r="O1484" t="s">
        <v>21</v>
      </c>
      <c r="P1484" t="s">
        <v>288</v>
      </c>
      <c r="Q1484">
        <v>0</v>
      </c>
      <c r="R1484" t="s">
        <v>237</v>
      </c>
    </row>
    <row r="1485" spans="1:18" x14ac:dyDescent="0.25">
      <c r="A1485" t="s">
        <v>3684</v>
      </c>
      <c r="B1485">
        <v>2601</v>
      </c>
      <c r="C1485" t="s">
        <v>487</v>
      </c>
      <c r="D1485" t="s">
        <v>247</v>
      </c>
      <c r="E1485" t="s">
        <v>531</v>
      </c>
      <c r="F1485" t="s">
        <v>3173</v>
      </c>
      <c r="G1485" s="25">
        <v>44315</v>
      </c>
      <c r="H1485">
        <v>24</v>
      </c>
      <c r="I1485">
        <v>119</v>
      </c>
      <c r="J1485" t="s">
        <v>231</v>
      </c>
      <c r="K1485" t="s">
        <v>507</v>
      </c>
      <c r="L1485" t="s">
        <v>49</v>
      </c>
      <c r="M1485" t="s">
        <v>234</v>
      </c>
      <c r="N1485" t="s">
        <v>48</v>
      </c>
      <c r="O1485" t="s">
        <v>21</v>
      </c>
      <c r="P1485" t="s">
        <v>413</v>
      </c>
      <c r="Q1485">
        <v>0</v>
      </c>
      <c r="R1485" t="s">
        <v>237</v>
      </c>
    </row>
    <row r="1486" spans="1:18" x14ac:dyDescent="0.25">
      <c r="A1486" t="s">
        <v>2028</v>
      </c>
      <c r="B1486">
        <v>1633</v>
      </c>
      <c r="C1486" t="s">
        <v>487</v>
      </c>
      <c r="D1486" t="s">
        <v>261</v>
      </c>
      <c r="E1486" t="s">
        <v>575</v>
      </c>
      <c r="F1486" t="s">
        <v>1537</v>
      </c>
      <c r="G1486" s="25">
        <v>44271</v>
      </c>
      <c r="H1486">
        <v>15</v>
      </c>
      <c r="I1486">
        <v>75</v>
      </c>
      <c r="J1486" t="s">
        <v>231</v>
      </c>
      <c r="K1486" t="s">
        <v>507</v>
      </c>
      <c r="L1486" t="s">
        <v>49</v>
      </c>
      <c r="M1486" t="s">
        <v>234</v>
      </c>
      <c r="N1486" t="s">
        <v>48</v>
      </c>
      <c r="O1486" t="s">
        <v>21</v>
      </c>
      <c r="P1486" t="s">
        <v>413</v>
      </c>
      <c r="Q1486">
        <v>0</v>
      </c>
      <c r="R1486" t="s">
        <v>237</v>
      </c>
    </row>
    <row r="1487" spans="1:18" x14ac:dyDescent="0.25">
      <c r="A1487" t="s">
        <v>540</v>
      </c>
      <c r="B1487">
        <v>446</v>
      </c>
      <c r="C1487" t="s">
        <v>487</v>
      </c>
      <c r="D1487" t="s">
        <v>231</v>
      </c>
      <c r="E1487" t="s">
        <v>229</v>
      </c>
      <c r="F1487" t="s">
        <v>541</v>
      </c>
      <c r="G1487" s="25">
        <v>44217</v>
      </c>
      <c r="H1487">
        <v>5</v>
      </c>
      <c r="I1487">
        <v>21</v>
      </c>
      <c r="J1487" t="s">
        <v>231</v>
      </c>
      <c r="K1487" t="s">
        <v>506</v>
      </c>
      <c r="L1487" t="s">
        <v>414</v>
      </c>
      <c r="M1487" t="s">
        <v>234</v>
      </c>
      <c r="N1487" t="s">
        <v>50</v>
      </c>
      <c r="O1487" t="s">
        <v>21</v>
      </c>
      <c r="P1487" t="s">
        <v>411</v>
      </c>
      <c r="Q1487">
        <v>0</v>
      </c>
      <c r="R1487" t="s">
        <v>237</v>
      </c>
    </row>
    <row r="1488" spans="1:18" x14ac:dyDescent="0.25">
      <c r="A1488" t="s">
        <v>539</v>
      </c>
      <c r="B1488">
        <v>138</v>
      </c>
      <c r="C1488" t="s">
        <v>487</v>
      </c>
      <c r="D1488" t="s">
        <v>229</v>
      </c>
      <c r="E1488" t="s">
        <v>326</v>
      </c>
      <c r="F1488" t="s">
        <v>522</v>
      </c>
      <c r="G1488" s="25">
        <v>44203</v>
      </c>
      <c r="H1488">
        <v>2</v>
      </c>
      <c r="I1488">
        <v>7</v>
      </c>
      <c r="J1488" t="s">
        <v>231</v>
      </c>
      <c r="K1488" t="s">
        <v>506</v>
      </c>
      <c r="L1488" t="s">
        <v>414</v>
      </c>
      <c r="M1488" t="s">
        <v>234</v>
      </c>
      <c r="N1488" t="s">
        <v>50</v>
      </c>
      <c r="O1488" t="s">
        <v>21</v>
      </c>
      <c r="P1488" t="s">
        <v>411</v>
      </c>
      <c r="Q1488">
        <v>0</v>
      </c>
      <c r="R1488" t="s">
        <v>237</v>
      </c>
    </row>
    <row r="1489" spans="1:18" x14ac:dyDescent="0.25">
      <c r="A1489" t="s">
        <v>3685</v>
      </c>
      <c r="B1489">
        <v>2316</v>
      </c>
      <c r="C1489" t="s">
        <v>487</v>
      </c>
      <c r="D1489" t="s">
        <v>247</v>
      </c>
      <c r="E1489" t="s">
        <v>247</v>
      </c>
      <c r="F1489" t="s">
        <v>3085</v>
      </c>
      <c r="G1489" s="25">
        <v>44302</v>
      </c>
      <c r="H1489">
        <v>22</v>
      </c>
      <c r="I1489">
        <v>106</v>
      </c>
      <c r="J1489" t="s">
        <v>231</v>
      </c>
      <c r="K1489" t="s">
        <v>506</v>
      </c>
      <c r="L1489" t="s">
        <v>414</v>
      </c>
      <c r="M1489" t="s">
        <v>234</v>
      </c>
      <c r="N1489" t="s">
        <v>50</v>
      </c>
      <c r="O1489" t="s">
        <v>21</v>
      </c>
      <c r="P1489" t="s">
        <v>411</v>
      </c>
      <c r="Q1489">
        <v>0</v>
      </c>
      <c r="R1489" t="s">
        <v>237</v>
      </c>
    </row>
    <row r="1490" spans="1:18" x14ac:dyDescent="0.25">
      <c r="A1490" t="s">
        <v>2388</v>
      </c>
      <c r="B1490">
        <v>1348</v>
      </c>
      <c r="C1490" t="s">
        <v>487</v>
      </c>
      <c r="D1490" t="s">
        <v>261</v>
      </c>
      <c r="E1490" t="s">
        <v>231</v>
      </c>
      <c r="F1490" t="s">
        <v>1400</v>
      </c>
      <c r="G1490" s="25">
        <v>44258</v>
      </c>
      <c r="H1490">
        <v>13</v>
      </c>
      <c r="I1490">
        <v>62</v>
      </c>
      <c r="J1490" t="s">
        <v>231</v>
      </c>
      <c r="K1490" t="s">
        <v>506</v>
      </c>
      <c r="L1490" t="s">
        <v>414</v>
      </c>
      <c r="M1490" t="s">
        <v>234</v>
      </c>
      <c r="N1490" t="s">
        <v>50</v>
      </c>
      <c r="O1490" t="s">
        <v>21</v>
      </c>
      <c r="P1490" t="s">
        <v>411</v>
      </c>
      <c r="Q1490">
        <v>0</v>
      </c>
      <c r="R1490" t="s">
        <v>237</v>
      </c>
    </row>
    <row r="1491" spans="1:18" x14ac:dyDescent="0.25">
      <c r="A1491" t="s">
        <v>1921</v>
      </c>
      <c r="B1491">
        <v>1563</v>
      </c>
      <c r="C1491" t="s">
        <v>487</v>
      </c>
      <c r="D1491" t="s">
        <v>261</v>
      </c>
      <c r="E1491" t="s">
        <v>232</v>
      </c>
      <c r="F1491" t="s">
        <v>1500</v>
      </c>
      <c r="G1491" s="25">
        <v>44268</v>
      </c>
      <c r="H1491">
        <v>15</v>
      </c>
      <c r="I1491">
        <v>72</v>
      </c>
      <c r="J1491" t="s">
        <v>231</v>
      </c>
      <c r="K1491" t="s">
        <v>505</v>
      </c>
      <c r="L1491" t="s">
        <v>41</v>
      </c>
      <c r="M1491" t="s">
        <v>234</v>
      </c>
      <c r="N1491" t="s">
        <v>40</v>
      </c>
      <c r="O1491" t="s">
        <v>21</v>
      </c>
      <c r="P1491" t="s">
        <v>266</v>
      </c>
      <c r="Q1491">
        <v>77326</v>
      </c>
      <c r="R1491" t="s">
        <v>237</v>
      </c>
    </row>
    <row r="1492" spans="1:18" x14ac:dyDescent="0.25">
      <c r="A1492" t="s">
        <v>2289</v>
      </c>
      <c r="B1492">
        <v>1189</v>
      </c>
      <c r="C1492" t="s">
        <v>487</v>
      </c>
      <c r="D1492" t="s">
        <v>256</v>
      </c>
      <c r="E1492" t="s">
        <v>575</v>
      </c>
      <c r="F1492" t="s">
        <v>1668</v>
      </c>
      <c r="G1492" s="25">
        <v>44251</v>
      </c>
      <c r="H1492">
        <v>11</v>
      </c>
      <c r="I1492">
        <v>55</v>
      </c>
      <c r="J1492" t="s">
        <v>231</v>
      </c>
      <c r="K1492" t="s">
        <v>505</v>
      </c>
      <c r="L1492" t="s">
        <v>41</v>
      </c>
      <c r="M1492" t="s">
        <v>234</v>
      </c>
      <c r="N1492" t="s">
        <v>40</v>
      </c>
      <c r="O1492" t="s">
        <v>21</v>
      </c>
      <c r="P1492" t="s">
        <v>266</v>
      </c>
      <c r="Q1492">
        <v>44519</v>
      </c>
      <c r="R1492" t="s">
        <v>237</v>
      </c>
    </row>
    <row r="1493" spans="1:18" x14ac:dyDescent="0.25">
      <c r="A1493" t="s">
        <v>3686</v>
      </c>
      <c r="B1493">
        <v>2158</v>
      </c>
      <c r="C1493" t="s">
        <v>487</v>
      </c>
      <c r="D1493" t="s">
        <v>322</v>
      </c>
      <c r="E1493" t="s">
        <v>531</v>
      </c>
      <c r="F1493" t="s">
        <v>3056</v>
      </c>
      <c r="G1493" s="25">
        <v>44295</v>
      </c>
      <c r="H1493">
        <v>20</v>
      </c>
      <c r="I1493">
        <v>99</v>
      </c>
      <c r="J1493" t="s">
        <v>231</v>
      </c>
      <c r="K1493" t="s">
        <v>504</v>
      </c>
      <c r="L1493" t="s">
        <v>43</v>
      </c>
      <c r="M1493" t="s">
        <v>234</v>
      </c>
      <c r="N1493" t="s">
        <v>42</v>
      </c>
      <c r="O1493" t="s">
        <v>21</v>
      </c>
      <c r="P1493" t="s">
        <v>236</v>
      </c>
      <c r="Q1493">
        <v>527</v>
      </c>
      <c r="R1493" t="s">
        <v>237</v>
      </c>
    </row>
    <row r="1494" spans="1:18" x14ac:dyDescent="0.25">
      <c r="A1494" t="s">
        <v>3687</v>
      </c>
      <c r="B1494">
        <v>1960</v>
      </c>
      <c r="C1494" t="s">
        <v>487</v>
      </c>
      <c r="D1494" t="s">
        <v>322</v>
      </c>
      <c r="E1494" t="s">
        <v>239</v>
      </c>
      <c r="F1494" t="s">
        <v>2979</v>
      </c>
      <c r="G1494" s="25">
        <v>44286</v>
      </c>
      <c r="H1494">
        <v>18</v>
      </c>
      <c r="I1494">
        <v>90</v>
      </c>
      <c r="J1494" t="s">
        <v>231</v>
      </c>
      <c r="K1494" t="s">
        <v>504</v>
      </c>
      <c r="L1494" t="s">
        <v>43</v>
      </c>
      <c r="M1494" t="s">
        <v>234</v>
      </c>
      <c r="N1494" t="s">
        <v>42</v>
      </c>
      <c r="O1494" t="s">
        <v>21</v>
      </c>
      <c r="P1494" t="s">
        <v>236</v>
      </c>
      <c r="Q1494">
        <v>0</v>
      </c>
      <c r="R1494" t="s">
        <v>237</v>
      </c>
    </row>
    <row r="1495" spans="1:18" x14ac:dyDescent="0.25">
      <c r="A1495" t="s">
        <v>1986</v>
      </c>
      <c r="B1495">
        <v>1388</v>
      </c>
      <c r="C1495" t="s">
        <v>487</v>
      </c>
      <c r="D1495" t="s">
        <v>261</v>
      </c>
      <c r="E1495" t="s">
        <v>261</v>
      </c>
      <c r="F1495" t="s">
        <v>1410</v>
      </c>
      <c r="G1495" s="25">
        <v>44260</v>
      </c>
      <c r="H1495">
        <v>13</v>
      </c>
      <c r="I1495">
        <v>64</v>
      </c>
      <c r="J1495" t="s">
        <v>231</v>
      </c>
      <c r="K1495" t="s">
        <v>504</v>
      </c>
      <c r="L1495" t="s">
        <v>43</v>
      </c>
      <c r="M1495" t="s">
        <v>234</v>
      </c>
      <c r="N1495" t="s">
        <v>42</v>
      </c>
      <c r="O1495" t="s">
        <v>21</v>
      </c>
      <c r="P1495" t="s">
        <v>236</v>
      </c>
      <c r="Q1495">
        <v>1618</v>
      </c>
      <c r="R1495" t="s">
        <v>237</v>
      </c>
    </row>
    <row r="1496" spans="1:18" x14ac:dyDescent="0.25">
      <c r="A1496" t="s">
        <v>2162</v>
      </c>
      <c r="B1496">
        <v>1300</v>
      </c>
      <c r="C1496" t="s">
        <v>487</v>
      </c>
      <c r="D1496" t="s">
        <v>256</v>
      </c>
      <c r="E1496" t="s">
        <v>408</v>
      </c>
      <c r="F1496" t="s">
        <v>1383</v>
      </c>
      <c r="G1496" s="25">
        <v>44256</v>
      </c>
      <c r="H1496">
        <v>12</v>
      </c>
      <c r="I1496">
        <v>60</v>
      </c>
      <c r="J1496" t="s">
        <v>231</v>
      </c>
      <c r="K1496" t="s">
        <v>504</v>
      </c>
      <c r="L1496" t="s">
        <v>43</v>
      </c>
      <c r="M1496" t="s">
        <v>234</v>
      </c>
      <c r="N1496" t="s">
        <v>42</v>
      </c>
      <c r="O1496" t="s">
        <v>21</v>
      </c>
      <c r="P1496" t="s">
        <v>236</v>
      </c>
      <c r="Q1496">
        <v>13940</v>
      </c>
      <c r="R1496" t="s">
        <v>237</v>
      </c>
    </row>
    <row r="1497" spans="1:18" x14ac:dyDescent="0.25">
      <c r="A1497" t="s">
        <v>1989</v>
      </c>
      <c r="B1497">
        <v>1351</v>
      </c>
      <c r="C1497" t="s">
        <v>487</v>
      </c>
      <c r="D1497" t="s">
        <v>261</v>
      </c>
      <c r="E1497" t="s">
        <v>231</v>
      </c>
      <c r="F1497" t="s">
        <v>1400</v>
      </c>
      <c r="G1497" s="25">
        <v>44258</v>
      </c>
      <c r="H1497">
        <v>13</v>
      </c>
      <c r="I1497">
        <v>62</v>
      </c>
      <c r="J1497" t="s">
        <v>231</v>
      </c>
      <c r="K1497" t="s">
        <v>503</v>
      </c>
      <c r="L1497" t="s">
        <v>303</v>
      </c>
      <c r="M1497" t="s">
        <v>234</v>
      </c>
      <c r="N1497" t="s">
        <v>56</v>
      </c>
      <c r="O1497" t="s">
        <v>235</v>
      </c>
      <c r="P1497" t="s">
        <v>304</v>
      </c>
      <c r="Q1497">
        <v>0</v>
      </c>
      <c r="R1497" t="s">
        <v>237</v>
      </c>
    </row>
    <row r="1498" spans="1:18" x14ac:dyDescent="0.25">
      <c r="A1498" t="s">
        <v>559</v>
      </c>
      <c r="B1498">
        <v>449</v>
      </c>
      <c r="C1498" t="s">
        <v>487</v>
      </c>
      <c r="D1498" t="s">
        <v>231</v>
      </c>
      <c r="E1498" t="s">
        <v>229</v>
      </c>
      <c r="F1498" t="s">
        <v>541</v>
      </c>
      <c r="G1498" s="25">
        <v>44217</v>
      </c>
      <c r="H1498">
        <v>5</v>
      </c>
      <c r="I1498">
        <v>21</v>
      </c>
      <c r="J1498" t="s">
        <v>231</v>
      </c>
      <c r="K1498" t="s">
        <v>503</v>
      </c>
      <c r="L1498" t="s">
        <v>303</v>
      </c>
      <c r="M1498" t="s">
        <v>234</v>
      </c>
      <c r="N1498" t="s">
        <v>56</v>
      </c>
      <c r="O1498" t="s">
        <v>235</v>
      </c>
      <c r="P1498" t="s">
        <v>304</v>
      </c>
      <c r="Q1498">
        <v>0</v>
      </c>
      <c r="R1498" t="s">
        <v>237</v>
      </c>
    </row>
    <row r="1499" spans="1:18" x14ac:dyDescent="0.25">
      <c r="A1499" t="s">
        <v>558</v>
      </c>
      <c r="B1499">
        <v>141</v>
      </c>
      <c r="C1499" t="s">
        <v>487</v>
      </c>
      <c r="D1499" t="s">
        <v>229</v>
      </c>
      <c r="E1499" t="s">
        <v>326</v>
      </c>
      <c r="F1499" t="s">
        <v>522</v>
      </c>
      <c r="G1499" s="25">
        <v>44203</v>
      </c>
      <c r="H1499">
        <v>2</v>
      </c>
      <c r="I1499">
        <v>7</v>
      </c>
      <c r="J1499" t="s">
        <v>231</v>
      </c>
      <c r="K1499" t="s">
        <v>503</v>
      </c>
      <c r="L1499" t="s">
        <v>303</v>
      </c>
      <c r="M1499" t="s">
        <v>234</v>
      </c>
      <c r="N1499" t="s">
        <v>56</v>
      </c>
      <c r="O1499" t="s">
        <v>235</v>
      </c>
      <c r="P1499" t="s">
        <v>304</v>
      </c>
      <c r="Q1499">
        <v>0</v>
      </c>
      <c r="R1499" t="s">
        <v>237</v>
      </c>
    </row>
    <row r="1500" spans="1:18" x14ac:dyDescent="0.25">
      <c r="A1500" t="s">
        <v>3688</v>
      </c>
      <c r="B1500">
        <v>2319</v>
      </c>
      <c r="C1500" t="s">
        <v>487</v>
      </c>
      <c r="D1500" t="s">
        <v>247</v>
      </c>
      <c r="E1500" t="s">
        <v>247</v>
      </c>
      <c r="F1500" t="s">
        <v>3085</v>
      </c>
      <c r="G1500" s="25">
        <v>44302</v>
      </c>
      <c r="H1500">
        <v>22</v>
      </c>
      <c r="I1500">
        <v>106</v>
      </c>
      <c r="J1500" t="s">
        <v>231</v>
      </c>
      <c r="K1500" t="s">
        <v>503</v>
      </c>
      <c r="L1500" t="s">
        <v>303</v>
      </c>
      <c r="M1500" t="s">
        <v>234</v>
      </c>
      <c r="N1500" t="s">
        <v>56</v>
      </c>
      <c r="O1500" t="s">
        <v>235</v>
      </c>
      <c r="P1500" t="s">
        <v>304</v>
      </c>
      <c r="Q1500">
        <v>0</v>
      </c>
      <c r="R1500" t="s">
        <v>237</v>
      </c>
    </row>
    <row r="1501" spans="1:18" x14ac:dyDescent="0.25">
      <c r="A1501" t="s">
        <v>1652</v>
      </c>
      <c r="B1501">
        <v>1220</v>
      </c>
      <c r="C1501" t="s">
        <v>487</v>
      </c>
      <c r="D1501" t="s">
        <v>256</v>
      </c>
      <c r="E1501" t="s">
        <v>620</v>
      </c>
      <c r="F1501" t="s">
        <v>1350</v>
      </c>
      <c r="G1501" s="25">
        <v>44252</v>
      </c>
      <c r="H1501">
        <v>12</v>
      </c>
      <c r="I1501">
        <v>56</v>
      </c>
      <c r="J1501" t="s">
        <v>231</v>
      </c>
      <c r="K1501" t="s">
        <v>502</v>
      </c>
      <c r="L1501" t="s">
        <v>287</v>
      </c>
      <c r="M1501" t="s">
        <v>234</v>
      </c>
      <c r="N1501" t="s">
        <v>58</v>
      </c>
      <c r="O1501" t="s">
        <v>235</v>
      </c>
      <c r="P1501" t="s">
        <v>288</v>
      </c>
      <c r="Q1501">
        <v>0</v>
      </c>
      <c r="R1501" t="s">
        <v>237</v>
      </c>
    </row>
    <row r="1502" spans="1:18" x14ac:dyDescent="0.25">
      <c r="A1502" t="s">
        <v>2833</v>
      </c>
      <c r="B1502">
        <v>978</v>
      </c>
      <c r="C1502" t="s">
        <v>487</v>
      </c>
      <c r="D1502" t="s">
        <v>256</v>
      </c>
      <c r="E1502" t="s">
        <v>322</v>
      </c>
      <c r="F1502" t="s">
        <v>1288</v>
      </c>
      <c r="G1502" s="25">
        <v>44241</v>
      </c>
      <c r="H1502">
        <v>9</v>
      </c>
      <c r="I1502">
        <v>45</v>
      </c>
      <c r="J1502" t="s">
        <v>231</v>
      </c>
      <c r="K1502" t="s">
        <v>502</v>
      </c>
      <c r="L1502" t="s">
        <v>287</v>
      </c>
      <c r="M1502" t="s">
        <v>234</v>
      </c>
      <c r="N1502" t="s">
        <v>58</v>
      </c>
      <c r="O1502" t="s">
        <v>235</v>
      </c>
      <c r="P1502" t="s">
        <v>288</v>
      </c>
      <c r="Q1502">
        <v>0</v>
      </c>
      <c r="R1502" t="s">
        <v>237</v>
      </c>
    </row>
    <row r="1503" spans="1:18" x14ac:dyDescent="0.25">
      <c r="A1503" t="s">
        <v>2107</v>
      </c>
      <c r="B1503">
        <v>604</v>
      </c>
      <c r="C1503" t="s">
        <v>487</v>
      </c>
      <c r="D1503" t="s">
        <v>231</v>
      </c>
      <c r="E1503" t="s">
        <v>381</v>
      </c>
      <c r="F1503" t="s">
        <v>1099</v>
      </c>
      <c r="G1503" s="25">
        <v>44224</v>
      </c>
      <c r="H1503">
        <v>6</v>
      </c>
      <c r="I1503">
        <v>28</v>
      </c>
      <c r="J1503" t="s">
        <v>231</v>
      </c>
      <c r="K1503" t="s">
        <v>502</v>
      </c>
      <c r="L1503" t="s">
        <v>287</v>
      </c>
      <c r="M1503" t="s">
        <v>234</v>
      </c>
      <c r="N1503" t="s">
        <v>58</v>
      </c>
      <c r="O1503" t="s">
        <v>235</v>
      </c>
      <c r="P1503" t="s">
        <v>288</v>
      </c>
      <c r="Q1503">
        <v>0</v>
      </c>
      <c r="R1503" t="s">
        <v>237</v>
      </c>
    </row>
    <row r="1504" spans="1:18" x14ac:dyDescent="0.25">
      <c r="A1504" t="s">
        <v>694</v>
      </c>
      <c r="B1504">
        <v>252</v>
      </c>
      <c r="C1504" t="s">
        <v>487</v>
      </c>
      <c r="D1504" t="s">
        <v>229</v>
      </c>
      <c r="E1504" t="s">
        <v>232</v>
      </c>
      <c r="F1504" t="s">
        <v>520</v>
      </c>
      <c r="G1504" s="25">
        <v>44208</v>
      </c>
      <c r="H1504">
        <v>3</v>
      </c>
      <c r="I1504">
        <v>12</v>
      </c>
      <c r="J1504" t="s">
        <v>231</v>
      </c>
      <c r="K1504" t="s">
        <v>502</v>
      </c>
      <c r="L1504" t="s">
        <v>287</v>
      </c>
      <c r="M1504" t="s">
        <v>234</v>
      </c>
      <c r="N1504" t="s">
        <v>58</v>
      </c>
      <c r="O1504" t="s">
        <v>235</v>
      </c>
      <c r="P1504" t="s">
        <v>288</v>
      </c>
      <c r="Q1504">
        <v>2000</v>
      </c>
      <c r="R1504" t="s">
        <v>237</v>
      </c>
    </row>
    <row r="1505" spans="1:18" x14ac:dyDescent="0.25">
      <c r="A1505" t="s">
        <v>3689</v>
      </c>
      <c r="B1505">
        <v>2430</v>
      </c>
      <c r="C1505" t="s">
        <v>487</v>
      </c>
      <c r="D1505" t="s">
        <v>247</v>
      </c>
      <c r="E1505" t="s">
        <v>515</v>
      </c>
      <c r="F1505" t="s">
        <v>3134</v>
      </c>
      <c r="G1505" s="25">
        <v>44307</v>
      </c>
      <c r="H1505">
        <v>23</v>
      </c>
      <c r="I1505">
        <v>111</v>
      </c>
      <c r="J1505" t="s">
        <v>231</v>
      </c>
      <c r="K1505" t="s">
        <v>502</v>
      </c>
      <c r="L1505" t="s">
        <v>287</v>
      </c>
      <c r="M1505" t="s">
        <v>234</v>
      </c>
      <c r="N1505" t="s">
        <v>58</v>
      </c>
      <c r="O1505" t="s">
        <v>235</v>
      </c>
      <c r="P1505" t="s">
        <v>288</v>
      </c>
      <c r="Q1505">
        <v>0</v>
      </c>
      <c r="R1505" t="s">
        <v>237</v>
      </c>
    </row>
    <row r="1506" spans="1:18" x14ac:dyDescent="0.25">
      <c r="A1506" t="s">
        <v>3690</v>
      </c>
      <c r="B1506">
        <v>2122</v>
      </c>
      <c r="C1506" t="s">
        <v>487</v>
      </c>
      <c r="D1506" t="s">
        <v>322</v>
      </c>
      <c r="E1506" t="s">
        <v>534</v>
      </c>
      <c r="F1506" t="s">
        <v>3031</v>
      </c>
      <c r="G1506" s="25">
        <v>44293</v>
      </c>
      <c r="H1506">
        <v>20</v>
      </c>
      <c r="I1506">
        <v>97</v>
      </c>
      <c r="J1506" t="s">
        <v>231</v>
      </c>
      <c r="K1506" t="s">
        <v>502</v>
      </c>
      <c r="L1506" t="s">
        <v>287</v>
      </c>
      <c r="M1506" t="s">
        <v>234</v>
      </c>
      <c r="N1506" t="s">
        <v>58</v>
      </c>
      <c r="O1506" t="s">
        <v>235</v>
      </c>
      <c r="P1506" t="s">
        <v>288</v>
      </c>
      <c r="Q1506">
        <v>0</v>
      </c>
      <c r="R1506" t="s">
        <v>237</v>
      </c>
    </row>
    <row r="1507" spans="1:18" x14ac:dyDescent="0.25">
      <c r="A1507" t="s">
        <v>3691</v>
      </c>
      <c r="B1507">
        <v>1814</v>
      </c>
      <c r="C1507" t="s">
        <v>487</v>
      </c>
      <c r="D1507" t="s">
        <v>322</v>
      </c>
      <c r="E1507" t="s">
        <v>256</v>
      </c>
      <c r="F1507" t="s">
        <v>2952</v>
      </c>
      <c r="G1507" s="25">
        <v>44279</v>
      </c>
      <c r="H1507">
        <v>17</v>
      </c>
      <c r="I1507">
        <v>83</v>
      </c>
      <c r="J1507" t="s">
        <v>231</v>
      </c>
      <c r="K1507" t="s">
        <v>502</v>
      </c>
      <c r="L1507" t="s">
        <v>287</v>
      </c>
      <c r="M1507" t="s">
        <v>234</v>
      </c>
      <c r="N1507" t="s">
        <v>58</v>
      </c>
      <c r="O1507" t="s">
        <v>235</v>
      </c>
      <c r="P1507" t="s">
        <v>288</v>
      </c>
      <c r="Q1507">
        <v>0</v>
      </c>
      <c r="R1507" t="s">
        <v>237</v>
      </c>
    </row>
    <row r="1508" spans="1:18" x14ac:dyDescent="0.25">
      <c r="A1508" t="s">
        <v>2108</v>
      </c>
      <c r="B1508">
        <v>869</v>
      </c>
      <c r="C1508" t="s">
        <v>487</v>
      </c>
      <c r="D1508" t="s">
        <v>231</v>
      </c>
      <c r="E1508" t="s">
        <v>408</v>
      </c>
      <c r="F1508" t="s">
        <v>1234</v>
      </c>
      <c r="G1508" s="25">
        <v>44236</v>
      </c>
      <c r="H1508">
        <v>8</v>
      </c>
      <c r="I1508">
        <v>40</v>
      </c>
      <c r="J1508" t="s">
        <v>231</v>
      </c>
      <c r="K1508" t="s">
        <v>501</v>
      </c>
      <c r="L1508" t="s">
        <v>412</v>
      </c>
      <c r="M1508" t="s">
        <v>234</v>
      </c>
      <c r="N1508" t="s">
        <v>60</v>
      </c>
      <c r="O1508" t="s">
        <v>235</v>
      </c>
      <c r="P1508" t="s">
        <v>413</v>
      </c>
      <c r="Q1508">
        <v>0</v>
      </c>
      <c r="R1508" t="s">
        <v>237</v>
      </c>
    </row>
    <row r="1509" spans="1:18" x14ac:dyDescent="0.25">
      <c r="A1509" t="s">
        <v>691</v>
      </c>
      <c r="B1509">
        <v>407</v>
      </c>
      <c r="C1509" t="s">
        <v>487</v>
      </c>
      <c r="D1509" t="s">
        <v>229</v>
      </c>
      <c r="E1509" t="s">
        <v>531</v>
      </c>
      <c r="F1509" t="s">
        <v>532</v>
      </c>
      <c r="G1509" s="25">
        <v>44215</v>
      </c>
      <c r="H1509">
        <v>4</v>
      </c>
      <c r="I1509">
        <v>19</v>
      </c>
      <c r="J1509" t="s">
        <v>231</v>
      </c>
      <c r="K1509" t="s">
        <v>501</v>
      </c>
      <c r="L1509" t="s">
        <v>412</v>
      </c>
      <c r="M1509" t="s">
        <v>234</v>
      </c>
      <c r="N1509" t="s">
        <v>60</v>
      </c>
      <c r="O1509" t="s">
        <v>235</v>
      </c>
      <c r="P1509" t="s">
        <v>413</v>
      </c>
      <c r="Q1509">
        <v>0</v>
      </c>
      <c r="R1509" t="s">
        <v>237</v>
      </c>
    </row>
    <row r="1510" spans="1:18" x14ac:dyDescent="0.25">
      <c r="A1510" t="s">
        <v>3692</v>
      </c>
      <c r="B1510">
        <v>2585</v>
      </c>
      <c r="C1510" t="s">
        <v>487</v>
      </c>
      <c r="D1510" t="s">
        <v>247</v>
      </c>
      <c r="E1510" t="s">
        <v>552</v>
      </c>
      <c r="F1510" t="s">
        <v>3170</v>
      </c>
      <c r="G1510" s="25">
        <v>44314</v>
      </c>
      <c r="H1510">
        <v>24</v>
      </c>
      <c r="I1510">
        <v>118</v>
      </c>
      <c r="J1510" t="s">
        <v>231</v>
      </c>
      <c r="K1510" t="s">
        <v>501</v>
      </c>
      <c r="L1510" t="s">
        <v>412</v>
      </c>
      <c r="M1510" t="s">
        <v>234</v>
      </c>
      <c r="N1510" t="s">
        <v>60</v>
      </c>
      <c r="O1510" t="s">
        <v>235</v>
      </c>
      <c r="P1510" t="s">
        <v>413</v>
      </c>
      <c r="Q1510">
        <v>0</v>
      </c>
      <c r="R1510" t="s">
        <v>237</v>
      </c>
    </row>
    <row r="1511" spans="1:18" x14ac:dyDescent="0.25">
      <c r="A1511" t="s">
        <v>1935</v>
      </c>
      <c r="B1511">
        <v>1617</v>
      </c>
      <c r="C1511" t="s">
        <v>487</v>
      </c>
      <c r="D1511" t="s">
        <v>261</v>
      </c>
      <c r="E1511" t="s">
        <v>537</v>
      </c>
      <c r="F1511" t="s">
        <v>1530</v>
      </c>
      <c r="G1511" s="25">
        <v>44270</v>
      </c>
      <c r="H1511">
        <v>15</v>
      </c>
      <c r="I1511">
        <v>74</v>
      </c>
      <c r="J1511" t="s">
        <v>231</v>
      </c>
      <c r="K1511" t="s">
        <v>501</v>
      </c>
      <c r="L1511" t="s">
        <v>412</v>
      </c>
      <c r="M1511" t="s">
        <v>234</v>
      </c>
      <c r="N1511" t="s">
        <v>60</v>
      </c>
      <c r="O1511" t="s">
        <v>235</v>
      </c>
      <c r="P1511" t="s">
        <v>413</v>
      </c>
      <c r="Q1511">
        <v>0</v>
      </c>
      <c r="R1511" t="s">
        <v>237</v>
      </c>
    </row>
    <row r="1512" spans="1:18" x14ac:dyDescent="0.25">
      <c r="A1512" t="s">
        <v>800</v>
      </c>
      <c r="B1512">
        <v>447</v>
      </c>
      <c r="C1512" t="s">
        <v>487</v>
      </c>
      <c r="D1512" t="s">
        <v>231</v>
      </c>
      <c r="E1512" t="s">
        <v>229</v>
      </c>
      <c r="F1512" t="s">
        <v>541</v>
      </c>
      <c r="G1512" s="25">
        <v>44217</v>
      </c>
      <c r="H1512">
        <v>5</v>
      </c>
      <c r="I1512">
        <v>21</v>
      </c>
      <c r="J1512" t="s">
        <v>231</v>
      </c>
      <c r="K1512" t="s">
        <v>500</v>
      </c>
      <c r="L1512" t="s">
        <v>265</v>
      </c>
      <c r="M1512" t="s">
        <v>234</v>
      </c>
      <c r="N1512" t="s">
        <v>52</v>
      </c>
      <c r="O1512" t="s">
        <v>235</v>
      </c>
      <c r="P1512" t="s">
        <v>266</v>
      </c>
      <c r="Q1512">
        <v>0</v>
      </c>
      <c r="R1512" t="s">
        <v>237</v>
      </c>
    </row>
    <row r="1513" spans="1:18" x14ac:dyDescent="0.25">
      <c r="A1513" t="s">
        <v>801</v>
      </c>
      <c r="B1513">
        <v>139</v>
      </c>
      <c r="C1513" t="s">
        <v>487</v>
      </c>
      <c r="D1513" t="s">
        <v>229</v>
      </c>
      <c r="E1513" t="s">
        <v>326</v>
      </c>
      <c r="F1513" t="s">
        <v>522</v>
      </c>
      <c r="G1513" s="25">
        <v>44203</v>
      </c>
      <c r="H1513">
        <v>2</v>
      </c>
      <c r="I1513">
        <v>7</v>
      </c>
      <c r="J1513" t="s">
        <v>231</v>
      </c>
      <c r="K1513" t="s">
        <v>500</v>
      </c>
      <c r="L1513" t="s">
        <v>265</v>
      </c>
      <c r="M1513" t="s">
        <v>234</v>
      </c>
      <c r="N1513" t="s">
        <v>52</v>
      </c>
      <c r="O1513" t="s">
        <v>235</v>
      </c>
      <c r="P1513" t="s">
        <v>266</v>
      </c>
      <c r="Q1513">
        <v>0</v>
      </c>
      <c r="R1513" t="s">
        <v>237</v>
      </c>
    </row>
    <row r="1514" spans="1:18" x14ac:dyDescent="0.25">
      <c r="A1514" t="s">
        <v>3693</v>
      </c>
      <c r="B1514">
        <v>2317</v>
      </c>
      <c r="C1514" t="s">
        <v>487</v>
      </c>
      <c r="D1514" t="s">
        <v>247</v>
      </c>
      <c r="E1514" t="s">
        <v>247</v>
      </c>
      <c r="F1514" t="s">
        <v>3085</v>
      </c>
      <c r="G1514" s="25">
        <v>44302</v>
      </c>
      <c r="H1514">
        <v>22</v>
      </c>
      <c r="I1514">
        <v>106</v>
      </c>
      <c r="J1514" t="s">
        <v>231</v>
      </c>
      <c r="K1514" t="s">
        <v>500</v>
      </c>
      <c r="L1514" t="s">
        <v>265</v>
      </c>
      <c r="M1514" t="s">
        <v>234</v>
      </c>
      <c r="N1514" t="s">
        <v>52</v>
      </c>
      <c r="O1514" t="s">
        <v>235</v>
      </c>
      <c r="P1514" t="s">
        <v>266</v>
      </c>
      <c r="Q1514">
        <v>0</v>
      </c>
      <c r="R1514" t="s">
        <v>237</v>
      </c>
    </row>
    <row r="1515" spans="1:18" x14ac:dyDescent="0.25">
      <c r="A1515" t="s">
        <v>2175</v>
      </c>
      <c r="B1515">
        <v>1349</v>
      </c>
      <c r="C1515" t="s">
        <v>487</v>
      </c>
      <c r="D1515" t="s">
        <v>261</v>
      </c>
      <c r="E1515" t="s">
        <v>231</v>
      </c>
      <c r="F1515" t="s">
        <v>1400</v>
      </c>
      <c r="G1515" s="25">
        <v>44258</v>
      </c>
      <c r="H1515">
        <v>13</v>
      </c>
      <c r="I1515">
        <v>62</v>
      </c>
      <c r="J1515" t="s">
        <v>231</v>
      </c>
      <c r="K1515" t="s">
        <v>500</v>
      </c>
      <c r="L1515" t="s">
        <v>265</v>
      </c>
      <c r="M1515" t="s">
        <v>234</v>
      </c>
      <c r="N1515" t="s">
        <v>52</v>
      </c>
      <c r="O1515" t="s">
        <v>235</v>
      </c>
      <c r="P1515" t="s">
        <v>266</v>
      </c>
      <c r="Q1515">
        <v>0</v>
      </c>
      <c r="R1515" t="s">
        <v>237</v>
      </c>
    </row>
    <row r="1516" spans="1:18" x14ac:dyDescent="0.25">
      <c r="A1516" t="s">
        <v>2787</v>
      </c>
      <c r="B1516">
        <v>975</v>
      </c>
      <c r="C1516" t="s">
        <v>487</v>
      </c>
      <c r="D1516" t="s">
        <v>256</v>
      </c>
      <c r="E1516" t="s">
        <v>322</v>
      </c>
      <c r="F1516" t="s">
        <v>1288</v>
      </c>
      <c r="G1516" s="25">
        <v>44241</v>
      </c>
      <c r="H1516">
        <v>9</v>
      </c>
      <c r="I1516">
        <v>45</v>
      </c>
      <c r="J1516" t="s">
        <v>231</v>
      </c>
      <c r="K1516" t="s">
        <v>500</v>
      </c>
      <c r="L1516" t="s">
        <v>265</v>
      </c>
      <c r="M1516" t="s">
        <v>234</v>
      </c>
      <c r="N1516" t="s">
        <v>52</v>
      </c>
      <c r="O1516" t="s">
        <v>235</v>
      </c>
      <c r="P1516" t="s">
        <v>266</v>
      </c>
      <c r="Q1516">
        <v>24409</v>
      </c>
      <c r="R1516" t="s">
        <v>237</v>
      </c>
    </row>
    <row r="1517" spans="1:18" x14ac:dyDescent="0.25">
      <c r="A1517" t="s">
        <v>3694</v>
      </c>
      <c r="B1517">
        <v>2542</v>
      </c>
      <c r="C1517" t="s">
        <v>487</v>
      </c>
      <c r="D1517" t="s">
        <v>247</v>
      </c>
      <c r="E1517" t="s">
        <v>620</v>
      </c>
      <c r="F1517" t="s">
        <v>3162</v>
      </c>
      <c r="G1517" s="25">
        <v>44312</v>
      </c>
      <c r="H1517">
        <v>24</v>
      </c>
      <c r="I1517">
        <v>116</v>
      </c>
      <c r="J1517" t="s">
        <v>231</v>
      </c>
      <c r="K1517" t="s">
        <v>499</v>
      </c>
      <c r="L1517" t="s">
        <v>410</v>
      </c>
      <c r="M1517" t="s">
        <v>234</v>
      </c>
      <c r="N1517" t="s">
        <v>62</v>
      </c>
      <c r="O1517" t="s">
        <v>235</v>
      </c>
      <c r="P1517" t="s">
        <v>411</v>
      </c>
      <c r="Q1517">
        <v>0</v>
      </c>
      <c r="R1517" t="s">
        <v>237</v>
      </c>
    </row>
    <row r="1518" spans="1:18" x14ac:dyDescent="0.25">
      <c r="A1518" t="s">
        <v>3695</v>
      </c>
      <c r="B1518">
        <v>2300</v>
      </c>
      <c r="C1518" t="s">
        <v>487</v>
      </c>
      <c r="D1518" t="s">
        <v>247</v>
      </c>
      <c r="E1518" t="s">
        <v>322</v>
      </c>
      <c r="F1518" t="s">
        <v>3083</v>
      </c>
      <c r="G1518" s="25">
        <v>44301</v>
      </c>
      <c r="H1518">
        <v>21</v>
      </c>
      <c r="I1518">
        <v>105</v>
      </c>
      <c r="J1518" t="s">
        <v>231</v>
      </c>
      <c r="K1518" t="s">
        <v>499</v>
      </c>
      <c r="L1518" t="s">
        <v>410</v>
      </c>
      <c r="M1518" t="s">
        <v>234</v>
      </c>
      <c r="N1518" t="s">
        <v>62</v>
      </c>
      <c r="O1518" t="s">
        <v>235</v>
      </c>
      <c r="P1518" t="s">
        <v>411</v>
      </c>
      <c r="Q1518">
        <v>0</v>
      </c>
      <c r="R1518" t="s">
        <v>237</v>
      </c>
    </row>
    <row r="1519" spans="1:18" x14ac:dyDescent="0.25">
      <c r="A1519" t="s">
        <v>3696</v>
      </c>
      <c r="B1519">
        <v>1926</v>
      </c>
      <c r="C1519" t="s">
        <v>487</v>
      </c>
      <c r="D1519" t="s">
        <v>322</v>
      </c>
      <c r="E1519" t="s">
        <v>381</v>
      </c>
      <c r="F1519" t="s">
        <v>2971</v>
      </c>
      <c r="G1519" s="25">
        <v>44284</v>
      </c>
      <c r="H1519">
        <v>18</v>
      </c>
      <c r="I1519">
        <v>88</v>
      </c>
      <c r="J1519" t="s">
        <v>231</v>
      </c>
      <c r="K1519" t="s">
        <v>499</v>
      </c>
      <c r="L1519" t="s">
        <v>410</v>
      </c>
      <c r="M1519" t="s">
        <v>234</v>
      </c>
      <c r="N1519" t="s">
        <v>62</v>
      </c>
      <c r="O1519" t="s">
        <v>235</v>
      </c>
      <c r="P1519" t="s">
        <v>411</v>
      </c>
      <c r="Q1519">
        <v>0</v>
      </c>
      <c r="R1519" t="s">
        <v>237</v>
      </c>
    </row>
    <row r="1520" spans="1:18" x14ac:dyDescent="0.25">
      <c r="A1520" t="s">
        <v>2837</v>
      </c>
      <c r="B1520">
        <v>1574</v>
      </c>
      <c r="C1520" t="s">
        <v>487</v>
      </c>
      <c r="D1520" t="s">
        <v>261</v>
      </c>
      <c r="E1520" t="s">
        <v>232</v>
      </c>
      <c r="F1520" t="s">
        <v>1500</v>
      </c>
      <c r="G1520" s="25">
        <v>44268</v>
      </c>
      <c r="H1520">
        <v>15</v>
      </c>
      <c r="I1520">
        <v>72</v>
      </c>
      <c r="J1520" t="s">
        <v>231</v>
      </c>
      <c r="K1520" t="s">
        <v>499</v>
      </c>
      <c r="L1520" t="s">
        <v>410</v>
      </c>
      <c r="M1520" t="s">
        <v>234</v>
      </c>
      <c r="N1520" t="s">
        <v>62</v>
      </c>
      <c r="O1520" t="s">
        <v>235</v>
      </c>
      <c r="P1520" t="s">
        <v>411</v>
      </c>
      <c r="Q1520">
        <v>0</v>
      </c>
      <c r="R1520" t="s">
        <v>237</v>
      </c>
    </row>
    <row r="1521" spans="1:18" x14ac:dyDescent="0.25">
      <c r="A1521" t="s">
        <v>2668</v>
      </c>
      <c r="B1521">
        <v>738</v>
      </c>
      <c r="C1521" t="s">
        <v>487</v>
      </c>
      <c r="D1521" t="s">
        <v>231</v>
      </c>
      <c r="E1521" t="s">
        <v>537</v>
      </c>
      <c r="F1521" t="s">
        <v>1192</v>
      </c>
      <c r="G1521" s="25">
        <v>44230</v>
      </c>
      <c r="H1521">
        <v>7</v>
      </c>
      <c r="I1521">
        <v>34</v>
      </c>
      <c r="J1521" t="s">
        <v>231</v>
      </c>
      <c r="K1521" t="s">
        <v>499</v>
      </c>
      <c r="L1521" t="s">
        <v>410</v>
      </c>
      <c r="M1521" t="s">
        <v>234</v>
      </c>
      <c r="N1521" t="s">
        <v>62</v>
      </c>
      <c r="O1521" t="s">
        <v>235</v>
      </c>
      <c r="P1521" t="s">
        <v>411</v>
      </c>
      <c r="Q1521">
        <v>0</v>
      </c>
      <c r="R1521" t="s">
        <v>237</v>
      </c>
    </row>
    <row r="1522" spans="1:18" x14ac:dyDescent="0.25">
      <c r="A1522" t="s">
        <v>2300</v>
      </c>
      <c r="B1522">
        <v>672</v>
      </c>
      <c r="C1522" t="s">
        <v>487</v>
      </c>
      <c r="D1522" t="s">
        <v>231</v>
      </c>
      <c r="E1522" t="s">
        <v>515</v>
      </c>
      <c r="F1522" t="s">
        <v>1150</v>
      </c>
      <c r="G1522" s="25">
        <v>44227</v>
      </c>
      <c r="H1522">
        <v>7</v>
      </c>
      <c r="I1522">
        <v>31</v>
      </c>
      <c r="J1522" t="s">
        <v>231</v>
      </c>
      <c r="K1522" t="s">
        <v>499</v>
      </c>
      <c r="L1522" t="s">
        <v>410</v>
      </c>
      <c r="M1522" t="s">
        <v>234</v>
      </c>
      <c r="N1522" t="s">
        <v>62</v>
      </c>
      <c r="O1522" t="s">
        <v>235</v>
      </c>
      <c r="P1522" t="s">
        <v>411</v>
      </c>
      <c r="Q1522">
        <v>0</v>
      </c>
      <c r="R1522" t="s">
        <v>237</v>
      </c>
    </row>
    <row r="1523" spans="1:18" x14ac:dyDescent="0.25">
      <c r="A1523" t="s">
        <v>686</v>
      </c>
      <c r="B1523">
        <v>364</v>
      </c>
      <c r="C1523" t="s">
        <v>487</v>
      </c>
      <c r="D1523" t="s">
        <v>229</v>
      </c>
      <c r="E1523" t="s">
        <v>534</v>
      </c>
      <c r="F1523" t="s">
        <v>535</v>
      </c>
      <c r="G1523" s="25">
        <v>44213</v>
      </c>
      <c r="H1523">
        <v>4</v>
      </c>
      <c r="I1523">
        <v>17</v>
      </c>
      <c r="J1523" t="s">
        <v>231</v>
      </c>
      <c r="K1523" t="s">
        <v>499</v>
      </c>
      <c r="L1523" t="s">
        <v>410</v>
      </c>
      <c r="M1523" t="s">
        <v>234</v>
      </c>
      <c r="N1523" t="s">
        <v>62</v>
      </c>
      <c r="O1523" t="s">
        <v>235</v>
      </c>
      <c r="P1523" t="s">
        <v>411</v>
      </c>
      <c r="Q1523">
        <v>0</v>
      </c>
      <c r="R1523" t="s">
        <v>237</v>
      </c>
    </row>
    <row r="1524" spans="1:18" x14ac:dyDescent="0.25">
      <c r="A1524" t="s">
        <v>3697</v>
      </c>
      <c r="B1524">
        <v>2397</v>
      </c>
      <c r="C1524" t="s">
        <v>487</v>
      </c>
      <c r="D1524" t="s">
        <v>247</v>
      </c>
      <c r="E1524" t="s">
        <v>371</v>
      </c>
      <c r="F1524" t="s">
        <v>3112</v>
      </c>
      <c r="G1524" s="25">
        <v>44305</v>
      </c>
      <c r="H1524">
        <v>22</v>
      </c>
      <c r="I1524">
        <v>109</v>
      </c>
      <c r="J1524" t="s">
        <v>432</v>
      </c>
      <c r="K1524" t="s">
        <v>498</v>
      </c>
      <c r="L1524" t="s">
        <v>26</v>
      </c>
      <c r="M1524" t="s">
        <v>434</v>
      </c>
      <c r="N1524" t="s">
        <v>77</v>
      </c>
      <c r="O1524" t="s">
        <v>435</v>
      </c>
      <c r="P1524" t="s">
        <v>26</v>
      </c>
      <c r="Q1524">
        <v>191651.875</v>
      </c>
      <c r="R1524" t="s">
        <v>436</v>
      </c>
    </row>
    <row r="1525" spans="1:18" x14ac:dyDescent="0.25">
      <c r="A1525" t="s">
        <v>3698</v>
      </c>
      <c r="B1525">
        <v>2287</v>
      </c>
      <c r="C1525" t="s">
        <v>487</v>
      </c>
      <c r="D1525" t="s">
        <v>247</v>
      </c>
      <c r="E1525" t="s">
        <v>261</v>
      </c>
      <c r="F1525" t="s">
        <v>3078</v>
      </c>
      <c r="G1525" s="25">
        <v>44300</v>
      </c>
      <c r="H1525">
        <v>21</v>
      </c>
      <c r="I1525">
        <v>104</v>
      </c>
      <c r="J1525" t="s">
        <v>432</v>
      </c>
      <c r="K1525" t="s">
        <v>498</v>
      </c>
      <c r="L1525" t="s">
        <v>26</v>
      </c>
      <c r="M1525" t="s">
        <v>434</v>
      </c>
      <c r="N1525" t="s">
        <v>77</v>
      </c>
      <c r="O1525" t="s">
        <v>435</v>
      </c>
      <c r="P1525" t="s">
        <v>26</v>
      </c>
      <c r="Q1525">
        <v>211295.625</v>
      </c>
      <c r="R1525" t="s">
        <v>436</v>
      </c>
    </row>
    <row r="1526" spans="1:18" x14ac:dyDescent="0.25">
      <c r="A1526" t="s">
        <v>3699</v>
      </c>
      <c r="B1526">
        <v>1957</v>
      </c>
      <c r="C1526" t="s">
        <v>487</v>
      </c>
      <c r="D1526" t="s">
        <v>322</v>
      </c>
      <c r="E1526" t="s">
        <v>371</v>
      </c>
      <c r="F1526" t="s">
        <v>2976</v>
      </c>
      <c r="G1526" s="25">
        <v>44285</v>
      </c>
      <c r="H1526">
        <v>18</v>
      </c>
      <c r="I1526">
        <v>89</v>
      </c>
      <c r="J1526" t="s">
        <v>432</v>
      </c>
      <c r="K1526" t="s">
        <v>498</v>
      </c>
      <c r="L1526" t="s">
        <v>26</v>
      </c>
      <c r="M1526" t="s">
        <v>434</v>
      </c>
      <c r="N1526" t="s">
        <v>77</v>
      </c>
      <c r="O1526" t="s">
        <v>435</v>
      </c>
      <c r="P1526" t="s">
        <v>26</v>
      </c>
      <c r="Q1526">
        <v>302405</v>
      </c>
      <c r="R1526" t="s">
        <v>436</v>
      </c>
    </row>
    <row r="1527" spans="1:18" x14ac:dyDescent="0.25">
      <c r="A1527" t="s">
        <v>3700</v>
      </c>
      <c r="B1527">
        <v>1869</v>
      </c>
      <c r="C1527" t="s">
        <v>487</v>
      </c>
      <c r="D1527" t="s">
        <v>322</v>
      </c>
      <c r="E1527" t="s">
        <v>322</v>
      </c>
      <c r="F1527" t="s">
        <v>2960</v>
      </c>
      <c r="G1527" s="25">
        <v>44281</v>
      </c>
      <c r="H1527">
        <v>17</v>
      </c>
      <c r="I1527">
        <v>85</v>
      </c>
      <c r="J1527" t="s">
        <v>432</v>
      </c>
      <c r="K1527" t="s">
        <v>498</v>
      </c>
      <c r="L1527" t="s">
        <v>26</v>
      </c>
      <c r="M1527" t="s">
        <v>434</v>
      </c>
      <c r="N1527" t="s">
        <v>77</v>
      </c>
      <c r="O1527" t="s">
        <v>435</v>
      </c>
      <c r="P1527" t="s">
        <v>26</v>
      </c>
      <c r="Q1527">
        <v>333292.5</v>
      </c>
      <c r="R1527" t="s">
        <v>436</v>
      </c>
    </row>
    <row r="1528" spans="1:18" x14ac:dyDescent="0.25">
      <c r="A1528" t="s">
        <v>2790</v>
      </c>
      <c r="B1528">
        <v>549</v>
      </c>
      <c r="C1528" t="s">
        <v>487</v>
      </c>
      <c r="D1528" t="s">
        <v>231</v>
      </c>
      <c r="E1528" t="s">
        <v>322</v>
      </c>
      <c r="F1528" t="s">
        <v>1085</v>
      </c>
      <c r="G1528" s="25">
        <v>44221</v>
      </c>
      <c r="H1528">
        <v>5</v>
      </c>
      <c r="I1528">
        <v>25</v>
      </c>
      <c r="J1528" t="s">
        <v>432</v>
      </c>
      <c r="K1528" t="s">
        <v>498</v>
      </c>
      <c r="L1528" t="s">
        <v>26</v>
      </c>
      <c r="M1528" t="s">
        <v>434</v>
      </c>
      <c r="N1528" t="s">
        <v>77</v>
      </c>
      <c r="O1528" t="s">
        <v>435</v>
      </c>
      <c r="P1528" t="s">
        <v>26</v>
      </c>
      <c r="Q1528">
        <v>155356.25</v>
      </c>
      <c r="R1528" t="s">
        <v>436</v>
      </c>
    </row>
    <row r="1529" spans="1:18" x14ac:dyDescent="0.25">
      <c r="A1529" t="s">
        <v>2674</v>
      </c>
      <c r="B1529">
        <v>745</v>
      </c>
      <c r="C1529" t="s">
        <v>487</v>
      </c>
      <c r="D1529" t="s">
        <v>231</v>
      </c>
      <c r="E1529" t="s">
        <v>537</v>
      </c>
      <c r="F1529" t="s">
        <v>1192</v>
      </c>
      <c r="G1529" s="25">
        <v>44230</v>
      </c>
      <c r="H1529">
        <v>7</v>
      </c>
      <c r="I1529">
        <v>34</v>
      </c>
      <c r="J1529" t="s">
        <v>432</v>
      </c>
      <c r="K1529" t="s">
        <v>497</v>
      </c>
      <c r="L1529" t="s">
        <v>438</v>
      </c>
      <c r="M1529" t="s">
        <v>434</v>
      </c>
      <c r="N1529" t="s">
        <v>75</v>
      </c>
      <c r="O1529" t="s">
        <v>435</v>
      </c>
      <c r="P1529" t="s">
        <v>438</v>
      </c>
      <c r="Q1529">
        <v>28800</v>
      </c>
      <c r="R1529" t="s">
        <v>436</v>
      </c>
    </row>
    <row r="1530" spans="1:18" x14ac:dyDescent="0.25">
      <c r="A1530" t="s">
        <v>1683</v>
      </c>
      <c r="B1530">
        <v>679</v>
      </c>
      <c r="C1530" t="s">
        <v>487</v>
      </c>
      <c r="D1530" t="s">
        <v>231</v>
      </c>
      <c r="E1530" t="s">
        <v>515</v>
      </c>
      <c r="F1530" t="s">
        <v>1150</v>
      </c>
      <c r="G1530" s="25">
        <v>44227</v>
      </c>
      <c r="H1530">
        <v>7</v>
      </c>
      <c r="I1530">
        <v>31</v>
      </c>
      <c r="J1530" t="s">
        <v>432</v>
      </c>
      <c r="K1530" t="s">
        <v>497</v>
      </c>
      <c r="L1530" t="s">
        <v>438</v>
      </c>
      <c r="M1530" t="s">
        <v>434</v>
      </c>
      <c r="N1530" t="s">
        <v>75</v>
      </c>
      <c r="O1530" t="s">
        <v>435</v>
      </c>
      <c r="P1530" t="s">
        <v>438</v>
      </c>
      <c r="Q1530">
        <v>28800</v>
      </c>
      <c r="R1530" t="s">
        <v>436</v>
      </c>
    </row>
    <row r="1531" spans="1:18" x14ac:dyDescent="0.25">
      <c r="A1531" t="s">
        <v>3701</v>
      </c>
      <c r="B1531">
        <v>2307</v>
      </c>
      <c r="C1531" t="s">
        <v>487</v>
      </c>
      <c r="D1531" t="s">
        <v>247</v>
      </c>
      <c r="E1531" t="s">
        <v>322</v>
      </c>
      <c r="F1531" t="s">
        <v>3083</v>
      </c>
      <c r="G1531" s="25">
        <v>44301</v>
      </c>
      <c r="H1531">
        <v>21</v>
      </c>
      <c r="I1531">
        <v>105</v>
      </c>
      <c r="J1531" t="s">
        <v>432</v>
      </c>
      <c r="K1531" t="s">
        <v>497</v>
      </c>
      <c r="L1531" t="s">
        <v>438</v>
      </c>
      <c r="M1531" t="s">
        <v>434</v>
      </c>
      <c r="N1531" t="s">
        <v>75</v>
      </c>
      <c r="O1531" t="s">
        <v>435</v>
      </c>
      <c r="P1531" t="s">
        <v>438</v>
      </c>
      <c r="Q1531">
        <v>41700</v>
      </c>
      <c r="R1531" t="s">
        <v>436</v>
      </c>
    </row>
    <row r="1532" spans="1:18" x14ac:dyDescent="0.25">
      <c r="A1532" t="s">
        <v>3702</v>
      </c>
      <c r="B1532">
        <v>1933</v>
      </c>
      <c r="C1532" t="s">
        <v>487</v>
      </c>
      <c r="D1532" t="s">
        <v>322</v>
      </c>
      <c r="E1532" t="s">
        <v>381</v>
      </c>
      <c r="F1532" t="s">
        <v>2971</v>
      </c>
      <c r="G1532" s="25">
        <v>44284</v>
      </c>
      <c r="H1532">
        <v>18</v>
      </c>
      <c r="I1532">
        <v>88</v>
      </c>
      <c r="J1532" t="s">
        <v>432</v>
      </c>
      <c r="K1532" t="s">
        <v>497</v>
      </c>
      <c r="L1532" t="s">
        <v>438</v>
      </c>
      <c r="M1532" t="s">
        <v>434</v>
      </c>
      <c r="N1532" t="s">
        <v>75</v>
      </c>
      <c r="O1532" t="s">
        <v>435</v>
      </c>
      <c r="P1532" t="s">
        <v>438</v>
      </c>
      <c r="Q1532">
        <v>55200</v>
      </c>
      <c r="R1532" t="s">
        <v>436</v>
      </c>
    </row>
    <row r="1533" spans="1:18" x14ac:dyDescent="0.25">
      <c r="A1533" t="s">
        <v>2407</v>
      </c>
      <c r="B1533">
        <v>1269</v>
      </c>
      <c r="C1533" t="s">
        <v>487</v>
      </c>
      <c r="D1533" t="s">
        <v>256</v>
      </c>
      <c r="E1533" t="s">
        <v>552</v>
      </c>
      <c r="F1533" t="s">
        <v>1365</v>
      </c>
      <c r="G1533" s="25">
        <v>44254</v>
      </c>
      <c r="H1533">
        <v>12</v>
      </c>
      <c r="I1533">
        <v>58</v>
      </c>
      <c r="J1533" t="s">
        <v>432</v>
      </c>
      <c r="K1533" t="s">
        <v>496</v>
      </c>
      <c r="L1533" t="s">
        <v>69</v>
      </c>
      <c r="M1533" t="s">
        <v>434</v>
      </c>
      <c r="N1533" t="s">
        <v>68</v>
      </c>
      <c r="O1533" t="s">
        <v>21</v>
      </c>
      <c r="P1533" t="s">
        <v>439</v>
      </c>
      <c r="Q1533">
        <v>413500</v>
      </c>
      <c r="R1533" t="s">
        <v>237</v>
      </c>
    </row>
    <row r="1534" spans="1:18" x14ac:dyDescent="0.25">
      <c r="A1534" t="s">
        <v>580</v>
      </c>
      <c r="B1534">
        <v>301</v>
      </c>
      <c r="C1534" t="s">
        <v>487</v>
      </c>
      <c r="D1534" t="s">
        <v>229</v>
      </c>
      <c r="E1534" t="s">
        <v>537</v>
      </c>
      <c r="F1534" t="s">
        <v>538</v>
      </c>
      <c r="G1534" s="25">
        <v>44210</v>
      </c>
      <c r="H1534">
        <v>3</v>
      </c>
      <c r="I1534">
        <v>14</v>
      </c>
      <c r="J1534" t="s">
        <v>432</v>
      </c>
      <c r="K1534" t="s">
        <v>496</v>
      </c>
      <c r="L1534" t="s">
        <v>69</v>
      </c>
      <c r="M1534" t="s">
        <v>434</v>
      </c>
      <c r="N1534" t="s">
        <v>68</v>
      </c>
      <c r="O1534" t="s">
        <v>21</v>
      </c>
      <c r="P1534" t="s">
        <v>439</v>
      </c>
      <c r="Q1534">
        <v>72000</v>
      </c>
      <c r="R1534" t="s">
        <v>237</v>
      </c>
    </row>
    <row r="1535" spans="1:18" x14ac:dyDescent="0.25">
      <c r="A1535" t="s">
        <v>3703</v>
      </c>
      <c r="B1535">
        <v>2479</v>
      </c>
      <c r="C1535" t="s">
        <v>487</v>
      </c>
      <c r="D1535" t="s">
        <v>247</v>
      </c>
      <c r="E1535" t="s">
        <v>512</v>
      </c>
      <c r="F1535" t="s">
        <v>3146</v>
      </c>
      <c r="G1535" s="25">
        <v>44309</v>
      </c>
      <c r="H1535">
        <v>23</v>
      </c>
      <c r="I1535">
        <v>113</v>
      </c>
      <c r="J1535" t="s">
        <v>432</v>
      </c>
      <c r="K1535" t="s">
        <v>496</v>
      </c>
      <c r="L1535" t="s">
        <v>69</v>
      </c>
      <c r="M1535" t="s">
        <v>434</v>
      </c>
      <c r="N1535" t="s">
        <v>68</v>
      </c>
      <c r="O1535" t="s">
        <v>21</v>
      </c>
      <c r="P1535" t="s">
        <v>439</v>
      </c>
      <c r="Q1535">
        <v>384000</v>
      </c>
      <c r="R1535" t="s">
        <v>237</v>
      </c>
    </row>
    <row r="1536" spans="1:18" x14ac:dyDescent="0.25">
      <c r="A1536" t="s">
        <v>3704</v>
      </c>
      <c r="B1536">
        <v>2171</v>
      </c>
      <c r="C1536" t="s">
        <v>487</v>
      </c>
      <c r="D1536" t="s">
        <v>322</v>
      </c>
      <c r="E1536" t="s">
        <v>531</v>
      </c>
      <c r="F1536" t="s">
        <v>3056</v>
      </c>
      <c r="G1536" s="25">
        <v>44295</v>
      </c>
      <c r="H1536">
        <v>20</v>
      </c>
      <c r="I1536">
        <v>99</v>
      </c>
      <c r="J1536" t="s">
        <v>432</v>
      </c>
      <c r="K1536" t="s">
        <v>496</v>
      </c>
      <c r="L1536" t="s">
        <v>69</v>
      </c>
      <c r="M1536" t="s">
        <v>434</v>
      </c>
      <c r="N1536" t="s">
        <v>68</v>
      </c>
      <c r="O1536" t="s">
        <v>21</v>
      </c>
      <c r="P1536" t="s">
        <v>439</v>
      </c>
      <c r="Q1536">
        <v>561000</v>
      </c>
      <c r="R1536" t="s">
        <v>237</v>
      </c>
    </row>
    <row r="1537" spans="1:18" x14ac:dyDescent="0.25">
      <c r="A1537" t="s">
        <v>3705</v>
      </c>
      <c r="B1537">
        <v>1863</v>
      </c>
      <c r="C1537" t="s">
        <v>487</v>
      </c>
      <c r="D1537" t="s">
        <v>322</v>
      </c>
      <c r="E1537" t="s">
        <v>322</v>
      </c>
      <c r="F1537" t="s">
        <v>2960</v>
      </c>
      <c r="G1537" s="25">
        <v>44281</v>
      </c>
      <c r="H1537">
        <v>17</v>
      </c>
      <c r="I1537">
        <v>85</v>
      </c>
      <c r="J1537" t="s">
        <v>432</v>
      </c>
      <c r="K1537" t="s">
        <v>496</v>
      </c>
      <c r="L1537" t="s">
        <v>69</v>
      </c>
      <c r="M1537" t="s">
        <v>434</v>
      </c>
      <c r="N1537" t="s">
        <v>68</v>
      </c>
      <c r="O1537" t="s">
        <v>21</v>
      </c>
      <c r="P1537" t="s">
        <v>439</v>
      </c>
      <c r="Q1537">
        <v>681000</v>
      </c>
      <c r="R1537" t="s">
        <v>237</v>
      </c>
    </row>
    <row r="1538" spans="1:18" x14ac:dyDescent="0.25">
      <c r="A1538" t="s">
        <v>373</v>
      </c>
      <c r="B1538">
        <v>16</v>
      </c>
      <c r="C1538" t="s">
        <v>487</v>
      </c>
      <c r="D1538" t="s">
        <v>229</v>
      </c>
      <c r="E1538" t="s">
        <v>229</v>
      </c>
      <c r="F1538" t="s">
        <v>230</v>
      </c>
      <c r="G1538" s="25">
        <v>44197</v>
      </c>
      <c r="H1538">
        <v>1</v>
      </c>
      <c r="I1538">
        <v>1</v>
      </c>
      <c r="J1538" t="s">
        <v>432</v>
      </c>
      <c r="K1538" t="s">
        <v>495</v>
      </c>
      <c r="L1538" t="s">
        <v>135</v>
      </c>
      <c r="M1538" t="s">
        <v>434</v>
      </c>
      <c r="N1538" t="s">
        <v>70</v>
      </c>
      <c r="O1538" t="s">
        <v>21</v>
      </c>
      <c r="P1538" t="s">
        <v>440</v>
      </c>
      <c r="Q1538">
        <v>0</v>
      </c>
      <c r="R1538" t="s">
        <v>237</v>
      </c>
    </row>
    <row r="1539" spans="1:18" x14ac:dyDescent="0.25">
      <c r="A1539" t="s">
        <v>2744</v>
      </c>
      <c r="B1539">
        <v>1754</v>
      </c>
      <c r="C1539" t="s">
        <v>487</v>
      </c>
      <c r="D1539" t="s">
        <v>261</v>
      </c>
      <c r="E1539" t="s">
        <v>408</v>
      </c>
      <c r="F1539" t="s">
        <v>1595</v>
      </c>
      <c r="G1539" s="25">
        <v>44276</v>
      </c>
      <c r="H1539">
        <v>16</v>
      </c>
      <c r="I1539">
        <v>80</v>
      </c>
      <c r="J1539" t="s">
        <v>432</v>
      </c>
      <c r="K1539" t="s">
        <v>495</v>
      </c>
      <c r="L1539" t="s">
        <v>135</v>
      </c>
      <c r="M1539" t="s">
        <v>434</v>
      </c>
      <c r="N1539" t="s">
        <v>70</v>
      </c>
      <c r="O1539" t="s">
        <v>21</v>
      </c>
      <c r="P1539" t="s">
        <v>440</v>
      </c>
      <c r="Q1539">
        <v>0</v>
      </c>
      <c r="R1539" t="s">
        <v>237</v>
      </c>
    </row>
    <row r="1540" spans="1:18" x14ac:dyDescent="0.25">
      <c r="A1540" t="s">
        <v>2005</v>
      </c>
      <c r="B1540">
        <v>1380</v>
      </c>
      <c r="C1540" t="s">
        <v>487</v>
      </c>
      <c r="D1540" t="s">
        <v>261</v>
      </c>
      <c r="E1540" t="s">
        <v>256</v>
      </c>
      <c r="F1540" t="s">
        <v>1402</v>
      </c>
      <c r="G1540" s="25">
        <v>44259</v>
      </c>
      <c r="H1540">
        <v>13</v>
      </c>
      <c r="I1540">
        <v>63</v>
      </c>
      <c r="J1540" t="s">
        <v>432</v>
      </c>
      <c r="K1540" t="s">
        <v>495</v>
      </c>
      <c r="L1540" t="s">
        <v>135</v>
      </c>
      <c r="M1540" t="s">
        <v>434</v>
      </c>
      <c r="N1540" t="s">
        <v>70</v>
      </c>
      <c r="O1540" t="s">
        <v>21</v>
      </c>
      <c r="P1540" t="s">
        <v>440</v>
      </c>
      <c r="Q1540">
        <v>305125</v>
      </c>
      <c r="R1540" t="s">
        <v>237</v>
      </c>
    </row>
    <row r="1541" spans="1:18" x14ac:dyDescent="0.25">
      <c r="A1541" t="s">
        <v>2060</v>
      </c>
      <c r="B1541">
        <v>786</v>
      </c>
      <c r="C1541" t="s">
        <v>487</v>
      </c>
      <c r="D1541" t="s">
        <v>231</v>
      </c>
      <c r="E1541" t="s">
        <v>620</v>
      </c>
      <c r="F1541" t="s">
        <v>1215</v>
      </c>
      <c r="G1541" s="25">
        <v>44232</v>
      </c>
      <c r="H1541">
        <v>8</v>
      </c>
      <c r="I1541">
        <v>36</v>
      </c>
      <c r="J1541" t="s">
        <v>432</v>
      </c>
      <c r="K1541" t="s">
        <v>495</v>
      </c>
      <c r="L1541" t="s">
        <v>135</v>
      </c>
      <c r="M1541" t="s">
        <v>434</v>
      </c>
      <c r="N1541" t="s">
        <v>70</v>
      </c>
      <c r="O1541" t="s">
        <v>21</v>
      </c>
      <c r="P1541" t="s">
        <v>440</v>
      </c>
      <c r="Q1541">
        <v>123125</v>
      </c>
      <c r="R1541" t="s">
        <v>237</v>
      </c>
    </row>
    <row r="1542" spans="1:18" x14ac:dyDescent="0.25">
      <c r="A1542" t="s">
        <v>818</v>
      </c>
      <c r="B1542">
        <v>306</v>
      </c>
      <c r="C1542" t="s">
        <v>487</v>
      </c>
      <c r="D1542" t="s">
        <v>229</v>
      </c>
      <c r="E1542" t="s">
        <v>537</v>
      </c>
      <c r="F1542" t="s">
        <v>538</v>
      </c>
      <c r="G1542" s="25">
        <v>44210</v>
      </c>
      <c r="H1542">
        <v>3</v>
      </c>
      <c r="I1542">
        <v>14</v>
      </c>
      <c r="J1542" t="s">
        <v>432</v>
      </c>
      <c r="K1542" t="s">
        <v>494</v>
      </c>
      <c r="L1542" t="s">
        <v>25</v>
      </c>
      <c r="M1542" t="s">
        <v>434</v>
      </c>
      <c r="N1542" t="s">
        <v>76</v>
      </c>
      <c r="O1542" t="s">
        <v>435</v>
      </c>
      <c r="P1542" t="s">
        <v>25</v>
      </c>
      <c r="Q1542">
        <v>0</v>
      </c>
      <c r="R1542" t="s">
        <v>436</v>
      </c>
    </row>
    <row r="1543" spans="1:18" x14ac:dyDescent="0.25">
      <c r="A1543" t="s">
        <v>3706</v>
      </c>
      <c r="B1543">
        <v>2484</v>
      </c>
      <c r="C1543" t="s">
        <v>487</v>
      </c>
      <c r="D1543" t="s">
        <v>247</v>
      </c>
      <c r="E1543" t="s">
        <v>512</v>
      </c>
      <c r="F1543" t="s">
        <v>3146</v>
      </c>
      <c r="G1543" s="25">
        <v>44309</v>
      </c>
      <c r="H1543">
        <v>23</v>
      </c>
      <c r="I1543">
        <v>113</v>
      </c>
      <c r="J1543" t="s">
        <v>432</v>
      </c>
      <c r="K1543" t="s">
        <v>494</v>
      </c>
      <c r="L1543" t="s">
        <v>25</v>
      </c>
      <c r="M1543" t="s">
        <v>434</v>
      </c>
      <c r="N1543" t="s">
        <v>76</v>
      </c>
      <c r="O1543" t="s">
        <v>435</v>
      </c>
      <c r="P1543" t="s">
        <v>25</v>
      </c>
      <c r="Q1543">
        <v>32700</v>
      </c>
      <c r="R1543" t="s">
        <v>436</v>
      </c>
    </row>
    <row r="1544" spans="1:18" x14ac:dyDescent="0.25">
      <c r="A1544" t="s">
        <v>3707</v>
      </c>
      <c r="B1544">
        <v>2220</v>
      </c>
      <c r="C1544" t="s">
        <v>487</v>
      </c>
      <c r="D1544" t="s">
        <v>247</v>
      </c>
      <c r="E1544" t="s">
        <v>229</v>
      </c>
      <c r="F1544" t="s">
        <v>3063</v>
      </c>
      <c r="G1544" s="25">
        <v>44297</v>
      </c>
      <c r="H1544">
        <v>21</v>
      </c>
      <c r="I1544">
        <v>101</v>
      </c>
      <c r="J1544" t="s">
        <v>432</v>
      </c>
      <c r="K1544" t="s">
        <v>494</v>
      </c>
      <c r="L1544" t="s">
        <v>25</v>
      </c>
      <c r="M1544" t="s">
        <v>434</v>
      </c>
      <c r="N1544" t="s">
        <v>76</v>
      </c>
      <c r="O1544" t="s">
        <v>435</v>
      </c>
      <c r="P1544" t="s">
        <v>25</v>
      </c>
      <c r="Q1544">
        <v>47250</v>
      </c>
      <c r="R1544" t="s">
        <v>436</v>
      </c>
    </row>
    <row r="1545" spans="1:18" x14ac:dyDescent="0.25">
      <c r="A1545" t="s">
        <v>2193</v>
      </c>
      <c r="B1545">
        <v>1274</v>
      </c>
      <c r="C1545" t="s">
        <v>487</v>
      </c>
      <c r="D1545" t="s">
        <v>256</v>
      </c>
      <c r="E1545" t="s">
        <v>552</v>
      </c>
      <c r="F1545" t="s">
        <v>1365</v>
      </c>
      <c r="G1545" s="25">
        <v>44254</v>
      </c>
      <c r="H1545">
        <v>12</v>
      </c>
      <c r="I1545">
        <v>58</v>
      </c>
      <c r="J1545" t="s">
        <v>432</v>
      </c>
      <c r="K1545" t="s">
        <v>494</v>
      </c>
      <c r="L1545" t="s">
        <v>25</v>
      </c>
      <c r="M1545" t="s">
        <v>434</v>
      </c>
      <c r="N1545" t="s">
        <v>76</v>
      </c>
      <c r="O1545" t="s">
        <v>435</v>
      </c>
      <c r="P1545" t="s">
        <v>25</v>
      </c>
      <c r="Q1545">
        <v>40500</v>
      </c>
      <c r="R1545" t="s">
        <v>436</v>
      </c>
    </row>
    <row r="1546" spans="1:18" x14ac:dyDescent="0.25">
      <c r="A1546" t="s">
        <v>3708</v>
      </c>
      <c r="B1546">
        <v>2068</v>
      </c>
      <c r="C1546" t="s">
        <v>487</v>
      </c>
      <c r="D1546" t="s">
        <v>322</v>
      </c>
      <c r="E1546" t="s">
        <v>537</v>
      </c>
      <c r="F1546" t="s">
        <v>2999</v>
      </c>
      <c r="G1546" s="25">
        <v>44290</v>
      </c>
      <c r="H1546">
        <v>19</v>
      </c>
      <c r="I1546">
        <v>94</v>
      </c>
      <c r="J1546" t="s">
        <v>432</v>
      </c>
      <c r="K1546" t="s">
        <v>493</v>
      </c>
      <c r="L1546" t="s">
        <v>441</v>
      </c>
      <c r="M1546" t="s">
        <v>434</v>
      </c>
      <c r="N1546" t="s">
        <v>78</v>
      </c>
      <c r="O1546" t="s">
        <v>435</v>
      </c>
      <c r="P1546" t="s">
        <v>441</v>
      </c>
      <c r="Q1546">
        <v>269548.75</v>
      </c>
      <c r="R1546" t="s">
        <v>436</v>
      </c>
    </row>
    <row r="1547" spans="1:18" x14ac:dyDescent="0.25">
      <c r="A1547" t="s">
        <v>3709</v>
      </c>
      <c r="B1547">
        <v>1826</v>
      </c>
      <c r="C1547" t="s">
        <v>487</v>
      </c>
      <c r="D1547" t="s">
        <v>322</v>
      </c>
      <c r="E1547" t="s">
        <v>256</v>
      </c>
      <c r="F1547" t="s">
        <v>2952</v>
      </c>
      <c r="G1547" s="25">
        <v>44279</v>
      </c>
      <c r="H1547">
        <v>17</v>
      </c>
      <c r="I1547">
        <v>83</v>
      </c>
      <c r="J1547" t="s">
        <v>432</v>
      </c>
      <c r="K1547" t="s">
        <v>493</v>
      </c>
      <c r="L1547" t="s">
        <v>441</v>
      </c>
      <c r="M1547" t="s">
        <v>434</v>
      </c>
      <c r="N1547" t="s">
        <v>78</v>
      </c>
      <c r="O1547" t="s">
        <v>435</v>
      </c>
      <c r="P1547" t="s">
        <v>441</v>
      </c>
      <c r="Q1547">
        <v>72756.25</v>
      </c>
      <c r="R1547" t="s">
        <v>436</v>
      </c>
    </row>
    <row r="1548" spans="1:18" x14ac:dyDescent="0.25">
      <c r="A1548" t="s">
        <v>2131</v>
      </c>
      <c r="B1548">
        <v>506</v>
      </c>
      <c r="C1548" t="s">
        <v>487</v>
      </c>
      <c r="D1548" t="s">
        <v>231</v>
      </c>
      <c r="E1548" t="s">
        <v>256</v>
      </c>
      <c r="F1548" t="s">
        <v>1064</v>
      </c>
      <c r="G1548" s="25">
        <v>44219</v>
      </c>
      <c r="H1548">
        <v>5</v>
      </c>
      <c r="I1548">
        <v>23</v>
      </c>
      <c r="J1548" t="s">
        <v>432</v>
      </c>
      <c r="K1548" t="s">
        <v>493</v>
      </c>
      <c r="L1548" t="s">
        <v>441</v>
      </c>
      <c r="M1548" t="s">
        <v>434</v>
      </c>
      <c r="N1548" t="s">
        <v>78</v>
      </c>
      <c r="O1548" t="s">
        <v>435</v>
      </c>
      <c r="P1548" t="s">
        <v>441</v>
      </c>
      <c r="Q1548">
        <v>8400</v>
      </c>
      <c r="R1548" t="s">
        <v>436</v>
      </c>
    </row>
    <row r="1549" spans="1:18" x14ac:dyDescent="0.25">
      <c r="A1549" t="s">
        <v>707</v>
      </c>
      <c r="B1549">
        <v>198</v>
      </c>
      <c r="C1549" t="s">
        <v>487</v>
      </c>
      <c r="D1549" t="s">
        <v>229</v>
      </c>
      <c r="E1549" t="s">
        <v>371</v>
      </c>
      <c r="F1549" t="s">
        <v>557</v>
      </c>
      <c r="G1549" s="25">
        <v>44205</v>
      </c>
      <c r="H1549">
        <v>2</v>
      </c>
      <c r="I1549">
        <v>9</v>
      </c>
      <c r="J1549" t="s">
        <v>432</v>
      </c>
      <c r="K1549" t="s">
        <v>493</v>
      </c>
      <c r="L1549" t="s">
        <v>441</v>
      </c>
      <c r="M1549" t="s">
        <v>434</v>
      </c>
      <c r="N1549" t="s">
        <v>78</v>
      </c>
      <c r="O1549" t="s">
        <v>435</v>
      </c>
      <c r="P1549" t="s">
        <v>441</v>
      </c>
      <c r="Q1549">
        <v>29400</v>
      </c>
      <c r="R1549" t="s">
        <v>436</v>
      </c>
    </row>
    <row r="1550" spans="1:18" x14ac:dyDescent="0.25">
      <c r="A1550" t="s">
        <v>3710</v>
      </c>
      <c r="B1550">
        <v>1931</v>
      </c>
      <c r="C1550" t="s">
        <v>487</v>
      </c>
      <c r="D1550" t="s">
        <v>322</v>
      </c>
      <c r="E1550" t="s">
        <v>381</v>
      </c>
      <c r="F1550" t="s">
        <v>2971</v>
      </c>
      <c r="G1550" s="25">
        <v>44284</v>
      </c>
      <c r="H1550">
        <v>18</v>
      </c>
      <c r="I1550">
        <v>88</v>
      </c>
      <c r="J1550" t="s">
        <v>432</v>
      </c>
      <c r="K1550" t="s">
        <v>492</v>
      </c>
      <c r="L1550" t="s">
        <v>24</v>
      </c>
      <c r="M1550" t="s">
        <v>434</v>
      </c>
      <c r="N1550" t="s">
        <v>71</v>
      </c>
      <c r="O1550" t="s">
        <v>435</v>
      </c>
      <c r="P1550" t="s">
        <v>24</v>
      </c>
      <c r="Q1550">
        <v>74400</v>
      </c>
      <c r="R1550" t="s">
        <v>436</v>
      </c>
    </row>
    <row r="1551" spans="1:18" x14ac:dyDescent="0.25">
      <c r="A1551" t="s">
        <v>2853</v>
      </c>
      <c r="B1551">
        <v>1579</v>
      </c>
      <c r="C1551" t="s">
        <v>487</v>
      </c>
      <c r="D1551" t="s">
        <v>261</v>
      </c>
      <c r="E1551" t="s">
        <v>232</v>
      </c>
      <c r="F1551" t="s">
        <v>1500</v>
      </c>
      <c r="G1551" s="25">
        <v>44268</v>
      </c>
      <c r="H1551">
        <v>15</v>
      </c>
      <c r="I1551">
        <v>72</v>
      </c>
      <c r="J1551" t="s">
        <v>432</v>
      </c>
      <c r="K1551" t="s">
        <v>492</v>
      </c>
      <c r="L1551" t="s">
        <v>24</v>
      </c>
      <c r="M1551" t="s">
        <v>434</v>
      </c>
      <c r="N1551" t="s">
        <v>71</v>
      </c>
      <c r="O1551" t="s">
        <v>435</v>
      </c>
      <c r="P1551" t="s">
        <v>24</v>
      </c>
      <c r="Q1551">
        <v>25800</v>
      </c>
      <c r="R1551" t="s">
        <v>436</v>
      </c>
    </row>
    <row r="1552" spans="1:18" x14ac:dyDescent="0.25">
      <c r="A1552" t="s">
        <v>2013</v>
      </c>
      <c r="B1552">
        <v>743</v>
      </c>
      <c r="C1552" t="s">
        <v>487</v>
      </c>
      <c r="D1552" t="s">
        <v>231</v>
      </c>
      <c r="E1552" t="s">
        <v>537</v>
      </c>
      <c r="F1552" t="s">
        <v>1192</v>
      </c>
      <c r="G1552" s="25">
        <v>44230</v>
      </c>
      <c r="H1552">
        <v>7</v>
      </c>
      <c r="I1552">
        <v>34</v>
      </c>
      <c r="J1552" t="s">
        <v>432</v>
      </c>
      <c r="K1552" t="s">
        <v>492</v>
      </c>
      <c r="L1552" t="s">
        <v>24</v>
      </c>
      <c r="M1552" t="s">
        <v>434</v>
      </c>
      <c r="N1552" t="s">
        <v>71</v>
      </c>
      <c r="O1552" t="s">
        <v>435</v>
      </c>
      <c r="P1552" t="s">
        <v>24</v>
      </c>
      <c r="Q1552">
        <v>14400</v>
      </c>
      <c r="R1552" t="s">
        <v>436</v>
      </c>
    </row>
    <row r="1553" spans="1:18" x14ac:dyDescent="0.25">
      <c r="A1553" t="s">
        <v>2909</v>
      </c>
      <c r="B1553">
        <v>677</v>
      </c>
      <c r="C1553" t="s">
        <v>487</v>
      </c>
      <c r="D1553" t="s">
        <v>231</v>
      </c>
      <c r="E1553" t="s">
        <v>515</v>
      </c>
      <c r="F1553" t="s">
        <v>1150</v>
      </c>
      <c r="G1553" s="25">
        <v>44227</v>
      </c>
      <c r="H1553">
        <v>7</v>
      </c>
      <c r="I1553">
        <v>31</v>
      </c>
      <c r="J1553" t="s">
        <v>432</v>
      </c>
      <c r="K1553" t="s">
        <v>492</v>
      </c>
      <c r="L1553" t="s">
        <v>24</v>
      </c>
      <c r="M1553" t="s">
        <v>434</v>
      </c>
      <c r="N1553" t="s">
        <v>71</v>
      </c>
      <c r="O1553" t="s">
        <v>435</v>
      </c>
      <c r="P1553" t="s">
        <v>24</v>
      </c>
      <c r="Q1553">
        <v>14400</v>
      </c>
      <c r="R1553" t="s">
        <v>436</v>
      </c>
    </row>
    <row r="1554" spans="1:18" x14ac:dyDescent="0.25">
      <c r="A1554" t="s">
        <v>2014</v>
      </c>
      <c r="B1554">
        <v>611</v>
      </c>
      <c r="C1554" t="s">
        <v>487</v>
      </c>
      <c r="D1554" t="s">
        <v>231</v>
      </c>
      <c r="E1554" t="s">
        <v>381</v>
      </c>
      <c r="F1554" t="s">
        <v>1099</v>
      </c>
      <c r="G1554" s="25">
        <v>44224</v>
      </c>
      <c r="H1554">
        <v>6</v>
      </c>
      <c r="I1554">
        <v>28</v>
      </c>
      <c r="J1554" t="s">
        <v>432</v>
      </c>
      <c r="K1554" t="s">
        <v>492</v>
      </c>
      <c r="L1554" t="s">
        <v>24</v>
      </c>
      <c r="M1554" t="s">
        <v>434</v>
      </c>
      <c r="N1554" t="s">
        <v>71</v>
      </c>
      <c r="O1554" t="s">
        <v>435</v>
      </c>
      <c r="P1554" t="s">
        <v>24</v>
      </c>
      <c r="Q1554">
        <v>20943.75</v>
      </c>
      <c r="R1554" t="s">
        <v>436</v>
      </c>
    </row>
    <row r="1555" spans="1:18" x14ac:dyDescent="0.25">
      <c r="A1555" t="s">
        <v>533</v>
      </c>
      <c r="B1555">
        <v>369</v>
      </c>
      <c r="C1555" t="s">
        <v>487</v>
      </c>
      <c r="D1555" t="s">
        <v>229</v>
      </c>
      <c r="E1555" t="s">
        <v>534</v>
      </c>
      <c r="F1555" t="s">
        <v>535</v>
      </c>
      <c r="G1555" s="25">
        <v>44213</v>
      </c>
      <c r="H1555">
        <v>4</v>
      </c>
      <c r="I1555">
        <v>17</v>
      </c>
      <c r="J1555" t="s">
        <v>432</v>
      </c>
      <c r="K1555" t="s">
        <v>492</v>
      </c>
      <c r="L1555" t="s">
        <v>24</v>
      </c>
      <c r="M1555" t="s">
        <v>434</v>
      </c>
      <c r="N1555" t="s">
        <v>71</v>
      </c>
      <c r="O1555" t="s">
        <v>435</v>
      </c>
      <c r="P1555" t="s">
        <v>24</v>
      </c>
      <c r="Q1555">
        <v>7200</v>
      </c>
      <c r="R1555" t="s">
        <v>436</v>
      </c>
    </row>
    <row r="1556" spans="1:18" x14ac:dyDescent="0.25">
      <c r="A1556" t="s">
        <v>3711</v>
      </c>
      <c r="B1556">
        <v>2547</v>
      </c>
      <c r="C1556" t="s">
        <v>487</v>
      </c>
      <c r="D1556" t="s">
        <v>247</v>
      </c>
      <c r="E1556" t="s">
        <v>620</v>
      </c>
      <c r="F1556" t="s">
        <v>3162</v>
      </c>
      <c r="G1556" s="25">
        <v>44312</v>
      </c>
      <c r="H1556">
        <v>24</v>
      </c>
      <c r="I1556">
        <v>116</v>
      </c>
      <c r="J1556" t="s">
        <v>432</v>
      </c>
      <c r="K1556" t="s">
        <v>492</v>
      </c>
      <c r="L1556" t="s">
        <v>24</v>
      </c>
      <c r="M1556" t="s">
        <v>434</v>
      </c>
      <c r="N1556" t="s">
        <v>71</v>
      </c>
      <c r="O1556" t="s">
        <v>435</v>
      </c>
      <c r="P1556" t="s">
        <v>24</v>
      </c>
      <c r="Q1556">
        <v>40500</v>
      </c>
      <c r="R1556" t="s">
        <v>436</v>
      </c>
    </row>
    <row r="1557" spans="1:18" x14ac:dyDescent="0.25">
      <c r="A1557" t="s">
        <v>2418</v>
      </c>
      <c r="B1557">
        <v>1592</v>
      </c>
      <c r="C1557" t="s">
        <v>487</v>
      </c>
      <c r="D1557" t="s">
        <v>261</v>
      </c>
      <c r="E1557" t="s">
        <v>512</v>
      </c>
      <c r="F1557" t="s">
        <v>1518</v>
      </c>
      <c r="G1557" s="25">
        <v>44269</v>
      </c>
      <c r="H1557">
        <v>15</v>
      </c>
      <c r="I1557">
        <v>73</v>
      </c>
      <c r="J1557" t="s">
        <v>231</v>
      </c>
      <c r="K1557" t="s">
        <v>491</v>
      </c>
      <c r="L1557" t="s">
        <v>233</v>
      </c>
      <c r="M1557" t="s">
        <v>234</v>
      </c>
      <c r="N1557" t="s">
        <v>54</v>
      </c>
      <c r="O1557" t="s">
        <v>235</v>
      </c>
      <c r="P1557" t="s">
        <v>236</v>
      </c>
      <c r="Q1557">
        <v>0</v>
      </c>
      <c r="R1557" t="s">
        <v>237</v>
      </c>
    </row>
    <row r="1558" spans="1:18" x14ac:dyDescent="0.25">
      <c r="A1558" t="s">
        <v>2695</v>
      </c>
      <c r="B1558">
        <v>1504</v>
      </c>
      <c r="C1558" t="s">
        <v>487</v>
      </c>
      <c r="D1558" t="s">
        <v>261</v>
      </c>
      <c r="E1558" t="s">
        <v>371</v>
      </c>
      <c r="F1558" t="s">
        <v>1478</v>
      </c>
      <c r="G1558" s="25">
        <v>44265</v>
      </c>
      <c r="H1558">
        <v>14</v>
      </c>
      <c r="I1558">
        <v>69</v>
      </c>
      <c r="J1558" t="s">
        <v>231</v>
      </c>
      <c r="K1558" t="s">
        <v>491</v>
      </c>
      <c r="L1558" t="s">
        <v>233</v>
      </c>
      <c r="M1558" t="s">
        <v>234</v>
      </c>
      <c r="N1558" t="s">
        <v>54</v>
      </c>
      <c r="O1558" t="s">
        <v>235</v>
      </c>
      <c r="P1558" t="s">
        <v>236</v>
      </c>
      <c r="Q1558">
        <v>0</v>
      </c>
      <c r="R1558" t="s">
        <v>237</v>
      </c>
    </row>
    <row r="1559" spans="1:18" x14ac:dyDescent="0.25">
      <c r="A1559" t="s">
        <v>2535</v>
      </c>
      <c r="B1559">
        <v>954</v>
      </c>
      <c r="C1559" t="s">
        <v>487</v>
      </c>
      <c r="D1559" t="s">
        <v>256</v>
      </c>
      <c r="E1559" t="s">
        <v>261</v>
      </c>
      <c r="F1559" t="s">
        <v>1276</v>
      </c>
      <c r="G1559" s="25">
        <v>44240</v>
      </c>
      <c r="H1559">
        <v>9</v>
      </c>
      <c r="I1559">
        <v>44</v>
      </c>
      <c r="J1559" t="s">
        <v>231</v>
      </c>
      <c r="K1559" t="s">
        <v>491</v>
      </c>
      <c r="L1559" t="s">
        <v>233</v>
      </c>
      <c r="M1559" t="s">
        <v>234</v>
      </c>
      <c r="N1559" t="s">
        <v>54</v>
      </c>
      <c r="O1559" t="s">
        <v>235</v>
      </c>
      <c r="P1559" t="s">
        <v>236</v>
      </c>
      <c r="Q1559">
        <v>731</v>
      </c>
      <c r="R1559" t="s">
        <v>237</v>
      </c>
    </row>
    <row r="1560" spans="1:18" x14ac:dyDescent="0.25">
      <c r="A1560" t="s">
        <v>2263</v>
      </c>
      <c r="B1560">
        <v>756</v>
      </c>
      <c r="C1560" t="s">
        <v>487</v>
      </c>
      <c r="D1560" t="s">
        <v>231</v>
      </c>
      <c r="E1560" t="s">
        <v>575</v>
      </c>
      <c r="F1560" t="s">
        <v>1210</v>
      </c>
      <c r="G1560" s="25">
        <v>44231</v>
      </c>
      <c r="H1560">
        <v>7</v>
      </c>
      <c r="I1560">
        <v>35</v>
      </c>
      <c r="J1560" t="s">
        <v>231</v>
      </c>
      <c r="K1560" t="s">
        <v>491</v>
      </c>
      <c r="L1560" t="s">
        <v>233</v>
      </c>
      <c r="M1560" t="s">
        <v>234</v>
      </c>
      <c r="N1560" t="s">
        <v>54</v>
      </c>
      <c r="O1560" t="s">
        <v>235</v>
      </c>
      <c r="P1560" t="s">
        <v>236</v>
      </c>
      <c r="Q1560">
        <v>0</v>
      </c>
      <c r="R1560" t="s">
        <v>237</v>
      </c>
    </row>
    <row r="1561" spans="1:18" x14ac:dyDescent="0.25">
      <c r="A1561" t="s">
        <v>776</v>
      </c>
      <c r="B1561">
        <v>382</v>
      </c>
      <c r="C1561" t="s">
        <v>487</v>
      </c>
      <c r="D1561" t="s">
        <v>229</v>
      </c>
      <c r="E1561" t="s">
        <v>552</v>
      </c>
      <c r="F1561" t="s">
        <v>553</v>
      </c>
      <c r="G1561" s="25">
        <v>44214</v>
      </c>
      <c r="H1561">
        <v>4</v>
      </c>
      <c r="I1561">
        <v>18</v>
      </c>
      <c r="J1561" t="s">
        <v>231</v>
      </c>
      <c r="K1561" t="s">
        <v>491</v>
      </c>
      <c r="L1561" t="s">
        <v>233</v>
      </c>
      <c r="M1561" t="s">
        <v>234</v>
      </c>
      <c r="N1561" t="s">
        <v>54</v>
      </c>
      <c r="O1561" t="s">
        <v>235</v>
      </c>
      <c r="P1561" t="s">
        <v>236</v>
      </c>
      <c r="Q1561">
        <v>0</v>
      </c>
      <c r="R1561" t="s">
        <v>237</v>
      </c>
    </row>
    <row r="1562" spans="1:18" x14ac:dyDescent="0.25">
      <c r="A1562" t="s">
        <v>2266</v>
      </c>
      <c r="B1562">
        <v>585</v>
      </c>
      <c r="C1562" t="s">
        <v>487</v>
      </c>
      <c r="D1562" t="s">
        <v>231</v>
      </c>
      <c r="E1562" t="s">
        <v>326</v>
      </c>
      <c r="F1562" t="s">
        <v>1095</v>
      </c>
      <c r="G1562" s="25">
        <v>44223</v>
      </c>
      <c r="H1562">
        <v>6</v>
      </c>
      <c r="I1562">
        <v>27</v>
      </c>
      <c r="J1562" t="s">
        <v>432</v>
      </c>
      <c r="K1562" t="s">
        <v>490</v>
      </c>
      <c r="L1562" t="s">
        <v>65</v>
      </c>
      <c r="M1562" t="s">
        <v>434</v>
      </c>
      <c r="N1562" t="s">
        <v>64</v>
      </c>
      <c r="O1562" t="s">
        <v>235</v>
      </c>
      <c r="P1562" t="s">
        <v>442</v>
      </c>
      <c r="Q1562">
        <v>8000</v>
      </c>
      <c r="R1562" t="s">
        <v>237</v>
      </c>
    </row>
    <row r="1563" spans="1:18" x14ac:dyDescent="0.25">
      <c r="A1563" t="s">
        <v>774</v>
      </c>
      <c r="B1563">
        <v>233</v>
      </c>
      <c r="C1563" t="s">
        <v>487</v>
      </c>
      <c r="D1563" t="s">
        <v>229</v>
      </c>
      <c r="E1563" t="s">
        <v>515</v>
      </c>
      <c r="F1563" t="s">
        <v>516</v>
      </c>
      <c r="G1563" s="25">
        <v>44207</v>
      </c>
      <c r="H1563">
        <v>3</v>
      </c>
      <c r="I1563">
        <v>11</v>
      </c>
      <c r="J1563" t="s">
        <v>432</v>
      </c>
      <c r="K1563" t="s">
        <v>490</v>
      </c>
      <c r="L1563" t="s">
        <v>65</v>
      </c>
      <c r="M1563" t="s">
        <v>434</v>
      </c>
      <c r="N1563" t="s">
        <v>64</v>
      </c>
      <c r="O1563" t="s">
        <v>235</v>
      </c>
      <c r="P1563" t="s">
        <v>442</v>
      </c>
      <c r="Q1563">
        <v>63000</v>
      </c>
      <c r="R1563" t="s">
        <v>237</v>
      </c>
    </row>
    <row r="1564" spans="1:18" x14ac:dyDescent="0.25">
      <c r="A1564" t="s">
        <v>3712</v>
      </c>
      <c r="B1564">
        <v>2565</v>
      </c>
      <c r="C1564" t="s">
        <v>487</v>
      </c>
      <c r="D1564" t="s">
        <v>247</v>
      </c>
      <c r="E1564" t="s">
        <v>534</v>
      </c>
      <c r="F1564" t="s">
        <v>3166</v>
      </c>
      <c r="G1564" s="25">
        <v>44313</v>
      </c>
      <c r="H1564">
        <v>24</v>
      </c>
      <c r="I1564">
        <v>117</v>
      </c>
      <c r="J1564" t="s">
        <v>432</v>
      </c>
      <c r="K1564" t="s">
        <v>490</v>
      </c>
      <c r="L1564" t="s">
        <v>65</v>
      </c>
      <c r="M1564" t="s">
        <v>434</v>
      </c>
      <c r="N1564" t="s">
        <v>64</v>
      </c>
      <c r="O1564" t="s">
        <v>235</v>
      </c>
      <c r="P1564" t="s">
        <v>442</v>
      </c>
      <c r="Q1564">
        <v>206625</v>
      </c>
      <c r="R1564" t="s">
        <v>237</v>
      </c>
    </row>
    <row r="1565" spans="1:18" x14ac:dyDescent="0.25">
      <c r="A1565" t="s">
        <v>3713</v>
      </c>
      <c r="B1565">
        <v>2103</v>
      </c>
      <c r="C1565" t="s">
        <v>487</v>
      </c>
      <c r="D1565" t="s">
        <v>322</v>
      </c>
      <c r="E1565" t="s">
        <v>620</v>
      </c>
      <c r="F1565" t="s">
        <v>3025</v>
      </c>
      <c r="G1565" s="25">
        <v>44292</v>
      </c>
      <c r="H1565">
        <v>20</v>
      </c>
      <c r="I1565">
        <v>96</v>
      </c>
      <c r="J1565" t="s">
        <v>432</v>
      </c>
      <c r="K1565" t="s">
        <v>490</v>
      </c>
      <c r="L1565" t="s">
        <v>65</v>
      </c>
      <c r="M1565" t="s">
        <v>434</v>
      </c>
      <c r="N1565" t="s">
        <v>64</v>
      </c>
      <c r="O1565" t="s">
        <v>235</v>
      </c>
      <c r="P1565" t="s">
        <v>442</v>
      </c>
      <c r="Q1565">
        <v>448000</v>
      </c>
      <c r="R1565" t="s">
        <v>237</v>
      </c>
    </row>
    <row r="1566" spans="1:18" x14ac:dyDescent="0.25">
      <c r="A1566" t="s">
        <v>3714</v>
      </c>
      <c r="B1566">
        <v>1795</v>
      </c>
      <c r="C1566" t="s">
        <v>487</v>
      </c>
      <c r="D1566" t="s">
        <v>322</v>
      </c>
      <c r="E1566" t="s">
        <v>231</v>
      </c>
      <c r="F1566" t="s">
        <v>2945</v>
      </c>
      <c r="G1566" s="25">
        <v>44278</v>
      </c>
      <c r="H1566">
        <v>17</v>
      </c>
      <c r="I1566">
        <v>82</v>
      </c>
      <c r="J1566" t="s">
        <v>432</v>
      </c>
      <c r="K1566" t="s">
        <v>490</v>
      </c>
      <c r="L1566" t="s">
        <v>65</v>
      </c>
      <c r="M1566" t="s">
        <v>434</v>
      </c>
      <c r="N1566" t="s">
        <v>64</v>
      </c>
      <c r="O1566" t="s">
        <v>235</v>
      </c>
      <c r="P1566" t="s">
        <v>442</v>
      </c>
      <c r="Q1566">
        <v>228000</v>
      </c>
      <c r="R1566" t="s">
        <v>237</v>
      </c>
    </row>
    <row r="1567" spans="1:18" x14ac:dyDescent="0.25">
      <c r="A1567" t="s">
        <v>2916</v>
      </c>
      <c r="B1567">
        <v>1487</v>
      </c>
      <c r="C1567" t="s">
        <v>487</v>
      </c>
      <c r="D1567" t="s">
        <v>261</v>
      </c>
      <c r="E1567" t="s">
        <v>381</v>
      </c>
      <c r="F1567" t="s">
        <v>1458</v>
      </c>
      <c r="G1567" s="25">
        <v>44264</v>
      </c>
      <c r="H1567">
        <v>14</v>
      </c>
      <c r="I1567">
        <v>68</v>
      </c>
      <c r="J1567" t="s">
        <v>432</v>
      </c>
      <c r="K1567" t="s">
        <v>490</v>
      </c>
      <c r="L1567" t="s">
        <v>65</v>
      </c>
      <c r="M1567" t="s">
        <v>434</v>
      </c>
      <c r="N1567" t="s">
        <v>64</v>
      </c>
      <c r="O1567" t="s">
        <v>235</v>
      </c>
      <c r="P1567" t="s">
        <v>442</v>
      </c>
      <c r="Q1567">
        <v>344000</v>
      </c>
      <c r="R1567" t="s">
        <v>237</v>
      </c>
    </row>
    <row r="1568" spans="1:18" x14ac:dyDescent="0.25">
      <c r="A1568" t="s">
        <v>3715</v>
      </c>
      <c r="B1568">
        <v>2262</v>
      </c>
      <c r="C1568" t="s">
        <v>487</v>
      </c>
      <c r="D1568" t="s">
        <v>247</v>
      </c>
      <c r="E1568" t="s">
        <v>256</v>
      </c>
      <c r="F1568" t="s">
        <v>3073</v>
      </c>
      <c r="G1568" s="25">
        <v>44299</v>
      </c>
      <c r="H1568">
        <v>21</v>
      </c>
      <c r="I1568">
        <v>103</v>
      </c>
      <c r="J1568" t="s">
        <v>432</v>
      </c>
      <c r="K1568" t="s">
        <v>488</v>
      </c>
      <c r="L1568" t="s">
        <v>433</v>
      </c>
      <c r="M1568" t="s">
        <v>434</v>
      </c>
      <c r="N1568" t="s">
        <v>74</v>
      </c>
      <c r="O1568" t="s">
        <v>435</v>
      </c>
      <c r="P1568" t="s">
        <v>433</v>
      </c>
      <c r="Q1568">
        <v>41700</v>
      </c>
      <c r="R1568" t="s">
        <v>436</v>
      </c>
    </row>
    <row r="1569" spans="1:18" x14ac:dyDescent="0.25">
      <c r="A1569" t="s">
        <v>3716</v>
      </c>
      <c r="B1569">
        <v>1888</v>
      </c>
      <c r="C1569" t="s">
        <v>487</v>
      </c>
      <c r="D1569" t="s">
        <v>322</v>
      </c>
      <c r="E1569" t="s">
        <v>247</v>
      </c>
      <c r="F1569" t="s">
        <v>2963</v>
      </c>
      <c r="G1569" s="25">
        <v>44282</v>
      </c>
      <c r="H1569">
        <v>18</v>
      </c>
      <c r="I1569">
        <v>86</v>
      </c>
      <c r="J1569" t="s">
        <v>432</v>
      </c>
      <c r="K1569" t="s">
        <v>488</v>
      </c>
      <c r="L1569" t="s">
        <v>433</v>
      </c>
      <c r="M1569" t="s">
        <v>434</v>
      </c>
      <c r="N1569" t="s">
        <v>74</v>
      </c>
      <c r="O1569" t="s">
        <v>435</v>
      </c>
      <c r="P1569" t="s">
        <v>433</v>
      </c>
      <c r="Q1569">
        <v>69600</v>
      </c>
      <c r="R1569" t="s">
        <v>436</v>
      </c>
    </row>
    <row r="1570" spans="1:18" x14ac:dyDescent="0.25">
      <c r="A1570" t="s">
        <v>2816</v>
      </c>
      <c r="B1570">
        <v>1052</v>
      </c>
      <c r="C1570" t="s">
        <v>487</v>
      </c>
      <c r="D1570" t="s">
        <v>256</v>
      </c>
      <c r="E1570" t="s">
        <v>381</v>
      </c>
      <c r="F1570" t="s">
        <v>1311</v>
      </c>
      <c r="G1570" s="25">
        <v>44244</v>
      </c>
      <c r="H1570">
        <v>10</v>
      </c>
      <c r="I1570">
        <v>48</v>
      </c>
      <c r="J1570" t="s">
        <v>432</v>
      </c>
      <c r="K1570" t="s">
        <v>488</v>
      </c>
      <c r="L1570" t="s">
        <v>433</v>
      </c>
      <c r="M1570" t="s">
        <v>434</v>
      </c>
      <c r="N1570" t="s">
        <v>74</v>
      </c>
      <c r="O1570" t="s">
        <v>435</v>
      </c>
      <c r="P1570" t="s">
        <v>433</v>
      </c>
      <c r="Q1570">
        <v>48000</v>
      </c>
      <c r="R1570" t="s">
        <v>436</v>
      </c>
    </row>
    <row r="1571" spans="1:18" x14ac:dyDescent="0.25">
      <c r="A1571" t="s">
        <v>321</v>
      </c>
      <c r="B1571">
        <v>84</v>
      </c>
      <c r="C1571" t="s">
        <v>487</v>
      </c>
      <c r="D1571" t="s">
        <v>229</v>
      </c>
      <c r="E1571" t="s">
        <v>261</v>
      </c>
      <c r="F1571" t="s">
        <v>549</v>
      </c>
      <c r="G1571" s="25">
        <v>44200</v>
      </c>
      <c r="H1571">
        <v>1</v>
      </c>
      <c r="I1571">
        <v>4</v>
      </c>
      <c r="J1571" t="s">
        <v>432</v>
      </c>
      <c r="K1571" t="s">
        <v>488</v>
      </c>
      <c r="L1571" t="s">
        <v>433</v>
      </c>
      <c r="M1571" t="s">
        <v>434</v>
      </c>
      <c r="N1571" t="s">
        <v>74</v>
      </c>
      <c r="O1571" t="s">
        <v>435</v>
      </c>
      <c r="P1571" t="s">
        <v>433</v>
      </c>
      <c r="Q1571">
        <v>10800</v>
      </c>
      <c r="R1571" t="s">
        <v>436</v>
      </c>
    </row>
    <row r="1572" spans="1:18" x14ac:dyDescent="0.25">
      <c r="A1572" t="s">
        <v>3717</v>
      </c>
      <c r="B1572">
        <v>2390</v>
      </c>
      <c r="C1572" t="s">
        <v>487</v>
      </c>
      <c r="D1572" t="s">
        <v>247</v>
      </c>
      <c r="E1572" t="s">
        <v>371</v>
      </c>
      <c r="F1572" t="s">
        <v>3112</v>
      </c>
      <c r="G1572" s="25">
        <v>44305</v>
      </c>
      <c r="H1572">
        <v>22</v>
      </c>
      <c r="I1572">
        <v>109</v>
      </c>
      <c r="J1572" t="s">
        <v>432</v>
      </c>
      <c r="K1572" t="s">
        <v>489</v>
      </c>
      <c r="L1572" t="s">
        <v>134</v>
      </c>
      <c r="M1572" t="s">
        <v>434</v>
      </c>
      <c r="N1572" t="s">
        <v>67</v>
      </c>
      <c r="O1572" t="s">
        <v>235</v>
      </c>
      <c r="P1572" t="s">
        <v>437</v>
      </c>
      <c r="Q1572">
        <v>328000</v>
      </c>
      <c r="R1572" t="s">
        <v>237</v>
      </c>
    </row>
    <row r="1573" spans="1:18" x14ac:dyDescent="0.25">
      <c r="A1573" t="s">
        <v>3718</v>
      </c>
      <c r="B1573">
        <v>2038</v>
      </c>
      <c r="C1573" t="s">
        <v>487</v>
      </c>
      <c r="D1573" t="s">
        <v>322</v>
      </c>
      <c r="E1573" t="s">
        <v>512</v>
      </c>
      <c r="F1573" t="s">
        <v>2991</v>
      </c>
      <c r="G1573" s="25">
        <v>44289</v>
      </c>
      <c r="H1573">
        <v>19</v>
      </c>
      <c r="I1573">
        <v>93</v>
      </c>
      <c r="J1573" t="s">
        <v>432</v>
      </c>
      <c r="K1573" t="s">
        <v>489</v>
      </c>
      <c r="L1573" t="s">
        <v>134</v>
      </c>
      <c r="M1573" t="s">
        <v>434</v>
      </c>
      <c r="N1573" t="s">
        <v>67</v>
      </c>
      <c r="O1573" t="s">
        <v>235</v>
      </c>
      <c r="P1573" t="s">
        <v>437</v>
      </c>
      <c r="Q1573">
        <v>448000</v>
      </c>
      <c r="R1573" t="s">
        <v>237</v>
      </c>
    </row>
    <row r="1574" spans="1:18" x14ac:dyDescent="0.25">
      <c r="A1574" t="s">
        <v>1906</v>
      </c>
      <c r="B1574">
        <v>1422</v>
      </c>
      <c r="C1574" t="s">
        <v>487</v>
      </c>
      <c r="D1574" t="s">
        <v>261</v>
      </c>
      <c r="E1574" t="s">
        <v>322</v>
      </c>
      <c r="F1574" t="s">
        <v>1417</v>
      </c>
      <c r="G1574" s="25">
        <v>44261</v>
      </c>
      <c r="H1574">
        <v>13</v>
      </c>
      <c r="I1574">
        <v>65</v>
      </c>
      <c r="J1574" t="s">
        <v>432</v>
      </c>
      <c r="K1574" t="s">
        <v>489</v>
      </c>
      <c r="L1574" t="s">
        <v>134</v>
      </c>
      <c r="M1574" t="s">
        <v>434</v>
      </c>
      <c r="N1574" t="s">
        <v>67</v>
      </c>
      <c r="O1574" t="s">
        <v>235</v>
      </c>
      <c r="P1574" t="s">
        <v>437</v>
      </c>
      <c r="Q1574">
        <v>344000</v>
      </c>
      <c r="R1574" t="s">
        <v>237</v>
      </c>
    </row>
    <row r="1575" spans="1:18" x14ac:dyDescent="0.25">
      <c r="A1575" t="s">
        <v>2860</v>
      </c>
      <c r="B1575">
        <v>1136</v>
      </c>
      <c r="C1575" t="s">
        <v>487</v>
      </c>
      <c r="D1575" t="s">
        <v>256</v>
      </c>
      <c r="E1575" t="s">
        <v>232</v>
      </c>
      <c r="F1575" t="s">
        <v>1337</v>
      </c>
      <c r="G1575" s="25">
        <v>44248</v>
      </c>
      <c r="H1575">
        <v>11</v>
      </c>
      <c r="I1575">
        <v>52</v>
      </c>
      <c r="J1575" t="s">
        <v>432</v>
      </c>
      <c r="K1575" t="s">
        <v>489</v>
      </c>
      <c r="L1575" t="s">
        <v>134</v>
      </c>
      <c r="M1575" t="s">
        <v>434</v>
      </c>
      <c r="N1575" t="s">
        <v>67</v>
      </c>
      <c r="O1575" t="s">
        <v>235</v>
      </c>
      <c r="P1575" t="s">
        <v>437</v>
      </c>
      <c r="Q1575">
        <v>374000</v>
      </c>
      <c r="R1575" t="s">
        <v>237</v>
      </c>
    </row>
    <row r="1576" spans="1:18" x14ac:dyDescent="0.25">
      <c r="A1576" t="s">
        <v>1908</v>
      </c>
      <c r="B1576">
        <v>828</v>
      </c>
      <c r="C1576" t="s">
        <v>487</v>
      </c>
      <c r="D1576" t="s">
        <v>231</v>
      </c>
      <c r="E1576" t="s">
        <v>552</v>
      </c>
      <c r="F1576" t="s">
        <v>1222</v>
      </c>
      <c r="G1576" s="25">
        <v>44234</v>
      </c>
      <c r="H1576">
        <v>8</v>
      </c>
      <c r="I1576">
        <v>38</v>
      </c>
      <c r="J1576" t="s">
        <v>432</v>
      </c>
      <c r="K1576" t="s">
        <v>489</v>
      </c>
      <c r="L1576" t="s">
        <v>134</v>
      </c>
      <c r="M1576" t="s">
        <v>434</v>
      </c>
      <c r="N1576" t="s">
        <v>67</v>
      </c>
      <c r="O1576" t="s">
        <v>235</v>
      </c>
      <c r="P1576" t="s">
        <v>437</v>
      </c>
      <c r="Q1576">
        <v>240000</v>
      </c>
      <c r="R1576" t="s">
        <v>237</v>
      </c>
    </row>
    <row r="1577" spans="1:18" x14ac:dyDescent="0.25">
      <c r="A1577" t="s">
        <v>2078</v>
      </c>
      <c r="B1577">
        <v>520</v>
      </c>
      <c r="C1577" t="s">
        <v>487</v>
      </c>
      <c r="D1577" t="s">
        <v>231</v>
      </c>
      <c r="E1577" t="s">
        <v>261</v>
      </c>
      <c r="F1577" t="s">
        <v>1065</v>
      </c>
      <c r="G1577" s="25">
        <v>44220</v>
      </c>
      <c r="H1577">
        <v>5</v>
      </c>
      <c r="I1577">
        <v>24</v>
      </c>
      <c r="J1577" t="s">
        <v>432</v>
      </c>
      <c r="K1577" t="s">
        <v>489</v>
      </c>
      <c r="L1577" t="s">
        <v>134</v>
      </c>
      <c r="M1577" t="s">
        <v>434</v>
      </c>
      <c r="N1577" t="s">
        <v>67</v>
      </c>
      <c r="O1577" t="s">
        <v>235</v>
      </c>
      <c r="P1577" t="s">
        <v>437</v>
      </c>
      <c r="Q1577">
        <v>24000</v>
      </c>
      <c r="R1577" t="s">
        <v>237</v>
      </c>
    </row>
    <row r="1578" spans="1:18" x14ac:dyDescent="0.25">
      <c r="A1578" t="s">
        <v>2153</v>
      </c>
      <c r="B1578">
        <v>1609</v>
      </c>
      <c r="C1578" t="s">
        <v>487</v>
      </c>
      <c r="D1578" t="s">
        <v>261</v>
      </c>
      <c r="E1578" t="s">
        <v>537</v>
      </c>
      <c r="F1578" t="s">
        <v>1530</v>
      </c>
      <c r="G1578" s="25">
        <v>44270</v>
      </c>
      <c r="H1578">
        <v>15</v>
      </c>
      <c r="I1578">
        <v>74</v>
      </c>
      <c r="J1578" t="s">
        <v>231</v>
      </c>
      <c r="K1578" t="s">
        <v>509</v>
      </c>
      <c r="L1578" t="s">
        <v>45</v>
      </c>
      <c r="M1578" t="s">
        <v>234</v>
      </c>
      <c r="N1578" t="s">
        <v>44</v>
      </c>
      <c r="O1578" t="s">
        <v>21</v>
      </c>
      <c r="P1578" t="s">
        <v>304</v>
      </c>
      <c r="Q1578">
        <v>167</v>
      </c>
      <c r="R1578" t="s">
        <v>237</v>
      </c>
    </row>
    <row r="1579" spans="1:18" x14ac:dyDescent="0.25">
      <c r="A1579" t="s">
        <v>2330</v>
      </c>
      <c r="B1579">
        <v>861</v>
      </c>
      <c r="C1579" t="s">
        <v>487</v>
      </c>
      <c r="D1579" t="s">
        <v>231</v>
      </c>
      <c r="E1579" t="s">
        <v>408</v>
      </c>
      <c r="F1579" t="s">
        <v>1234</v>
      </c>
      <c r="G1579" s="25">
        <v>44236</v>
      </c>
      <c r="H1579">
        <v>8</v>
      </c>
      <c r="I1579">
        <v>40</v>
      </c>
      <c r="J1579" t="s">
        <v>231</v>
      </c>
      <c r="K1579" t="s">
        <v>509</v>
      </c>
      <c r="L1579" t="s">
        <v>45</v>
      </c>
      <c r="M1579" t="s">
        <v>234</v>
      </c>
      <c r="N1579" t="s">
        <v>44</v>
      </c>
      <c r="O1579" t="s">
        <v>21</v>
      </c>
      <c r="P1579" t="s">
        <v>304</v>
      </c>
      <c r="Q1579">
        <v>47663</v>
      </c>
      <c r="R1579" t="s">
        <v>237</v>
      </c>
    </row>
    <row r="1580" spans="1:18" x14ac:dyDescent="0.25">
      <c r="A1580" t="s">
        <v>2590</v>
      </c>
      <c r="B1580">
        <v>1478</v>
      </c>
      <c r="C1580" t="s">
        <v>487</v>
      </c>
      <c r="D1580" t="s">
        <v>261</v>
      </c>
      <c r="E1580" t="s">
        <v>381</v>
      </c>
      <c r="F1580" t="s">
        <v>1458</v>
      </c>
      <c r="G1580" s="25">
        <v>44264</v>
      </c>
      <c r="H1580">
        <v>14</v>
      </c>
      <c r="I1580">
        <v>68</v>
      </c>
      <c r="J1580" t="s">
        <v>231</v>
      </c>
      <c r="K1580" t="s">
        <v>508</v>
      </c>
      <c r="L1580" t="s">
        <v>47</v>
      </c>
      <c r="M1580" t="s">
        <v>234</v>
      </c>
      <c r="N1580" t="s">
        <v>46</v>
      </c>
      <c r="O1580" t="s">
        <v>21</v>
      </c>
      <c r="P1580" t="s">
        <v>288</v>
      </c>
      <c r="Q1580">
        <v>1171</v>
      </c>
      <c r="R1580" t="s">
        <v>237</v>
      </c>
    </row>
    <row r="1581" spans="1:18" x14ac:dyDescent="0.25">
      <c r="A1581" t="s">
        <v>2647</v>
      </c>
      <c r="B1581">
        <v>752</v>
      </c>
      <c r="C1581" t="s">
        <v>487</v>
      </c>
      <c r="D1581" t="s">
        <v>231</v>
      </c>
      <c r="E1581" t="s">
        <v>575</v>
      </c>
      <c r="F1581" t="s">
        <v>1210</v>
      </c>
      <c r="G1581" s="25">
        <v>44231</v>
      </c>
      <c r="H1581">
        <v>7</v>
      </c>
      <c r="I1581">
        <v>35</v>
      </c>
      <c r="J1581" t="s">
        <v>231</v>
      </c>
      <c r="K1581" t="s">
        <v>508</v>
      </c>
      <c r="L1581" t="s">
        <v>47</v>
      </c>
      <c r="M1581" t="s">
        <v>234</v>
      </c>
      <c r="N1581" t="s">
        <v>46</v>
      </c>
      <c r="O1581" t="s">
        <v>21</v>
      </c>
      <c r="P1581" t="s">
        <v>288</v>
      </c>
      <c r="Q1581">
        <v>0</v>
      </c>
      <c r="R1581" t="s">
        <v>237</v>
      </c>
    </row>
    <row r="1582" spans="1:18" x14ac:dyDescent="0.25">
      <c r="A1582" t="s">
        <v>833</v>
      </c>
      <c r="B1582">
        <v>378</v>
      </c>
      <c r="C1582" t="s">
        <v>487</v>
      </c>
      <c r="D1582" t="s">
        <v>229</v>
      </c>
      <c r="E1582" t="s">
        <v>552</v>
      </c>
      <c r="F1582" t="s">
        <v>553</v>
      </c>
      <c r="G1582" s="25">
        <v>44214</v>
      </c>
      <c r="H1582">
        <v>4</v>
      </c>
      <c r="I1582">
        <v>18</v>
      </c>
      <c r="J1582" t="s">
        <v>231</v>
      </c>
      <c r="K1582" t="s">
        <v>508</v>
      </c>
      <c r="L1582" t="s">
        <v>47</v>
      </c>
      <c r="M1582" t="s">
        <v>234</v>
      </c>
      <c r="N1582" t="s">
        <v>46</v>
      </c>
      <c r="O1582" t="s">
        <v>21</v>
      </c>
      <c r="P1582" t="s">
        <v>288</v>
      </c>
      <c r="Q1582">
        <v>0</v>
      </c>
      <c r="R1582" t="s">
        <v>237</v>
      </c>
    </row>
    <row r="1583" spans="1:18" x14ac:dyDescent="0.25">
      <c r="A1583" t="s">
        <v>3719</v>
      </c>
      <c r="B1583">
        <v>2556</v>
      </c>
      <c r="C1583" t="s">
        <v>487</v>
      </c>
      <c r="D1583" t="s">
        <v>247</v>
      </c>
      <c r="E1583" t="s">
        <v>534</v>
      </c>
      <c r="F1583" t="s">
        <v>3166</v>
      </c>
      <c r="G1583" s="25">
        <v>44313</v>
      </c>
      <c r="H1583">
        <v>24</v>
      </c>
      <c r="I1583">
        <v>117</v>
      </c>
      <c r="J1583" t="s">
        <v>231</v>
      </c>
      <c r="K1583" t="s">
        <v>508</v>
      </c>
      <c r="L1583" t="s">
        <v>47</v>
      </c>
      <c r="M1583" t="s">
        <v>234</v>
      </c>
      <c r="N1583" t="s">
        <v>46</v>
      </c>
      <c r="O1583" t="s">
        <v>21</v>
      </c>
      <c r="P1583" t="s">
        <v>288</v>
      </c>
      <c r="Q1583">
        <v>0</v>
      </c>
      <c r="R1583" t="s">
        <v>237</v>
      </c>
    </row>
    <row r="1584" spans="1:18" x14ac:dyDescent="0.25">
      <c r="A1584" t="s">
        <v>3720</v>
      </c>
      <c r="B1584">
        <v>2094</v>
      </c>
      <c r="C1584" t="s">
        <v>487</v>
      </c>
      <c r="D1584" t="s">
        <v>322</v>
      </c>
      <c r="E1584" t="s">
        <v>620</v>
      </c>
      <c r="F1584" t="s">
        <v>3025</v>
      </c>
      <c r="G1584" s="25">
        <v>44292</v>
      </c>
      <c r="H1584">
        <v>20</v>
      </c>
      <c r="I1584">
        <v>96</v>
      </c>
      <c r="J1584" t="s">
        <v>231</v>
      </c>
      <c r="K1584" t="s">
        <v>508</v>
      </c>
      <c r="L1584" t="s">
        <v>47</v>
      </c>
      <c r="M1584" t="s">
        <v>234</v>
      </c>
      <c r="N1584" t="s">
        <v>46</v>
      </c>
      <c r="O1584" t="s">
        <v>21</v>
      </c>
      <c r="P1584" t="s">
        <v>288</v>
      </c>
      <c r="Q1584">
        <v>20875</v>
      </c>
      <c r="R1584" t="s">
        <v>237</v>
      </c>
    </row>
    <row r="1585" spans="1:18" x14ac:dyDescent="0.25">
      <c r="A1585" t="s">
        <v>2031</v>
      </c>
      <c r="B1585">
        <v>1303</v>
      </c>
      <c r="C1585" t="s">
        <v>487</v>
      </c>
      <c r="D1585" t="s">
        <v>256</v>
      </c>
      <c r="E1585" t="s">
        <v>408</v>
      </c>
      <c r="F1585" t="s">
        <v>1383</v>
      </c>
      <c r="G1585" s="25">
        <v>44256</v>
      </c>
      <c r="H1585">
        <v>12</v>
      </c>
      <c r="I1585">
        <v>60</v>
      </c>
      <c r="J1585" t="s">
        <v>231</v>
      </c>
      <c r="K1585" t="s">
        <v>507</v>
      </c>
      <c r="L1585" t="s">
        <v>49</v>
      </c>
      <c r="M1585" t="s">
        <v>234</v>
      </c>
      <c r="N1585" t="s">
        <v>48</v>
      </c>
      <c r="O1585" t="s">
        <v>21</v>
      </c>
      <c r="P1585" t="s">
        <v>413</v>
      </c>
      <c r="Q1585">
        <v>0</v>
      </c>
      <c r="R1585" t="s">
        <v>237</v>
      </c>
    </row>
    <row r="1586" spans="1:18" x14ac:dyDescent="0.25">
      <c r="A1586" t="s">
        <v>3721</v>
      </c>
      <c r="B1586">
        <v>1963</v>
      </c>
      <c r="C1586" t="s">
        <v>487</v>
      </c>
      <c r="D1586" t="s">
        <v>322</v>
      </c>
      <c r="E1586" t="s">
        <v>239</v>
      </c>
      <c r="F1586" t="s">
        <v>2979</v>
      </c>
      <c r="G1586" s="25">
        <v>44286</v>
      </c>
      <c r="H1586">
        <v>18</v>
      </c>
      <c r="I1586">
        <v>90</v>
      </c>
      <c r="J1586" t="s">
        <v>231</v>
      </c>
      <c r="K1586" t="s">
        <v>507</v>
      </c>
      <c r="L1586" t="s">
        <v>49</v>
      </c>
      <c r="M1586" t="s">
        <v>234</v>
      </c>
      <c r="N1586" t="s">
        <v>48</v>
      </c>
      <c r="O1586" t="s">
        <v>21</v>
      </c>
      <c r="P1586" t="s">
        <v>413</v>
      </c>
      <c r="Q1586">
        <v>0</v>
      </c>
      <c r="R1586" t="s">
        <v>237</v>
      </c>
    </row>
    <row r="1587" spans="1:18" x14ac:dyDescent="0.25">
      <c r="A1587" t="s">
        <v>1562</v>
      </c>
      <c r="B1587">
        <v>468</v>
      </c>
      <c r="C1587" t="s">
        <v>487</v>
      </c>
      <c r="D1587" t="s">
        <v>231</v>
      </c>
      <c r="E1587" t="s">
        <v>231</v>
      </c>
      <c r="F1587" t="s">
        <v>1080</v>
      </c>
      <c r="G1587" s="25">
        <v>44218</v>
      </c>
      <c r="H1587">
        <v>5</v>
      </c>
      <c r="I1587">
        <v>22</v>
      </c>
      <c r="J1587" t="s">
        <v>231</v>
      </c>
      <c r="K1587" t="s">
        <v>506</v>
      </c>
      <c r="L1587" t="s">
        <v>414</v>
      </c>
      <c r="M1587" t="s">
        <v>234</v>
      </c>
      <c r="N1587" t="s">
        <v>50</v>
      </c>
      <c r="O1587" t="s">
        <v>21</v>
      </c>
      <c r="P1587" t="s">
        <v>411</v>
      </c>
      <c r="Q1587">
        <v>0</v>
      </c>
      <c r="R1587" t="s">
        <v>237</v>
      </c>
    </row>
    <row r="1588" spans="1:18" x14ac:dyDescent="0.25">
      <c r="A1588" t="s">
        <v>605</v>
      </c>
      <c r="B1588">
        <v>160</v>
      </c>
      <c r="C1588" t="s">
        <v>487</v>
      </c>
      <c r="D1588" t="s">
        <v>229</v>
      </c>
      <c r="E1588" t="s">
        <v>381</v>
      </c>
      <c r="F1588" t="s">
        <v>518</v>
      </c>
      <c r="G1588" s="25">
        <v>44204</v>
      </c>
      <c r="H1588">
        <v>2</v>
      </c>
      <c r="I1588">
        <v>8</v>
      </c>
      <c r="J1588" t="s">
        <v>231</v>
      </c>
      <c r="K1588" t="s">
        <v>506</v>
      </c>
      <c r="L1588" t="s">
        <v>414</v>
      </c>
      <c r="M1588" t="s">
        <v>234</v>
      </c>
      <c r="N1588" t="s">
        <v>50</v>
      </c>
      <c r="O1588" t="s">
        <v>21</v>
      </c>
      <c r="P1588" t="s">
        <v>411</v>
      </c>
      <c r="Q1588">
        <v>0</v>
      </c>
      <c r="R1588" t="s">
        <v>237</v>
      </c>
    </row>
    <row r="1589" spans="1:18" x14ac:dyDescent="0.25">
      <c r="A1589" t="s">
        <v>3722</v>
      </c>
      <c r="B1589">
        <v>2338</v>
      </c>
      <c r="C1589" t="s">
        <v>487</v>
      </c>
      <c r="D1589" t="s">
        <v>247</v>
      </c>
      <c r="E1589" t="s">
        <v>326</v>
      </c>
      <c r="F1589" t="s">
        <v>3091</v>
      </c>
      <c r="G1589" s="25">
        <v>44303</v>
      </c>
      <c r="H1589">
        <v>22</v>
      </c>
      <c r="I1589">
        <v>107</v>
      </c>
      <c r="J1589" t="s">
        <v>231</v>
      </c>
      <c r="K1589" t="s">
        <v>506</v>
      </c>
      <c r="L1589" t="s">
        <v>414</v>
      </c>
      <c r="M1589" t="s">
        <v>234</v>
      </c>
      <c r="N1589" t="s">
        <v>50</v>
      </c>
      <c r="O1589" t="s">
        <v>21</v>
      </c>
      <c r="P1589" t="s">
        <v>411</v>
      </c>
      <c r="Q1589">
        <v>0</v>
      </c>
      <c r="R1589" t="s">
        <v>237</v>
      </c>
    </row>
    <row r="1590" spans="1:18" x14ac:dyDescent="0.25">
      <c r="A1590" t="s">
        <v>3723</v>
      </c>
      <c r="B1590">
        <v>1986</v>
      </c>
      <c r="C1590" t="s">
        <v>487</v>
      </c>
      <c r="D1590" t="s">
        <v>322</v>
      </c>
      <c r="E1590" t="s">
        <v>515</v>
      </c>
      <c r="F1590" t="s">
        <v>2983</v>
      </c>
      <c r="G1590" s="25">
        <v>44287</v>
      </c>
      <c r="H1590">
        <v>19</v>
      </c>
      <c r="I1590">
        <v>91</v>
      </c>
      <c r="J1590" t="s">
        <v>231</v>
      </c>
      <c r="K1590" t="s">
        <v>506</v>
      </c>
      <c r="L1590" t="s">
        <v>414</v>
      </c>
      <c r="M1590" t="s">
        <v>234</v>
      </c>
      <c r="N1590" t="s">
        <v>50</v>
      </c>
      <c r="O1590" t="s">
        <v>21</v>
      </c>
      <c r="P1590" t="s">
        <v>411</v>
      </c>
      <c r="Q1590">
        <v>0</v>
      </c>
      <c r="R1590" t="s">
        <v>237</v>
      </c>
    </row>
    <row r="1591" spans="1:18" x14ac:dyDescent="0.25">
      <c r="A1591" t="s">
        <v>2867</v>
      </c>
      <c r="B1591">
        <v>1370</v>
      </c>
      <c r="C1591" t="s">
        <v>487</v>
      </c>
      <c r="D1591" t="s">
        <v>261</v>
      </c>
      <c r="E1591" t="s">
        <v>256</v>
      </c>
      <c r="F1591" t="s">
        <v>1402</v>
      </c>
      <c r="G1591" s="25">
        <v>44259</v>
      </c>
      <c r="H1591">
        <v>13</v>
      </c>
      <c r="I1591">
        <v>63</v>
      </c>
      <c r="J1591" t="s">
        <v>231</v>
      </c>
      <c r="K1591" t="s">
        <v>506</v>
      </c>
      <c r="L1591" t="s">
        <v>414</v>
      </c>
      <c r="M1591" t="s">
        <v>234</v>
      </c>
      <c r="N1591" t="s">
        <v>50</v>
      </c>
      <c r="O1591" t="s">
        <v>21</v>
      </c>
      <c r="P1591" t="s">
        <v>411</v>
      </c>
      <c r="Q1591">
        <v>0</v>
      </c>
      <c r="R1591" t="s">
        <v>237</v>
      </c>
    </row>
    <row r="1592" spans="1:18" x14ac:dyDescent="0.25">
      <c r="A1592" t="s">
        <v>2828</v>
      </c>
      <c r="B1592">
        <v>776</v>
      </c>
      <c r="C1592" t="s">
        <v>487</v>
      </c>
      <c r="D1592" t="s">
        <v>231</v>
      </c>
      <c r="E1592" t="s">
        <v>620</v>
      </c>
      <c r="F1592" t="s">
        <v>1215</v>
      </c>
      <c r="G1592" s="25">
        <v>44232</v>
      </c>
      <c r="H1592">
        <v>8</v>
      </c>
      <c r="I1592">
        <v>36</v>
      </c>
      <c r="J1592" t="s">
        <v>231</v>
      </c>
      <c r="K1592" t="s">
        <v>506</v>
      </c>
      <c r="L1592" t="s">
        <v>414</v>
      </c>
      <c r="M1592" t="s">
        <v>234</v>
      </c>
      <c r="N1592" t="s">
        <v>50</v>
      </c>
      <c r="O1592" t="s">
        <v>21</v>
      </c>
      <c r="P1592" t="s">
        <v>411</v>
      </c>
      <c r="Q1592">
        <v>0</v>
      </c>
      <c r="R1592" t="s">
        <v>237</v>
      </c>
    </row>
    <row r="1593" spans="1:18" x14ac:dyDescent="0.25">
      <c r="A1593" t="s">
        <v>274</v>
      </c>
      <c r="B1593">
        <v>111</v>
      </c>
      <c r="C1593" t="s">
        <v>487</v>
      </c>
      <c r="D1593" t="s">
        <v>229</v>
      </c>
      <c r="E1593" t="s">
        <v>247</v>
      </c>
      <c r="F1593" t="s">
        <v>524</v>
      </c>
      <c r="G1593" s="25">
        <v>44202</v>
      </c>
      <c r="H1593">
        <v>2</v>
      </c>
      <c r="I1593">
        <v>6</v>
      </c>
      <c r="J1593" t="s">
        <v>231</v>
      </c>
      <c r="K1593" t="s">
        <v>505</v>
      </c>
      <c r="L1593" t="s">
        <v>41</v>
      </c>
      <c r="M1593" t="s">
        <v>234</v>
      </c>
      <c r="N1593" t="s">
        <v>40</v>
      </c>
      <c r="O1593" t="s">
        <v>21</v>
      </c>
      <c r="P1593" t="s">
        <v>266</v>
      </c>
      <c r="Q1593">
        <v>0</v>
      </c>
      <c r="R1593" t="s">
        <v>237</v>
      </c>
    </row>
    <row r="1594" spans="1:18" x14ac:dyDescent="0.25">
      <c r="A1594" t="s">
        <v>3724</v>
      </c>
      <c r="B1594">
        <v>2091</v>
      </c>
      <c r="C1594" t="s">
        <v>487</v>
      </c>
      <c r="D1594" t="s">
        <v>322</v>
      </c>
      <c r="E1594" t="s">
        <v>620</v>
      </c>
      <c r="F1594" t="s">
        <v>3025</v>
      </c>
      <c r="G1594" s="25">
        <v>44292</v>
      </c>
      <c r="H1594">
        <v>20</v>
      </c>
      <c r="I1594">
        <v>96</v>
      </c>
      <c r="J1594" t="s">
        <v>231</v>
      </c>
      <c r="K1594" t="s">
        <v>505</v>
      </c>
      <c r="L1594" t="s">
        <v>41</v>
      </c>
      <c r="M1594" t="s">
        <v>234</v>
      </c>
      <c r="N1594" t="s">
        <v>40</v>
      </c>
      <c r="O1594" t="s">
        <v>21</v>
      </c>
      <c r="P1594" t="s">
        <v>266</v>
      </c>
      <c r="Q1594">
        <v>813</v>
      </c>
      <c r="R1594" t="s">
        <v>237</v>
      </c>
    </row>
    <row r="1595" spans="1:18" x14ac:dyDescent="0.25">
      <c r="A1595" t="s">
        <v>2513</v>
      </c>
      <c r="B1595">
        <v>1410</v>
      </c>
      <c r="C1595" t="s">
        <v>487</v>
      </c>
      <c r="D1595" t="s">
        <v>261</v>
      </c>
      <c r="E1595" t="s">
        <v>322</v>
      </c>
      <c r="F1595" t="s">
        <v>1417</v>
      </c>
      <c r="G1595" s="25">
        <v>44261</v>
      </c>
      <c r="H1595">
        <v>13</v>
      </c>
      <c r="I1595">
        <v>65</v>
      </c>
      <c r="J1595" t="s">
        <v>231</v>
      </c>
      <c r="K1595" t="s">
        <v>504</v>
      </c>
      <c r="L1595" t="s">
        <v>43</v>
      </c>
      <c r="M1595" t="s">
        <v>234</v>
      </c>
      <c r="N1595" t="s">
        <v>42</v>
      </c>
      <c r="O1595" t="s">
        <v>21</v>
      </c>
      <c r="P1595" t="s">
        <v>236</v>
      </c>
      <c r="Q1595">
        <v>1618</v>
      </c>
      <c r="R1595" t="s">
        <v>237</v>
      </c>
    </row>
    <row r="1596" spans="1:18" x14ac:dyDescent="0.25">
      <c r="A1596" t="s">
        <v>622</v>
      </c>
      <c r="B1596">
        <v>420</v>
      </c>
      <c r="C1596" t="s">
        <v>487</v>
      </c>
      <c r="D1596" t="s">
        <v>229</v>
      </c>
      <c r="E1596" t="s">
        <v>408</v>
      </c>
      <c r="F1596" t="s">
        <v>527</v>
      </c>
      <c r="G1596" s="25">
        <v>44216</v>
      </c>
      <c r="H1596">
        <v>4</v>
      </c>
      <c r="I1596">
        <v>20</v>
      </c>
      <c r="J1596" t="s">
        <v>231</v>
      </c>
      <c r="K1596" t="s">
        <v>504</v>
      </c>
      <c r="L1596" t="s">
        <v>43</v>
      </c>
      <c r="M1596" t="s">
        <v>234</v>
      </c>
      <c r="N1596" t="s">
        <v>42</v>
      </c>
      <c r="O1596" t="s">
        <v>21</v>
      </c>
      <c r="P1596" t="s">
        <v>236</v>
      </c>
      <c r="Q1596">
        <v>0</v>
      </c>
      <c r="R1596" t="s">
        <v>237</v>
      </c>
    </row>
    <row r="1597" spans="1:18" x14ac:dyDescent="0.25">
      <c r="A1597" t="s">
        <v>3725</v>
      </c>
      <c r="B1597">
        <v>2642</v>
      </c>
      <c r="C1597" t="s">
        <v>487</v>
      </c>
      <c r="D1597" t="s">
        <v>326</v>
      </c>
      <c r="E1597" t="s">
        <v>229</v>
      </c>
      <c r="F1597" t="s">
        <v>3241</v>
      </c>
      <c r="G1597" s="25">
        <v>44317</v>
      </c>
      <c r="H1597">
        <v>25</v>
      </c>
      <c r="I1597">
        <v>121</v>
      </c>
      <c r="J1597" t="s">
        <v>231</v>
      </c>
      <c r="K1597" t="s">
        <v>504</v>
      </c>
      <c r="L1597" t="s">
        <v>43</v>
      </c>
      <c r="M1597" t="s">
        <v>234</v>
      </c>
      <c r="N1597" t="s">
        <v>42</v>
      </c>
      <c r="O1597" t="s">
        <v>21</v>
      </c>
      <c r="P1597" t="s">
        <v>236</v>
      </c>
      <c r="Q1597">
        <v>2375</v>
      </c>
      <c r="R1597" t="s">
        <v>237</v>
      </c>
    </row>
    <row r="1598" spans="1:18" x14ac:dyDescent="0.25">
      <c r="A1598" t="s">
        <v>3726</v>
      </c>
      <c r="B1598">
        <v>1989</v>
      </c>
      <c r="C1598" t="s">
        <v>487</v>
      </c>
      <c r="D1598" t="s">
        <v>322</v>
      </c>
      <c r="E1598" t="s">
        <v>515</v>
      </c>
      <c r="F1598" t="s">
        <v>2983</v>
      </c>
      <c r="G1598" s="25">
        <v>44287</v>
      </c>
      <c r="H1598">
        <v>19</v>
      </c>
      <c r="I1598">
        <v>91</v>
      </c>
      <c r="J1598" t="s">
        <v>231</v>
      </c>
      <c r="K1598" t="s">
        <v>503</v>
      </c>
      <c r="L1598" t="s">
        <v>303</v>
      </c>
      <c r="M1598" t="s">
        <v>234</v>
      </c>
      <c r="N1598" t="s">
        <v>56</v>
      </c>
      <c r="O1598" t="s">
        <v>235</v>
      </c>
      <c r="P1598" t="s">
        <v>304</v>
      </c>
      <c r="Q1598">
        <v>0</v>
      </c>
      <c r="R1598" t="s">
        <v>237</v>
      </c>
    </row>
    <row r="1599" spans="1:18" x14ac:dyDescent="0.25">
      <c r="A1599" t="s">
        <v>1866</v>
      </c>
      <c r="B1599">
        <v>1373</v>
      </c>
      <c r="C1599" t="s">
        <v>487</v>
      </c>
      <c r="D1599" t="s">
        <v>261</v>
      </c>
      <c r="E1599" t="s">
        <v>256</v>
      </c>
      <c r="F1599" t="s">
        <v>1402</v>
      </c>
      <c r="G1599" s="25">
        <v>44259</v>
      </c>
      <c r="H1599">
        <v>13</v>
      </c>
      <c r="I1599">
        <v>63</v>
      </c>
      <c r="J1599" t="s">
        <v>231</v>
      </c>
      <c r="K1599" t="s">
        <v>503</v>
      </c>
      <c r="L1599" t="s">
        <v>303</v>
      </c>
      <c r="M1599" t="s">
        <v>234</v>
      </c>
      <c r="N1599" t="s">
        <v>56</v>
      </c>
      <c r="O1599" t="s">
        <v>235</v>
      </c>
      <c r="P1599" t="s">
        <v>304</v>
      </c>
      <c r="Q1599">
        <v>0</v>
      </c>
      <c r="R1599" t="s">
        <v>237</v>
      </c>
    </row>
    <row r="1600" spans="1:18" x14ac:dyDescent="0.25">
      <c r="A1600" t="s">
        <v>2446</v>
      </c>
      <c r="B1600">
        <v>779</v>
      </c>
      <c r="C1600" t="s">
        <v>487</v>
      </c>
      <c r="D1600" t="s">
        <v>231</v>
      </c>
      <c r="E1600" t="s">
        <v>620</v>
      </c>
      <c r="F1600" t="s">
        <v>1215</v>
      </c>
      <c r="G1600" s="25">
        <v>44232</v>
      </c>
      <c r="H1600">
        <v>8</v>
      </c>
      <c r="I1600">
        <v>36</v>
      </c>
      <c r="J1600" t="s">
        <v>231</v>
      </c>
      <c r="K1600" t="s">
        <v>503</v>
      </c>
      <c r="L1600" t="s">
        <v>303</v>
      </c>
      <c r="M1600" t="s">
        <v>234</v>
      </c>
      <c r="N1600" t="s">
        <v>56</v>
      </c>
      <c r="O1600" t="s">
        <v>235</v>
      </c>
      <c r="P1600" t="s">
        <v>304</v>
      </c>
      <c r="Q1600">
        <v>0</v>
      </c>
      <c r="R1600" t="s">
        <v>237</v>
      </c>
    </row>
    <row r="1601" spans="1:18" x14ac:dyDescent="0.25">
      <c r="A1601" t="s">
        <v>1568</v>
      </c>
      <c r="B1601">
        <v>471</v>
      </c>
      <c r="C1601" t="s">
        <v>487</v>
      </c>
      <c r="D1601" t="s">
        <v>231</v>
      </c>
      <c r="E1601" t="s">
        <v>231</v>
      </c>
      <c r="F1601" t="s">
        <v>1080</v>
      </c>
      <c r="G1601" s="25">
        <v>44218</v>
      </c>
      <c r="H1601">
        <v>5</v>
      </c>
      <c r="I1601">
        <v>22</v>
      </c>
      <c r="J1601" t="s">
        <v>231</v>
      </c>
      <c r="K1601" t="s">
        <v>503</v>
      </c>
      <c r="L1601" t="s">
        <v>303</v>
      </c>
      <c r="M1601" t="s">
        <v>234</v>
      </c>
      <c r="N1601" t="s">
        <v>56</v>
      </c>
      <c r="O1601" t="s">
        <v>235</v>
      </c>
      <c r="P1601" t="s">
        <v>304</v>
      </c>
      <c r="Q1601">
        <v>0</v>
      </c>
      <c r="R1601" t="s">
        <v>237</v>
      </c>
    </row>
    <row r="1602" spans="1:18" x14ac:dyDescent="0.25">
      <c r="A1602" t="s">
        <v>618</v>
      </c>
      <c r="B1602">
        <v>163</v>
      </c>
      <c r="C1602" t="s">
        <v>487</v>
      </c>
      <c r="D1602" t="s">
        <v>229</v>
      </c>
      <c r="E1602" t="s">
        <v>381</v>
      </c>
      <c r="F1602" t="s">
        <v>518</v>
      </c>
      <c r="G1602" s="25">
        <v>44204</v>
      </c>
      <c r="H1602">
        <v>2</v>
      </c>
      <c r="I1602">
        <v>8</v>
      </c>
      <c r="J1602" t="s">
        <v>231</v>
      </c>
      <c r="K1602" t="s">
        <v>503</v>
      </c>
      <c r="L1602" t="s">
        <v>303</v>
      </c>
      <c r="M1602" t="s">
        <v>234</v>
      </c>
      <c r="N1602" t="s">
        <v>56</v>
      </c>
      <c r="O1602" t="s">
        <v>235</v>
      </c>
      <c r="P1602" t="s">
        <v>304</v>
      </c>
      <c r="Q1602">
        <v>0</v>
      </c>
      <c r="R1602" t="s">
        <v>237</v>
      </c>
    </row>
    <row r="1603" spans="1:18" x14ac:dyDescent="0.25">
      <c r="A1603" t="s">
        <v>3727</v>
      </c>
      <c r="B1603">
        <v>2341</v>
      </c>
      <c r="C1603" t="s">
        <v>487</v>
      </c>
      <c r="D1603" t="s">
        <v>247</v>
      </c>
      <c r="E1603" t="s">
        <v>326</v>
      </c>
      <c r="F1603" t="s">
        <v>3091</v>
      </c>
      <c r="G1603" s="25">
        <v>44303</v>
      </c>
      <c r="H1603">
        <v>22</v>
      </c>
      <c r="I1603">
        <v>107</v>
      </c>
      <c r="J1603" t="s">
        <v>231</v>
      </c>
      <c r="K1603" t="s">
        <v>503</v>
      </c>
      <c r="L1603" t="s">
        <v>303</v>
      </c>
      <c r="M1603" t="s">
        <v>234</v>
      </c>
      <c r="N1603" t="s">
        <v>56</v>
      </c>
      <c r="O1603" t="s">
        <v>235</v>
      </c>
      <c r="P1603" t="s">
        <v>304</v>
      </c>
      <c r="Q1603">
        <v>0</v>
      </c>
      <c r="R1603" t="s">
        <v>237</v>
      </c>
    </row>
    <row r="1604" spans="1:18" x14ac:dyDescent="0.25">
      <c r="A1604" t="s">
        <v>2169</v>
      </c>
      <c r="B1604">
        <v>1242</v>
      </c>
      <c r="C1604" t="s">
        <v>487</v>
      </c>
      <c r="D1604" t="s">
        <v>256</v>
      </c>
      <c r="E1604" t="s">
        <v>534</v>
      </c>
      <c r="F1604" t="s">
        <v>1357</v>
      </c>
      <c r="G1604" s="25">
        <v>44253</v>
      </c>
      <c r="H1604">
        <v>12</v>
      </c>
      <c r="I1604">
        <v>57</v>
      </c>
      <c r="J1604" t="s">
        <v>231</v>
      </c>
      <c r="K1604" t="s">
        <v>502</v>
      </c>
      <c r="L1604" t="s">
        <v>287</v>
      </c>
      <c r="M1604" t="s">
        <v>234</v>
      </c>
      <c r="N1604" t="s">
        <v>58</v>
      </c>
      <c r="O1604" t="s">
        <v>235</v>
      </c>
      <c r="P1604" t="s">
        <v>288</v>
      </c>
      <c r="Q1604">
        <v>0</v>
      </c>
      <c r="R1604" t="s">
        <v>237</v>
      </c>
    </row>
    <row r="1605" spans="1:18" x14ac:dyDescent="0.25">
      <c r="A1605" t="s">
        <v>1775</v>
      </c>
      <c r="B1605">
        <v>1088</v>
      </c>
      <c r="C1605" t="s">
        <v>487</v>
      </c>
      <c r="D1605" t="s">
        <v>256</v>
      </c>
      <c r="E1605" t="s">
        <v>239</v>
      </c>
      <c r="F1605" t="s">
        <v>1322</v>
      </c>
      <c r="G1605" s="25">
        <v>44246</v>
      </c>
      <c r="H1605">
        <v>10</v>
      </c>
      <c r="I1605">
        <v>50</v>
      </c>
      <c r="J1605" t="s">
        <v>231</v>
      </c>
      <c r="K1605" t="s">
        <v>502</v>
      </c>
      <c r="L1605" t="s">
        <v>287</v>
      </c>
      <c r="M1605" t="s">
        <v>234</v>
      </c>
      <c r="N1605" t="s">
        <v>58</v>
      </c>
      <c r="O1605" t="s">
        <v>235</v>
      </c>
      <c r="P1605" t="s">
        <v>288</v>
      </c>
      <c r="Q1605">
        <v>0</v>
      </c>
      <c r="R1605" t="s">
        <v>237</v>
      </c>
    </row>
    <row r="1606" spans="1:18" x14ac:dyDescent="0.25">
      <c r="A1606" t="s">
        <v>2613</v>
      </c>
      <c r="B1606">
        <v>626</v>
      </c>
      <c r="C1606" t="s">
        <v>487</v>
      </c>
      <c r="D1606" t="s">
        <v>231</v>
      </c>
      <c r="E1606" t="s">
        <v>371</v>
      </c>
      <c r="F1606" t="s">
        <v>1124</v>
      </c>
      <c r="G1606" s="25">
        <v>44225</v>
      </c>
      <c r="H1606">
        <v>6</v>
      </c>
      <c r="I1606">
        <v>29</v>
      </c>
      <c r="J1606" t="s">
        <v>231</v>
      </c>
      <c r="K1606" t="s">
        <v>502</v>
      </c>
      <c r="L1606" t="s">
        <v>287</v>
      </c>
      <c r="M1606" t="s">
        <v>234</v>
      </c>
      <c r="N1606" t="s">
        <v>58</v>
      </c>
      <c r="O1606" t="s">
        <v>235</v>
      </c>
      <c r="P1606" t="s">
        <v>288</v>
      </c>
      <c r="Q1606">
        <v>0</v>
      </c>
      <c r="R1606" t="s">
        <v>237</v>
      </c>
    </row>
    <row r="1607" spans="1:18" x14ac:dyDescent="0.25">
      <c r="A1607" t="s">
        <v>849</v>
      </c>
      <c r="B1607">
        <v>274</v>
      </c>
      <c r="C1607" t="s">
        <v>487</v>
      </c>
      <c r="D1607" t="s">
        <v>229</v>
      </c>
      <c r="E1607" t="s">
        <v>512</v>
      </c>
      <c r="F1607" t="s">
        <v>513</v>
      </c>
      <c r="G1607" s="25">
        <v>44209</v>
      </c>
      <c r="H1607">
        <v>3</v>
      </c>
      <c r="I1607">
        <v>13</v>
      </c>
      <c r="J1607" t="s">
        <v>231</v>
      </c>
      <c r="K1607" t="s">
        <v>502</v>
      </c>
      <c r="L1607" t="s">
        <v>287</v>
      </c>
      <c r="M1607" t="s">
        <v>234</v>
      </c>
      <c r="N1607" t="s">
        <v>58</v>
      </c>
      <c r="O1607" t="s">
        <v>235</v>
      </c>
      <c r="P1607" t="s">
        <v>288</v>
      </c>
      <c r="Q1607">
        <v>22000</v>
      </c>
      <c r="R1607" t="s">
        <v>237</v>
      </c>
    </row>
    <row r="1608" spans="1:18" x14ac:dyDescent="0.25">
      <c r="A1608" t="s">
        <v>3728</v>
      </c>
      <c r="B1608">
        <v>2452</v>
      </c>
      <c r="C1608" t="s">
        <v>487</v>
      </c>
      <c r="D1608" t="s">
        <v>247</v>
      </c>
      <c r="E1608" t="s">
        <v>232</v>
      </c>
      <c r="F1608" t="s">
        <v>3140</v>
      </c>
      <c r="G1608" s="25">
        <v>44308</v>
      </c>
      <c r="H1608">
        <v>23</v>
      </c>
      <c r="I1608">
        <v>112</v>
      </c>
      <c r="J1608" t="s">
        <v>231</v>
      </c>
      <c r="K1608" t="s">
        <v>502</v>
      </c>
      <c r="L1608" t="s">
        <v>287</v>
      </c>
      <c r="M1608" t="s">
        <v>234</v>
      </c>
      <c r="N1608" t="s">
        <v>58</v>
      </c>
      <c r="O1608" t="s">
        <v>235</v>
      </c>
      <c r="P1608" t="s">
        <v>288</v>
      </c>
      <c r="Q1608">
        <v>0</v>
      </c>
      <c r="R1608" t="s">
        <v>237</v>
      </c>
    </row>
    <row r="1609" spans="1:18" x14ac:dyDescent="0.25">
      <c r="A1609" t="s">
        <v>3729</v>
      </c>
      <c r="B1609">
        <v>2144</v>
      </c>
      <c r="C1609" t="s">
        <v>487</v>
      </c>
      <c r="D1609" t="s">
        <v>322</v>
      </c>
      <c r="E1609" t="s">
        <v>552</v>
      </c>
      <c r="F1609" t="s">
        <v>3045</v>
      </c>
      <c r="G1609" s="25">
        <v>44294</v>
      </c>
      <c r="H1609">
        <v>20</v>
      </c>
      <c r="I1609">
        <v>98</v>
      </c>
      <c r="J1609" t="s">
        <v>231</v>
      </c>
      <c r="K1609" t="s">
        <v>502</v>
      </c>
      <c r="L1609" t="s">
        <v>287</v>
      </c>
      <c r="M1609" t="s">
        <v>234</v>
      </c>
      <c r="N1609" t="s">
        <v>58</v>
      </c>
      <c r="O1609" t="s">
        <v>235</v>
      </c>
      <c r="P1609" t="s">
        <v>288</v>
      </c>
      <c r="Q1609">
        <v>0</v>
      </c>
      <c r="R1609" t="s">
        <v>237</v>
      </c>
    </row>
    <row r="1610" spans="1:18" x14ac:dyDescent="0.25">
      <c r="A1610" t="s">
        <v>3730</v>
      </c>
      <c r="B1610">
        <v>1836</v>
      </c>
      <c r="C1610" t="s">
        <v>487</v>
      </c>
      <c r="D1610" t="s">
        <v>322</v>
      </c>
      <c r="E1610" t="s">
        <v>261</v>
      </c>
      <c r="F1610" t="s">
        <v>2956</v>
      </c>
      <c r="G1610" s="25">
        <v>44280</v>
      </c>
      <c r="H1610">
        <v>17</v>
      </c>
      <c r="I1610">
        <v>84</v>
      </c>
      <c r="J1610" t="s">
        <v>231</v>
      </c>
      <c r="K1610" t="s">
        <v>502</v>
      </c>
      <c r="L1610" t="s">
        <v>287</v>
      </c>
      <c r="M1610" t="s">
        <v>234</v>
      </c>
      <c r="N1610" t="s">
        <v>58</v>
      </c>
      <c r="O1610" t="s">
        <v>235</v>
      </c>
      <c r="P1610" t="s">
        <v>288</v>
      </c>
      <c r="Q1610">
        <v>0</v>
      </c>
      <c r="R1610" t="s">
        <v>237</v>
      </c>
    </row>
    <row r="1611" spans="1:18" x14ac:dyDescent="0.25">
      <c r="A1611" t="s">
        <v>3731</v>
      </c>
      <c r="B1611">
        <v>2607</v>
      </c>
      <c r="C1611" t="s">
        <v>487</v>
      </c>
      <c r="D1611" t="s">
        <v>247</v>
      </c>
      <c r="E1611" t="s">
        <v>531</v>
      </c>
      <c r="F1611" t="s">
        <v>3173</v>
      </c>
      <c r="G1611" s="25">
        <v>44315</v>
      </c>
      <c r="H1611">
        <v>24</v>
      </c>
      <c r="I1611">
        <v>119</v>
      </c>
      <c r="J1611" t="s">
        <v>231</v>
      </c>
      <c r="K1611" t="s">
        <v>501</v>
      </c>
      <c r="L1611" t="s">
        <v>412</v>
      </c>
      <c r="M1611" t="s">
        <v>234</v>
      </c>
      <c r="N1611" t="s">
        <v>60</v>
      </c>
      <c r="O1611" t="s">
        <v>235</v>
      </c>
      <c r="P1611" t="s">
        <v>413</v>
      </c>
      <c r="Q1611">
        <v>0</v>
      </c>
      <c r="R1611" t="s">
        <v>237</v>
      </c>
    </row>
    <row r="1612" spans="1:18" x14ac:dyDescent="0.25">
      <c r="A1612" t="s">
        <v>2457</v>
      </c>
      <c r="B1612">
        <v>1639</v>
      </c>
      <c r="C1612" t="s">
        <v>487</v>
      </c>
      <c r="D1612" t="s">
        <v>261</v>
      </c>
      <c r="E1612" t="s">
        <v>575</v>
      </c>
      <c r="F1612" t="s">
        <v>1537</v>
      </c>
      <c r="G1612" s="25">
        <v>44271</v>
      </c>
      <c r="H1612">
        <v>15</v>
      </c>
      <c r="I1612">
        <v>75</v>
      </c>
      <c r="J1612" t="s">
        <v>231</v>
      </c>
      <c r="K1612" t="s">
        <v>501</v>
      </c>
      <c r="L1612" t="s">
        <v>412</v>
      </c>
      <c r="M1612" t="s">
        <v>234</v>
      </c>
      <c r="N1612" t="s">
        <v>60</v>
      </c>
      <c r="O1612" t="s">
        <v>235</v>
      </c>
      <c r="P1612" t="s">
        <v>413</v>
      </c>
      <c r="Q1612">
        <v>0</v>
      </c>
      <c r="R1612" t="s">
        <v>237</v>
      </c>
    </row>
    <row r="1613" spans="1:18" x14ac:dyDescent="0.25">
      <c r="A1613" t="s">
        <v>1565</v>
      </c>
      <c r="B1613">
        <v>469</v>
      </c>
      <c r="C1613" t="s">
        <v>487</v>
      </c>
      <c r="D1613" t="s">
        <v>231</v>
      </c>
      <c r="E1613" t="s">
        <v>231</v>
      </c>
      <c r="F1613" t="s">
        <v>1080</v>
      </c>
      <c r="G1613" s="25">
        <v>44218</v>
      </c>
      <c r="H1613">
        <v>5</v>
      </c>
      <c r="I1613">
        <v>22</v>
      </c>
      <c r="J1613" t="s">
        <v>231</v>
      </c>
      <c r="K1613" t="s">
        <v>500</v>
      </c>
      <c r="L1613" t="s">
        <v>265</v>
      </c>
      <c r="M1613" t="s">
        <v>234</v>
      </c>
      <c r="N1613" t="s">
        <v>52</v>
      </c>
      <c r="O1613" t="s">
        <v>235</v>
      </c>
      <c r="P1613" t="s">
        <v>266</v>
      </c>
      <c r="Q1613">
        <v>0</v>
      </c>
      <c r="R1613" t="s">
        <v>237</v>
      </c>
    </row>
    <row r="1614" spans="1:18" x14ac:dyDescent="0.25">
      <c r="A1614" t="s">
        <v>845</v>
      </c>
      <c r="B1614">
        <v>161</v>
      </c>
      <c r="C1614" t="s">
        <v>487</v>
      </c>
      <c r="D1614" t="s">
        <v>229</v>
      </c>
      <c r="E1614" t="s">
        <v>381</v>
      </c>
      <c r="F1614" t="s">
        <v>518</v>
      </c>
      <c r="G1614" s="25">
        <v>44204</v>
      </c>
      <c r="H1614">
        <v>2</v>
      </c>
      <c r="I1614">
        <v>8</v>
      </c>
      <c r="J1614" t="s">
        <v>231</v>
      </c>
      <c r="K1614" t="s">
        <v>500</v>
      </c>
      <c r="L1614" t="s">
        <v>265</v>
      </c>
      <c r="M1614" t="s">
        <v>234</v>
      </c>
      <c r="N1614" t="s">
        <v>52</v>
      </c>
      <c r="O1614" t="s">
        <v>235</v>
      </c>
      <c r="P1614" t="s">
        <v>266</v>
      </c>
      <c r="Q1614">
        <v>0</v>
      </c>
      <c r="R1614" t="s">
        <v>237</v>
      </c>
    </row>
    <row r="1615" spans="1:18" x14ac:dyDescent="0.25">
      <c r="A1615" t="s">
        <v>3732</v>
      </c>
      <c r="B1615">
        <v>2339</v>
      </c>
      <c r="C1615" t="s">
        <v>487</v>
      </c>
      <c r="D1615" t="s">
        <v>247</v>
      </c>
      <c r="E1615" t="s">
        <v>326</v>
      </c>
      <c r="F1615" t="s">
        <v>3091</v>
      </c>
      <c r="G1615" s="25">
        <v>44303</v>
      </c>
      <c r="H1615">
        <v>22</v>
      </c>
      <c r="I1615">
        <v>107</v>
      </c>
      <c r="J1615" t="s">
        <v>231</v>
      </c>
      <c r="K1615" t="s">
        <v>500</v>
      </c>
      <c r="L1615" t="s">
        <v>265</v>
      </c>
      <c r="M1615" t="s">
        <v>234</v>
      </c>
      <c r="N1615" t="s">
        <v>52</v>
      </c>
      <c r="O1615" t="s">
        <v>235</v>
      </c>
      <c r="P1615" t="s">
        <v>266</v>
      </c>
      <c r="Q1615">
        <v>0</v>
      </c>
      <c r="R1615" t="s">
        <v>237</v>
      </c>
    </row>
    <row r="1616" spans="1:18" x14ac:dyDescent="0.25">
      <c r="A1616" t="s">
        <v>3733</v>
      </c>
      <c r="B1616">
        <v>2141</v>
      </c>
      <c r="C1616" t="s">
        <v>487</v>
      </c>
      <c r="D1616" t="s">
        <v>322</v>
      </c>
      <c r="E1616" t="s">
        <v>552</v>
      </c>
      <c r="F1616" t="s">
        <v>3045</v>
      </c>
      <c r="G1616" s="25">
        <v>44294</v>
      </c>
      <c r="H1616">
        <v>20</v>
      </c>
      <c r="I1616">
        <v>98</v>
      </c>
      <c r="J1616" t="s">
        <v>231</v>
      </c>
      <c r="K1616" t="s">
        <v>500</v>
      </c>
      <c r="L1616" t="s">
        <v>265</v>
      </c>
      <c r="M1616" t="s">
        <v>234</v>
      </c>
      <c r="N1616" t="s">
        <v>52</v>
      </c>
      <c r="O1616" t="s">
        <v>235</v>
      </c>
      <c r="P1616" t="s">
        <v>266</v>
      </c>
      <c r="Q1616">
        <v>1125</v>
      </c>
      <c r="R1616" t="s">
        <v>237</v>
      </c>
    </row>
    <row r="1617" spans="1:18" x14ac:dyDescent="0.25">
      <c r="A1617" t="s">
        <v>3734</v>
      </c>
      <c r="B1617">
        <v>1987</v>
      </c>
      <c r="C1617" t="s">
        <v>487</v>
      </c>
      <c r="D1617" t="s">
        <v>322</v>
      </c>
      <c r="E1617" t="s">
        <v>515</v>
      </c>
      <c r="F1617" t="s">
        <v>2983</v>
      </c>
      <c r="G1617" s="25">
        <v>44287</v>
      </c>
      <c r="H1617">
        <v>19</v>
      </c>
      <c r="I1617">
        <v>91</v>
      </c>
      <c r="J1617" t="s">
        <v>231</v>
      </c>
      <c r="K1617" t="s">
        <v>500</v>
      </c>
      <c r="L1617" t="s">
        <v>265</v>
      </c>
      <c r="M1617" t="s">
        <v>234</v>
      </c>
      <c r="N1617" t="s">
        <v>52</v>
      </c>
      <c r="O1617" t="s">
        <v>235</v>
      </c>
      <c r="P1617" t="s">
        <v>266</v>
      </c>
      <c r="Q1617">
        <v>0</v>
      </c>
      <c r="R1617" t="s">
        <v>237</v>
      </c>
    </row>
    <row r="1618" spans="1:18" x14ac:dyDescent="0.25">
      <c r="A1618" t="s">
        <v>1662</v>
      </c>
      <c r="B1618">
        <v>1745</v>
      </c>
      <c r="C1618" t="s">
        <v>487</v>
      </c>
      <c r="D1618" t="s">
        <v>261</v>
      </c>
      <c r="E1618" t="s">
        <v>408</v>
      </c>
      <c r="F1618" t="s">
        <v>1595</v>
      </c>
      <c r="G1618" s="25">
        <v>44276</v>
      </c>
      <c r="H1618">
        <v>16</v>
      </c>
      <c r="I1618">
        <v>80</v>
      </c>
      <c r="J1618" t="s">
        <v>231</v>
      </c>
      <c r="K1618" t="s">
        <v>500</v>
      </c>
      <c r="L1618" t="s">
        <v>265</v>
      </c>
      <c r="M1618" t="s">
        <v>234</v>
      </c>
      <c r="N1618" t="s">
        <v>52</v>
      </c>
      <c r="O1618" t="s">
        <v>235</v>
      </c>
      <c r="P1618" t="s">
        <v>266</v>
      </c>
      <c r="Q1618">
        <v>23875</v>
      </c>
      <c r="R1618" t="s">
        <v>237</v>
      </c>
    </row>
    <row r="1619" spans="1:18" x14ac:dyDescent="0.25">
      <c r="A1619" t="s">
        <v>2047</v>
      </c>
      <c r="B1619">
        <v>1371</v>
      </c>
      <c r="C1619" t="s">
        <v>487</v>
      </c>
      <c r="D1619" t="s">
        <v>261</v>
      </c>
      <c r="E1619" t="s">
        <v>256</v>
      </c>
      <c r="F1619" t="s">
        <v>1402</v>
      </c>
      <c r="G1619" s="25">
        <v>44259</v>
      </c>
      <c r="H1619">
        <v>13</v>
      </c>
      <c r="I1619">
        <v>63</v>
      </c>
      <c r="J1619" t="s">
        <v>231</v>
      </c>
      <c r="K1619" t="s">
        <v>500</v>
      </c>
      <c r="L1619" t="s">
        <v>265</v>
      </c>
      <c r="M1619" t="s">
        <v>234</v>
      </c>
      <c r="N1619" t="s">
        <v>52</v>
      </c>
      <c r="O1619" t="s">
        <v>235</v>
      </c>
      <c r="P1619" t="s">
        <v>266</v>
      </c>
      <c r="Q1619">
        <v>0</v>
      </c>
      <c r="R1619" t="s">
        <v>237</v>
      </c>
    </row>
    <row r="1620" spans="1:18" x14ac:dyDescent="0.25">
      <c r="A1620" t="s">
        <v>2617</v>
      </c>
      <c r="B1620">
        <v>777</v>
      </c>
      <c r="C1620" t="s">
        <v>487</v>
      </c>
      <c r="D1620" t="s">
        <v>231</v>
      </c>
      <c r="E1620" t="s">
        <v>620</v>
      </c>
      <c r="F1620" t="s">
        <v>1215</v>
      </c>
      <c r="G1620" s="25">
        <v>44232</v>
      </c>
      <c r="H1620">
        <v>8</v>
      </c>
      <c r="I1620">
        <v>36</v>
      </c>
      <c r="J1620" t="s">
        <v>231</v>
      </c>
      <c r="K1620" t="s">
        <v>500</v>
      </c>
      <c r="L1620" t="s">
        <v>265</v>
      </c>
      <c r="M1620" t="s">
        <v>234</v>
      </c>
      <c r="N1620" t="s">
        <v>52</v>
      </c>
      <c r="O1620" t="s">
        <v>235</v>
      </c>
      <c r="P1620" t="s">
        <v>266</v>
      </c>
      <c r="Q1620">
        <v>0</v>
      </c>
      <c r="R1620" t="s">
        <v>237</v>
      </c>
    </row>
    <row r="1621" spans="1:18" x14ac:dyDescent="0.25">
      <c r="A1621" t="s">
        <v>3735</v>
      </c>
      <c r="B1621">
        <v>2564</v>
      </c>
      <c r="C1621" t="s">
        <v>487</v>
      </c>
      <c r="D1621" t="s">
        <v>247</v>
      </c>
      <c r="E1621" t="s">
        <v>534</v>
      </c>
      <c r="F1621" t="s">
        <v>3166</v>
      </c>
      <c r="G1621" s="25">
        <v>44313</v>
      </c>
      <c r="H1621">
        <v>24</v>
      </c>
      <c r="I1621">
        <v>117</v>
      </c>
      <c r="J1621" t="s">
        <v>231</v>
      </c>
      <c r="K1621" t="s">
        <v>499</v>
      </c>
      <c r="L1621" t="s">
        <v>410</v>
      </c>
      <c r="M1621" t="s">
        <v>234</v>
      </c>
      <c r="N1621" t="s">
        <v>62</v>
      </c>
      <c r="O1621" t="s">
        <v>235</v>
      </c>
      <c r="P1621" t="s">
        <v>411</v>
      </c>
      <c r="Q1621">
        <v>0</v>
      </c>
      <c r="R1621" t="s">
        <v>237</v>
      </c>
    </row>
    <row r="1622" spans="1:18" x14ac:dyDescent="0.25">
      <c r="A1622" t="s">
        <v>2730</v>
      </c>
      <c r="B1622">
        <v>1596</v>
      </c>
      <c r="C1622" t="s">
        <v>487</v>
      </c>
      <c r="D1622" t="s">
        <v>261</v>
      </c>
      <c r="E1622" t="s">
        <v>512</v>
      </c>
      <c r="F1622" t="s">
        <v>1518</v>
      </c>
      <c r="G1622" s="25">
        <v>44269</v>
      </c>
      <c r="H1622">
        <v>15</v>
      </c>
      <c r="I1622">
        <v>73</v>
      </c>
      <c r="J1622" t="s">
        <v>231</v>
      </c>
      <c r="K1622" t="s">
        <v>499</v>
      </c>
      <c r="L1622" t="s">
        <v>410</v>
      </c>
      <c r="M1622" t="s">
        <v>234</v>
      </c>
      <c r="N1622" t="s">
        <v>62</v>
      </c>
      <c r="O1622" t="s">
        <v>235</v>
      </c>
      <c r="P1622" t="s">
        <v>411</v>
      </c>
      <c r="Q1622">
        <v>0</v>
      </c>
      <c r="R1622" t="s">
        <v>237</v>
      </c>
    </row>
    <row r="1623" spans="1:18" x14ac:dyDescent="0.25">
      <c r="A1623" t="s">
        <v>1741</v>
      </c>
      <c r="B1623">
        <v>1508</v>
      </c>
      <c r="C1623" t="s">
        <v>487</v>
      </c>
      <c r="D1623" t="s">
        <v>261</v>
      </c>
      <c r="E1623" t="s">
        <v>371</v>
      </c>
      <c r="F1623" t="s">
        <v>1478</v>
      </c>
      <c r="G1623" s="25">
        <v>44265</v>
      </c>
      <c r="H1623">
        <v>14</v>
      </c>
      <c r="I1623">
        <v>69</v>
      </c>
      <c r="J1623" t="s">
        <v>231</v>
      </c>
      <c r="K1623" t="s">
        <v>499</v>
      </c>
      <c r="L1623" t="s">
        <v>410</v>
      </c>
      <c r="M1623" t="s">
        <v>234</v>
      </c>
      <c r="N1623" t="s">
        <v>62</v>
      </c>
      <c r="O1623" t="s">
        <v>235</v>
      </c>
      <c r="P1623" t="s">
        <v>411</v>
      </c>
      <c r="Q1623">
        <v>0</v>
      </c>
      <c r="R1623" t="s">
        <v>237</v>
      </c>
    </row>
    <row r="1624" spans="1:18" x14ac:dyDescent="0.25">
      <c r="A1624" t="s">
        <v>1874</v>
      </c>
      <c r="B1624">
        <v>760</v>
      </c>
      <c r="C1624" t="s">
        <v>487</v>
      </c>
      <c r="D1624" t="s">
        <v>231</v>
      </c>
      <c r="E1624" t="s">
        <v>575</v>
      </c>
      <c r="F1624" t="s">
        <v>1210</v>
      </c>
      <c r="G1624" s="25">
        <v>44231</v>
      </c>
      <c r="H1624">
        <v>7</v>
      </c>
      <c r="I1624">
        <v>35</v>
      </c>
      <c r="J1624" t="s">
        <v>231</v>
      </c>
      <c r="K1624" t="s">
        <v>499</v>
      </c>
      <c r="L1624" t="s">
        <v>410</v>
      </c>
      <c r="M1624" t="s">
        <v>234</v>
      </c>
      <c r="N1624" t="s">
        <v>62</v>
      </c>
      <c r="O1624" t="s">
        <v>235</v>
      </c>
      <c r="P1624" t="s">
        <v>411</v>
      </c>
      <c r="Q1624">
        <v>0</v>
      </c>
      <c r="R1624" t="s">
        <v>237</v>
      </c>
    </row>
    <row r="1625" spans="1:18" x14ac:dyDescent="0.25">
      <c r="A1625" t="s">
        <v>745</v>
      </c>
      <c r="B1625">
        <v>386</v>
      </c>
      <c r="C1625" t="s">
        <v>487</v>
      </c>
      <c r="D1625" t="s">
        <v>229</v>
      </c>
      <c r="E1625" t="s">
        <v>552</v>
      </c>
      <c r="F1625" t="s">
        <v>553</v>
      </c>
      <c r="G1625" s="25">
        <v>44214</v>
      </c>
      <c r="H1625">
        <v>4</v>
      </c>
      <c r="I1625">
        <v>18</v>
      </c>
      <c r="J1625" t="s">
        <v>231</v>
      </c>
      <c r="K1625" t="s">
        <v>499</v>
      </c>
      <c r="L1625" t="s">
        <v>410</v>
      </c>
      <c r="M1625" t="s">
        <v>234</v>
      </c>
      <c r="N1625" t="s">
        <v>62</v>
      </c>
      <c r="O1625" t="s">
        <v>235</v>
      </c>
      <c r="P1625" t="s">
        <v>411</v>
      </c>
      <c r="Q1625">
        <v>0</v>
      </c>
      <c r="R1625" t="s">
        <v>237</v>
      </c>
    </row>
    <row r="1626" spans="1:18" x14ac:dyDescent="0.25">
      <c r="A1626" t="s">
        <v>3736</v>
      </c>
      <c r="B1626">
        <v>2309</v>
      </c>
      <c r="C1626" t="s">
        <v>487</v>
      </c>
      <c r="D1626" t="s">
        <v>247</v>
      </c>
      <c r="E1626" t="s">
        <v>322</v>
      </c>
      <c r="F1626" t="s">
        <v>3083</v>
      </c>
      <c r="G1626" s="25">
        <v>44301</v>
      </c>
      <c r="H1626">
        <v>21</v>
      </c>
      <c r="I1626">
        <v>105</v>
      </c>
      <c r="J1626" t="s">
        <v>432</v>
      </c>
      <c r="K1626" t="s">
        <v>498</v>
      </c>
      <c r="L1626" t="s">
        <v>26</v>
      </c>
      <c r="M1626" t="s">
        <v>434</v>
      </c>
      <c r="N1626" t="s">
        <v>77</v>
      </c>
      <c r="O1626" t="s">
        <v>435</v>
      </c>
      <c r="P1626" t="s">
        <v>26</v>
      </c>
      <c r="Q1626">
        <v>207095.625</v>
      </c>
      <c r="R1626" t="s">
        <v>436</v>
      </c>
    </row>
    <row r="1627" spans="1:18" x14ac:dyDescent="0.25">
      <c r="A1627" t="s">
        <v>2892</v>
      </c>
      <c r="B1627">
        <v>1561</v>
      </c>
      <c r="C1627" t="s">
        <v>487</v>
      </c>
      <c r="D1627" t="s">
        <v>261</v>
      </c>
      <c r="E1627" t="s">
        <v>515</v>
      </c>
      <c r="F1627" t="s">
        <v>1493</v>
      </c>
      <c r="G1627" s="25">
        <v>44267</v>
      </c>
      <c r="H1627">
        <v>15</v>
      </c>
      <c r="I1627">
        <v>71</v>
      </c>
      <c r="J1627" t="s">
        <v>432</v>
      </c>
      <c r="K1627" t="s">
        <v>498</v>
      </c>
      <c r="L1627" t="s">
        <v>26</v>
      </c>
      <c r="M1627" t="s">
        <v>434</v>
      </c>
      <c r="N1627" t="s">
        <v>77</v>
      </c>
      <c r="O1627" t="s">
        <v>435</v>
      </c>
      <c r="P1627" t="s">
        <v>26</v>
      </c>
      <c r="Q1627">
        <v>142231.25</v>
      </c>
      <c r="R1627" t="s">
        <v>436</v>
      </c>
    </row>
    <row r="1628" spans="1:18" x14ac:dyDescent="0.25">
      <c r="A1628" t="s">
        <v>2619</v>
      </c>
      <c r="B1628">
        <v>1099</v>
      </c>
      <c r="C1628" t="s">
        <v>487</v>
      </c>
      <c r="D1628" t="s">
        <v>256</v>
      </c>
      <c r="E1628" t="s">
        <v>239</v>
      </c>
      <c r="F1628" t="s">
        <v>1322</v>
      </c>
      <c r="G1628" s="25">
        <v>44246</v>
      </c>
      <c r="H1628">
        <v>10</v>
      </c>
      <c r="I1628">
        <v>50</v>
      </c>
      <c r="J1628" t="s">
        <v>432</v>
      </c>
      <c r="K1628" t="s">
        <v>498</v>
      </c>
      <c r="L1628" t="s">
        <v>26</v>
      </c>
      <c r="M1628" t="s">
        <v>434</v>
      </c>
      <c r="N1628" t="s">
        <v>77</v>
      </c>
      <c r="O1628" t="s">
        <v>435</v>
      </c>
      <c r="P1628" t="s">
        <v>26</v>
      </c>
      <c r="Q1628">
        <v>235943.75</v>
      </c>
      <c r="R1628" t="s">
        <v>436</v>
      </c>
    </row>
    <row r="1629" spans="1:18" x14ac:dyDescent="0.25">
      <c r="A1629" t="s">
        <v>2000</v>
      </c>
      <c r="B1629">
        <v>769</v>
      </c>
      <c r="C1629" t="s">
        <v>487</v>
      </c>
      <c r="D1629" t="s">
        <v>231</v>
      </c>
      <c r="E1629" t="s">
        <v>575</v>
      </c>
      <c r="F1629" t="s">
        <v>1210</v>
      </c>
      <c r="G1629" s="25">
        <v>44231</v>
      </c>
      <c r="H1629">
        <v>7</v>
      </c>
      <c r="I1629">
        <v>35</v>
      </c>
      <c r="J1629" t="s">
        <v>432</v>
      </c>
      <c r="K1629" t="s">
        <v>498</v>
      </c>
      <c r="L1629" t="s">
        <v>26</v>
      </c>
      <c r="M1629" t="s">
        <v>434</v>
      </c>
      <c r="N1629" t="s">
        <v>77</v>
      </c>
      <c r="O1629" t="s">
        <v>435</v>
      </c>
      <c r="P1629" t="s">
        <v>26</v>
      </c>
      <c r="Q1629">
        <v>109200</v>
      </c>
      <c r="R1629" t="s">
        <v>436</v>
      </c>
    </row>
    <row r="1630" spans="1:18" x14ac:dyDescent="0.25">
      <c r="A1630" t="s">
        <v>652</v>
      </c>
      <c r="B1630">
        <v>351</v>
      </c>
      <c r="C1630" t="s">
        <v>487</v>
      </c>
      <c r="D1630" t="s">
        <v>229</v>
      </c>
      <c r="E1630" t="s">
        <v>620</v>
      </c>
      <c r="F1630" t="s">
        <v>621</v>
      </c>
      <c r="G1630" s="25">
        <v>44212</v>
      </c>
      <c r="H1630">
        <v>4</v>
      </c>
      <c r="I1630">
        <v>16</v>
      </c>
      <c r="J1630" t="s">
        <v>432</v>
      </c>
      <c r="K1630" t="s">
        <v>498</v>
      </c>
      <c r="L1630" t="s">
        <v>26</v>
      </c>
      <c r="M1630" t="s">
        <v>434</v>
      </c>
      <c r="N1630" t="s">
        <v>77</v>
      </c>
      <c r="O1630" t="s">
        <v>435</v>
      </c>
      <c r="P1630" t="s">
        <v>26</v>
      </c>
      <c r="Q1630">
        <v>14831.25</v>
      </c>
      <c r="R1630" t="s">
        <v>436</v>
      </c>
    </row>
    <row r="1631" spans="1:18" x14ac:dyDescent="0.25">
      <c r="A1631" t="s">
        <v>2843</v>
      </c>
      <c r="B1631">
        <v>1603</v>
      </c>
      <c r="C1631" t="s">
        <v>487</v>
      </c>
      <c r="D1631" t="s">
        <v>261</v>
      </c>
      <c r="E1631" t="s">
        <v>512</v>
      </c>
      <c r="F1631" t="s">
        <v>1518</v>
      </c>
      <c r="G1631" s="25">
        <v>44269</v>
      </c>
      <c r="H1631">
        <v>15</v>
      </c>
      <c r="I1631">
        <v>73</v>
      </c>
      <c r="J1631" t="s">
        <v>432</v>
      </c>
      <c r="K1631" t="s">
        <v>497</v>
      </c>
      <c r="L1631" t="s">
        <v>438</v>
      </c>
      <c r="M1631" t="s">
        <v>434</v>
      </c>
      <c r="N1631" t="s">
        <v>75</v>
      </c>
      <c r="O1631" t="s">
        <v>435</v>
      </c>
      <c r="P1631" t="s">
        <v>438</v>
      </c>
      <c r="Q1631">
        <v>25800</v>
      </c>
      <c r="R1631" t="s">
        <v>436</v>
      </c>
    </row>
    <row r="1632" spans="1:18" x14ac:dyDescent="0.25">
      <c r="A1632" t="s">
        <v>1679</v>
      </c>
      <c r="B1632">
        <v>1515</v>
      </c>
      <c r="C1632" t="s">
        <v>487</v>
      </c>
      <c r="D1632" t="s">
        <v>261</v>
      </c>
      <c r="E1632" t="s">
        <v>371</v>
      </c>
      <c r="F1632" t="s">
        <v>1478</v>
      </c>
      <c r="G1632" s="25">
        <v>44265</v>
      </c>
      <c r="H1632">
        <v>14</v>
      </c>
      <c r="I1632">
        <v>69</v>
      </c>
      <c r="J1632" t="s">
        <v>432</v>
      </c>
      <c r="K1632" t="s">
        <v>497</v>
      </c>
      <c r="L1632" t="s">
        <v>438</v>
      </c>
      <c r="M1632" t="s">
        <v>434</v>
      </c>
      <c r="N1632" t="s">
        <v>75</v>
      </c>
      <c r="O1632" t="s">
        <v>435</v>
      </c>
      <c r="P1632" t="s">
        <v>438</v>
      </c>
      <c r="Q1632">
        <v>32100</v>
      </c>
      <c r="R1632" t="s">
        <v>436</v>
      </c>
    </row>
    <row r="1633" spans="1:18" x14ac:dyDescent="0.25">
      <c r="A1633" t="s">
        <v>2568</v>
      </c>
      <c r="B1633">
        <v>767</v>
      </c>
      <c r="C1633" t="s">
        <v>487</v>
      </c>
      <c r="D1633" t="s">
        <v>231</v>
      </c>
      <c r="E1633" t="s">
        <v>575</v>
      </c>
      <c r="F1633" t="s">
        <v>1210</v>
      </c>
      <c r="G1633" s="25">
        <v>44231</v>
      </c>
      <c r="H1633">
        <v>7</v>
      </c>
      <c r="I1633">
        <v>35</v>
      </c>
      <c r="J1633" t="s">
        <v>432</v>
      </c>
      <c r="K1633" t="s">
        <v>497</v>
      </c>
      <c r="L1633" t="s">
        <v>438</v>
      </c>
      <c r="M1633" t="s">
        <v>434</v>
      </c>
      <c r="N1633" t="s">
        <v>75</v>
      </c>
      <c r="O1633" t="s">
        <v>435</v>
      </c>
      <c r="P1633" t="s">
        <v>438</v>
      </c>
      <c r="Q1633">
        <v>28800</v>
      </c>
      <c r="R1633" t="s">
        <v>436</v>
      </c>
    </row>
    <row r="1634" spans="1:18" x14ac:dyDescent="0.25">
      <c r="A1634" t="s">
        <v>647</v>
      </c>
      <c r="B1634">
        <v>393</v>
      </c>
      <c r="C1634" t="s">
        <v>487</v>
      </c>
      <c r="D1634" t="s">
        <v>229</v>
      </c>
      <c r="E1634" t="s">
        <v>552</v>
      </c>
      <c r="F1634" t="s">
        <v>553</v>
      </c>
      <c r="G1634" s="25">
        <v>44214</v>
      </c>
      <c r="H1634">
        <v>4</v>
      </c>
      <c r="I1634">
        <v>18</v>
      </c>
      <c r="J1634" t="s">
        <v>432</v>
      </c>
      <c r="K1634" t="s">
        <v>497</v>
      </c>
      <c r="L1634" t="s">
        <v>438</v>
      </c>
      <c r="M1634" t="s">
        <v>434</v>
      </c>
      <c r="N1634" t="s">
        <v>75</v>
      </c>
      <c r="O1634" t="s">
        <v>435</v>
      </c>
      <c r="P1634" t="s">
        <v>438</v>
      </c>
      <c r="Q1634">
        <v>0</v>
      </c>
      <c r="R1634" t="s">
        <v>436</v>
      </c>
    </row>
    <row r="1635" spans="1:18" x14ac:dyDescent="0.25">
      <c r="A1635" t="s">
        <v>2056</v>
      </c>
      <c r="B1635">
        <v>1291</v>
      </c>
      <c r="C1635" t="s">
        <v>487</v>
      </c>
      <c r="D1635" t="s">
        <v>256</v>
      </c>
      <c r="E1635" t="s">
        <v>531</v>
      </c>
      <c r="F1635" t="s">
        <v>1373</v>
      </c>
      <c r="G1635" s="25">
        <v>44255</v>
      </c>
      <c r="H1635">
        <v>12</v>
      </c>
      <c r="I1635">
        <v>59</v>
      </c>
      <c r="J1635" t="s">
        <v>432</v>
      </c>
      <c r="K1635" t="s">
        <v>496</v>
      </c>
      <c r="L1635" t="s">
        <v>69</v>
      </c>
      <c r="M1635" t="s">
        <v>434</v>
      </c>
      <c r="N1635" t="s">
        <v>68</v>
      </c>
      <c r="O1635" t="s">
        <v>21</v>
      </c>
      <c r="P1635" t="s">
        <v>439</v>
      </c>
      <c r="Q1635">
        <v>390000</v>
      </c>
      <c r="R1635" t="s">
        <v>237</v>
      </c>
    </row>
    <row r="1636" spans="1:18" x14ac:dyDescent="0.25">
      <c r="A1636" t="s">
        <v>3737</v>
      </c>
      <c r="B1636">
        <v>2655</v>
      </c>
      <c r="C1636" t="s">
        <v>487</v>
      </c>
      <c r="D1636" t="s">
        <v>326</v>
      </c>
      <c r="E1636" t="s">
        <v>229</v>
      </c>
      <c r="F1636" t="s">
        <v>3241</v>
      </c>
      <c r="G1636" s="25">
        <v>44317</v>
      </c>
      <c r="H1636">
        <v>25</v>
      </c>
      <c r="I1636">
        <v>121</v>
      </c>
      <c r="J1636" t="s">
        <v>432</v>
      </c>
      <c r="K1636" t="s">
        <v>496</v>
      </c>
      <c r="L1636" t="s">
        <v>69</v>
      </c>
      <c r="M1636" t="s">
        <v>434</v>
      </c>
      <c r="N1636" t="s">
        <v>68</v>
      </c>
      <c r="O1636" t="s">
        <v>21</v>
      </c>
      <c r="P1636" t="s">
        <v>439</v>
      </c>
      <c r="Q1636">
        <v>352000</v>
      </c>
      <c r="R1636" t="s">
        <v>237</v>
      </c>
    </row>
    <row r="1637" spans="1:18" x14ac:dyDescent="0.25">
      <c r="A1637" t="s">
        <v>3738</v>
      </c>
      <c r="B1637">
        <v>2501</v>
      </c>
      <c r="C1637" t="s">
        <v>487</v>
      </c>
      <c r="D1637" t="s">
        <v>247</v>
      </c>
      <c r="E1637" t="s">
        <v>537</v>
      </c>
      <c r="F1637" t="s">
        <v>3153</v>
      </c>
      <c r="G1637" s="25">
        <v>44310</v>
      </c>
      <c r="H1637">
        <v>23</v>
      </c>
      <c r="I1637">
        <v>114</v>
      </c>
      <c r="J1637" t="s">
        <v>432</v>
      </c>
      <c r="K1637" t="s">
        <v>496</v>
      </c>
      <c r="L1637" t="s">
        <v>69</v>
      </c>
      <c r="M1637" t="s">
        <v>434</v>
      </c>
      <c r="N1637" t="s">
        <v>68</v>
      </c>
      <c r="O1637" t="s">
        <v>21</v>
      </c>
      <c r="P1637" t="s">
        <v>439</v>
      </c>
      <c r="Q1637">
        <v>384000</v>
      </c>
      <c r="R1637" t="s">
        <v>237</v>
      </c>
    </row>
    <row r="1638" spans="1:18" x14ac:dyDescent="0.25">
      <c r="A1638" t="s">
        <v>3739</v>
      </c>
      <c r="B1638">
        <v>2039</v>
      </c>
      <c r="C1638" t="s">
        <v>487</v>
      </c>
      <c r="D1638" t="s">
        <v>322</v>
      </c>
      <c r="E1638" t="s">
        <v>512</v>
      </c>
      <c r="F1638" t="s">
        <v>2991</v>
      </c>
      <c r="G1638" s="25">
        <v>44289</v>
      </c>
      <c r="H1638">
        <v>19</v>
      </c>
      <c r="I1638">
        <v>93</v>
      </c>
      <c r="J1638" t="s">
        <v>432</v>
      </c>
      <c r="K1638" t="s">
        <v>496</v>
      </c>
      <c r="L1638" t="s">
        <v>69</v>
      </c>
      <c r="M1638" t="s">
        <v>434</v>
      </c>
      <c r="N1638" t="s">
        <v>68</v>
      </c>
      <c r="O1638" t="s">
        <v>21</v>
      </c>
      <c r="P1638" t="s">
        <v>439</v>
      </c>
      <c r="Q1638">
        <v>664375</v>
      </c>
      <c r="R1638" t="s">
        <v>237</v>
      </c>
    </row>
    <row r="1639" spans="1:18" x14ac:dyDescent="0.25">
      <c r="A1639" t="s">
        <v>358</v>
      </c>
      <c r="B1639">
        <v>38</v>
      </c>
      <c r="C1639" t="s">
        <v>487</v>
      </c>
      <c r="D1639" t="s">
        <v>229</v>
      </c>
      <c r="E1639" t="s">
        <v>231</v>
      </c>
      <c r="F1639" t="s">
        <v>568</v>
      </c>
      <c r="G1639" s="25">
        <v>44198</v>
      </c>
      <c r="H1639">
        <v>1</v>
      </c>
      <c r="I1639">
        <v>2</v>
      </c>
      <c r="J1639" t="s">
        <v>432</v>
      </c>
      <c r="K1639" t="s">
        <v>495</v>
      </c>
      <c r="L1639" t="s">
        <v>135</v>
      </c>
      <c r="M1639" t="s">
        <v>434</v>
      </c>
      <c r="N1639" t="s">
        <v>70</v>
      </c>
      <c r="O1639" t="s">
        <v>21</v>
      </c>
      <c r="P1639" t="s">
        <v>440</v>
      </c>
      <c r="Q1639">
        <v>0</v>
      </c>
      <c r="R1639" t="s">
        <v>237</v>
      </c>
    </row>
    <row r="1640" spans="1:18" x14ac:dyDescent="0.25">
      <c r="A1640" t="s">
        <v>3740</v>
      </c>
      <c r="B1640">
        <v>2370</v>
      </c>
      <c r="C1640" t="s">
        <v>487</v>
      </c>
      <c r="D1640" t="s">
        <v>247</v>
      </c>
      <c r="E1640" t="s">
        <v>381</v>
      </c>
      <c r="F1640" t="s">
        <v>3107</v>
      </c>
      <c r="G1640" s="25">
        <v>44304</v>
      </c>
      <c r="H1640">
        <v>22</v>
      </c>
      <c r="I1640">
        <v>108</v>
      </c>
      <c r="J1640" t="s">
        <v>432</v>
      </c>
      <c r="K1640" t="s">
        <v>495</v>
      </c>
      <c r="L1640" t="s">
        <v>135</v>
      </c>
      <c r="M1640" t="s">
        <v>434</v>
      </c>
      <c r="N1640" t="s">
        <v>70</v>
      </c>
      <c r="O1640" t="s">
        <v>21</v>
      </c>
      <c r="P1640" t="s">
        <v>440</v>
      </c>
      <c r="Q1640">
        <v>463125</v>
      </c>
      <c r="R1640" t="s">
        <v>237</v>
      </c>
    </row>
    <row r="1641" spans="1:18" x14ac:dyDescent="0.25">
      <c r="A1641" t="s">
        <v>3741</v>
      </c>
      <c r="B1641">
        <v>2216</v>
      </c>
      <c r="C1641" t="s">
        <v>487</v>
      </c>
      <c r="D1641" t="s">
        <v>247</v>
      </c>
      <c r="E1641" t="s">
        <v>229</v>
      </c>
      <c r="F1641" t="s">
        <v>3063</v>
      </c>
      <c r="G1641" s="25">
        <v>44297</v>
      </c>
      <c r="H1641">
        <v>21</v>
      </c>
      <c r="I1641">
        <v>101</v>
      </c>
      <c r="J1641" t="s">
        <v>432</v>
      </c>
      <c r="K1641" t="s">
        <v>495</v>
      </c>
      <c r="L1641" t="s">
        <v>135</v>
      </c>
      <c r="M1641" t="s">
        <v>434</v>
      </c>
      <c r="N1641" t="s">
        <v>70</v>
      </c>
      <c r="O1641" t="s">
        <v>21</v>
      </c>
      <c r="P1641" t="s">
        <v>440</v>
      </c>
      <c r="Q1641">
        <v>561000</v>
      </c>
      <c r="R1641" t="s">
        <v>237</v>
      </c>
    </row>
    <row r="1642" spans="1:18" x14ac:dyDescent="0.25">
      <c r="A1642" t="s">
        <v>2007</v>
      </c>
      <c r="B1642">
        <v>1006</v>
      </c>
      <c r="C1642" t="s">
        <v>487</v>
      </c>
      <c r="D1642" t="s">
        <v>256</v>
      </c>
      <c r="E1642" t="s">
        <v>247</v>
      </c>
      <c r="F1642" t="s">
        <v>1299</v>
      </c>
      <c r="G1642" s="25">
        <v>44242</v>
      </c>
      <c r="H1642">
        <v>10</v>
      </c>
      <c r="I1642">
        <v>46</v>
      </c>
      <c r="J1642" t="s">
        <v>432</v>
      </c>
      <c r="K1642" t="s">
        <v>495</v>
      </c>
      <c r="L1642" t="s">
        <v>135</v>
      </c>
      <c r="M1642" t="s">
        <v>434</v>
      </c>
      <c r="N1642" t="s">
        <v>70</v>
      </c>
      <c r="O1642" t="s">
        <v>21</v>
      </c>
      <c r="P1642" t="s">
        <v>440</v>
      </c>
      <c r="Q1642">
        <v>84000</v>
      </c>
      <c r="R1642" t="s">
        <v>237</v>
      </c>
    </row>
    <row r="1643" spans="1:18" x14ac:dyDescent="0.25">
      <c r="A1643" t="s">
        <v>2311</v>
      </c>
      <c r="B1643">
        <v>808</v>
      </c>
      <c r="C1643" t="s">
        <v>487</v>
      </c>
      <c r="D1643" t="s">
        <v>231</v>
      </c>
      <c r="E1643" t="s">
        <v>534</v>
      </c>
      <c r="F1643" t="s">
        <v>1731</v>
      </c>
      <c r="G1643" s="25">
        <v>44233</v>
      </c>
      <c r="H1643">
        <v>8</v>
      </c>
      <c r="I1643">
        <v>37</v>
      </c>
      <c r="J1643" t="s">
        <v>432</v>
      </c>
      <c r="K1643" t="s">
        <v>495</v>
      </c>
      <c r="L1643" t="s">
        <v>135</v>
      </c>
      <c r="M1643" t="s">
        <v>434</v>
      </c>
      <c r="N1643" t="s">
        <v>70</v>
      </c>
      <c r="O1643" t="s">
        <v>21</v>
      </c>
      <c r="P1643" t="s">
        <v>440</v>
      </c>
      <c r="Q1643">
        <v>99125</v>
      </c>
      <c r="R1643" t="s">
        <v>237</v>
      </c>
    </row>
    <row r="1644" spans="1:18" x14ac:dyDescent="0.25">
      <c r="A1644" t="s">
        <v>861</v>
      </c>
      <c r="B1644">
        <v>328</v>
      </c>
      <c r="C1644" t="s">
        <v>487</v>
      </c>
      <c r="D1644" t="s">
        <v>229</v>
      </c>
      <c r="E1644" t="s">
        <v>575</v>
      </c>
      <c r="F1644" t="s">
        <v>576</v>
      </c>
      <c r="G1644" s="25">
        <v>44211</v>
      </c>
      <c r="H1644">
        <v>3</v>
      </c>
      <c r="I1644">
        <v>15</v>
      </c>
      <c r="J1644" t="s">
        <v>432</v>
      </c>
      <c r="K1644" t="s">
        <v>494</v>
      </c>
      <c r="L1644" t="s">
        <v>25</v>
      </c>
      <c r="M1644" t="s">
        <v>434</v>
      </c>
      <c r="N1644" t="s">
        <v>76</v>
      </c>
      <c r="O1644" t="s">
        <v>435</v>
      </c>
      <c r="P1644" t="s">
        <v>25</v>
      </c>
      <c r="Q1644">
        <v>0</v>
      </c>
      <c r="R1644" t="s">
        <v>436</v>
      </c>
    </row>
    <row r="1645" spans="1:18" x14ac:dyDescent="0.25">
      <c r="A1645" t="s">
        <v>3742</v>
      </c>
      <c r="B1645">
        <v>2660</v>
      </c>
      <c r="C1645" t="s">
        <v>487</v>
      </c>
      <c r="D1645" t="s">
        <v>326</v>
      </c>
      <c r="E1645" t="s">
        <v>229</v>
      </c>
      <c r="F1645" t="s">
        <v>3241</v>
      </c>
      <c r="G1645" s="25">
        <v>44317</v>
      </c>
      <c r="H1645">
        <v>25</v>
      </c>
      <c r="I1645">
        <v>121</v>
      </c>
      <c r="J1645" t="s">
        <v>432</v>
      </c>
      <c r="K1645" t="s">
        <v>494</v>
      </c>
      <c r="L1645" t="s">
        <v>25</v>
      </c>
      <c r="M1645" t="s">
        <v>434</v>
      </c>
      <c r="N1645" t="s">
        <v>76</v>
      </c>
      <c r="O1645" t="s">
        <v>435</v>
      </c>
      <c r="P1645" t="s">
        <v>25</v>
      </c>
      <c r="Q1645">
        <v>18300</v>
      </c>
      <c r="R1645" t="s">
        <v>436</v>
      </c>
    </row>
    <row r="1646" spans="1:18" x14ac:dyDescent="0.25">
      <c r="A1646" t="s">
        <v>3743</v>
      </c>
      <c r="B1646">
        <v>2506</v>
      </c>
      <c r="C1646" t="s">
        <v>487</v>
      </c>
      <c r="D1646" t="s">
        <v>247</v>
      </c>
      <c r="E1646" t="s">
        <v>537</v>
      </c>
      <c r="F1646" t="s">
        <v>3153</v>
      </c>
      <c r="G1646" s="25">
        <v>44310</v>
      </c>
      <c r="H1646">
        <v>23</v>
      </c>
      <c r="I1646">
        <v>114</v>
      </c>
      <c r="J1646" t="s">
        <v>432</v>
      </c>
      <c r="K1646" t="s">
        <v>494</v>
      </c>
      <c r="L1646" t="s">
        <v>25</v>
      </c>
      <c r="M1646" t="s">
        <v>434</v>
      </c>
      <c r="N1646" t="s">
        <v>76</v>
      </c>
      <c r="O1646" t="s">
        <v>435</v>
      </c>
      <c r="P1646" t="s">
        <v>25</v>
      </c>
      <c r="Q1646">
        <v>32700</v>
      </c>
      <c r="R1646" t="s">
        <v>436</v>
      </c>
    </row>
    <row r="1647" spans="1:18" x14ac:dyDescent="0.25">
      <c r="A1647" t="s">
        <v>3744</v>
      </c>
      <c r="B1647">
        <v>2242</v>
      </c>
      <c r="C1647" t="s">
        <v>487</v>
      </c>
      <c r="D1647" t="s">
        <v>247</v>
      </c>
      <c r="E1647" t="s">
        <v>231</v>
      </c>
      <c r="F1647" t="s">
        <v>3070</v>
      </c>
      <c r="G1647" s="25">
        <v>44298</v>
      </c>
      <c r="H1647">
        <v>21</v>
      </c>
      <c r="I1647">
        <v>102</v>
      </c>
      <c r="J1647" t="s">
        <v>432</v>
      </c>
      <c r="K1647" t="s">
        <v>494</v>
      </c>
      <c r="L1647" t="s">
        <v>25</v>
      </c>
      <c r="M1647" t="s">
        <v>434</v>
      </c>
      <c r="N1647" t="s">
        <v>76</v>
      </c>
      <c r="O1647" t="s">
        <v>435</v>
      </c>
      <c r="P1647" t="s">
        <v>25</v>
      </c>
      <c r="Q1647">
        <v>47250</v>
      </c>
      <c r="R1647" t="s">
        <v>436</v>
      </c>
    </row>
    <row r="1648" spans="1:18" x14ac:dyDescent="0.25">
      <c r="A1648" t="s">
        <v>2474</v>
      </c>
      <c r="B1648">
        <v>1538</v>
      </c>
      <c r="C1648" t="s">
        <v>487</v>
      </c>
      <c r="D1648" t="s">
        <v>261</v>
      </c>
      <c r="E1648" t="s">
        <v>239</v>
      </c>
      <c r="F1648" t="s">
        <v>1703</v>
      </c>
      <c r="G1648" s="25">
        <v>44266</v>
      </c>
      <c r="H1648">
        <v>14</v>
      </c>
      <c r="I1648">
        <v>70</v>
      </c>
      <c r="J1648" t="s">
        <v>432</v>
      </c>
      <c r="K1648" t="s">
        <v>494</v>
      </c>
      <c r="L1648" t="s">
        <v>25</v>
      </c>
      <c r="M1648" t="s">
        <v>434</v>
      </c>
      <c r="N1648" t="s">
        <v>76</v>
      </c>
      <c r="O1648" t="s">
        <v>435</v>
      </c>
      <c r="P1648" t="s">
        <v>25</v>
      </c>
      <c r="Q1648">
        <v>38100</v>
      </c>
      <c r="R1648" t="s">
        <v>436</v>
      </c>
    </row>
    <row r="1649" spans="1:18" x14ac:dyDescent="0.25">
      <c r="A1649" t="s">
        <v>2686</v>
      </c>
      <c r="B1649">
        <v>1296</v>
      </c>
      <c r="C1649" t="s">
        <v>487</v>
      </c>
      <c r="D1649" t="s">
        <v>256</v>
      </c>
      <c r="E1649" t="s">
        <v>531</v>
      </c>
      <c r="F1649" t="s">
        <v>1373</v>
      </c>
      <c r="G1649" s="25">
        <v>44255</v>
      </c>
      <c r="H1649">
        <v>12</v>
      </c>
      <c r="I1649">
        <v>59</v>
      </c>
      <c r="J1649" t="s">
        <v>432</v>
      </c>
      <c r="K1649" t="s">
        <v>494</v>
      </c>
      <c r="L1649" t="s">
        <v>25</v>
      </c>
      <c r="M1649" t="s">
        <v>434</v>
      </c>
      <c r="N1649" t="s">
        <v>76</v>
      </c>
      <c r="O1649" t="s">
        <v>435</v>
      </c>
      <c r="P1649" t="s">
        <v>25</v>
      </c>
      <c r="Q1649">
        <v>40500</v>
      </c>
      <c r="R1649" t="s">
        <v>436</v>
      </c>
    </row>
    <row r="1650" spans="1:18" x14ac:dyDescent="0.25">
      <c r="A1650" t="s">
        <v>3745</v>
      </c>
      <c r="B1650">
        <v>1848</v>
      </c>
      <c r="C1650" t="s">
        <v>487</v>
      </c>
      <c r="D1650" t="s">
        <v>322</v>
      </c>
      <c r="E1650" t="s">
        <v>261</v>
      </c>
      <c r="F1650" t="s">
        <v>2956</v>
      </c>
      <c r="G1650" s="25">
        <v>44280</v>
      </c>
      <c r="H1650">
        <v>17</v>
      </c>
      <c r="I1650">
        <v>84</v>
      </c>
      <c r="J1650" t="s">
        <v>432</v>
      </c>
      <c r="K1650" t="s">
        <v>493</v>
      </c>
      <c r="L1650" t="s">
        <v>441</v>
      </c>
      <c r="M1650" t="s">
        <v>434</v>
      </c>
      <c r="N1650" t="s">
        <v>78</v>
      </c>
      <c r="O1650" t="s">
        <v>435</v>
      </c>
      <c r="P1650" t="s">
        <v>441</v>
      </c>
      <c r="Q1650">
        <v>340336.25</v>
      </c>
      <c r="R1650" t="s">
        <v>436</v>
      </c>
    </row>
    <row r="1651" spans="1:18" x14ac:dyDescent="0.25">
      <c r="A1651" t="s">
        <v>2129</v>
      </c>
      <c r="B1651">
        <v>1144</v>
      </c>
      <c r="C1651" t="s">
        <v>487</v>
      </c>
      <c r="D1651" t="s">
        <v>256</v>
      </c>
      <c r="E1651" t="s">
        <v>232</v>
      </c>
      <c r="F1651" t="s">
        <v>1337</v>
      </c>
      <c r="G1651" s="25">
        <v>44248</v>
      </c>
      <c r="H1651">
        <v>11</v>
      </c>
      <c r="I1651">
        <v>52</v>
      </c>
      <c r="J1651" t="s">
        <v>432</v>
      </c>
      <c r="K1651" t="s">
        <v>493</v>
      </c>
      <c r="L1651" t="s">
        <v>441</v>
      </c>
      <c r="M1651" t="s">
        <v>434</v>
      </c>
      <c r="N1651" t="s">
        <v>78</v>
      </c>
      <c r="O1651" t="s">
        <v>435</v>
      </c>
      <c r="P1651" t="s">
        <v>441</v>
      </c>
      <c r="Q1651">
        <v>220500</v>
      </c>
      <c r="R1651" t="s">
        <v>436</v>
      </c>
    </row>
    <row r="1652" spans="1:18" x14ac:dyDescent="0.25">
      <c r="A1652" t="s">
        <v>2197</v>
      </c>
      <c r="B1652">
        <v>528</v>
      </c>
      <c r="C1652" t="s">
        <v>487</v>
      </c>
      <c r="D1652" t="s">
        <v>231</v>
      </c>
      <c r="E1652" t="s">
        <v>261</v>
      </c>
      <c r="F1652" t="s">
        <v>1065</v>
      </c>
      <c r="G1652" s="25">
        <v>44220</v>
      </c>
      <c r="H1652">
        <v>5</v>
      </c>
      <c r="I1652">
        <v>24</v>
      </c>
      <c r="J1652" t="s">
        <v>432</v>
      </c>
      <c r="K1652" t="s">
        <v>493</v>
      </c>
      <c r="L1652" t="s">
        <v>441</v>
      </c>
      <c r="M1652" t="s">
        <v>434</v>
      </c>
      <c r="N1652" t="s">
        <v>78</v>
      </c>
      <c r="O1652" t="s">
        <v>435</v>
      </c>
      <c r="P1652" t="s">
        <v>441</v>
      </c>
      <c r="Q1652">
        <v>162400</v>
      </c>
      <c r="R1652" t="s">
        <v>436</v>
      </c>
    </row>
    <row r="1653" spans="1:18" x14ac:dyDescent="0.25">
      <c r="A1653" t="s">
        <v>3746</v>
      </c>
      <c r="B1653">
        <v>2662</v>
      </c>
      <c r="C1653" t="s">
        <v>487</v>
      </c>
      <c r="D1653" t="s">
        <v>326</v>
      </c>
      <c r="E1653" t="s">
        <v>229</v>
      </c>
      <c r="F1653" t="s">
        <v>3241</v>
      </c>
      <c r="G1653" s="25">
        <v>44317</v>
      </c>
      <c r="H1653">
        <v>25</v>
      </c>
      <c r="I1653">
        <v>121</v>
      </c>
      <c r="J1653" t="s">
        <v>432</v>
      </c>
      <c r="K1653" t="s">
        <v>493</v>
      </c>
      <c r="L1653" t="s">
        <v>441</v>
      </c>
      <c r="M1653" t="s">
        <v>434</v>
      </c>
      <c r="N1653" t="s">
        <v>78</v>
      </c>
      <c r="O1653" t="s">
        <v>435</v>
      </c>
      <c r="P1653" t="s">
        <v>441</v>
      </c>
      <c r="Q1653">
        <v>116205</v>
      </c>
      <c r="R1653" t="s">
        <v>436</v>
      </c>
    </row>
    <row r="1654" spans="1:18" x14ac:dyDescent="0.25">
      <c r="A1654" t="s">
        <v>2753</v>
      </c>
      <c r="B1654">
        <v>1601</v>
      </c>
      <c r="C1654" t="s">
        <v>487</v>
      </c>
      <c r="D1654" t="s">
        <v>261</v>
      </c>
      <c r="E1654" t="s">
        <v>512</v>
      </c>
      <c r="F1654" t="s">
        <v>1518</v>
      </c>
      <c r="G1654" s="25">
        <v>44269</v>
      </c>
      <c r="H1654">
        <v>15</v>
      </c>
      <c r="I1654">
        <v>73</v>
      </c>
      <c r="J1654" t="s">
        <v>432</v>
      </c>
      <c r="K1654" t="s">
        <v>492</v>
      </c>
      <c r="L1654" t="s">
        <v>24</v>
      </c>
      <c r="M1654" t="s">
        <v>434</v>
      </c>
      <c r="N1654" t="s">
        <v>71</v>
      </c>
      <c r="O1654" t="s">
        <v>435</v>
      </c>
      <c r="P1654" t="s">
        <v>24</v>
      </c>
      <c r="Q1654">
        <v>25800</v>
      </c>
      <c r="R1654" t="s">
        <v>436</v>
      </c>
    </row>
    <row r="1655" spans="1:18" x14ac:dyDescent="0.25">
      <c r="A1655" t="s">
        <v>1702</v>
      </c>
      <c r="B1655">
        <v>1535</v>
      </c>
      <c r="C1655" t="s">
        <v>487</v>
      </c>
      <c r="D1655" t="s">
        <v>261</v>
      </c>
      <c r="E1655" t="s">
        <v>239</v>
      </c>
      <c r="F1655" t="s">
        <v>1703</v>
      </c>
      <c r="G1655" s="25">
        <v>44266</v>
      </c>
      <c r="H1655">
        <v>14</v>
      </c>
      <c r="I1655">
        <v>70</v>
      </c>
      <c r="J1655" t="s">
        <v>432</v>
      </c>
      <c r="K1655" t="s">
        <v>492</v>
      </c>
      <c r="L1655" t="s">
        <v>24</v>
      </c>
      <c r="M1655" t="s">
        <v>434</v>
      </c>
      <c r="N1655" t="s">
        <v>71</v>
      </c>
      <c r="O1655" t="s">
        <v>435</v>
      </c>
      <c r="P1655" t="s">
        <v>24</v>
      </c>
      <c r="Q1655">
        <v>29512.5</v>
      </c>
      <c r="R1655" t="s">
        <v>436</v>
      </c>
    </row>
    <row r="1656" spans="1:18" x14ac:dyDescent="0.25">
      <c r="A1656" t="s">
        <v>2066</v>
      </c>
      <c r="B1656">
        <v>1513</v>
      </c>
      <c r="C1656" t="s">
        <v>487</v>
      </c>
      <c r="D1656" t="s">
        <v>261</v>
      </c>
      <c r="E1656" t="s">
        <v>371</v>
      </c>
      <c r="F1656" t="s">
        <v>1478</v>
      </c>
      <c r="G1656" s="25">
        <v>44265</v>
      </c>
      <c r="H1656">
        <v>14</v>
      </c>
      <c r="I1656">
        <v>69</v>
      </c>
      <c r="J1656" t="s">
        <v>432</v>
      </c>
      <c r="K1656" t="s">
        <v>492</v>
      </c>
      <c r="L1656" t="s">
        <v>24</v>
      </c>
      <c r="M1656" t="s">
        <v>434</v>
      </c>
      <c r="N1656" t="s">
        <v>71</v>
      </c>
      <c r="O1656" t="s">
        <v>435</v>
      </c>
      <c r="P1656" t="s">
        <v>24</v>
      </c>
      <c r="Q1656">
        <v>31500</v>
      </c>
      <c r="R1656" t="s">
        <v>436</v>
      </c>
    </row>
    <row r="1657" spans="1:18" x14ac:dyDescent="0.25">
      <c r="A1657" t="s">
        <v>2533</v>
      </c>
      <c r="B1657">
        <v>765</v>
      </c>
      <c r="C1657" t="s">
        <v>487</v>
      </c>
      <c r="D1657" t="s">
        <v>231</v>
      </c>
      <c r="E1657" t="s">
        <v>575</v>
      </c>
      <c r="F1657" t="s">
        <v>1210</v>
      </c>
      <c r="G1657" s="25">
        <v>44231</v>
      </c>
      <c r="H1657">
        <v>7</v>
      </c>
      <c r="I1657">
        <v>35</v>
      </c>
      <c r="J1657" t="s">
        <v>432</v>
      </c>
      <c r="K1657" t="s">
        <v>492</v>
      </c>
      <c r="L1657" t="s">
        <v>24</v>
      </c>
      <c r="M1657" t="s">
        <v>434</v>
      </c>
      <c r="N1657" t="s">
        <v>71</v>
      </c>
      <c r="O1657" t="s">
        <v>435</v>
      </c>
      <c r="P1657" t="s">
        <v>24</v>
      </c>
      <c r="Q1657">
        <v>14400</v>
      </c>
      <c r="R1657" t="s">
        <v>436</v>
      </c>
    </row>
    <row r="1658" spans="1:18" x14ac:dyDescent="0.25">
      <c r="A1658" t="s">
        <v>1891</v>
      </c>
      <c r="B1658">
        <v>633</v>
      </c>
      <c r="C1658" t="s">
        <v>487</v>
      </c>
      <c r="D1658" t="s">
        <v>231</v>
      </c>
      <c r="E1658" t="s">
        <v>371</v>
      </c>
      <c r="F1658" t="s">
        <v>1124</v>
      </c>
      <c r="G1658" s="25">
        <v>44225</v>
      </c>
      <c r="H1658">
        <v>6</v>
      </c>
      <c r="I1658">
        <v>29</v>
      </c>
      <c r="J1658" t="s">
        <v>432</v>
      </c>
      <c r="K1658" t="s">
        <v>492</v>
      </c>
      <c r="L1658" t="s">
        <v>24</v>
      </c>
      <c r="M1658" t="s">
        <v>434</v>
      </c>
      <c r="N1658" t="s">
        <v>71</v>
      </c>
      <c r="O1658" t="s">
        <v>435</v>
      </c>
      <c r="P1658" t="s">
        <v>24</v>
      </c>
      <c r="Q1658">
        <v>17343.75</v>
      </c>
      <c r="R1658" t="s">
        <v>436</v>
      </c>
    </row>
    <row r="1659" spans="1:18" x14ac:dyDescent="0.25">
      <c r="A1659" t="s">
        <v>3747</v>
      </c>
      <c r="B1659">
        <v>2569</v>
      </c>
      <c r="C1659" t="s">
        <v>487</v>
      </c>
      <c r="D1659" t="s">
        <v>247</v>
      </c>
      <c r="E1659" t="s">
        <v>534</v>
      </c>
      <c r="F1659" t="s">
        <v>3166</v>
      </c>
      <c r="G1659" s="25">
        <v>44313</v>
      </c>
      <c r="H1659">
        <v>24</v>
      </c>
      <c r="I1659">
        <v>117</v>
      </c>
      <c r="J1659" t="s">
        <v>432</v>
      </c>
      <c r="K1659" t="s">
        <v>492</v>
      </c>
      <c r="L1659" t="s">
        <v>24</v>
      </c>
      <c r="M1659" t="s">
        <v>434</v>
      </c>
      <c r="N1659" t="s">
        <v>71</v>
      </c>
      <c r="O1659" t="s">
        <v>435</v>
      </c>
      <c r="P1659" t="s">
        <v>24</v>
      </c>
      <c r="Q1659">
        <v>40500</v>
      </c>
      <c r="R1659" t="s">
        <v>436</v>
      </c>
    </row>
    <row r="1660" spans="1:18" x14ac:dyDescent="0.25">
      <c r="A1660" t="s">
        <v>2912</v>
      </c>
      <c r="B1660">
        <v>1614</v>
      </c>
      <c r="C1660" t="s">
        <v>487</v>
      </c>
      <c r="D1660" t="s">
        <v>261</v>
      </c>
      <c r="E1660" t="s">
        <v>537</v>
      </c>
      <c r="F1660" t="s">
        <v>1530</v>
      </c>
      <c r="G1660" s="25">
        <v>44270</v>
      </c>
      <c r="H1660">
        <v>15</v>
      </c>
      <c r="I1660">
        <v>74</v>
      </c>
      <c r="J1660" t="s">
        <v>231</v>
      </c>
      <c r="K1660" t="s">
        <v>491</v>
      </c>
      <c r="L1660" t="s">
        <v>233</v>
      </c>
      <c r="M1660" t="s">
        <v>234</v>
      </c>
      <c r="N1660" t="s">
        <v>54</v>
      </c>
      <c r="O1660" t="s">
        <v>235</v>
      </c>
      <c r="P1660" t="s">
        <v>236</v>
      </c>
      <c r="Q1660">
        <v>0</v>
      </c>
      <c r="R1660" t="s">
        <v>237</v>
      </c>
    </row>
    <row r="1661" spans="1:18" x14ac:dyDescent="0.25">
      <c r="A1661" t="s">
        <v>1795</v>
      </c>
      <c r="B1661">
        <v>866</v>
      </c>
      <c r="C1661" t="s">
        <v>487</v>
      </c>
      <c r="D1661" t="s">
        <v>231</v>
      </c>
      <c r="E1661" t="s">
        <v>408</v>
      </c>
      <c r="F1661" t="s">
        <v>1234</v>
      </c>
      <c r="G1661" s="25">
        <v>44236</v>
      </c>
      <c r="H1661">
        <v>8</v>
      </c>
      <c r="I1661">
        <v>40</v>
      </c>
      <c r="J1661" t="s">
        <v>231</v>
      </c>
      <c r="K1661" t="s">
        <v>491</v>
      </c>
      <c r="L1661" t="s">
        <v>233</v>
      </c>
      <c r="M1661" t="s">
        <v>234</v>
      </c>
      <c r="N1661" t="s">
        <v>54</v>
      </c>
      <c r="O1661" t="s">
        <v>235</v>
      </c>
      <c r="P1661" t="s">
        <v>236</v>
      </c>
      <c r="Q1661">
        <v>0</v>
      </c>
      <c r="R1661" t="s">
        <v>237</v>
      </c>
    </row>
    <row r="1662" spans="1:18" x14ac:dyDescent="0.25">
      <c r="A1662" t="s">
        <v>721</v>
      </c>
      <c r="B1662">
        <v>448</v>
      </c>
      <c r="C1662" t="s">
        <v>487</v>
      </c>
      <c r="D1662" t="s">
        <v>231</v>
      </c>
      <c r="E1662" t="s">
        <v>229</v>
      </c>
      <c r="F1662" t="s">
        <v>541</v>
      </c>
      <c r="G1662" s="25">
        <v>44217</v>
      </c>
      <c r="H1662">
        <v>5</v>
      </c>
      <c r="I1662">
        <v>21</v>
      </c>
      <c r="J1662" t="s">
        <v>231</v>
      </c>
      <c r="K1662" t="s">
        <v>491</v>
      </c>
      <c r="L1662" t="s">
        <v>233</v>
      </c>
      <c r="M1662" t="s">
        <v>234</v>
      </c>
      <c r="N1662" t="s">
        <v>54</v>
      </c>
      <c r="O1662" t="s">
        <v>235</v>
      </c>
      <c r="P1662" t="s">
        <v>236</v>
      </c>
      <c r="Q1662">
        <v>19750</v>
      </c>
      <c r="R1662" t="s">
        <v>237</v>
      </c>
    </row>
    <row r="1663" spans="1:18" x14ac:dyDescent="0.25">
      <c r="A1663" t="s">
        <v>825</v>
      </c>
      <c r="B1663">
        <v>404</v>
      </c>
      <c r="C1663" t="s">
        <v>487</v>
      </c>
      <c r="D1663" t="s">
        <v>229</v>
      </c>
      <c r="E1663" t="s">
        <v>531</v>
      </c>
      <c r="F1663" t="s">
        <v>532</v>
      </c>
      <c r="G1663" s="25">
        <v>44215</v>
      </c>
      <c r="H1663">
        <v>4</v>
      </c>
      <c r="I1663">
        <v>19</v>
      </c>
      <c r="J1663" t="s">
        <v>231</v>
      </c>
      <c r="K1663" t="s">
        <v>491</v>
      </c>
      <c r="L1663" t="s">
        <v>233</v>
      </c>
      <c r="M1663" t="s">
        <v>234</v>
      </c>
      <c r="N1663" t="s">
        <v>54</v>
      </c>
      <c r="O1663" t="s">
        <v>235</v>
      </c>
      <c r="P1663" t="s">
        <v>236</v>
      </c>
      <c r="Q1663">
        <v>0</v>
      </c>
      <c r="R1663" t="s">
        <v>237</v>
      </c>
    </row>
    <row r="1664" spans="1:18" x14ac:dyDescent="0.25">
      <c r="A1664" t="s">
        <v>3748</v>
      </c>
      <c r="B1664">
        <v>2582</v>
      </c>
      <c r="C1664" t="s">
        <v>487</v>
      </c>
      <c r="D1664" t="s">
        <v>247</v>
      </c>
      <c r="E1664" t="s">
        <v>552</v>
      </c>
      <c r="F1664" t="s">
        <v>3170</v>
      </c>
      <c r="G1664" s="25">
        <v>44314</v>
      </c>
      <c r="H1664">
        <v>24</v>
      </c>
      <c r="I1664">
        <v>118</v>
      </c>
      <c r="J1664" t="s">
        <v>231</v>
      </c>
      <c r="K1664" t="s">
        <v>491</v>
      </c>
      <c r="L1664" t="s">
        <v>233</v>
      </c>
      <c r="M1664" t="s">
        <v>234</v>
      </c>
      <c r="N1664" t="s">
        <v>54</v>
      </c>
      <c r="O1664" t="s">
        <v>235</v>
      </c>
      <c r="P1664" t="s">
        <v>236</v>
      </c>
      <c r="Q1664">
        <v>0</v>
      </c>
      <c r="R1664" t="s">
        <v>237</v>
      </c>
    </row>
    <row r="1665" spans="1:18" x14ac:dyDescent="0.25">
      <c r="A1665" t="s">
        <v>1897</v>
      </c>
      <c r="B1665">
        <v>607</v>
      </c>
      <c r="C1665" t="s">
        <v>487</v>
      </c>
      <c r="D1665" t="s">
        <v>231</v>
      </c>
      <c r="E1665" t="s">
        <v>381</v>
      </c>
      <c r="F1665" t="s">
        <v>1099</v>
      </c>
      <c r="G1665" s="25">
        <v>44224</v>
      </c>
      <c r="H1665">
        <v>6</v>
      </c>
      <c r="I1665">
        <v>28</v>
      </c>
      <c r="J1665" t="s">
        <v>432</v>
      </c>
      <c r="K1665" t="s">
        <v>490</v>
      </c>
      <c r="L1665" t="s">
        <v>65</v>
      </c>
      <c r="M1665" t="s">
        <v>434</v>
      </c>
      <c r="N1665" t="s">
        <v>64</v>
      </c>
      <c r="O1665" t="s">
        <v>235</v>
      </c>
      <c r="P1665" t="s">
        <v>442</v>
      </c>
      <c r="Q1665">
        <v>264000</v>
      </c>
      <c r="R1665" t="s">
        <v>237</v>
      </c>
    </row>
    <row r="1666" spans="1:18" x14ac:dyDescent="0.25">
      <c r="A1666" t="s">
        <v>823</v>
      </c>
      <c r="B1666">
        <v>255</v>
      </c>
      <c r="C1666" t="s">
        <v>487</v>
      </c>
      <c r="D1666" t="s">
        <v>229</v>
      </c>
      <c r="E1666" t="s">
        <v>232</v>
      </c>
      <c r="F1666" t="s">
        <v>520</v>
      </c>
      <c r="G1666" s="25">
        <v>44208</v>
      </c>
      <c r="H1666">
        <v>3</v>
      </c>
      <c r="I1666">
        <v>12</v>
      </c>
      <c r="J1666" t="s">
        <v>432</v>
      </c>
      <c r="K1666" t="s">
        <v>490</v>
      </c>
      <c r="L1666" t="s">
        <v>65</v>
      </c>
      <c r="M1666" t="s">
        <v>434</v>
      </c>
      <c r="N1666" t="s">
        <v>64</v>
      </c>
      <c r="O1666" t="s">
        <v>235</v>
      </c>
      <c r="P1666" t="s">
        <v>442</v>
      </c>
      <c r="Q1666">
        <v>46000</v>
      </c>
      <c r="R1666" t="s">
        <v>237</v>
      </c>
    </row>
    <row r="1667" spans="1:18" x14ac:dyDescent="0.25">
      <c r="A1667" t="s">
        <v>3749</v>
      </c>
      <c r="B1667">
        <v>2433</v>
      </c>
      <c r="C1667" t="s">
        <v>487</v>
      </c>
      <c r="D1667" t="s">
        <v>247</v>
      </c>
      <c r="E1667" t="s">
        <v>515</v>
      </c>
      <c r="F1667" t="s">
        <v>3134</v>
      </c>
      <c r="G1667" s="25">
        <v>44307</v>
      </c>
      <c r="H1667">
        <v>23</v>
      </c>
      <c r="I1667">
        <v>111</v>
      </c>
      <c r="J1667" t="s">
        <v>432</v>
      </c>
      <c r="K1667" t="s">
        <v>490</v>
      </c>
      <c r="L1667" t="s">
        <v>65</v>
      </c>
      <c r="M1667" t="s">
        <v>434</v>
      </c>
      <c r="N1667" t="s">
        <v>64</v>
      </c>
      <c r="O1667" t="s">
        <v>235</v>
      </c>
      <c r="P1667" t="s">
        <v>442</v>
      </c>
      <c r="Q1667">
        <v>328000</v>
      </c>
      <c r="R1667" t="s">
        <v>237</v>
      </c>
    </row>
    <row r="1668" spans="1:18" x14ac:dyDescent="0.25">
      <c r="A1668" t="s">
        <v>3750</v>
      </c>
      <c r="B1668">
        <v>2125</v>
      </c>
      <c r="C1668" t="s">
        <v>487</v>
      </c>
      <c r="D1668" t="s">
        <v>322</v>
      </c>
      <c r="E1668" t="s">
        <v>534</v>
      </c>
      <c r="F1668" t="s">
        <v>3031</v>
      </c>
      <c r="G1668" s="25">
        <v>44293</v>
      </c>
      <c r="H1668">
        <v>20</v>
      </c>
      <c r="I1668">
        <v>97</v>
      </c>
      <c r="J1668" t="s">
        <v>432</v>
      </c>
      <c r="K1668" t="s">
        <v>490</v>
      </c>
      <c r="L1668" t="s">
        <v>65</v>
      </c>
      <c r="M1668" t="s">
        <v>434</v>
      </c>
      <c r="N1668" t="s">
        <v>64</v>
      </c>
      <c r="O1668" t="s">
        <v>235</v>
      </c>
      <c r="P1668" t="s">
        <v>442</v>
      </c>
      <c r="Q1668">
        <v>448000</v>
      </c>
      <c r="R1668" t="s">
        <v>237</v>
      </c>
    </row>
    <row r="1669" spans="1:18" x14ac:dyDescent="0.25">
      <c r="A1669" t="s">
        <v>1962</v>
      </c>
      <c r="B1669">
        <v>1223</v>
      </c>
      <c r="C1669" t="s">
        <v>487</v>
      </c>
      <c r="D1669" t="s">
        <v>256</v>
      </c>
      <c r="E1669" t="s">
        <v>620</v>
      </c>
      <c r="F1669" t="s">
        <v>1350</v>
      </c>
      <c r="G1669" s="25">
        <v>44252</v>
      </c>
      <c r="H1669">
        <v>12</v>
      </c>
      <c r="I1669">
        <v>56</v>
      </c>
      <c r="J1669" t="s">
        <v>432</v>
      </c>
      <c r="K1669" t="s">
        <v>490</v>
      </c>
      <c r="L1669" t="s">
        <v>65</v>
      </c>
      <c r="M1669" t="s">
        <v>434</v>
      </c>
      <c r="N1669" t="s">
        <v>64</v>
      </c>
      <c r="O1669" t="s">
        <v>235</v>
      </c>
      <c r="P1669" t="s">
        <v>442</v>
      </c>
      <c r="Q1669">
        <v>360000</v>
      </c>
      <c r="R1669" t="s">
        <v>237</v>
      </c>
    </row>
    <row r="1670" spans="1:18" x14ac:dyDescent="0.25">
      <c r="A1670" t="s">
        <v>3751</v>
      </c>
      <c r="B1670">
        <v>2284</v>
      </c>
      <c r="C1670" t="s">
        <v>487</v>
      </c>
      <c r="D1670" t="s">
        <v>247</v>
      </c>
      <c r="E1670" t="s">
        <v>261</v>
      </c>
      <c r="F1670" t="s">
        <v>3078</v>
      </c>
      <c r="G1670" s="25">
        <v>44300</v>
      </c>
      <c r="H1670">
        <v>21</v>
      </c>
      <c r="I1670">
        <v>104</v>
      </c>
      <c r="J1670" t="s">
        <v>432</v>
      </c>
      <c r="K1670" t="s">
        <v>488</v>
      </c>
      <c r="L1670" t="s">
        <v>433</v>
      </c>
      <c r="M1670" t="s">
        <v>434</v>
      </c>
      <c r="N1670" t="s">
        <v>74</v>
      </c>
      <c r="O1670" t="s">
        <v>435</v>
      </c>
      <c r="P1670" t="s">
        <v>433</v>
      </c>
      <c r="Q1670">
        <v>41700</v>
      </c>
      <c r="R1670" t="s">
        <v>436</v>
      </c>
    </row>
    <row r="1671" spans="1:18" x14ac:dyDescent="0.25">
      <c r="A1671" t="s">
        <v>2376</v>
      </c>
      <c r="B1671">
        <v>1558</v>
      </c>
      <c r="C1671" t="s">
        <v>487</v>
      </c>
      <c r="D1671" t="s">
        <v>261</v>
      </c>
      <c r="E1671" t="s">
        <v>515</v>
      </c>
      <c r="F1671" t="s">
        <v>1493</v>
      </c>
      <c r="G1671" s="25">
        <v>44267</v>
      </c>
      <c r="H1671">
        <v>15</v>
      </c>
      <c r="I1671">
        <v>71</v>
      </c>
      <c r="J1671" t="s">
        <v>432</v>
      </c>
      <c r="K1671" t="s">
        <v>488</v>
      </c>
      <c r="L1671" t="s">
        <v>433</v>
      </c>
      <c r="M1671" t="s">
        <v>434</v>
      </c>
      <c r="N1671" t="s">
        <v>74</v>
      </c>
      <c r="O1671" t="s">
        <v>435</v>
      </c>
      <c r="P1671" t="s">
        <v>433</v>
      </c>
      <c r="Q1671">
        <v>25800</v>
      </c>
      <c r="R1671" t="s">
        <v>436</v>
      </c>
    </row>
    <row r="1672" spans="1:18" x14ac:dyDescent="0.25">
      <c r="A1672" t="s">
        <v>2021</v>
      </c>
      <c r="B1672">
        <v>1074</v>
      </c>
      <c r="C1672" t="s">
        <v>487</v>
      </c>
      <c r="D1672" t="s">
        <v>256</v>
      </c>
      <c r="E1672" t="s">
        <v>371</v>
      </c>
      <c r="F1672" t="s">
        <v>1318</v>
      </c>
      <c r="G1672" s="25">
        <v>44245</v>
      </c>
      <c r="H1672">
        <v>10</v>
      </c>
      <c r="I1672">
        <v>49</v>
      </c>
      <c r="J1672" t="s">
        <v>432</v>
      </c>
      <c r="K1672" t="s">
        <v>488</v>
      </c>
      <c r="L1672" t="s">
        <v>433</v>
      </c>
      <c r="M1672" t="s">
        <v>434</v>
      </c>
      <c r="N1672" t="s">
        <v>74</v>
      </c>
      <c r="O1672" t="s">
        <v>435</v>
      </c>
      <c r="P1672" t="s">
        <v>433</v>
      </c>
      <c r="Q1672">
        <v>48000</v>
      </c>
      <c r="R1672" t="s">
        <v>436</v>
      </c>
    </row>
    <row r="1673" spans="1:18" x14ac:dyDescent="0.25">
      <c r="A1673" t="s">
        <v>387</v>
      </c>
      <c r="B1673">
        <v>106</v>
      </c>
      <c r="C1673" t="s">
        <v>487</v>
      </c>
      <c r="D1673" t="s">
        <v>229</v>
      </c>
      <c r="E1673" t="s">
        <v>322</v>
      </c>
      <c r="F1673" t="s">
        <v>529</v>
      </c>
      <c r="G1673" s="25">
        <v>44201</v>
      </c>
      <c r="H1673">
        <v>1</v>
      </c>
      <c r="I1673">
        <v>5</v>
      </c>
      <c r="J1673" t="s">
        <v>432</v>
      </c>
      <c r="K1673" t="s">
        <v>488</v>
      </c>
      <c r="L1673" t="s">
        <v>433</v>
      </c>
      <c r="M1673" t="s">
        <v>434</v>
      </c>
      <c r="N1673" t="s">
        <v>74</v>
      </c>
      <c r="O1673" t="s">
        <v>435</v>
      </c>
      <c r="P1673" t="s">
        <v>433</v>
      </c>
      <c r="Q1673">
        <v>10800</v>
      </c>
      <c r="R1673" t="s">
        <v>436</v>
      </c>
    </row>
    <row r="1674" spans="1:18" x14ac:dyDescent="0.25">
      <c r="A1674" t="s">
        <v>3752</v>
      </c>
      <c r="B1674">
        <v>2060</v>
      </c>
      <c r="C1674" t="s">
        <v>487</v>
      </c>
      <c r="D1674" t="s">
        <v>322</v>
      </c>
      <c r="E1674" t="s">
        <v>537</v>
      </c>
      <c r="F1674" t="s">
        <v>2999</v>
      </c>
      <c r="G1674" s="25">
        <v>44290</v>
      </c>
      <c r="H1674">
        <v>19</v>
      </c>
      <c r="I1674">
        <v>94</v>
      </c>
      <c r="J1674" t="s">
        <v>432</v>
      </c>
      <c r="K1674" t="s">
        <v>489</v>
      </c>
      <c r="L1674" t="s">
        <v>134</v>
      </c>
      <c r="M1674" t="s">
        <v>434</v>
      </c>
      <c r="N1674" t="s">
        <v>67</v>
      </c>
      <c r="O1674" t="s">
        <v>235</v>
      </c>
      <c r="P1674" t="s">
        <v>437</v>
      </c>
      <c r="Q1674">
        <v>448000</v>
      </c>
      <c r="R1674" t="s">
        <v>237</v>
      </c>
    </row>
    <row r="1675" spans="1:18" x14ac:dyDescent="0.25">
      <c r="A1675" t="s">
        <v>1969</v>
      </c>
      <c r="B1675">
        <v>1686</v>
      </c>
      <c r="C1675" t="s">
        <v>487</v>
      </c>
      <c r="D1675" t="s">
        <v>261</v>
      </c>
      <c r="E1675" t="s">
        <v>534</v>
      </c>
      <c r="F1675" t="s">
        <v>1563</v>
      </c>
      <c r="G1675" s="25">
        <v>44273</v>
      </c>
      <c r="H1675">
        <v>16</v>
      </c>
      <c r="I1675">
        <v>77</v>
      </c>
      <c r="J1675" t="s">
        <v>432</v>
      </c>
      <c r="K1675" t="s">
        <v>489</v>
      </c>
      <c r="L1675" t="s">
        <v>134</v>
      </c>
      <c r="M1675" t="s">
        <v>434</v>
      </c>
      <c r="N1675" t="s">
        <v>67</v>
      </c>
      <c r="O1675" t="s">
        <v>235</v>
      </c>
      <c r="P1675" t="s">
        <v>437</v>
      </c>
      <c r="Q1675">
        <v>296000</v>
      </c>
      <c r="R1675" t="s">
        <v>237</v>
      </c>
    </row>
    <row r="1676" spans="1:18" x14ac:dyDescent="0.25">
      <c r="A1676" t="s">
        <v>2274</v>
      </c>
      <c r="B1676">
        <v>1158</v>
      </c>
      <c r="C1676" t="s">
        <v>487</v>
      </c>
      <c r="D1676" t="s">
        <v>256</v>
      </c>
      <c r="E1676" t="s">
        <v>512</v>
      </c>
      <c r="F1676" t="s">
        <v>1342</v>
      </c>
      <c r="G1676" s="25">
        <v>44249</v>
      </c>
      <c r="H1676">
        <v>11</v>
      </c>
      <c r="I1676">
        <v>53</v>
      </c>
      <c r="J1676" t="s">
        <v>432</v>
      </c>
      <c r="K1676" t="s">
        <v>489</v>
      </c>
      <c r="L1676" t="s">
        <v>134</v>
      </c>
      <c r="M1676" t="s">
        <v>434</v>
      </c>
      <c r="N1676" t="s">
        <v>67</v>
      </c>
      <c r="O1676" t="s">
        <v>235</v>
      </c>
      <c r="P1676" t="s">
        <v>437</v>
      </c>
      <c r="Q1676">
        <v>360000</v>
      </c>
      <c r="R1676" t="s">
        <v>237</v>
      </c>
    </row>
    <row r="1677" spans="1:18" x14ac:dyDescent="0.25">
      <c r="A1677" t="s">
        <v>2704</v>
      </c>
      <c r="B1677">
        <v>894</v>
      </c>
      <c r="C1677" t="s">
        <v>487</v>
      </c>
      <c r="D1677" t="s">
        <v>256</v>
      </c>
      <c r="E1677" t="s">
        <v>229</v>
      </c>
      <c r="F1677" t="s">
        <v>1241</v>
      </c>
      <c r="G1677" s="25">
        <v>44237</v>
      </c>
      <c r="H1677">
        <v>9</v>
      </c>
      <c r="I1677">
        <v>41</v>
      </c>
      <c r="J1677" t="s">
        <v>432</v>
      </c>
      <c r="K1677" t="s">
        <v>489</v>
      </c>
      <c r="L1677" t="s">
        <v>134</v>
      </c>
      <c r="M1677" t="s">
        <v>434</v>
      </c>
      <c r="N1677" t="s">
        <v>67</v>
      </c>
      <c r="O1677" t="s">
        <v>235</v>
      </c>
      <c r="P1677" t="s">
        <v>437</v>
      </c>
      <c r="Q1677">
        <v>254750</v>
      </c>
      <c r="R1677" t="s">
        <v>237</v>
      </c>
    </row>
    <row r="1678" spans="1:18" x14ac:dyDescent="0.25">
      <c r="A1678" t="s">
        <v>2431</v>
      </c>
      <c r="B1678">
        <v>850</v>
      </c>
      <c r="C1678" t="s">
        <v>487</v>
      </c>
      <c r="D1678" t="s">
        <v>231</v>
      </c>
      <c r="E1678" t="s">
        <v>531</v>
      </c>
      <c r="F1678" t="s">
        <v>1230</v>
      </c>
      <c r="G1678" s="25">
        <v>44235</v>
      </c>
      <c r="H1678">
        <v>8</v>
      </c>
      <c r="I1678">
        <v>39</v>
      </c>
      <c r="J1678" t="s">
        <v>432</v>
      </c>
      <c r="K1678" t="s">
        <v>489</v>
      </c>
      <c r="L1678" t="s">
        <v>134</v>
      </c>
      <c r="M1678" t="s">
        <v>434</v>
      </c>
      <c r="N1678" t="s">
        <v>67</v>
      </c>
      <c r="O1678" t="s">
        <v>235</v>
      </c>
      <c r="P1678" t="s">
        <v>437</v>
      </c>
      <c r="Q1678">
        <v>240000</v>
      </c>
      <c r="R1678" t="s">
        <v>237</v>
      </c>
    </row>
    <row r="1679" spans="1:18" x14ac:dyDescent="0.25">
      <c r="A1679" t="s">
        <v>2644</v>
      </c>
      <c r="B1679">
        <v>1631</v>
      </c>
      <c r="C1679" t="s">
        <v>487</v>
      </c>
      <c r="D1679" t="s">
        <v>261</v>
      </c>
      <c r="E1679" t="s">
        <v>575</v>
      </c>
      <c r="F1679" t="s">
        <v>1537</v>
      </c>
      <c r="G1679" s="25">
        <v>44271</v>
      </c>
      <c r="H1679">
        <v>15</v>
      </c>
      <c r="I1679">
        <v>75</v>
      </c>
      <c r="J1679" t="s">
        <v>231</v>
      </c>
      <c r="K1679" t="s">
        <v>509</v>
      </c>
      <c r="L1679" t="s">
        <v>45</v>
      </c>
      <c r="M1679" t="s">
        <v>234</v>
      </c>
      <c r="N1679" t="s">
        <v>44</v>
      </c>
      <c r="O1679" t="s">
        <v>21</v>
      </c>
      <c r="P1679" t="s">
        <v>304</v>
      </c>
      <c r="Q1679">
        <v>167</v>
      </c>
      <c r="R1679" t="s">
        <v>237</v>
      </c>
    </row>
    <row r="1680" spans="1:18" x14ac:dyDescent="0.25">
      <c r="A1680" t="s">
        <v>2024</v>
      </c>
      <c r="B1680">
        <v>1367</v>
      </c>
      <c r="C1680" t="s">
        <v>487</v>
      </c>
      <c r="D1680" t="s">
        <v>261</v>
      </c>
      <c r="E1680" t="s">
        <v>256</v>
      </c>
      <c r="F1680" t="s">
        <v>1402</v>
      </c>
      <c r="G1680" s="25">
        <v>44259</v>
      </c>
      <c r="H1680">
        <v>13</v>
      </c>
      <c r="I1680">
        <v>63</v>
      </c>
      <c r="J1680" t="s">
        <v>231</v>
      </c>
      <c r="K1680" t="s">
        <v>509</v>
      </c>
      <c r="L1680" t="s">
        <v>45</v>
      </c>
      <c r="M1680" t="s">
        <v>234</v>
      </c>
      <c r="N1680" t="s">
        <v>44</v>
      </c>
      <c r="O1680" t="s">
        <v>21</v>
      </c>
      <c r="P1680" t="s">
        <v>304</v>
      </c>
      <c r="Q1680">
        <v>7565</v>
      </c>
      <c r="R1680" t="s">
        <v>237</v>
      </c>
    </row>
    <row r="1681" spans="1:18" x14ac:dyDescent="0.25">
      <c r="A1681" t="s">
        <v>791</v>
      </c>
      <c r="B1681">
        <v>157</v>
      </c>
      <c r="C1681" t="s">
        <v>487</v>
      </c>
      <c r="D1681" t="s">
        <v>229</v>
      </c>
      <c r="E1681" t="s">
        <v>381</v>
      </c>
      <c r="F1681" t="s">
        <v>518</v>
      </c>
      <c r="G1681" s="25">
        <v>44204</v>
      </c>
      <c r="H1681">
        <v>2</v>
      </c>
      <c r="I1681">
        <v>8</v>
      </c>
      <c r="J1681" t="s">
        <v>231</v>
      </c>
      <c r="K1681" t="s">
        <v>509</v>
      </c>
      <c r="L1681" t="s">
        <v>45</v>
      </c>
      <c r="M1681" t="s">
        <v>234</v>
      </c>
      <c r="N1681" t="s">
        <v>44</v>
      </c>
      <c r="O1681" t="s">
        <v>21</v>
      </c>
      <c r="P1681" t="s">
        <v>304</v>
      </c>
      <c r="Q1681">
        <v>16649</v>
      </c>
      <c r="R1681" t="s">
        <v>237</v>
      </c>
    </row>
    <row r="1682" spans="1:18" x14ac:dyDescent="0.25">
      <c r="A1682" t="s">
        <v>324</v>
      </c>
      <c r="B1682">
        <v>3</v>
      </c>
      <c r="C1682" t="s">
        <v>487</v>
      </c>
      <c r="D1682" t="s">
        <v>229</v>
      </c>
      <c r="E1682" t="s">
        <v>229</v>
      </c>
      <c r="F1682" t="s">
        <v>230</v>
      </c>
      <c r="G1682" s="25">
        <v>44197</v>
      </c>
      <c r="H1682">
        <v>1</v>
      </c>
      <c r="I1682">
        <v>1</v>
      </c>
      <c r="J1682" t="s">
        <v>231</v>
      </c>
      <c r="K1682" t="s">
        <v>509</v>
      </c>
      <c r="L1682" t="s">
        <v>45</v>
      </c>
      <c r="M1682" t="s">
        <v>234</v>
      </c>
      <c r="N1682" t="s">
        <v>44</v>
      </c>
      <c r="O1682" t="s">
        <v>21</v>
      </c>
      <c r="P1682" t="s">
        <v>304</v>
      </c>
      <c r="Q1682">
        <v>0</v>
      </c>
      <c r="R1682" t="s">
        <v>237</v>
      </c>
    </row>
    <row r="1683" spans="1:18" x14ac:dyDescent="0.25">
      <c r="A1683" t="s">
        <v>2646</v>
      </c>
      <c r="B1683">
        <v>972</v>
      </c>
      <c r="C1683" t="s">
        <v>487</v>
      </c>
      <c r="D1683" t="s">
        <v>256</v>
      </c>
      <c r="E1683" t="s">
        <v>322</v>
      </c>
      <c r="F1683" t="s">
        <v>1288</v>
      </c>
      <c r="G1683" s="25">
        <v>44241</v>
      </c>
      <c r="H1683">
        <v>9</v>
      </c>
      <c r="I1683">
        <v>45</v>
      </c>
      <c r="J1683" t="s">
        <v>231</v>
      </c>
      <c r="K1683" t="s">
        <v>508</v>
      </c>
      <c r="L1683" t="s">
        <v>47</v>
      </c>
      <c r="M1683" t="s">
        <v>234</v>
      </c>
      <c r="N1683" t="s">
        <v>46</v>
      </c>
      <c r="O1683" t="s">
        <v>21</v>
      </c>
      <c r="P1683" t="s">
        <v>288</v>
      </c>
      <c r="Q1683">
        <v>22415</v>
      </c>
      <c r="R1683" t="s">
        <v>237</v>
      </c>
    </row>
    <row r="1684" spans="1:18" x14ac:dyDescent="0.25">
      <c r="A1684" t="s">
        <v>547</v>
      </c>
      <c r="B1684">
        <v>400</v>
      </c>
      <c r="C1684" t="s">
        <v>487</v>
      </c>
      <c r="D1684" t="s">
        <v>229</v>
      </c>
      <c r="E1684" t="s">
        <v>531</v>
      </c>
      <c r="F1684" t="s">
        <v>532</v>
      </c>
      <c r="G1684" s="25">
        <v>44215</v>
      </c>
      <c r="H1684">
        <v>4</v>
      </c>
      <c r="I1684">
        <v>19</v>
      </c>
      <c r="J1684" t="s">
        <v>231</v>
      </c>
      <c r="K1684" t="s">
        <v>508</v>
      </c>
      <c r="L1684" t="s">
        <v>47</v>
      </c>
      <c r="M1684" t="s">
        <v>234</v>
      </c>
      <c r="N1684" t="s">
        <v>46</v>
      </c>
      <c r="O1684" t="s">
        <v>21</v>
      </c>
      <c r="P1684" t="s">
        <v>288</v>
      </c>
      <c r="Q1684">
        <v>0</v>
      </c>
      <c r="R1684" t="s">
        <v>237</v>
      </c>
    </row>
    <row r="1685" spans="1:18" x14ac:dyDescent="0.25">
      <c r="A1685" t="s">
        <v>548</v>
      </c>
      <c r="B1685">
        <v>246</v>
      </c>
      <c r="C1685" t="s">
        <v>487</v>
      </c>
      <c r="D1685" t="s">
        <v>229</v>
      </c>
      <c r="E1685" t="s">
        <v>232</v>
      </c>
      <c r="F1685" t="s">
        <v>520</v>
      </c>
      <c r="G1685" s="25">
        <v>44208</v>
      </c>
      <c r="H1685">
        <v>3</v>
      </c>
      <c r="I1685">
        <v>12</v>
      </c>
      <c r="J1685" t="s">
        <v>231</v>
      </c>
      <c r="K1685" t="s">
        <v>508</v>
      </c>
      <c r="L1685" t="s">
        <v>47</v>
      </c>
      <c r="M1685" t="s">
        <v>234</v>
      </c>
      <c r="N1685" t="s">
        <v>46</v>
      </c>
      <c r="O1685" t="s">
        <v>21</v>
      </c>
      <c r="P1685" t="s">
        <v>288</v>
      </c>
      <c r="Q1685">
        <v>7143</v>
      </c>
      <c r="R1685" t="s">
        <v>237</v>
      </c>
    </row>
    <row r="1686" spans="1:18" x14ac:dyDescent="0.25">
      <c r="A1686" t="s">
        <v>3753</v>
      </c>
      <c r="B1686">
        <v>2578</v>
      </c>
      <c r="C1686" t="s">
        <v>487</v>
      </c>
      <c r="D1686" t="s">
        <v>247</v>
      </c>
      <c r="E1686" t="s">
        <v>552</v>
      </c>
      <c r="F1686" t="s">
        <v>3170</v>
      </c>
      <c r="G1686" s="25">
        <v>44314</v>
      </c>
      <c r="H1686">
        <v>24</v>
      </c>
      <c r="I1686">
        <v>118</v>
      </c>
      <c r="J1686" t="s">
        <v>231</v>
      </c>
      <c r="K1686" t="s">
        <v>508</v>
      </c>
      <c r="L1686" t="s">
        <v>47</v>
      </c>
      <c r="M1686" t="s">
        <v>234</v>
      </c>
      <c r="N1686" t="s">
        <v>46</v>
      </c>
      <c r="O1686" t="s">
        <v>21</v>
      </c>
      <c r="P1686" t="s">
        <v>288</v>
      </c>
      <c r="Q1686">
        <v>0</v>
      </c>
      <c r="R1686" t="s">
        <v>237</v>
      </c>
    </row>
    <row r="1687" spans="1:18" x14ac:dyDescent="0.25">
      <c r="A1687" t="s">
        <v>543</v>
      </c>
      <c r="B1687">
        <v>423</v>
      </c>
      <c r="C1687" t="s">
        <v>487</v>
      </c>
      <c r="D1687" t="s">
        <v>229</v>
      </c>
      <c r="E1687" t="s">
        <v>408</v>
      </c>
      <c r="F1687" t="s">
        <v>527</v>
      </c>
      <c r="G1687" s="25">
        <v>44216</v>
      </c>
      <c r="H1687">
        <v>4</v>
      </c>
      <c r="I1687">
        <v>20</v>
      </c>
      <c r="J1687" t="s">
        <v>231</v>
      </c>
      <c r="K1687" t="s">
        <v>507</v>
      </c>
      <c r="L1687" t="s">
        <v>49</v>
      </c>
      <c r="M1687" t="s">
        <v>234</v>
      </c>
      <c r="N1687" t="s">
        <v>48</v>
      </c>
      <c r="O1687" t="s">
        <v>21</v>
      </c>
      <c r="P1687" t="s">
        <v>413</v>
      </c>
      <c r="Q1687">
        <v>0</v>
      </c>
      <c r="R1687" t="s">
        <v>237</v>
      </c>
    </row>
    <row r="1688" spans="1:18" x14ac:dyDescent="0.25">
      <c r="A1688" t="s">
        <v>1609</v>
      </c>
      <c r="B1688">
        <v>490</v>
      </c>
      <c r="C1688" t="s">
        <v>487</v>
      </c>
      <c r="D1688" t="s">
        <v>231</v>
      </c>
      <c r="E1688" t="s">
        <v>256</v>
      </c>
      <c r="F1688" t="s">
        <v>1064</v>
      </c>
      <c r="G1688" s="25">
        <v>44219</v>
      </c>
      <c r="H1688">
        <v>5</v>
      </c>
      <c r="I1688">
        <v>23</v>
      </c>
      <c r="J1688" t="s">
        <v>231</v>
      </c>
      <c r="K1688" t="s">
        <v>506</v>
      </c>
      <c r="L1688" t="s">
        <v>414</v>
      </c>
      <c r="M1688" t="s">
        <v>234</v>
      </c>
      <c r="N1688" t="s">
        <v>50</v>
      </c>
      <c r="O1688" t="s">
        <v>21</v>
      </c>
      <c r="P1688" t="s">
        <v>411</v>
      </c>
      <c r="Q1688">
        <v>0</v>
      </c>
      <c r="R1688" t="s">
        <v>237</v>
      </c>
    </row>
    <row r="1689" spans="1:18" x14ac:dyDescent="0.25">
      <c r="A1689" t="s">
        <v>674</v>
      </c>
      <c r="B1689">
        <v>182</v>
      </c>
      <c r="C1689" t="s">
        <v>487</v>
      </c>
      <c r="D1689" t="s">
        <v>229</v>
      </c>
      <c r="E1689" t="s">
        <v>371</v>
      </c>
      <c r="F1689" t="s">
        <v>557</v>
      </c>
      <c r="G1689" s="25">
        <v>44205</v>
      </c>
      <c r="H1689">
        <v>2</v>
      </c>
      <c r="I1689">
        <v>9</v>
      </c>
      <c r="J1689" t="s">
        <v>231</v>
      </c>
      <c r="K1689" t="s">
        <v>506</v>
      </c>
      <c r="L1689" t="s">
        <v>414</v>
      </c>
      <c r="M1689" t="s">
        <v>234</v>
      </c>
      <c r="N1689" t="s">
        <v>50</v>
      </c>
      <c r="O1689" t="s">
        <v>21</v>
      </c>
      <c r="P1689" t="s">
        <v>411</v>
      </c>
      <c r="Q1689">
        <v>0</v>
      </c>
      <c r="R1689" t="s">
        <v>237</v>
      </c>
    </row>
    <row r="1690" spans="1:18" x14ac:dyDescent="0.25">
      <c r="A1690" t="s">
        <v>3754</v>
      </c>
      <c r="B1690">
        <v>2360</v>
      </c>
      <c r="C1690" t="s">
        <v>487</v>
      </c>
      <c r="D1690" t="s">
        <v>247</v>
      </c>
      <c r="E1690" t="s">
        <v>381</v>
      </c>
      <c r="F1690" t="s">
        <v>3107</v>
      </c>
      <c r="G1690" s="25">
        <v>44304</v>
      </c>
      <c r="H1690">
        <v>22</v>
      </c>
      <c r="I1690">
        <v>108</v>
      </c>
      <c r="J1690" t="s">
        <v>231</v>
      </c>
      <c r="K1690" t="s">
        <v>506</v>
      </c>
      <c r="L1690" t="s">
        <v>414</v>
      </c>
      <c r="M1690" t="s">
        <v>234</v>
      </c>
      <c r="N1690" t="s">
        <v>50</v>
      </c>
      <c r="O1690" t="s">
        <v>21</v>
      </c>
      <c r="P1690" t="s">
        <v>411</v>
      </c>
      <c r="Q1690">
        <v>0</v>
      </c>
      <c r="R1690" t="s">
        <v>237</v>
      </c>
    </row>
    <row r="1691" spans="1:18" x14ac:dyDescent="0.25">
      <c r="A1691" t="s">
        <v>3755</v>
      </c>
      <c r="B1691">
        <v>2008</v>
      </c>
      <c r="C1691" t="s">
        <v>487</v>
      </c>
      <c r="D1691" t="s">
        <v>322</v>
      </c>
      <c r="E1691" t="s">
        <v>232</v>
      </c>
      <c r="F1691" t="s">
        <v>2987</v>
      </c>
      <c r="G1691" s="25">
        <v>44288</v>
      </c>
      <c r="H1691">
        <v>19</v>
      </c>
      <c r="I1691">
        <v>92</v>
      </c>
      <c r="J1691" t="s">
        <v>231</v>
      </c>
      <c r="K1691" t="s">
        <v>506</v>
      </c>
      <c r="L1691" t="s">
        <v>414</v>
      </c>
      <c r="M1691" t="s">
        <v>234</v>
      </c>
      <c r="N1691" t="s">
        <v>50</v>
      </c>
      <c r="O1691" t="s">
        <v>21</v>
      </c>
      <c r="P1691" t="s">
        <v>411</v>
      </c>
      <c r="Q1691">
        <v>0</v>
      </c>
      <c r="R1691" t="s">
        <v>237</v>
      </c>
    </row>
    <row r="1692" spans="1:18" x14ac:dyDescent="0.25">
      <c r="A1692" t="s">
        <v>2090</v>
      </c>
      <c r="B1692">
        <v>1392</v>
      </c>
      <c r="C1692" t="s">
        <v>487</v>
      </c>
      <c r="D1692" t="s">
        <v>261</v>
      </c>
      <c r="E1692" t="s">
        <v>261</v>
      </c>
      <c r="F1692" t="s">
        <v>1410</v>
      </c>
      <c r="G1692" s="25">
        <v>44260</v>
      </c>
      <c r="H1692">
        <v>13</v>
      </c>
      <c r="I1692">
        <v>64</v>
      </c>
      <c r="J1692" t="s">
        <v>231</v>
      </c>
      <c r="K1692" t="s">
        <v>506</v>
      </c>
      <c r="L1692" t="s">
        <v>414</v>
      </c>
      <c r="M1692" t="s">
        <v>234</v>
      </c>
      <c r="N1692" t="s">
        <v>50</v>
      </c>
      <c r="O1692" t="s">
        <v>21</v>
      </c>
      <c r="P1692" t="s">
        <v>411</v>
      </c>
      <c r="Q1692">
        <v>0</v>
      </c>
      <c r="R1692" t="s">
        <v>237</v>
      </c>
    </row>
    <row r="1693" spans="1:18" x14ac:dyDescent="0.25">
      <c r="A1693" t="s">
        <v>2389</v>
      </c>
      <c r="B1693">
        <v>1106</v>
      </c>
      <c r="C1693" t="s">
        <v>487</v>
      </c>
      <c r="D1693" t="s">
        <v>256</v>
      </c>
      <c r="E1693" t="s">
        <v>515</v>
      </c>
      <c r="F1693" t="s">
        <v>1329</v>
      </c>
      <c r="G1693" s="25">
        <v>44247</v>
      </c>
      <c r="H1693">
        <v>11</v>
      </c>
      <c r="I1693">
        <v>51</v>
      </c>
      <c r="J1693" t="s">
        <v>231</v>
      </c>
      <c r="K1693" t="s">
        <v>506</v>
      </c>
      <c r="L1693" t="s">
        <v>414</v>
      </c>
      <c r="M1693" t="s">
        <v>234</v>
      </c>
      <c r="N1693" t="s">
        <v>50</v>
      </c>
      <c r="O1693" t="s">
        <v>21</v>
      </c>
      <c r="P1693" t="s">
        <v>411</v>
      </c>
      <c r="Q1693">
        <v>0</v>
      </c>
      <c r="R1693" t="s">
        <v>237</v>
      </c>
    </row>
    <row r="1694" spans="1:18" x14ac:dyDescent="0.25">
      <c r="A1694" t="s">
        <v>2034</v>
      </c>
      <c r="B1694">
        <v>798</v>
      </c>
      <c r="C1694" t="s">
        <v>487</v>
      </c>
      <c r="D1694" t="s">
        <v>231</v>
      </c>
      <c r="E1694" t="s">
        <v>534</v>
      </c>
      <c r="F1694" t="s">
        <v>1731</v>
      </c>
      <c r="G1694" s="25">
        <v>44233</v>
      </c>
      <c r="H1694">
        <v>8</v>
      </c>
      <c r="I1694">
        <v>37</v>
      </c>
      <c r="J1694" t="s">
        <v>231</v>
      </c>
      <c r="K1694" t="s">
        <v>506</v>
      </c>
      <c r="L1694" t="s">
        <v>414</v>
      </c>
      <c r="M1694" t="s">
        <v>234</v>
      </c>
      <c r="N1694" t="s">
        <v>50</v>
      </c>
      <c r="O1694" t="s">
        <v>21</v>
      </c>
      <c r="P1694" t="s">
        <v>411</v>
      </c>
      <c r="Q1694">
        <v>0</v>
      </c>
      <c r="R1694" t="s">
        <v>237</v>
      </c>
    </row>
    <row r="1695" spans="1:18" x14ac:dyDescent="0.25">
      <c r="A1695" t="s">
        <v>293</v>
      </c>
      <c r="B1695">
        <v>133</v>
      </c>
      <c r="C1695" t="s">
        <v>487</v>
      </c>
      <c r="D1695" t="s">
        <v>229</v>
      </c>
      <c r="E1695" t="s">
        <v>326</v>
      </c>
      <c r="F1695" t="s">
        <v>522</v>
      </c>
      <c r="G1695" s="25">
        <v>44203</v>
      </c>
      <c r="H1695">
        <v>2</v>
      </c>
      <c r="I1695">
        <v>7</v>
      </c>
      <c r="J1695" t="s">
        <v>231</v>
      </c>
      <c r="K1695" t="s">
        <v>505</v>
      </c>
      <c r="L1695" t="s">
        <v>41</v>
      </c>
      <c r="M1695" t="s">
        <v>234</v>
      </c>
      <c r="N1695" t="s">
        <v>40</v>
      </c>
      <c r="O1695" t="s">
        <v>21</v>
      </c>
      <c r="P1695" t="s">
        <v>266</v>
      </c>
      <c r="Q1695">
        <v>0</v>
      </c>
      <c r="R1695" t="s">
        <v>237</v>
      </c>
    </row>
    <row r="1696" spans="1:18" x14ac:dyDescent="0.25">
      <c r="A1696" t="s">
        <v>562</v>
      </c>
      <c r="B1696">
        <v>441</v>
      </c>
      <c r="C1696" t="s">
        <v>487</v>
      </c>
      <c r="D1696" t="s">
        <v>231</v>
      </c>
      <c r="E1696" t="s">
        <v>229</v>
      </c>
      <c r="F1696" t="s">
        <v>541</v>
      </c>
      <c r="G1696" s="25">
        <v>44217</v>
      </c>
      <c r="H1696">
        <v>5</v>
      </c>
      <c r="I1696">
        <v>21</v>
      </c>
      <c r="J1696" t="s">
        <v>231</v>
      </c>
      <c r="K1696" t="s">
        <v>505</v>
      </c>
      <c r="L1696" t="s">
        <v>41</v>
      </c>
      <c r="M1696" t="s">
        <v>234</v>
      </c>
      <c r="N1696" t="s">
        <v>40</v>
      </c>
      <c r="O1696" t="s">
        <v>21</v>
      </c>
      <c r="P1696" t="s">
        <v>266</v>
      </c>
      <c r="Q1696">
        <v>0</v>
      </c>
      <c r="R1696" t="s">
        <v>237</v>
      </c>
    </row>
    <row r="1697" spans="1:18" x14ac:dyDescent="0.25">
      <c r="A1697" t="s">
        <v>3756</v>
      </c>
      <c r="B1697">
        <v>2048</v>
      </c>
      <c r="C1697" t="s">
        <v>487</v>
      </c>
      <c r="D1697" t="s">
        <v>322</v>
      </c>
      <c r="E1697" t="s">
        <v>537</v>
      </c>
      <c r="F1697" t="s">
        <v>2999</v>
      </c>
      <c r="G1697" s="25">
        <v>44290</v>
      </c>
      <c r="H1697">
        <v>19</v>
      </c>
      <c r="I1697">
        <v>94</v>
      </c>
      <c r="J1697" t="s">
        <v>231</v>
      </c>
      <c r="K1697" t="s">
        <v>504</v>
      </c>
      <c r="L1697" t="s">
        <v>43</v>
      </c>
      <c r="M1697" t="s">
        <v>234</v>
      </c>
      <c r="N1697" t="s">
        <v>42</v>
      </c>
      <c r="O1697" t="s">
        <v>21</v>
      </c>
      <c r="P1697" t="s">
        <v>236</v>
      </c>
      <c r="Q1697">
        <v>6750</v>
      </c>
      <c r="R1697" t="s">
        <v>237</v>
      </c>
    </row>
    <row r="1698" spans="1:18" x14ac:dyDescent="0.25">
      <c r="A1698" t="s">
        <v>2038</v>
      </c>
      <c r="B1698">
        <v>1674</v>
      </c>
      <c r="C1698" t="s">
        <v>487</v>
      </c>
      <c r="D1698" t="s">
        <v>261</v>
      </c>
      <c r="E1698" t="s">
        <v>534</v>
      </c>
      <c r="F1698" t="s">
        <v>1563</v>
      </c>
      <c r="G1698" s="25">
        <v>44273</v>
      </c>
      <c r="H1698">
        <v>16</v>
      </c>
      <c r="I1698">
        <v>77</v>
      </c>
      <c r="J1698" t="s">
        <v>231</v>
      </c>
      <c r="K1698" t="s">
        <v>504</v>
      </c>
      <c r="L1698" t="s">
        <v>43</v>
      </c>
      <c r="M1698" t="s">
        <v>234</v>
      </c>
      <c r="N1698" t="s">
        <v>42</v>
      </c>
      <c r="O1698" t="s">
        <v>21</v>
      </c>
      <c r="P1698" t="s">
        <v>236</v>
      </c>
      <c r="Q1698">
        <v>842</v>
      </c>
      <c r="R1698" t="s">
        <v>237</v>
      </c>
    </row>
    <row r="1699" spans="1:18" x14ac:dyDescent="0.25">
      <c r="A1699" t="s">
        <v>3757</v>
      </c>
      <c r="B1699">
        <v>2011</v>
      </c>
      <c r="C1699" t="s">
        <v>487</v>
      </c>
      <c r="D1699" t="s">
        <v>322</v>
      </c>
      <c r="E1699" t="s">
        <v>232</v>
      </c>
      <c r="F1699" t="s">
        <v>2987</v>
      </c>
      <c r="G1699" s="25">
        <v>44288</v>
      </c>
      <c r="H1699">
        <v>19</v>
      </c>
      <c r="I1699">
        <v>92</v>
      </c>
      <c r="J1699" t="s">
        <v>231</v>
      </c>
      <c r="K1699" t="s">
        <v>503</v>
      </c>
      <c r="L1699" t="s">
        <v>303</v>
      </c>
      <c r="M1699" t="s">
        <v>234</v>
      </c>
      <c r="N1699" t="s">
        <v>56</v>
      </c>
      <c r="O1699" t="s">
        <v>235</v>
      </c>
      <c r="P1699" t="s">
        <v>304</v>
      </c>
      <c r="Q1699">
        <v>0</v>
      </c>
      <c r="R1699" t="s">
        <v>237</v>
      </c>
    </row>
    <row r="1700" spans="1:18" x14ac:dyDescent="0.25">
      <c r="A1700" t="s">
        <v>2393</v>
      </c>
      <c r="B1700">
        <v>1395</v>
      </c>
      <c r="C1700" t="s">
        <v>487</v>
      </c>
      <c r="D1700" t="s">
        <v>261</v>
      </c>
      <c r="E1700" t="s">
        <v>261</v>
      </c>
      <c r="F1700" t="s">
        <v>1410</v>
      </c>
      <c r="G1700" s="25">
        <v>44260</v>
      </c>
      <c r="H1700">
        <v>13</v>
      </c>
      <c r="I1700">
        <v>64</v>
      </c>
      <c r="J1700" t="s">
        <v>231</v>
      </c>
      <c r="K1700" t="s">
        <v>503</v>
      </c>
      <c r="L1700" t="s">
        <v>303</v>
      </c>
      <c r="M1700" t="s">
        <v>234</v>
      </c>
      <c r="N1700" t="s">
        <v>56</v>
      </c>
      <c r="O1700" t="s">
        <v>235</v>
      </c>
      <c r="P1700" t="s">
        <v>304</v>
      </c>
      <c r="Q1700">
        <v>0</v>
      </c>
      <c r="R1700" t="s">
        <v>237</v>
      </c>
    </row>
    <row r="1701" spans="1:18" x14ac:dyDescent="0.25">
      <c r="A1701" t="s">
        <v>1648</v>
      </c>
      <c r="B1701">
        <v>1109</v>
      </c>
      <c r="C1701" t="s">
        <v>487</v>
      </c>
      <c r="D1701" t="s">
        <v>256</v>
      </c>
      <c r="E1701" t="s">
        <v>515</v>
      </c>
      <c r="F1701" t="s">
        <v>1329</v>
      </c>
      <c r="G1701" s="25">
        <v>44247</v>
      </c>
      <c r="H1701">
        <v>11</v>
      </c>
      <c r="I1701">
        <v>51</v>
      </c>
      <c r="J1701" t="s">
        <v>231</v>
      </c>
      <c r="K1701" t="s">
        <v>503</v>
      </c>
      <c r="L1701" t="s">
        <v>303</v>
      </c>
      <c r="M1701" t="s">
        <v>234</v>
      </c>
      <c r="N1701" t="s">
        <v>56</v>
      </c>
      <c r="O1701" t="s">
        <v>235</v>
      </c>
      <c r="P1701" t="s">
        <v>304</v>
      </c>
      <c r="Q1701">
        <v>24000</v>
      </c>
      <c r="R1701" t="s">
        <v>237</v>
      </c>
    </row>
    <row r="1702" spans="1:18" x14ac:dyDescent="0.25">
      <c r="A1702" t="s">
        <v>2343</v>
      </c>
      <c r="B1702">
        <v>801</v>
      </c>
      <c r="C1702" t="s">
        <v>487</v>
      </c>
      <c r="D1702" t="s">
        <v>231</v>
      </c>
      <c r="E1702" t="s">
        <v>534</v>
      </c>
      <c r="F1702" t="s">
        <v>1731</v>
      </c>
      <c r="G1702" s="25">
        <v>44233</v>
      </c>
      <c r="H1702">
        <v>8</v>
      </c>
      <c r="I1702">
        <v>37</v>
      </c>
      <c r="J1702" t="s">
        <v>231</v>
      </c>
      <c r="K1702" t="s">
        <v>503</v>
      </c>
      <c r="L1702" t="s">
        <v>303</v>
      </c>
      <c r="M1702" t="s">
        <v>234</v>
      </c>
      <c r="N1702" t="s">
        <v>56</v>
      </c>
      <c r="O1702" t="s">
        <v>235</v>
      </c>
      <c r="P1702" t="s">
        <v>304</v>
      </c>
      <c r="Q1702">
        <v>0</v>
      </c>
      <c r="R1702" t="s">
        <v>237</v>
      </c>
    </row>
    <row r="1703" spans="1:18" x14ac:dyDescent="0.25">
      <c r="A1703" t="s">
        <v>1612</v>
      </c>
      <c r="B1703">
        <v>493</v>
      </c>
      <c r="C1703" t="s">
        <v>487</v>
      </c>
      <c r="D1703" t="s">
        <v>231</v>
      </c>
      <c r="E1703" t="s">
        <v>256</v>
      </c>
      <c r="F1703" t="s">
        <v>1064</v>
      </c>
      <c r="G1703" s="25">
        <v>44219</v>
      </c>
      <c r="H1703">
        <v>5</v>
      </c>
      <c r="I1703">
        <v>23</v>
      </c>
      <c r="J1703" t="s">
        <v>231</v>
      </c>
      <c r="K1703" t="s">
        <v>503</v>
      </c>
      <c r="L1703" t="s">
        <v>303</v>
      </c>
      <c r="M1703" t="s">
        <v>234</v>
      </c>
      <c r="N1703" t="s">
        <v>56</v>
      </c>
      <c r="O1703" t="s">
        <v>235</v>
      </c>
      <c r="P1703" t="s">
        <v>304</v>
      </c>
      <c r="Q1703">
        <v>0</v>
      </c>
      <c r="R1703" t="s">
        <v>237</v>
      </c>
    </row>
    <row r="1704" spans="1:18" x14ac:dyDescent="0.25">
      <c r="A1704" t="s">
        <v>556</v>
      </c>
      <c r="B1704">
        <v>185</v>
      </c>
      <c r="C1704" t="s">
        <v>487</v>
      </c>
      <c r="D1704" t="s">
        <v>229</v>
      </c>
      <c r="E1704" t="s">
        <v>371</v>
      </c>
      <c r="F1704" t="s">
        <v>557</v>
      </c>
      <c r="G1704" s="25">
        <v>44205</v>
      </c>
      <c r="H1704">
        <v>2</v>
      </c>
      <c r="I1704">
        <v>9</v>
      </c>
      <c r="J1704" t="s">
        <v>231</v>
      </c>
      <c r="K1704" t="s">
        <v>503</v>
      </c>
      <c r="L1704" t="s">
        <v>303</v>
      </c>
      <c r="M1704" t="s">
        <v>234</v>
      </c>
      <c r="N1704" t="s">
        <v>56</v>
      </c>
      <c r="O1704" t="s">
        <v>235</v>
      </c>
      <c r="P1704" t="s">
        <v>304</v>
      </c>
      <c r="Q1704">
        <v>0</v>
      </c>
      <c r="R1704" t="s">
        <v>237</v>
      </c>
    </row>
    <row r="1705" spans="1:18" x14ac:dyDescent="0.25">
      <c r="A1705" t="s">
        <v>3758</v>
      </c>
      <c r="B1705">
        <v>2363</v>
      </c>
      <c r="C1705" t="s">
        <v>487</v>
      </c>
      <c r="D1705" t="s">
        <v>247</v>
      </c>
      <c r="E1705" t="s">
        <v>381</v>
      </c>
      <c r="F1705" t="s">
        <v>3107</v>
      </c>
      <c r="G1705" s="25">
        <v>44304</v>
      </c>
      <c r="H1705">
        <v>22</v>
      </c>
      <c r="I1705">
        <v>108</v>
      </c>
      <c r="J1705" t="s">
        <v>231</v>
      </c>
      <c r="K1705" t="s">
        <v>503</v>
      </c>
      <c r="L1705" t="s">
        <v>303</v>
      </c>
      <c r="M1705" t="s">
        <v>234</v>
      </c>
      <c r="N1705" t="s">
        <v>56</v>
      </c>
      <c r="O1705" t="s">
        <v>235</v>
      </c>
      <c r="P1705" t="s">
        <v>304</v>
      </c>
      <c r="Q1705">
        <v>0</v>
      </c>
      <c r="R1705" t="s">
        <v>237</v>
      </c>
    </row>
    <row r="1706" spans="1:18" x14ac:dyDescent="0.25">
      <c r="A1706" t="s">
        <v>2044</v>
      </c>
      <c r="B1706">
        <v>1264</v>
      </c>
      <c r="C1706" t="s">
        <v>487</v>
      </c>
      <c r="D1706" t="s">
        <v>256</v>
      </c>
      <c r="E1706" t="s">
        <v>552</v>
      </c>
      <c r="F1706" t="s">
        <v>1365</v>
      </c>
      <c r="G1706" s="25">
        <v>44254</v>
      </c>
      <c r="H1706">
        <v>12</v>
      </c>
      <c r="I1706">
        <v>58</v>
      </c>
      <c r="J1706" t="s">
        <v>231</v>
      </c>
      <c r="K1706" t="s">
        <v>502</v>
      </c>
      <c r="L1706" t="s">
        <v>287</v>
      </c>
      <c r="M1706" t="s">
        <v>234</v>
      </c>
      <c r="N1706" t="s">
        <v>58</v>
      </c>
      <c r="O1706" t="s">
        <v>235</v>
      </c>
      <c r="P1706" t="s">
        <v>288</v>
      </c>
      <c r="Q1706">
        <v>0</v>
      </c>
      <c r="R1706" t="s">
        <v>237</v>
      </c>
    </row>
    <row r="1707" spans="1:18" x14ac:dyDescent="0.25">
      <c r="A1707" t="s">
        <v>572</v>
      </c>
      <c r="B1707">
        <v>296</v>
      </c>
      <c r="C1707" t="s">
        <v>487</v>
      </c>
      <c r="D1707" t="s">
        <v>229</v>
      </c>
      <c r="E1707" t="s">
        <v>537</v>
      </c>
      <c r="F1707" t="s">
        <v>538</v>
      </c>
      <c r="G1707" s="25">
        <v>44210</v>
      </c>
      <c r="H1707">
        <v>3</v>
      </c>
      <c r="I1707">
        <v>14</v>
      </c>
      <c r="J1707" t="s">
        <v>231</v>
      </c>
      <c r="K1707" t="s">
        <v>502</v>
      </c>
      <c r="L1707" t="s">
        <v>287</v>
      </c>
      <c r="M1707" t="s">
        <v>234</v>
      </c>
      <c r="N1707" t="s">
        <v>58</v>
      </c>
      <c r="O1707" t="s">
        <v>235</v>
      </c>
      <c r="P1707" t="s">
        <v>288</v>
      </c>
      <c r="Q1707">
        <v>0</v>
      </c>
      <c r="R1707" t="s">
        <v>237</v>
      </c>
    </row>
    <row r="1708" spans="1:18" x14ac:dyDescent="0.25">
      <c r="A1708" t="s">
        <v>3759</v>
      </c>
      <c r="B1708">
        <v>2474</v>
      </c>
      <c r="C1708" t="s">
        <v>487</v>
      </c>
      <c r="D1708" t="s">
        <v>247</v>
      </c>
      <c r="E1708" t="s">
        <v>512</v>
      </c>
      <c r="F1708" t="s">
        <v>3146</v>
      </c>
      <c r="G1708" s="25">
        <v>44309</v>
      </c>
      <c r="H1708">
        <v>23</v>
      </c>
      <c r="I1708">
        <v>113</v>
      </c>
      <c r="J1708" t="s">
        <v>231</v>
      </c>
      <c r="K1708" t="s">
        <v>502</v>
      </c>
      <c r="L1708" t="s">
        <v>287</v>
      </c>
      <c r="M1708" t="s">
        <v>234</v>
      </c>
      <c r="N1708" t="s">
        <v>58</v>
      </c>
      <c r="O1708" t="s">
        <v>235</v>
      </c>
      <c r="P1708" t="s">
        <v>288</v>
      </c>
      <c r="Q1708">
        <v>0</v>
      </c>
      <c r="R1708" t="s">
        <v>237</v>
      </c>
    </row>
    <row r="1709" spans="1:18" x14ac:dyDescent="0.25">
      <c r="A1709" t="s">
        <v>3760</v>
      </c>
      <c r="B1709">
        <v>2166</v>
      </c>
      <c r="C1709" t="s">
        <v>487</v>
      </c>
      <c r="D1709" t="s">
        <v>322</v>
      </c>
      <c r="E1709" t="s">
        <v>531</v>
      </c>
      <c r="F1709" t="s">
        <v>3056</v>
      </c>
      <c r="G1709" s="25">
        <v>44295</v>
      </c>
      <c r="H1709">
        <v>20</v>
      </c>
      <c r="I1709">
        <v>99</v>
      </c>
      <c r="J1709" t="s">
        <v>231</v>
      </c>
      <c r="K1709" t="s">
        <v>502</v>
      </c>
      <c r="L1709" t="s">
        <v>287</v>
      </c>
      <c r="M1709" t="s">
        <v>234</v>
      </c>
      <c r="N1709" t="s">
        <v>58</v>
      </c>
      <c r="O1709" t="s">
        <v>235</v>
      </c>
      <c r="P1709" t="s">
        <v>288</v>
      </c>
      <c r="Q1709">
        <v>0</v>
      </c>
      <c r="R1709" t="s">
        <v>237</v>
      </c>
    </row>
    <row r="1710" spans="1:18" x14ac:dyDescent="0.25">
      <c r="A1710" t="s">
        <v>3761</v>
      </c>
      <c r="B1710">
        <v>1858</v>
      </c>
      <c r="C1710" t="s">
        <v>487</v>
      </c>
      <c r="D1710" t="s">
        <v>322</v>
      </c>
      <c r="E1710" t="s">
        <v>322</v>
      </c>
      <c r="F1710" t="s">
        <v>2960</v>
      </c>
      <c r="G1710" s="25">
        <v>44281</v>
      </c>
      <c r="H1710">
        <v>17</v>
      </c>
      <c r="I1710">
        <v>85</v>
      </c>
      <c r="J1710" t="s">
        <v>231</v>
      </c>
      <c r="K1710" t="s">
        <v>502</v>
      </c>
      <c r="L1710" t="s">
        <v>287</v>
      </c>
      <c r="M1710" t="s">
        <v>234</v>
      </c>
      <c r="N1710" t="s">
        <v>58</v>
      </c>
      <c r="O1710" t="s">
        <v>235</v>
      </c>
      <c r="P1710" t="s">
        <v>288</v>
      </c>
      <c r="Q1710">
        <v>0</v>
      </c>
      <c r="R1710" t="s">
        <v>237</v>
      </c>
    </row>
    <row r="1711" spans="1:18" x14ac:dyDescent="0.25">
      <c r="A1711" t="s">
        <v>3762</v>
      </c>
      <c r="B1711">
        <v>1969</v>
      </c>
      <c r="C1711" t="s">
        <v>487</v>
      </c>
      <c r="D1711" t="s">
        <v>322</v>
      </c>
      <c r="E1711" t="s">
        <v>239</v>
      </c>
      <c r="F1711" t="s">
        <v>2979</v>
      </c>
      <c r="G1711" s="25">
        <v>44286</v>
      </c>
      <c r="H1711">
        <v>18</v>
      </c>
      <c r="I1711">
        <v>90</v>
      </c>
      <c r="J1711" t="s">
        <v>231</v>
      </c>
      <c r="K1711" t="s">
        <v>501</v>
      </c>
      <c r="L1711" t="s">
        <v>412</v>
      </c>
      <c r="M1711" t="s">
        <v>234</v>
      </c>
      <c r="N1711" t="s">
        <v>60</v>
      </c>
      <c r="O1711" t="s">
        <v>235</v>
      </c>
      <c r="P1711" t="s">
        <v>413</v>
      </c>
      <c r="Q1711">
        <v>0</v>
      </c>
      <c r="R1711" t="s">
        <v>237</v>
      </c>
    </row>
    <row r="1712" spans="1:18" x14ac:dyDescent="0.25">
      <c r="A1712" t="s">
        <v>2452</v>
      </c>
      <c r="B1712">
        <v>1309</v>
      </c>
      <c r="C1712" t="s">
        <v>487</v>
      </c>
      <c r="D1712" t="s">
        <v>256</v>
      </c>
      <c r="E1712" t="s">
        <v>408</v>
      </c>
      <c r="F1712" t="s">
        <v>1383</v>
      </c>
      <c r="G1712" s="25">
        <v>44256</v>
      </c>
      <c r="H1712">
        <v>12</v>
      </c>
      <c r="I1712">
        <v>60</v>
      </c>
      <c r="J1712" t="s">
        <v>231</v>
      </c>
      <c r="K1712" t="s">
        <v>501</v>
      </c>
      <c r="L1712" t="s">
        <v>412</v>
      </c>
      <c r="M1712" t="s">
        <v>234</v>
      </c>
      <c r="N1712" t="s">
        <v>60</v>
      </c>
      <c r="O1712" t="s">
        <v>235</v>
      </c>
      <c r="P1712" t="s">
        <v>413</v>
      </c>
      <c r="Q1712">
        <v>0</v>
      </c>
      <c r="R1712" t="s">
        <v>237</v>
      </c>
    </row>
    <row r="1713" spans="1:18" x14ac:dyDescent="0.25">
      <c r="A1713" t="s">
        <v>1610</v>
      </c>
      <c r="B1713">
        <v>491</v>
      </c>
      <c r="C1713" t="s">
        <v>487</v>
      </c>
      <c r="D1713" t="s">
        <v>231</v>
      </c>
      <c r="E1713" t="s">
        <v>256</v>
      </c>
      <c r="F1713" t="s">
        <v>1064</v>
      </c>
      <c r="G1713" s="25">
        <v>44219</v>
      </c>
      <c r="H1713">
        <v>5</v>
      </c>
      <c r="I1713">
        <v>23</v>
      </c>
      <c r="J1713" t="s">
        <v>231</v>
      </c>
      <c r="K1713" t="s">
        <v>500</v>
      </c>
      <c r="L1713" t="s">
        <v>265</v>
      </c>
      <c r="M1713" t="s">
        <v>234</v>
      </c>
      <c r="N1713" t="s">
        <v>52</v>
      </c>
      <c r="O1713" t="s">
        <v>235</v>
      </c>
      <c r="P1713" t="s">
        <v>266</v>
      </c>
      <c r="Q1713">
        <v>0</v>
      </c>
      <c r="R1713" t="s">
        <v>237</v>
      </c>
    </row>
    <row r="1714" spans="1:18" x14ac:dyDescent="0.25">
      <c r="A1714" t="s">
        <v>690</v>
      </c>
      <c r="B1714">
        <v>183</v>
      </c>
      <c r="C1714" t="s">
        <v>487</v>
      </c>
      <c r="D1714" t="s">
        <v>229</v>
      </c>
      <c r="E1714" t="s">
        <v>371</v>
      </c>
      <c r="F1714" t="s">
        <v>557</v>
      </c>
      <c r="G1714" s="25">
        <v>44205</v>
      </c>
      <c r="H1714">
        <v>2</v>
      </c>
      <c r="I1714">
        <v>9</v>
      </c>
      <c r="J1714" t="s">
        <v>231</v>
      </c>
      <c r="K1714" t="s">
        <v>500</v>
      </c>
      <c r="L1714" t="s">
        <v>265</v>
      </c>
      <c r="M1714" t="s">
        <v>234</v>
      </c>
      <c r="N1714" t="s">
        <v>52</v>
      </c>
      <c r="O1714" t="s">
        <v>235</v>
      </c>
      <c r="P1714" t="s">
        <v>266</v>
      </c>
      <c r="Q1714">
        <v>24000</v>
      </c>
      <c r="R1714" t="s">
        <v>237</v>
      </c>
    </row>
    <row r="1715" spans="1:18" x14ac:dyDescent="0.25">
      <c r="A1715" t="s">
        <v>3763</v>
      </c>
      <c r="B1715">
        <v>2361</v>
      </c>
      <c r="C1715" t="s">
        <v>487</v>
      </c>
      <c r="D1715" t="s">
        <v>247</v>
      </c>
      <c r="E1715" t="s">
        <v>381</v>
      </c>
      <c r="F1715" t="s">
        <v>3107</v>
      </c>
      <c r="G1715" s="25">
        <v>44304</v>
      </c>
      <c r="H1715">
        <v>22</v>
      </c>
      <c r="I1715">
        <v>108</v>
      </c>
      <c r="J1715" t="s">
        <v>231</v>
      </c>
      <c r="K1715" t="s">
        <v>500</v>
      </c>
      <c r="L1715" t="s">
        <v>265</v>
      </c>
      <c r="M1715" t="s">
        <v>234</v>
      </c>
      <c r="N1715" t="s">
        <v>52</v>
      </c>
      <c r="O1715" t="s">
        <v>235</v>
      </c>
      <c r="P1715" t="s">
        <v>266</v>
      </c>
      <c r="Q1715">
        <v>0</v>
      </c>
      <c r="R1715" t="s">
        <v>237</v>
      </c>
    </row>
    <row r="1716" spans="1:18" x14ac:dyDescent="0.25">
      <c r="A1716" t="s">
        <v>3764</v>
      </c>
      <c r="B1716">
        <v>2009</v>
      </c>
      <c r="C1716" t="s">
        <v>487</v>
      </c>
      <c r="D1716" t="s">
        <v>322</v>
      </c>
      <c r="E1716" t="s">
        <v>232</v>
      </c>
      <c r="F1716" t="s">
        <v>2987</v>
      </c>
      <c r="G1716" s="25">
        <v>44288</v>
      </c>
      <c r="H1716">
        <v>19</v>
      </c>
      <c r="I1716">
        <v>92</v>
      </c>
      <c r="J1716" t="s">
        <v>231</v>
      </c>
      <c r="K1716" t="s">
        <v>500</v>
      </c>
      <c r="L1716" t="s">
        <v>265</v>
      </c>
      <c r="M1716" t="s">
        <v>234</v>
      </c>
      <c r="N1716" t="s">
        <v>52</v>
      </c>
      <c r="O1716" t="s">
        <v>235</v>
      </c>
      <c r="P1716" t="s">
        <v>266</v>
      </c>
      <c r="Q1716">
        <v>0</v>
      </c>
      <c r="R1716" t="s">
        <v>237</v>
      </c>
    </row>
    <row r="1717" spans="1:18" x14ac:dyDescent="0.25">
      <c r="A1717" t="s">
        <v>2561</v>
      </c>
      <c r="B1717">
        <v>1393</v>
      </c>
      <c r="C1717" t="s">
        <v>487</v>
      </c>
      <c r="D1717" t="s">
        <v>261</v>
      </c>
      <c r="E1717" t="s">
        <v>261</v>
      </c>
      <c r="F1717" t="s">
        <v>1410</v>
      </c>
      <c r="G1717" s="25">
        <v>44260</v>
      </c>
      <c r="H1717">
        <v>13</v>
      </c>
      <c r="I1717">
        <v>64</v>
      </c>
      <c r="J1717" t="s">
        <v>231</v>
      </c>
      <c r="K1717" t="s">
        <v>500</v>
      </c>
      <c r="L1717" t="s">
        <v>265</v>
      </c>
      <c r="M1717" t="s">
        <v>234</v>
      </c>
      <c r="N1717" t="s">
        <v>52</v>
      </c>
      <c r="O1717" t="s">
        <v>235</v>
      </c>
      <c r="P1717" t="s">
        <v>266</v>
      </c>
      <c r="Q1717">
        <v>0</v>
      </c>
      <c r="R1717" t="s">
        <v>237</v>
      </c>
    </row>
    <row r="1718" spans="1:18" x14ac:dyDescent="0.25">
      <c r="A1718" t="s">
        <v>2614</v>
      </c>
      <c r="B1718">
        <v>1261</v>
      </c>
      <c r="C1718" t="s">
        <v>487</v>
      </c>
      <c r="D1718" t="s">
        <v>256</v>
      </c>
      <c r="E1718" t="s">
        <v>552</v>
      </c>
      <c r="F1718" t="s">
        <v>1365</v>
      </c>
      <c r="G1718" s="25">
        <v>44254</v>
      </c>
      <c r="H1718">
        <v>12</v>
      </c>
      <c r="I1718">
        <v>58</v>
      </c>
      <c r="J1718" t="s">
        <v>231</v>
      </c>
      <c r="K1718" t="s">
        <v>500</v>
      </c>
      <c r="L1718" t="s">
        <v>265</v>
      </c>
      <c r="M1718" t="s">
        <v>234</v>
      </c>
      <c r="N1718" t="s">
        <v>52</v>
      </c>
      <c r="O1718" t="s">
        <v>235</v>
      </c>
      <c r="P1718" t="s">
        <v>266</v>
      </c>
      <c r="Q1718">
        <v>5625</v>
      </c>
      <c r="R1718" t="s">
        <v>237</v>
      </c>
    </row>
    <row r="1719" spans="1:18" x14ac:dyDescent="0.25">
      <c r="A1719" t="s">
        <v>2834</v>
      </c>
      <c r="B1719">
        <v>1107</v>
      </c>
      <c r="C1719" t="s">
        <v>487</v>
      </c>
      <c r="D1719" t="s">
        <v>256</v>
      </c>
      <c r="E1719" t="s">
        <v>515</v>
      </c>
      <c r="F1719" t="s">
        <v>1329</v>
      </c>
      <c r="G1719" s="25">
        <v>44247</v>
      </c>
      <c r="H1719">
        <v>11</v>
      </c>
      <c r="I1719">
        <v>51</v>
      </c>
      <c r="J1719" t="s">
        <v>231</v>
      </c>
      <c r="K1719" t="s">
        <v>500</v>
      </c>
      <c r="L1719" t="s">
        <v>265</v>
      </c>
      <c r="M1719" t="s">
        <v>234</v>
      </c>
      <c r="N1719" t="s">
        <v>52</v>
      </c>
      <c r="O1719" t="s">
        <v>235</v>
      </c>
      <c r="P1719" t="s">
        <v>266</v>
      </c>
      <c r="Q1719">
        <v>0</v>
      </c>
      <c r="R1719" t="s">
        <v>237</v>
      </c>
    </row>
    <row r="1720" spans="1:18" x14ac:dyDescent="0.25">
      <c r="A1720" t="s">
        <v>2516</v>
      </c>
      <c r="B1720">
        <v>799</v>
      </c>
      <c r="C1720" t="s">
        <v>487</v>
      </c>
      <c r="D1720" t="s">
        <v>231</v>
      </c>
      <c r="E1720" t="s">
        <v>534</v>
      </c>
      <c r="F1720" t="s">
        <v>1731</v>
      </c>
      <c r="G1720" s="25">
        <v>44233</v>
      </c>
      <c r="H1720">
        <v>8</v>
      </c>
      <c r="I1720">
        <v>37</v>
      </c>
      <c r="J1720" t="s">
        <v>231</v>
      </c>
      <c r="K1720" t="s">
        <v>500</v>
      </c>
      <c r="L1720" t="s">
        <v>265</v>
      </c>
      <c r="M1720" t="s">
        <v>234</v>
      </c>
      <c r="N1720" t="s">
        <v>52</v>
      </c>
      <c r="O1720" t="s">
        <v>235</v>
      </c>
      <c r="P1720" t="s">
        <v>266</v>
      </c>
      <c r="Q1720">
        <v>0</v>
      </c>
      <c r="R1720" t="s">
        <v>237</v>
      </c>
    </row>
    <row r="1721" spans="1:18" x14ac:dyDescent="0.25">
      <c r="A1721" t="s">
        <v>3765</v>
      </c>
      <c r="B1721">
        <v>2586</v>
      </c>
      <c r="C1721" t="s">
        <v>487</v>
      </c>
      <c r="D1721" t="s">
        <v>247</v>
      </c>
      <c r="E1721" t="s">
        <v>552</v>
      </c>
      <c r="F1721" t="s">
        <v>3170</v>
      </c>
      <c r="G1721" s="25">
        <v>44314</v>
      </c>
      <c r="H1721">
        <v>24</v>
      </c>
      <c r="I1721">
        <v>118</v>
      </c>
      <c r="J1721" t="s">
        <v>231</v>
      </c>
      <c r="K1721" t="s">
        <v>499</v>
      </c>
      <c r="L1721" t="s">
        <v>410</v>
      </c>
      <c r="M1721" t="s">
        <v>234</v>
      </c>
      <c r="N1721" t="s">
        <v>62</v>
      </c>
      <c r="O1721" t="s">
        <v>235</v>
      </c>
      <c r="P1721" t="s">
        <v>411</v>
      </c>
      <c r="Q1721">
        <v>0</v>
      </c>
      <c r="R1721" t="s">
        <v>237</v>
      </c>
    </row>
    <row r="1722" spans="1:18" x14ac:dyDescent="0.25">
      <c r="A1722" t="s">
        <v>1937</v>
      </c>
      <c r="B1722">
        <v>1618</v>
      </c>
      <c r="C1722" t="s">
        <v>487</v>
      </c>
      <c r="D1722" t="s">
        <v>261</v>
      </c>
      <c r="E1722" t="s">
        <v>537</v>
      </c>
      <c r="F1722" t="s">
        <v>1530</v>
      </c>
      <c r="G1722" s="25">
        <v>44270</v>
      </c>
      <c r="H1722">
        <v>15</v>
      </c>
      <c r="I1722">
        <v>74</v>
      </c>
      <c r="J1722" t="s">
        <v>231</v>
      </c>
      <c r="K1722" t="s">
        <v>499</v>
      </c>
      <c r="L1722" t="s">
        <v>410</v>
      </c>
      <c r="M1722" t="s">
        <v>234</v>
      </c>
      <c r="N1722" t="s">
        <v>62</v>
      </c>
      <c r="O1722" t="s">
        <v>235</v>
      </c>
      <c r="P1722" t="s">
        <v>411</v>
      </c>
      <c r="Q1722">
        <v>0</v>
      </c>
      <c r="R1722" t="s">
        <v>237</v>
      </c>
    </row>
    <row r="1723" spans="1:18" x14ac:dyDescent="0.25">
      <c r="A1723" t="s">
        <v>2111</v>
      </c>
      <c r="B1723">
        <v>870</v>
      </c>
      <c r="C1723" t="s">
        <v>487</v>
      </c>
      <c r="D1723" t="s">
        <v>231</v>
      </c>
      <c r="E1723" t="s">
        <v>408</v>
      </c>
      <c r="F1723" t="s">
        <v>1234</v>
      </c>
      <c r="G1723" s="25">
        <v>44236</v>
      </c>
      <c r="H1723">
        <v>8</v>
      </c>
      <c r="I1723">
        <v>40</v>
      </c>
      <c r="J1723" t="s">
        <v>231</v>
      </c>
      <c r="K1723" t="s">
        <v>499</v>
      </c>
      <c r="L1723" t="s">
        <v>410</v>
      </c>
      <c r="M1723" t="s">
        <v>234</v>
      </c>
      <c r="N1723" t="s">
        <v>62</v>
      </c>
      <c r="O1723" t="s">
        <v>235</v>
      </c>
      <c r="P1723" t="s">
        <v>411</v>
      </c>
      <c r="Q1723">
        <v>0</v>
      </c>
      <c r="R1723" t="s">
        <v>237</v>
      </c>
    </row>
    <row r="1724" spans="1:18" x14ac:dyDescent="0.25">
      <c r="A1724" t="s">
        <v>797</v>
      </c>
      <c r="B1724">
        <v>408</v>
      </c>
      <c r="C1724" t="s">
        <v>487</v>
      </c>
      <c r="D1724" t="s">
        <v>229</v>
      </c>
      <c r="E1724" t="s">
        <v>531</v>
      </c>
      <c r="F1724" t="s">
        <v>532</v>
      </c>
      <c r="G1724" s="25">
        <v>44215</v>
      </c>
      <c r="H1724">
        <v>4</v>
      </c>
      <c r="I1724">
        <v>19</v>
      </c>
      <c r="J1724" t="s">
        <v>231</v>
      </c>
      <c r="K1724" t="s">
        <v>499</v>
      </c>
      <c r="L1724" t="s">
        <v>410</v>
      </c>
      <c r="M1724" t="s">
        <v>234</v>
      </c>
      <c r="N1724" t="s">
        <v>62</v>
      </c>
      <c r="O1724" t="s">
        <v>235</v>
      </c>
      <c r="P1724" t="s">
        <v>411</v>
      </c>
      <c r="Q1724">
        <v>0</v>
      </c>
      <c r="R1724" t="s">
        <v>237</v>
      </c>
    </row>
    <row r="1725" spans="1:18" x14ac:dyDescent="0.25">
      <c r="A1725" t="s">
        <v>1940</v>
      </c>
      <c r="B1725">
        <v>659</v>
      </c>
      <c r="C1725" t="s">
        <v>487</v>
      </c>
      <c r="D1725" t="s">
        <v>231</v>
      </c>
      <c r="E1725" t="s">
        <v>239</v>
      </c>
      <c r="F1725" t="s">
        <v>1139</v>
      </c>
      <c r="G1725" s="25">
        <v>44226</v>
      </c>
      <c r="H1725">
        <v>6</v>
      </c>
      <c r="I1725">
        <v>30</v>
      </c>
      <c r="J1725" t="s">
        <v>432</v>
      </c>
      <c r="K1725" t="s">
        <v>498</v>
      </c>
      <c r="L1725" t="s">
        <v>26</v>
      </c>
      <c r="M1725" t="s">
        <v>434</v>
      </c>
      <c r="N1725" t="s">
        <v>77</v>
      </c>
      <c r="O1725" t="s">
        <v>435</v>
      </c>
      <c r="P1725" t="s">
        <v>26</v>
      </c>
      <c r="Q1725">
        <v>132912.5</v>
      </c>
      <c r="R1725" t="s">
        <v>436</v>
      </c>
    </row>
    <row r="1726" spans="1:18" x14ac:dyDescent="0.25">
      <c r="A1726" t="s">
        <v>703</v>
      </c>
      <c r="B1726">
        <v>417</v>
      </c>
      <c r="C1726" t="s">
        <v>487</v>
      </c>
      <c r="D1726" t="s">
        <v>229</v>
      </c>
      <c r="E1726" t="s">
        <v>531</v>
      </c>
      <c r="F1726" t="s">
        <v>532</v>
      </c>
      <c r="G1726" s="25">
        <v>44215</v>
      </c>
      <c r="H1726">
        <v>4</v>
      </c>
      <c r="I1726">
        <v>19</v>
      </c>
      <c r="J1726" t="s">
        <v>432</v>
      </c>
      <c r="K1726" t="s">
        <v>498</v>
      </c>
      <c r="L1726" t="s">
        <v>26</v>
      </c>
      <c r="M1726" t="s">
        <v>434</v>
      </c>
      <c r="N1726" t="s">
        <v>77</v>
      </c>
      <c r="O1726" t="s">
        <v>435</v>
      </c>
      <c r="P1726" t="s">
        <v>26</v>
      </c>
      <c r="Q1726">
        <v>21000</v>
      </c>
      <c r="R1726" t="s">
        <v>436</v>
      </c>
    </row>
    <row r="1727" spans="1:18" x14ac:dyDescent="0.25">
      <c r="A1727" t="s">
        <v>3766</v>
      </c>
      <c r="B1727">
        <v>2595</v>
      </c>
      <c r="C1727" t="s">
        <v>487</v>
      </c>
      <c r="D1727" t="s">
        <v>247</v>
      </c>
      <c r="E1727" t="s">
        <v>552</v>
      </c>
      <c r="F1727" t="s">
        <v>3170</v>
      </c>
      <c r="G1727" s="25">
        <v>44314</v>
      </c>
      <c r="H1727">
        <v>24</v>
      </c>
      <c r="I1727">
        <v>118</v>
      </c>
      <c r="J1727" t="s">
        <v>432</v>
      </c>
      <c r="K1727" t="s">
        <v>498</v>
      </c>
      <c r="L1727" t="s">
        <v>26</v>
      </c>
      <c r="M1727" t="s">
        <v>434</v>
      </c>
      <c r="N1727" t="s">
        <v>77</v>
      </c>
      <c r="O1727" t="s">
        <v>435</v>
      </c>
      <c r="P1727" t="s">
        <v>26</v>
      </c>
      <c r="Q1727">
        <v>132480</v>
      </c>
      <c r="R1727" t="s">
        <v>436</v>
      </c>
    </row>
    <row r="1728" spans="1:18" x14ac:dyDescent="0.25">
      <c r="A1728" t="s">
        <v>2736</v>
      </c>
      <c r="B1728">
        <v>1625</v>
      </c>
      <c r="C1728" t="s">
        <v>487</v>
      </c>
      <c r="D1728" t="s">
        <v>261</v>
      </c>
      <c r="E1728" t="s">
        <v>537</v>
      </c>
      <c r="F1728" t="s">
        <v>1530</v>
      </c>
      <c r="G1728" s="25">
        <v>44270</v>
      </c>
      <c r="H1728">
        <v>15</v>
      </c>
      <c r="I1728">
        <v>74</v>
      </c>
      <c r="J1728" t="s">
        <v>432</v>
      </c>
      <c r="K1728" t="s">
        <v>497</v>
      </c>
      <c r="L1728" t="s">
        <v>438</v>
      </c>
      <c r="M1728" t="s">
        <v>434</v>
      </c>
      <c r="N1728" t="s">
        <v>75</v>
      </c>
      <c r="O1728" t="s">
        <v>435</v>
      </c>
      <c r="P1728" t="s">
        <v>438</v>
      </c>
      <c r="Q1728">
        <v>25800</v>
      </c>
      <c r="R1728" t="s">
        <v>436</v>
      </c>
    </row>
    <row r="1729" spans="1:18" x14ac:dyDescent="0.25">
      <c r="A1729" t="s">
        <v>2405</v>
      </c>
      <c r="B1729">
        <v>877</v>
      </c>
      <c r="C1729" t="s">
        <v>487</v>
      </c>
      <c r="D1729" t="s">
        <v>231</v>
      </c>
      <c r="E1729" t="s">
        <v>408</v>
      </c>
      <c r="F1729" t="s">
        <v>1234</v>
      </c>
      <c r="G1729" s="25">
        <v>44236</v>
      </c>
      <c r="H1729">
        <v>8</v>
      </c>
      <c r="I1729">
        <v>40</v>
      </c>
      <c r="J1729" t="s">
        <v>432</v>
      </c>
      <c r="K1729" t="s">
        <v>497</v>
      </c>
      <c r="L1729" t="s">
        <v>438</v>
      </c>
      <c r="M1729" t="s">
        <v>434</v>
      </c>
      <c r="N1729" t="s">
        <v>75</v>
      </c>
      <c r="O1729" t="s">
        <v>435</v>
      </c>
      <c r="P1729" t="s">
        <v>438</v>
      </c>
      <c r="Q1729">
        <v>19200</v>
      </c>
      <c r="R1729" t="s">
        <v>436</v>
      </c>
    </row>
    <row r="1730" spans="1:18" x14ac:dyDescent="0.25">
      <c r="A1730" t="s">
        <v>700</v>
      </c>
      <c r="B1730">
        <v>415</v>
      </c>
      <c r="C1730" t="s">
        <v>487</v>
      </c>
      <c r="D1730" t="s">
        <v>229</v>
      </c>
      <c r="E1730" t="s">
        <v>531</v>
      </c>
      <c r="F1730" t="s">
        <v>532</v>
      </c>
      <c r="G1730" s="25">
        <v>44215</v>
      </c>
      <c r="H1730">
        <v>4</v>
      </c>
      <c r="I1730">
        <v>19</v>
      </c>
      <c r="J1730" t="s">
        <v>432</v>
      </c>
      <c r="K1730" t="s">
        <v>497</v>
      </c>
      <c r="L1730" t="s">
        <v>438</v>
      </c>
      <c r="M1730" t="s">
        <v>434</v>
      </c>
      <c r="N1730" t="s">
        <v>75</v>
      </c>
      <c r="O1730" t="s">
        <v>435</v>
      </c>
      <c r="P1730" t="s">
        <v>438</v>
      </c>
      <c r="Q1730">
        <v>0</v>
      </c>
      <c r="R1730" t="s">
        <v>436</v>
      </c>
    </row>
    <row r="1731" spans="1:18" x14ac:dyDescent="0.25">
      <c r="A1731" t="s">
        <v>3767</v>
      </c>
      <c r="B1731">
        <v>2593</v>
      </c>
      <c r="C1731" t="s">
        <v>487</v>
      </c>
      <c r="D1731" t="s">
        <v>247</v>
      </c>
      <c r="E1731" t="s">
        <v>552</v>
      </c>
      <c r="F1731" t="s">
        <v>3170</v>
      </c>
      <c r="G1731" s="25">
        <v>44314</v>
      </c>
      <c r="H1731">
        <v>24</v>
      </c>
      <c r="I1731">
        <v>118</v>
      </c>
      <c r="J1731" t="s">
        <v>432</v>
      </c>
      <c r="K1731" t="s">
        <v>497</v>
      </c>
      <c r="L1731" t="s">
        <v>438</v>
      </c>
      <c r="M1731" t="s">
        <v>434</v>
      </c>
      <c r="N1731" t="s">
        <v>75</v>
      </c>
      <c r="O1731" t="s">
        <v>435</v>
      </c>
      <c r="P1731" t="s">
        <v>438</v>
      </c>
      <c r="Q1731">
        <v>25500</v>
      </c>
      <c r="R1731" t="s">
        <v>436</v>
      </c>
    </row>
    <row r="1732" spans="1:18" x14ac:dyDescent="0.25">
      <c r="A1732" t="s">
        <v>2529</v>
      </c>
      <c r="B1732">
        <v>1159</v>
      </c>
      <c r="C1732" t="s">
        <v>487</v>
      </c>
      <c r="D1732" t="s">
        <v>256</v>
      </c>
      <c r="E1732" t="s">
        <v>512</v>
      </c>
      <c r="F1732" t="s">
        <v>1342</v>
      </c>
      <c r="G1732" s="25">
        <v>44249</v>
      </c>
      <c r="H1732">
        <v>11</v>
      </c>
      <c r="I1732">
        <v>53</v>
      </c>
      <c r="J1732" t="s">
        <v>432</v>
      </c>
      <c r="K1732" t="s">
        <v>496</v>
      </c>
      <c r="L1732" t="s">
        <v>69</v>
      </c>
      <c r="M1732" t="s">
        <v>434</v>
      </c>
      <c r="N1732" t="s">
        <v>68</v>
      </c>
      <c r="O1732" t="s">
        <v>21</v>
      </c>
      <c r="P1732" t="s">
        <v>439</v>
      </c>
      <c r="Q1732">
        <v>505875</v>
      </c>
      <c r="R1732" t="s">
        <v>237</v>
      </c>
    </row>
    <row r="1733" spans="1:18" x14ac:dyDescent="0.25">
      <c r="A1733" t="s">
        <v>2253</v>
      </c>
      <c r="B1733">
        <v>851</v>
      </c>
      <c r="C1733" t="s">
        <v>487</v>
      </c>
      <c r="D1733" t="s">
        <v>231</v>
      </c>
      <c r="E1733" t="s">
        <v>531</v>
      </c>
      <c r="F1733" t="s">
        <v>1230</v>
      </c>
      <c r="G1733" s="25">
        <v>44235</v>
      </c>
      <c r="H1733">
        <v>8</v>
      </c>
      <c r="I1733">
        <v>39</v>
      </c>
      <c r="J1733" t="s">
        <v>432</v>
      </c>
      <c r="K1733" t="s">
        <v>496</v>
      </c>
      <c r="L1733" t="s">
        <v>69</v>
      </c>
      <c r="M1733" t="s">
        <v>434</v>
      </c>
      <c r="N1733" t="s">
        <v>68</v>
      </c>
      <c r="O1733" t="s">
        <v>21</v>
      </c>
      <c r="P1733" t="s">
        <v>439</v>
      </c>
      <c r="Q1733">
        <v>58875</v>
      </c>
      <c r="R1733" t="s">
        <v>237</v>
      </c>
    </row>
    <row r="1734" spans="1:18" x14ac:dyDescent="0.25">
      <c r="A1734" t="s">
        <v>2743</v>
      </c>
      <c r="B1734">
        <v>697</v>
      </c>
      <c r="C1734" t="s">
        <v>487</v>
      </c>
      <c r="D1734" t="s">
        <v>231</v>
      </c>
      <c r="E1734" t="s">
        <v>232</v>
      </c>
      <c r="F1734" t="s">
        <v>1162</v>
      </c>
      <c r="G1734" s="25">
        <v>44228</v>
      </c>
      <c r="H1734">
        <v>7</v>
      </c>
      <c r="I1734">
        <v>32</v>
      </c>
      <c r="J1734" t="s">
        <v>432</v>
      </c>
      <c r="K1734" t="s">
        <v>496</v>
      </c>
      <c r="L1734" t="s">
        <v>69</v>
      </c>
      <c r="M1734" t="s">
        <v>434</v>
      </c>
      <c r="N1734" t="s">
        <v>68</v>
      </c>
      <c r="O1734" t="s">
        <v>21</v>
      </c>
      <c r="P1734" t="s">
        <v>439</v>
      </c>
      <c r="Q1734">
        <v>215250</v>
      </c>
      <c r="R1734" t="s">
        <v>237</v>
      </c>
    </row>
    <row r="1735" spans="1:18" x14ac:dyDescent="0.25">
      <c r="A1735" t="s">
        <v>2531</v>
      </c>
      <c r="B1735">
        <v>653</v>
      </c>
      <c r="C1735" t="s">
        <v>487</v>
      </c>
      <c r="D1735" t="s">
        <v>231</v>
      </c>
      <c r="E1735" t="s">
        <v>239</v>
      </c>
      <c r="F1735" t="s">
        <v>1139</v>
      </c>
      <c r="G1735" s="25">
        <v>44226</v>
      </c>
      <c r="H1735">
        <v>6</v>
      </c>
      <c r="I1735">
        <v>30</v>
      </c>
      <c r="J1735" t="s">
        <v>432</v>
      </c>
      <c r="K1735" t="s">
        <v>496</v>
      </c>
      <c r="L1735" t="s">
        <v>69</v>
      </c>
      <c r="M1735" t="s">
        <v>434</v>
      </c>
      <c r="N1735" t="s">
        <v>68</v>
      </c>
      <c r="O1735" t="s">
        <v>21</v>
      </c>
      <c r="P1735" t="s">
        <v>439</v>
      </c>
      <c r="Q1735">
        <v>231500</v>
      </c>
      <c r="R1735" t="s">
        <v>237</v>
      </c>
    </row>
    <row r="1736" spans="1:18" x14ac:dyDescent="0.25">
      <c r="A1736" t="s">
        <v>3768</v>
      </c>
      <c r="B1736">
        <v>2523</v>
      </c>
      <c r="C1736" t="s">
        <v>487</v>
      </c>
      <c r="D1736" t="s">
        <v>247</v>
      </c>
      <c r="E1736" t="s">
        <v>575</v>
      </c>
      <c r="F1736" t="s">
        <v>3158</v>
      </c>
      <c r="G1736" s="25">
        <v>44311</v>
      </c>
      <c r="H1736">
        <v>23</v>
      </c>
      <c r="I1736">
        <v>115</v>
      </c>
      <c r="J1736" t="s">
        <v>432</v>
      </c>
      <c r="K1736" t="s">
        <v>496</v>
      </c>
      <c r="L1736" t="s">
        <v>69</v>
      </c>
      <c r="M1736" t="s">
        <v>434</v>
      </c>
      <c r="N1736" t="s">
        <v>68</v>
      </c>
      <c r="O1736" t="s">
        <v>21</v>
      </c>
      <c r="P1736" t="s">
        <v>439</v>
      </c>
      <c r="Q1736">
        <v>384000</v>
      </c>
      <c r="R1736" t="s">
        <v>237</v>
      </c>
    </row>
    <row r="1737" spans="1:18" x14ac:dyDescent="0.25">
      <c r="A1737" t="s">
        <v>806</v>
      </c>
      <c r="B1737">
        <v>434</v>
      </c>
      <c r="C1737" t="s">
        <v>487</v>
      </c>
      <c r="D1737" t="s">
        <v>229</v>
      </c>
      <c r="E1737" t="s">
        <v>408</v>
      </c>
      <c r="F1737" t="s">
        <v>527</v>
      </c>
      <c r="G1737" s="25">
        <v>44216</v>
      </c>
      <c r="H1737">
        <v>4</v>
      </c>
      <c r="I1737">
        <v>20</v>
      </c>
      <c r="J1737" t="s">
        <v>432</v>
      </c>
      <c r="K1737" t="s">
        <v>495</v>
      </c>
      <c r="L1737" t="s">
        <v>135</v>
      </c>
      <c r="M1737" t="s">
        <v>434</v>
      </c>
      <c r="N1737" t="s">
        <v>70</v>
      </c>
      <c r="O1737" t="s">
        <v>21</v>
      </c>
      <c r="P1737" t="s">
        <v>440</v>
      </c>
      <c r="Q1737">
        <v>375</v>
      </c>
      <c r="R1737" t="s">
        <v>237</v>
      </c>
    </row>
    <row r="1738" spans="1:18" x14ac:dyDescent="0.25">
      <c r="A1738" t="s">
        <v>299</v>
      </c>
      <c r="B1738">
        <v>60</v>
      </c>
      <c r="C1738" t="s">
        <v>487</v>
      </c>
      <c r="D1738" t="s">
        <v>229</v>
      </c>
      <c r="E1738" t="s">
        <v>256</v>
      </c>
      <c r="F1738" t="s">
        <v>525</v>
      </c>
      <c r="G1738" s="25">
        <v>44199</v>
      </c>
      <c r="H1738">
        <v>1</v>
      </c>
      <c r="I1738">
        <v>3</v>
      </c>
      <c r="J1738" t="s">
        <v>432</v>
      </c>
      <c r="K1738" t="s">
        <v>495</v>
      </c>
      <c r="L1738" t="s">
        <v>135</v>
      </c>
      <c r="M1738" t="s">
        <v>434</v>
      </c>
      <c r="N1738" t="s">
        <v>70</v>
      </c>
      <c r="O1738" t="s">
        <v>21</v>
      </c>
      <c r="P1738" t="s">
        <v>440</v>
      </c>
      <c r="Q1738">
        <v>0</v>
      </c>
      <c r="R1738" t="s">
        <v>237</v>
      </c>
    </row>
    <row r="1739" spans="1:18" x14ac:dyDescent="0.25">
      <c r="A1739" t="s">
        <v>3769</v>
      </c>
      <c r="B1739">
        <v>2392</v>
      </c>
      <c r="C1739" t="s">
        <v>487</v>
      </c>
      <c r="D1739" t="s">
        <v>247</v>
      </c>
      <c r="E1739" t="s">
        <v>371</v>
      </c>
      <c r="F1739" t="s">
        <v>3112</v>
      </c>
      <c r="G1739" s="25">
        <v>44305</v>
      </c>
      <c r="H1739">
        <v>22</v>
      </c>
      <c r="I1739">
        <v>109</v>
      </c>
      <c r="J1739" t="s">
        <v>432</v>
      </c>
      <c r="K1739" t="s">
        <v>495</v>
      </c>
      <c r="L1739" t="s">
        <v>135</v>
      </c>
      <c r="M1739" t="s">
        <v>434</v>
      </c>
      <c r="N1739" t="s">
        <v>70</v>
      </c>
      <c r="O1739" t="s">
        <v>21</v>
      </c>
      <c r="P1739" t="s">
        <v>440</v>
      </c>
      <c r="Q1739">
        <v>439125</v>
      </c>
      <c r="R1739" t="s">
        <v>237</v>
      </c>
    </row>
    <row r="1740" spans="1:18" x14ac:dyDescent="0.25">
      <c r="A1740" t="s">
        <v>3770</v>
      </c>
      <c r="B1740">
        <v>2238</v>
      </c>
      <c r="C1740" t="s">
        <v>487</v>
      </c>
      <c r="D1740" t="s">
        <v>247</v>
      </c>
      <c r="E1740" t="s">
        <v>231</v>
      </c>
      <c r="F1740" t="s">
        <v>3070</v>
      </c>
      <c r="G1740" s="25">
        <v>44298</v>
      </c>
      <c r="H1740">
        <v>21</v>
      </c>
      <c r="I1740">
        <v>102</v>
      </c>
      <c r="J1740" t="s">
        <v>432</v>
      </c>
      <c r="K1740" t="s">
        <v>495</v>
      </c>
      <c r="L1740" t="s">
        <v>135</v>
      </c>
      <c r="M1740" t="s">
        <v>434</v>
      </c>
      <c r="N1740" t="s">
        <v>70</v>
      </c>
      <c r="O1740" t="s">
        <v>21</v>
      </c>
      <c r="P1740" t="s">
        <v>440</v>
      </c>
      <c r="Q1740">
        <v>561000</v>
      </c>
      <c r="R1740" t="s">
        <v>237</v>
      </c>
    </row>
    <row r="1741" spans="1:18" x14ac:dyDescent="0.25">
      <c r="A1741" t="s">
        <v>2366</v>
      </c>
      <c r="B1741">
        <v>1534</v>
      </c>
      <c r="C1741" t="s">
        <v>487</v>
      </c>
      <c r="D1741" t="s">
        <v>261</v>
      </c>
      <c r="E1741" t="s">
        <v>239</v>
      </c>
      <c r="F1741" t="s">
        <v>1703</v>
      </c>
      <c r="G1741" s="25">
        <v>44266</v>
      </c>
      <c r="H1741">
        <v>14</v>
      </c>
      <c r="I1741">
        <v>70</v>
      </c>
      <c r="J1741" t="s">
        <v>432</v>
      </c>
      <c r="K1741" t="s">
        <v>495</v>
      </c>
      <c r="L1741" t="s">
        <v>135</v>
      </c>
      <c r="M1741" t="s">
        <v>434</v>
      </c>
      <c r="N1741" t="s">
        <v>70</v>
      </c>
      <c r="O1741" t="s">
        <v>21</v>
      </c>
      <c r="P1741" t="s">
        <v>440</v>
      </c>
      <c r="Q1741">
        <v>148750</v>
      </c>
      <c r="R1741" t="s">
        <v>237</v>
      </c>
    </row>
    <row r="1742" spans="1:18" x14ac:dyDescent="0.25">
      <c r="A1742" t="s">
        <v>2410</v>
      </c>
      <c r="B1742">
        <v>1028</v>
      </c>
      <c r="C1742" t="s">
        <v>487</v>
      </c>
      <c r="D1742" t="s">
        <v>256</v>
      </c>
      <c r="E1742" t="s">
        <v>326</v>
      </c>
      <c r="F1742" t="s">
        <v>1305</v>
      </c>
      <c r="G1742" s="25">
        <v>44243</v>
      </c>
      <c r="H1742">
        <v>10</v>
      </c>
      <c r="I1742">
        <v>47</v>
      </c>
      <c r="J1742" t="s">
        <v>432</v>
      </c>
      <c r="K1742" t="s">
        <v>495</v>
      </c>
      <c r="L1742" t="s">
        <v>135</v>
      </c>
      <c r="M1742" t="s">
        <v>434</v>
      </c>
      <c r="N1742" t="s">
        <v>70</v>
      </c>
      <c r="O1742" t="s">
        <v>21</v>
      </c>
      <c r="P1742" t="s">
        <v>440</v>
      </c>
      <c r="Q1742">
        <v>512000</v>
      </c>
      <c r="R1742" t="s">
        <v>237</v>
      </c>
    </row>
    <row r="1743" spans="1:18" x14ac:dyDescent="0.25">
      <c r="A1743" t="s">
        <v>3771</v>
      </c>
      <c r="B1743">
        <v>2528</v>
      </c>
      <c r="C1743" t="s">
        <v>487</v>
      </c>
      <c r="D1743" t="s">
        <v>247</v>
      </c>
      <c r="E1743" t="s">
        <v>575</v>
      </c>
      <c r="F1743" t="s">
        <v>3158</v>
      </c>
      <c r="G1743" s="25">
        <v>44311</v>
      </c>
      <c r="H1743">
        <v>23</v>
      </c>
      <c r="I1743">
        <v>115</v>
      </c>
      <c r="J1743" t="s">
        <v>432</v>
      </c>
      <c r="K1743" t="s">
        <v>494</v>
      </c>
      <c r="L1743" t="s">
        <v>25</v>
      </c>
      <c r="M1743" t="s">
        <v>434</v>
      </c>
      <c r="N1743" t="s">
        <v>76</v>
      </c>
      <c r="O1743" t="s">
        <v>435</v>
      </c>
      <c r="P1743" t="s">
        <v>25</v>
      </c>
      <c r="Q1743">
        <v>32700</v>
      </c>
      <c r="R1743" t="s">
        <v>436</v>
      </c>
    </row>
    <row r="1744" spans="1:18" x14ac:dyDescent="0.25">
      <c r="A1744" t="s">
        <v>3772</v>
      </c>
      <c r="B1744">
        <v>1890</v>
      </c>
      <c r="C1744" t="s">
        <v>487</v>
      </c>
      <c r="D1744" t="s">
        <v>322</v>
      </c>
      <c r="E1744" t="s">
        <v>247</v>
      </c>
      <c r="F1744" t="s">
        <v>2963</v>
      </c>
      <c r="G1744" s="25">
        <v>44282</v>
      </c>
      <c r="H1744">
        <v>18</v>
      </c>
      <c r="I1744">
        <v>86</v>
      </c>
      <c r="J1744" t="s">
        <v>432</v>
      </c>
      <c r="K1744" t="s">
        <v>494</v>
      </c>
      <c r="L1744" t="s">
        <v>25</v>
      </c>
      <c r="M1744" t="s">
        <v>434</v>
      </c>
      <c r="N1744" t="s">
        <v>76</v>
      </c>
      <c r="O1744" t="s">
        <v>435</v>
      </c>
      <c r="P1744" t="s">
        <v>25</v>
      </c>
      <c r="Q1744">
        <v>77550</v>
      </c>
      <c r="R1744" t="s">
        <v>436</v>
      </c>
    </row>
    <row r="1745" spans="1:18" x14ac:dyDescent="0.25">
      <c r="A1745" t="s">
        <v>2688</v>
      </c>
      <c r="B1745">
        <v>658</v>
      </c>
      <c r="C1745" t="s">
        <v>487</v>
      </c>
      <c r="D1745" t="s">
        <v>231</v>
      </c>
      <c r="E1745" t="s">
        <v>239</v>
      </c>
      <c r="F1745" t="s">
        <v>1139</v>
      </c>
      <c r="G1745" s="25">
        <v>44226</v>
      </c>
      <c r="H1745">
        <v>6</v>
      </c>
      <c r="I1745">
        <v>30</v>
      </c>
      <c r="J1745" t="s">
        <v>432</v>
      </c>
      <c r="K1745" t="s">
        <v>494</v>
      </c>
      <c r="L1745" t="s">
        <v>25</v>
      </c>
      <c r="M1745" t="s">
        <v>434</v>
      </c>
      <c r="N1745" t="s">
        <v>76</v>
      </c>
      <c r="O1745" t="s">
        <v>435</v>
      </c>
      <c r="P1745" t="s">
        <v>25</v>
      </c>
      <c r="Q1745">
        <v>36000</v>
      </c>
      <c r="R1745" t="s">
        <v>436</v>
      </c>
    </row>
    <row r="1746" spans="1:18" x14ac:dyDescent="0.25">
      <c r="A1746" t="s">
        <v>3773</v>
      </c>
      <c r="B1746">
        <v>2266</v>
      </c>
      <c r="C1746" t="s">
        <v>487</v>
      </c>
      <c r="D1746" t="s">
        <v>247</v>
      </c>
      <c r="E1746" t="s">
        <v>256</v>
      </c>
      <c r="F1746" t="s">
        <v>3073</v>
      </c>
      <c r="G1746" s="25">
        <v>44299</v>
      </c>
      <c r="H1746">
        <v>21</v>
      </c>
      <c r="I1746">
        <v>103</v>
      </c>
      <c r="J1746" t="s">
        <v>432</v>
      </c>
      <c r="K1746" t="s">
        <v>493</v>
      </c>
      <c r="L1746" t="s">
        <v>441</v>
      </c>
      <c r="M1746" t="s">
        <v>434</v>
      </c>
      <c r="N1746" t="s">
        <v>78</v>
      </c>
      <c r="O1746" t="s">
        <v>435</v>
      </c>
      <c r="P1746" t="s">
        <v>441</v>
      </c>
      <c r="Q1746">
        <v>216655</v>
      </c>
      <c r="R1746" t="s">
        <v>436</v>
      </c>
    </row>
    <row r="1747" spans="1:18" x14ac:dyDescent="0.25">
      <c r="A1747" t="s">
        <v>2314</v>
      </c>
      <c r="B1747">
        <v>792</v>
      </c>
      <c r="C1747" t="s">
        <v>487</v>
      </c>
      <c r="D1747" t="s">
        <v>231</v>
      </c>
      <c r="E1747" t="s">
        <v>620</v>
      </c>
      <c r="F1747" t="s">
        <v>1215</v>
      </c>
      <c r="G1747" s="25">
        <v>44232</v>
      </c>
      <c r="H1747">
        <v>8</v>
      </c>
      <c r="I1747">
        <v>36</v>
      </c>
      <c r="J1747" t="s">
        <v>432</v>
      </c>
      <c r="K1747" t="s">
        <v>493</v>
      </c>
      <c r="L1747" t="s">
        <v>441</v>
      </c>
      <c r="M1747" t="s">
        <v>434</v>
      </c>
      <c r="N1747" t="s">
        <v>78</v>
      </c>
      <c r="O1747" t="s">
        <v>435</v>
      </c>
      <c r="P1747" t="s">
        <v>441</v>
      </c>
      <c r="Q1747">
        <v>105546.875</v>
      </c>
      <c r="R1747" t="s">
        <v>436</v>
      </c>
    </row>
    <row r="1748" spans="1:18" x14ac:dyDescent="0.25">
      <c r="A1748" t="s">
        <v>816</v>
      </c>
      <c r="B1748">
        <v>440</v>
      </c>
      <c r="C1748" t="s">
        <v>487</v>
      </c>
      <c r="D1748" t="s">
        <v>229</v>
      </c>
      <c r="E1748" t="s">
        <v>408</v>
      </c>
      <c r="F1748" t="s">
        <v>527</v>
      </c>
      <c r="G1748" s="25">
        <v>44216</v>
      </c>
      <c r="H1748">
        <v>4</v>
      </c>
      <c r="I1748">
        <v>20</v>
      </c>
      <c r="J1748" t="s">
        <v>432</v>
      </c>
      <c r="K1748" t="s">
        <v>493</v>
      </c>
      <c r="L1748" t="s">
        <v>441</v>
      </c>
      <c r="M1748" t="s">
        <v>434</v>
      </c>
      <c r="N1748" t="s">
        <v>78</v>
      </c>
      <c r="O1748" t="s">
        <v>435</v>
      </c>
      <c r="P1748" t="s">
        <v>441</v>
      </c>
      <c r="Q1748">
        <v>16865.625</v>
      </c>
      <c r="R1748" t="s">
        <v>436</v>
      </c>
    </row>
    <row r="1749" spans="1:18" x14ac:dyDescent="0.25">
      <c r="A1749" t="s">
        <v>3774</v>
      </c>
      <c r="B1749">
        <v>2552</v>
      </c>
      <c r="C1749" t="s">
        <v>487</v>
      </c>
      <c r="D1749" t="s">
        <v>247</v>
      </c>
      <c r="E1749" t="s">
        <v>620</v>
      </c>
      <c r="F1749" t="s">
        <v>3162</v>
      </c>
      <c r="G1749" s="25">
        <v>44312</v>
      </c>
      <c r="H1749">
        <v>24</v>
      </c>
      <c r="I1749">
        <v>116</v>
      </c>
      <c r="J1749" t="s">
        <v>432</v>
      </c>
      <c r="K1749" t="s">
        <v>493</v>
      </c>
      <c r="L1749" t="s">
        <v>441</v>
      </c>
      <c r="M1749" t="s">
        <v>434</v>
      </c>
      <c r="N1749" t="s">
        <v>78</v>
      </c>
      <c r="O1749" t="s">
        <v>435</v>
      </c>
      <c r="P1749" t="s">
        <v>441</v>
      </c>
      <c r="Q1749">
        <v>147923.75</v>
      </c>
      <c r="R1749" t="s">
        <v>436</v>
      </c>
    </row>
    <row r="1750" spans="1:18" x14ac:dyDescent="0.25">
      <c r="A1750" t="s">
        <v>1960</v>
      </c>
      <c r="B1750">
        <v>1623</v>
      </c>
      <c r="C1750" t="s">
        <v>487</v>
      </c>
      <c r="D1750" t="s">
        <v>261</v>
      </c>
      <c r="E1750" t="s">
        <v>537</v>
      </c>
      <c r="F1750" t="s">
        <v>1530</v>
      </c>
      <c r="G1750" s="25">
        <v>44270</v>
      </c>
      <c r="H1750">
        <v>15</v>
      </c>
      <c r="I1750">
        <v>74</v>
      </c>
      <c r="J1750" t="s">
        <v>432</v>
      </c>
      <c r="K1750" t="s">
        <v>492</v>
      </c>
      <c r="L1750" t="s">
        <v>24</v>
      </c>
      <c r="M1750" t="s">
        <v>434</v>
      </c>
      <c r="N1750" t="s">
        <v>71</v>
      </c>
      <c r="O1750" t="s">
        <v>435</v>
      </c>
      <c r="P1750" t="s">
        <v>24</v>
      </c>
      <c r="Q1750">
        <v>25800</v>
      </c>
      <c r="R1750" t="s">
        <v>436</v>
      </c>
    </row>
    <row r="1751" spans="1:18" x14ac:dyDescent="0.25">
      <c r="A1751" t="s">
        <v>2012</v>
      </c>
      <c r="B1751">
        <v>875</v>
      </c>
      <c r="C1751" t="s">
        <v>487</v>
      </c>
      <c r="D1751" t="s">
        <v>231</v>
      </c>
      <c r="E1751" t="s">
        <v>408</v>
      </c>
      <c r="F1751" t="s">
        <v>1234</v>
      </c>
      <c r="G1751" s="25">
        <v>44236</v>
      </c>
      <c r="H1751">
        <v>8</v>
      </c>
      <c r="I1751">
        <v>40</v>
      </c>
      <c r="J1751" t="s">
        <v>432</v>
      </c>
      <c r="K1751" t="s">
        <v>492</v>
      </c>
      <c r="L1751" t="s">
        <v>24</v>
      </c>
      <c r="M1751" t="s">
        <v>434</v>
      </c>
      <c r="N1751" t="s">
        <v>71</v>
      </c>
      <c r="O1751" t="s">
        <v>435</v>
      </c>
      <c r="P1751" t="s">
        <v>24</v>
      </c>
      <c r="Q1751">
        <v>28800</v>
      </c>
      <c r="R1751" t="s">
        <v>436</v>
      </c>
    </row>
    <row r="1752" spans="1:18" x14ac:dyDescent="0.25">
      <c r="A1752" t="s">
        <v>530</v>
      </c>
      <c r="B1752">
        <v>413</v>
      </c>
      <c r="C1752" t="s">
        <v>487</v>
      </c>
      <c r="D1752" t="s">
        <v>229</v>
      </c>
      <c r="E1752" t="s">
        <v>531</v>
      </c>
      <c r="F1752" t="s">
        <v>532</v>
      </c>
      <c r="G1752" s="25">
        <v>44215</v>
      </c>
      <c r="H1752">
        <v>4</v>
      </c>
      <c r="I1752">
        <v>19</v>
      </c>
      <c r="J1752" t="s">
        <v>432</v>
      </c>
      <c r="K1752" t="s">
        <v>492</v>
      </c>
      <c r="L1752" t="s">
        <v>24</v>
      </c>
      <c r="M1752" t="s">
        <v>434</v>
      </c>
      <c r="N1752" t="s">
        <v>71</v>
      </c>
      <c r="O1752" t="s">
        <v>435</v>
      </c>
      <c r="P1752" t="s">
        <v>24</v>
      </c>
      <c r="Q1752">
        <v>0</v>
      </c>
      <c r="R1752" t="s">
        <v>436</v>
      </c>
    </row>
    <row r="1753" spans="1:18" x14ac:dyDescent="0.25">
      <c r="A1753" t="s">
        <v>3775</v>
      </c>
      <c r="B1753">
        <v>2591</v>
      </c>
      <c r="C1753" t="s">
        <v>487</v>
      </c>
      <c r="D1753" t="s">
        <v>247</v>
      </c>
      <c r="E1753" t="s">
        <v>552</v>
      </c>
      <c r="F1753" t="s">
        <v>3170</v>
      </c>
      <c r="G1753" s="25">
        <v>44314</v>
      </c>
      <c r="H1753">
        <v>24</v>
      </c>
      <c r="I1753">
        <v>118</v>
      </c>
      <c r="J1753" t="s">
        <v>432</v>
      </c>
      <c r="K1753" t="s">
        <v>492</v>
      </c>
      <c r="L1753" t="s">
        <v>24</v>
      </c>
      <c r="M1753" t="s">
        <v>434</v>
      </c>
      <c r="N1753" t="s">
        <v>71</v>
      </c>
      <c r="O1753" t="s">
        <v>435</v>
      </c>
      <c r="P1753" t="s">
        <v>24</v>
      </c>
      <c r="Q1753">
        <v>40500</v>
      </c>
      <c r="R1753" t="s">
        <v>436</v>
      </c>
    </row>
    <row r="1754" spans="1:18" x14ac:dyDescent="0.25">
      <c r="A1754" t="s">
        <v>2139</v>
      </c>
      <c r="B1754">
        <v>1636</v>
      </c>
      <c r="C1754" t="s">
        <v>487</v>
      </c>
      <c r="D1754" t="s">
        <v>261</v>
      </c>
      <c r="E1754" t="s">
        <v>575</v>
      </c>
      <c r="F1754" t="s">
        <v>1537</v>
      </c>
      <c r="G1754" s="25">
        <v>44271</v>
      </c>
      <c r="H1754">
        <v>15</v>
      </c>
      <c r="I1754">
        <v>75</v>
      </c>
      <c r="J1754" t="s">
        <v>231</v>
      </c>
      <c r="K1754" t="s">
        <v>491</v>
      </c>
      <c r="L1754" t="s">
        <v>233</v>
      </c>
      <c r="M1754" t="s">
        <v>234</v>
      </c>
      <c r="N1754" t="s">
        <v>54</v>
      </c>
      <c r="O1754" t="s">
        <v>235</v>
      </c>
      <c r="P1754" t="s">
        <v>236</v>
      </c>
      <c r="Q1754">
        <v>0</v>
      </c>
      <c r="R1754" t="s">
        <v>237</v>
      </c>
    </row>
    <row r="1755" spans="1:18" x14ac:dyDescent="0.25">
      <c r="A1755" t="s">
        <v>1567</v>
      </c>
      <c r="B1755">
        <v>470</v>
      </c>
      <c r="C1755" t="s">
        <v>487</v>
      </c>
      <c r="D1755" t="s">
        <v>231</v>
      </c>
      <c r="E1755" t="s">
        <v>231</v>
      </c>
      <c r="F1755" t="s">
        <v>1080</v>
      </c>
      <c r="G1755" s="25">
        <v>44218</v>
      </c>
      <c r="H1755">
        <v>5</v>
      </c>
      <c r="I1755">
        <v>22</v>
      </c>
      <c r="J1755" t="s">
        <v>231</v>
      </c>
      <c r="K1755" t="s">
        <v>491</v>
      </c>
      <c r="L1755" t="s">
        <v>233</v>
      </c>
      <c r="M1755" t="s">
        <v>234</v>
      </c>
      <c r="N1755" t="s">
        <v>54</v>
      </c>
      <c r="O1755" t="s">
        <v>235</v>
      </c>
      <c r="P1755" t="s">
        <v>236</v>
      </c>
      <c r="Q1755">
        <v>4250</v>
      </c>
      <c r="R1755" t="s">
        <v>237</v>
      </c>
    </row>
    <row r="1756" spans="1:18" x14ac:dyDescent="0.25">
      <c r="A1756" t="s">
        <v>3776</v>
      </c>
      <c r="B1756">
        <v>2604</v>
      </c>
      <c r="C1756" t="s">
        <v>487</v>
      </c>
      <c r="D1756" t="s">
        <v>247</v>
      </c>
      <c r="E1756" t="s">
        <v>531</v>
      </c>
      <c r="F1756" t="s">
        <v>3173</v>
      </c>
      <c r="G1756" s="25">
        <v>44315</v>
      </c>
      <c r="H1756">
        <v>24</v>
      </c>
      <c r="I1756">
        <v>119</v>
      </c>
      <c r="J1756" t="s">
        <v>231</v>
      </c>
      <c r="K1756" t="s">
        <v>491</v>
      </c>
      <c r="L1756" t="s">
        <v>233</v>
      </c>
      <c r="M1756" t="s">
        <v>234</v>
      </c>
      <c r="N1756" t="s">
        <v>54</v>
      </c>
      <c r="O1756" t="s">
        <v>235</v>
      </c>
      <c r="P1756" t="s">
        <v>236</v>
      </c>
      <c r="Q1756">
        <v>0</v>
      </c>
      <c r="R1756" t="s">
        <v>237</v>
      </c>
    </row>
    <row r="1757" spans="1:18" x14ac:dyDescent="0.25">
      <c r="A1757" t="s">
        <v>3777</v>
      </c>
      <c r="B1757">
        <v>1988</v>
      </c>
      <c r="C1757" t="s">
        <v>487</v>
      </c>
      <c r="D1757" t="s">
        <v>322</v>
      </c>
      <c r="E1757" t="s">
        <v>515</v>
      </c>
      <c r="F1757" t="s">
        <v>2983</v>
      </c>
      <c r="G1757" s="25">
        <v>44287</v>
      </c>
      <c r="H1757">
        <v>19</v>
      </c>
      <c r="I1757">
        <v>91</v>
      </c>
      <c r="J1757" t="s">
        <v>231</v>
      </c>
      <c r="K1757" t="s">
        <v>491</v>
      </c>
      <c r="L1757" t="s">
        <v>233</v>
      </c>
      <c r="M1757" t="s">
        <v>234</v>
      </c>
      <c r="N1757" t="s">
        <v>54</v>
      </c>
      <c r="O1757" t="s">
        <v>235</v>
      </c>
      <c r="P1757" t="s">
        <v>236</v>
      </c>
      <c r="Q1757">
        <v>74</v>
      </c>
      <c r="R1757" t="s">
        <v>237</v>
      </c>
    </row>
    <row r="1758" spans="1:18" x14ac:dyDescent="0.25">
      <c r="A1758" t="s">
        <v>2421</v>
      </c>
      <c r="B1758">
        <v>629</v>
      </c>
      <c r="C1758" t="s">
        <v>487</v>
      </c>
      <c r="D1758" t="s">
        <v>231</v>
      </c>
      <c r="E1758" t="s">
        <v>371</v>
      </c>
      <c r="F1758" t="s">
        <v>1124</v>
      </c>
      <c r="G1758" s="25">
        <v>44225</v>
      </c>
      <c r="H1758">
        <v>6</v>
      </c>
      <c r="I1758">
        <v>29</v>
      </c>
      <c r="J1758" t="s">
        <v>432</v>
      </c>
      <c r="K1758" t="s">
        <v>490</v>
      </c>
      <c r="L1758" t="s">
        <v>65</v>
      </c>
      <c r="M1758" t="s">
        <v>434</v>
      </c>
      <c r="N1758" t="s">
        <v>64</v>
      </c>
      <c r="O1758" t="s">
        <v>235</v>
      </c>
      <c r="P1758" t="s">
        <v>442</v>
      </c>
      <c r="Q1758">
        <v>264000</v>
      </c>
      <c r="R1758" t="s">
        <v>237</v>
      </c>
    </row>
    <row r="1759" spans="1:18" x14ac:dyDescent="0.25">
      <c r="A1759" t="s">
        <v>523</v>
      </c>
      <c r="B1759">
        <v>277</v>
      </c>
      <c r="C1759" t="s">
        <v>487</v>
      </c>
      <c r="D1759" t="s">
        <v>229</v>
      </c>
      <c r="E1759" t="s">
        <v>512</v>
      </c>
      <c r="F1759" t="s">
        <v>513</v>
      </c>
      <c r="G1759" s="25">
        <v>44209</v>
      </c>
      <c r="H1759">
        <v>3</v>
      </c>
      <c r="I1759">
        <v>13</v>
      </c>
      <c r="J1759" t="s">
        <v>432</v>
      </c>
      <c r="K1759" t="s">
        <v>490</v>
      </c>
      <c r="L1759" t="s">
        <v>65</v>
      </c>
      <c r="M1759" t="s">
        <v>434</v>
      </c>
      <c r="N1759" t="s">
        <v>64</v>
      </c>
      <c r="O1759" t="s">
        <v>235</v>
      </c>
      <c r="P1759" t="s">
        <v>442</v>
      </c>
      <c r="Q1759">
        <v>24000</v>
      </c>
      <c r="R1759" t="s">
        <v>237</v>
      </c>
    </row>
    <row r="1760" spans="1:18" x14ac:dyDescent="0.25">
      <c r="A1760" t="s">
        <v>3778</v>
      </c>
      <c r="B1760">
        <v>2548</v>
      </c>
      <c r="C1760" t="s">
        <v>487</v>
      </c>
      <c r="D1760" t="s">
        <v>247</v>
      </c>
      <c r="E1760" t="s">
        <v>620</v>
      </c>
      <c r="F1760" t="s">
        <v>3162</v>
      </c>
      <c r="G1760" s="25">
        <v>44312</v>
      </c>
      <c r="H1760">
        <v>24</v>
      </c>
      <c r="I1760">
        <v>116</v>
      </c>
      <c r="J1760" t="s">
        <v>432</v>
      </c>
      <c r="K1760" t="s">
        <v>488</v>
      </c>
      <c r="L1760" t="s">
        <v>433</v>
      </c>
      <c r="M1760" t="s">
        <v>434</v>
      </c>
      <c r="N1760" t="s">
        <v>74</v>
      </c>
      <c r="O1760" t="s">
        <v>435</v>
      </c>
      <c r="P1760" t="s">
        <v>433</v>
      </c>
      <c r="Q1760">
        <v>20100</v>
      </c>
      <c r="R1760" t="s">
        <v>436</v>
      </c>
    </row>
    <row r="1761" spans="1:18" x14ac:dyDescent="0.25">
      <c r="A1761" t="s">
        <v>3779</v>
      </c>
      <c r="B1761">
        <v>2306</v>
      </c>
      <c r="C1761" t="s">
        <v>487</v>
      </c>
      <c r="D1761" t="s">
        <v>247</v>
      </c>
      <c r="E1761" t="s">
        <v>322</v>
      </c>
      <c r="F1761" t="s">
        <v>3083</v>
      </c>
      <c r="G1761" s="25">
        <v>44301</v>
      </c>
      <c r="H1761">
        <v>21</v>
      </c>
      <c r="I1761">
        <v>105</v>
      </c>
      <c r="J1761" t="s">
        <v>432</v>
      </c>
      <c r="K1761" t="s">
        <v>488</v>
      </c>
      <c r="L1761" t="s">
        <v>433</v>
      </c>
      <c r="M1761" t="s">
        <v>434</v>
      </c>
      <c r="N1761" t="s">
        <v>74</v>
      </c>
      <c r="O1761" t="s">
        <v>435</v>
      </c>
      <c r="P1761" t="s">
        <v>433</v>
      </c>
      <c r="Q1761">
        <v>41700</v>
      </c>
      <c r="R1761" t="s">
        <v>436</v>
      </c>
    </row>
    <row r="1762" spans="1:18" x14ac:dyDescent="0.25">
      <c r="A1762" t="s">
        <v>2269</v>
      </c>
      <c r="B1762">
        <v>1580</v>
      </c>
      <c r="C1762" t="s">
        <v>487</v>
      </c>
      <c r="D1762" t="s">
        <v>261</v>
      </c>
      <c r="E1762" t="s">
        <v>232</v>
      </c>
      <c r="F1762" t="s">
        <v>1500</v>
      </c>
      <c r="G1762" s="25">
        <v>44268</v>
      </c>
      <c r="H1762">
        <v>15</v>
      </c>
      <c r="I1762">
        <v>72</v>
      </c>
      <c r="J1762" t="s">
        <v>432</v>
      </c>
      <c r="K1762" t="s">
        <v>488</v>
      </c>
      <c r="L1762" t="s">
        <v>433</v>
      </c>
      <c r="M1762" t="s">
        <v>434</v>
      </c>
      <c r="N1762" t="s">
        <v>74</v>
      </c>
      <c r="O1762" t="s">
        <v>435</v>
      </c>
      <c r="P1762" t="s">
        <v>433</v>
      </c>
      <c r="Q1762">
        <v>25800</v>
      </c>
      <c r="R1762" t="s">
        <v>436</v>
      </c>
    </row>
    <row r="1763" spans="1:18" x14ac:dyDescent="0.25">
      <c r="A1763" t="s">
        <v>2818</v>
      </c>
      <c r="B1763">
        <v>678</v>
      </c>
      <c r="C1763" t="s">
        <v>487</v>
      </c>
      <c r="D1763" t="s">
        <v>231</v>
      </c>
      <c r="E1763" t="s">
        <v>515</v>
      </c>
      <c r="F1763" t="s">
        <v>1150</v>
      </c>
      <c r="G1763" s="25">
        <v>44227</v>
      </c>
      <c r="H1763">
        <v>7</v>
      </c>
      <c r="I1763">
        <v>31</v>
      </c>
      <c r="J1763" t="s">
        <v>432</v>
      </c>
      <c r="K1763" t="s">
        <v>488</v>
      </c>
      <c r="L1763" t="s">
        <v>433</v>
      </c>
      <c r="M1763" t="s">
        <v>434</v>
      </c>
      <c r="N1763" t="s">
        <v>74</v>
      </c>
      <c r="O1763" t="s">
        <v>435</v>
      </c>
      <c r="P1763" t="s">
        <v>433</v>
      </c>
      <c r="Q1763">
        <v>32400</v>
      </c>
      <c r="R1763" t="s">
        <v>436</v>
      </c>
    </row>
    <row r="1764" spans="1:18" x14ac:dyDescent="0.25">
      <c r="A1764" t="s">
        <v>593</v>
      </c>
      <c r="B1764">
        <v>370</v>
      </c>
      <c r="C1764" t="s">
        <v>487</v>
      </c>
      <c r="D1764" t="s">
        <v>229</v>
      </c>
      <c r="E1764" t="s">
        <v>534</v>
      </c>
      <c r="F1764" t="s">
        <v>535</v>
      </c>
      <c r="G1764" s="25">
        <v>44213</v>
      </c>
      <c r="H1764">
        <v>4</v>
      </c>
      <c r="I1764">
        <v>17</v>
      </c>
      <c r="J1764" t="s">
        <v>432</v>
      </c>
      <c r="K1764" t="s">
        <v>488</v>
      </c>
      <c r="L1764" t="s">
        <v>433</v>
      </c>
      <c r="M1764" t="s">
        <v>434</v>
      </c>
      <c r="N1764" t="s">
        <v>74</v>
      </c>
      <c r="O1764" t="s">
        <v>435</v>
      </c>
      <c r="P1764" t="s">
        <v>433</v>
      </c>
      <c r="Q1764">
        <v>0</v>
      </c>
      <c r="R1764" t="s">
        <v>436</v>
      </c>
    </row>
    <row r="1765" spans="1:18" x14ac:dyDescent="0.25">
      <c r="A1765" t="s">
        <v>3780</v>
      </c>
      <c r="B1765">
        <v>2082</v>
      </c>
      <c r="C1765" t="s">
        <v>487</v>
      </c>
      <c r="D1765" t="s">
        <v>322</v>
      </c>
      <c r="E1765" t="s">
        <v>575</v>
      </c>
      <c r="F1765" t="s">
        <v>3014</v>
      </c>
      <c r="G1765" s="25">
        <v>44291</v>
      </c>
      <c r="H1765">
        <v>19</v>
      </c>
      <c r="I1765">
        <v>95</v>
      </c>
      <c r="J1765" t="s">
        <v>432</v>
      </c>
      <c r="K1765" t="s">
        <v>489</v>
      </c>
      <c r="L1765" t="s">
        <v>134</v>
      </c>
      <c r="M1765" t="s">
        <v>434</v>
      </c>
      <c r="N1765" t="s">
        <v>67</v>
      </c>
      <c r="O1765" t="s">
        <v>235</v>
      </c>
      <c r="P1765" t="s">
        <v>437</v>
      </c>
      <c r="Q1765">
        <v>448000</v>
      </c>
      <c r="R1765" t="s">
        <v>237</v>
      </c>
    </row>
    <row r="1766" spans="1:18" x14ac:dyDescent="0.25">
      <c r="A1766" t="s">
        <v>2494</v>
      </c>
      <c r="B1766">
        <v>1708</v>
      </c>
      <c r="C1766" t="s">
        <v>487</v>
      </c>
      <c r="D1766" t="s">
        <v>261</v>
      </c>
      <c r="E1766" t="s">
        <v>552</v>
      </c>
      <c r="F1766" t="s">
        <v>1585</v>
      </c>
      <c r="G1766" s="25">
        <v>44274</v>
      </c>
      <c r="H1766">
        <v>16</v>
      </c>
      <c r="I1766">
        <v>78</v>
      </c>
      <c r="J1766" t="s">
        <v>432</v>
      </c>
      <c r="K1766" t="s">
        <v>489</v>
      </c>
      <c r="L1766" t="s">
        <v>134</v>
      </c>
      <c r="M1766" t="s">
        <v>434</v>
      </c>
      <c r="N1766" t="s">
        <v>67</v>
      </c>
      <c r="O1766" t="s">
        <v>235</v>
      </c>
      <c r="P1766" t="s">
        <v>437</v>
      </c>
      <c r="Q1766">
        <v>296000</v>
      </c>
      <c r="R1766" t="s">
        <v>237</v>
      </c>
    </row>
    <row r="1767" spans="1:18" x14ac:dyDescent="0.25">
      <c r="A1767" t="s">
        <v>2760</v>
      </c>
      <c r="B1767">
        <v>1180</v>
      </c>
      <c r="C1767" t="s">
        <v>487</v>
      </c>
      <c r="D1767" t="s">
        <v>256</v>
      </c>
      <c r="E1767" t="s">
        <v>537</v>
      </c>
      <c r="F1767" t="s">
        <v>1348</v>
      </c>
      <c r="G1767" s="25">
        <v>44250</v>
      </c>
      <c r="H1767">
        <v>11</v>
      </c>
      <c r="I1767">
        <v>54</v>
      </c>
      <c r="J1767" t="s">
        <v>432</v>
      </c>
      <c r="K1767" t="s">
        <v>489</v>
      </c>
      <c r="L1767" t="s">
        <v>134</v>
      </c>
      <c r="M1767" t="s">
        <v>434</v>
      </c>
      <c r="N1767" t="s">
        <v>67</v>
      </c>
      <c r="O1767" t="s">
        <v>235</v>
      </c>
      <c r="P1767" t="s">
        <v>437</v>
      </c>
      <c r="Q1767">
        <v>360000</v>
      </c>
      <c r="R1767" t="s">
        <v>237</v>
      </c>
    </row>
    <row r="1768" spans="1:18" x14ac:dyDescent="0.25">
      <c r="A1768" t="s">
        <v>1636</v>
      </c>
      <c r="B1768">
        <v>916</v>
      </c>
      <c r="C1768" t="s">
        <v>487</v>
      </c>
      <c r="D1768" t="s">
        <v>256</v>
      </c>
      <c r="E1768" t="s">
        <v>231</v>
      </c>
      <c r="F1768" t="s">
        <v>1249</v>
      </c>
      <c r="G1768" s="25">
        <v>44238</v>
      </c>
      <c r="H1768">
        <v>9</v>
      </c>
      <c r="I1768">
        <v>42</v>
      </c>
      <c r="J1768" t="s">
        <v>432</v>
      </c>
      <c r="K1768" t="s">
        <v>489</v>
      </c>
      <c r="L1768" t="s">
        <v>134</v>
      </c>
      <c r="M1768" t="s">
        <v>434</v>
      </c>
      <c r="N1768" t="s">
        <v>67</v>
      </c>
      <c r="O1768" t="s">
        <v>235</v>
      </c>
      <c r="P1768" t="s">
        <v>437</v>
      </c>
      <c r="Q1768">
        <v>230750</v>
      </c>
      <c r="R1768" t="s">
        <v>237</v>
      </c>
    </row>
    <row r="1769" spans="1:18" x14ac:dyDescent="0.25">
      <c r="A1769" t="s">
        <v>822</v>
      </c>
      <c r="B1769">
        <v>212</v>
      </c>
      <c r="C1769" t="s">
        <v>487</v>
      </c>
      <c r="D1769" t="s">
        <v>229</v>
      </c>
      <c r="E1769" t="s">
        <v>239</v>
      </c>
      <c r="F1769" t="s">
        <v>578</v>
      </c>
      <c r="G1769" s="25">
        <v>44206</v>
      </c>
      <c r="H1769">
        <v>2</v>
      </c>
      <c r="I1769">
        <v>10</v>
      </c>
      <c r="J1769" t="s">
        <v>432</v>
      </c>
      <c r="K1769" t="s">
        <v>489</v>
      </c>
      <c r="L1769" t="s">
        <v>134</v>
      </c>
      <c r="M1769" t="s">
        <v>434</v>
      </c>
      <c r="N1769" t="s">
        <v>67</v>
      </c>
      <c r="O1769" t="s">
        <v>235</v>
      </c>
      <c r="P1769" t="s">
        <v>437</v>
      </c>
      <c r="Q1769">
        <v>72000</v>
      </c>
      <c r="R1769" t="s">
        <v>237</v>
      </c>
    </row>
    <row r="1770" spans="1:18" x14ac:dyDescent="0.25">
      <c r="A1770" t="s">
        <v>3781</v>
      </c>
      <c r="B1770">
        <v>2203</v>
      </c>
      <c r="C1770" t="s">
        <v>487</v>
      </c>
      <c r="D1770" t="s">
        <v>247</v>
      </c>
      <c r="E1770" t="s">
        <v>229</v>
      </c>
      <c r="F1770" t="s">
        <v>3063</v>
      </c>
      <c r="G1770" s="25">
        <v>44297</v>
      </c>
      <c r="H1770">
        <v>21</v>
      </c>
      <c r="I1770">
        <v>101</v>
      </c>
      <c r="J1770" t="s">
        <v>231</v>
      </c>
      <c r="K1770" t="s">
        <v>509</v>
      </c>
      <c r="L1770" t="s">
        <v>45</v>
      </c>
      <c r="M1770" t="s">
        <v>234</v>
      </c>
      <c r="N1770" t="s">
        <v>44</v>
      </c>
      <c r="O1770" t="s">
        <v>21</v>
      </c>
      <c r="P1770" t="s">
        <v>304</v>
      </c>
      <c r="Q1770">
        <v>0</v>
      </c>
      <c r="R1770" t="s">
        <v>237</v>
      </c>
    </row>
    <row r="1771" spans="1:18" x14ac:dyDescent="0.25">
      <c r="A1771" t="s">
        <v>2502</v>
      </c>
      <c r="B1771">
        <v>993</v>
      </c>
      <c r="C1771" t="s">
        <v>487</v>
      </c>
      <c r="D1771" t="s">
        <v>256</v>
      </c>
      <c r="E1771" t="s">
        <v>247</v>
      </c>
      <c r="F1771" t="s">
        <v>1299</v>
      </c>
      <c r="G1771" s="25">
        <v>44242</v>
      </c>
      <c r="H1771">
        <v>10</v>
      </c>
      <c r="I1771">
        <v>46</v>
      </c>
      <c r="J1771" t="s">
        <v>231</v>
      </c>
      <c r="K1771" t="s">
        <v>509</v>
      </c>
      <c r="L1771" t="s">
        <v>45</v>
      </c>
      <c r="M1771" t="s">
        <v>234</v>
      </c>
      <c r="N1771" t="s">
        <v>44</v>
      </c>
      <c r="O1771" t="s">
        <v>21</v>
      </c>
      <c r="P1771" t="s">
        <v>304</v>
      </c>
      <c r="Q1771">
        <v>0</v>
      </c>
      <c r="R1771" t="s">
        <v>237</v>
      </c>
    </row>
    <row r="1772" spans="1:18" x14ac:dyDescent="0.25">
      <c r="A1772" t="s">
        <v>333</v>
      </c>
      <c r="B1772">
        <v>25</v>
      </c>
      <c r="C1772" t="s">
        <v>487</v>
      </c>
      <c r="D1772" t="s">
        <v>229</v>
      </c>
      <c r="E1772" t="s">
        <v>231</v>
      </c>
      <c r="F1772" t="s">
        <v>568</v>
      </c>
      <c r="G1772" s="25">
        <v>44198</v>
      </c>
      <c r="H1772">
        <v>1</v>
      </c>
      <c r="I1772">
        <v>2</v>
      </c>
      <c r="J1772" t="s">
        <v>231</v>
      </c>
      <c r="K1772" t="s">
        <v>509</v>
      </c>
      <c r="L1772" t="s">
        <v>45</v>
      </c>
      <c r="M1772" t="s">
        <v>234</v>
      </c>
      <c r="N1772" t="s">
        <v>44</v>
      </c>
      <c r="O1772" t="s">
        <v>21</v>
      </c>
      <c r="P1772" t="s">
        <v>304</v>
      </c>
      <c r="Q1772">
        <v>0</v>
      </c>
      <c r="R1772" t="s">
        <v>237</v>
      </c>
    </row>
    <row r="1773" spans="1:18" x14ac:dyDescent="0.25">
      <c r="A1773" t="s">
        <v>3782</v>
      </c>
      <c r="B1773">
        <v>2357</v>
      </c>
      <c r="C1773" t="s">
        <v>487</v>
      </c>
      <c r="D1773" t="s">
        <v>247</v>
      </c>
      <c r="E1773" t="s">
        <v>381</v>
      </c>
      <c r="F1773" t="s">
        <v>3107</v>
      </c>
      <c r="G1773" s="25">
        <v>44304</v>
      </c>
      <c r="H1773">
        <v>22</v>
      </c>
      <c r="I1773">
        <v>108</v>
      </c>
      <c r="J1773" t="s">
        <v>231</v>
      </c>
      <c r="K1773" t="s">
        <v>509</v>
      </c>
      <c r="L1773" t="s">
        <v>45</v>
      </c>
      <c r="M1773" t="s">
        <v>234</v>
      </c>
      <c r="N1773" t="s">
        <v>44</v>
      </c>
      <c r="O1773" t="s">
        <v>21</v>
      </c>
      <c r="P1773" t="s">
        <v>304</v>
      </c>
      <c r="Q1773">
        <v>31757</v>
      </c>
      <c r="R1773" t="s">
        <v>237</v>
      </c>
    </row>
    <row r="1774" spans="1:18" x14ac:dyDescent="0.25">
      <c r="A1774" t="s">
        <v>3783</v>
      </c>
      <c r="B1774">
        <v>2600</v>
      </c>
      <c r="C1774" t="s">
        <v>487</v>
      </c>
      <c r="D1774" t="s">
        <v>247</v>
      </c>
      <c r="E1774" t="s">
        <v>531</v>
      </c>
      <c r="F1774" t="s">
        <v>3173</v>
      </c>
      <c r="G1774" s="25">
        <v>44315</v>
      </c>
      <c r="H1774">
        <v>24</v>
      </c>
      <c r="I1774">
        <v>119</v>
      </c>
      <c r="J1774" t="s">
        <v>231</v>
      </c>
      <c r="K1774" t="s">
        <v>508</v>
      </c>
      <c r="L1774" t="s">
        <v>47</v>
      </c>
      <c r="M1774" t="s">
        <v>234</v>
      </c>
      <c r="N1774" t="s">
        <v>46</v>
      </c>
      <c r="O1774" t="s">
        <v>21</v>
      </c>
      <c r="P1774" t="s">
        <v>288</v>
      </c>
      <c r="Q1774">
        <v>0</v>
      </c>
      <c r="R1774" t="s">
        <v>237</v>
      </c>
    </row>
    <row r="1775" spans="1:18" x14ac:dyDescent="0.25">
      <c r="A1775" t="s">
        <v>1803</v>
      </c>
      <c r="B1775">
        <v>885</v>
      </c>
      <c r="C1775" t="s">
        <v>487</v>
      </c>
      <c r="D1775" t="s">
        <v>256</v>
      </c>
      <c r="E1775" t="s">
        <v>229</v>
      </c>
      <c r="F1775" t="s">
        <v>1241</v>
      </c>
      <c r="G1775" s="25">
        <v>44237</v>
      </c>
      <c r="H1775">
        <v>9</v>
      </c>
      <c r="I1775">
        <v>41</v>
      </c>
      <c r="J1775" t="s">
        <v>231</v>
      </c>
      <c r="K1775" t="s">
        <v>507</v>
      </c>
      <c r="L1775" t="s">
        <v>49</v>
      </c>
      <c r="M1775" t="s">
        <v>234</v>
      </c>
      <c r="N1775" t="s">
        <v>48</v>
      </c>
      <c r="O1775" t="s">
        <v>21</v>
      </c>
      <c r="P1775" t="s">
        <v>413</v>
      </c>
      <c r="Q1775">
        <v>0</v>
      </c>
      <c r="R1775" t="s">
        <v>237</v>
      </c>
    </row>
    <row r="1776" spans="1:18" x14ac:dyDescent="0.25">
      <c r="A1776" t="s">
        <v>3784</v>
      </c>
      <c r="B1776">
        <v>2623</v>
      </c>
      <c r="C1776" t="s">
        <v>487</v>
      </c>
      <c r="D1776" t="s">
        <v>247</v>
      </c>
      <c r="E1776" t="s">
        <v>408</v>
      </c>
      <c r="F1776" t="s">
        <v>3178</v>
      </c>
      <c r="G1776" s="25">
        <v>44316</v>
      </c>
      <c r="H1776">
        <v>24</v>
      </c>
      <c r="I1776">
        <v>120</v>
      </c>
      <c r="J1776" t="s">
        <v>231</v>
      </c>
      <c r="K1776" t="s">
        <v>507</v>
      </c>
      <c r="L1776" t="s">
        <v>49</v>
      </c>
      <c r="M1776" t="s">
        <v>234</v>
      </c>
      <c r="N1776" t="s">
        <v>48</v>
      </c>
      <c r="O1776" t="s">
        <v>21</v>
      </c>
      <c r="P1776" t="s">
        <v>413</v>
      </c>
      <c r="Q1776">
        <v>0</v>
      </c>
      <c r="R1776" t="s">
        <v>237</v>
      </c>
    </row>
    <row r="1777" spans="1:18" x14ac:dyDescent="0.25">
      <c r="A1777" t="s">
        <v>2036</v>
      </c>
      <c r="B1777">
        <v>512</v>
      </c>
      <c r="C1777" t="s">
        <v>487</v>
      </c>
      <c r="D1777" t="s">
        <v>231</v>
      </c>
      <c r="E1777" t="s">
        <v>261</v>
      </c>
      <c r="F1777" t="s">
        <v>1065</v>
      </c>
      <c r="G1777" s="25">
        <v>44220</v>
      </c>
      <c r="H1777">
        <v>5</v>
      </c>
      <c r="I1777">
        <v>24</v>
      </c>
      <c r="J1777" t="s">
        <v>231</v>
      </c>
      <c r="K1777" t="s">
        <v>506</v>
      </c>
      <c r="L1777" t="s">
        <v>414</v>
      </c>
      <c r="M1777" t="s">
        <v>234</v>
      </c>
      <c r="N1777" t="s">
        <v>50</v>
      </c>
      <c r="O1777" t="s">
        <v>21</v>
      </c>
      <c r="P1777" t="s">
        <v>411</v>
      </c>
      <c r="Q1777">
        <v>0</v>
      </c>
      <c r="R1777" t="s">
        <v>237</v>
      </c>
    </row>
    <row r="1778" spans="1:18" x14ac:dyDescent="0.25">
      <c r="A1778" t="s">
        <v>3785</v>
      </c>
      <c r="B1778">
        <v>2382</v>
      </c>
      <c r="C1778" t="s">
        <v>487</v>
      </c>
      <c r="D1778" t="s">
        <v>247</v>
      </c>
      <c r="E1778" t="s">
        <v>371</v>
      </c>
      <c r="F1778" t="s">
        <v>3112</v>
      </c>
      <c r="G1778" s="25">
        <v>44305</v>
      </c>
      <c r="H1778">
        <v>22</v>
      </c>
      <c r="I1778">
        <v>109</v>
      </c>
      <c r="J1778" t="s">
        <v>231</v>
      </c>
      <c r="K1778" t="s">
        <v>506</v>
      </c>
      <c r="L1778" t="s">
        <v>414</v>
      </c>
      <c r="M1778" t="s">
        <v>234</v>
      </c>
      <c r="N1778" t="s">
        <v>50</v>
      </c>
      <c r="O1778" t="s">
        <v>21</v>
      </c>
      <c r="P1778" t="s">
        <v>411</v>
      </c>
      <c r="Q1778">
        <v>0</v>
      </c>
      <c r="R1778" t="s">
        <v>237</v>
      </c>
    </row>
    <row r="1779" spans="1:18" x14ac:dyDescent="0.25">
      <c r="A1779" t="s">
        <v>3786</v>
      </c>
      <c r="B1779">
        <v>2030</v>
      </c>
      <c r="C1779" t="s">
        <v>487</v>
      </c>
      <c r="D1779" t="s">
        <v>322</v>
      </c>
      <c r="E1779" t="s">
        <v>512</v>
      </c>
      <c r="F1779" t="s">
        <v>2991</v>
      </c>
      <c r="G1779" s="25">
        <v>44289</v>
      </c>
      <c r="H1779">
        <v>19</v>
      </c>
      <c r="I1779">
        <v>93</v>
      </c>
      <c r="J1779" t="s">
        <v>231</v>
      </c>
      <c r="K1779" t="s">
        <v>506</v>
      </c>
      <c r="L1779" t="s">
        <v>414</v>
      </c>
      <c r="M1779" t="s">
        <v>234</v>
      </c>
      <c r="N1779" t="s">
        <v>50</v>
      </c>
      <c r="O1779" t="s">
        <v>21</v>
      </c>
      <c r="P1779" t="s">
        <v>411</v>
      </c>
      <c r="Q1779">
        <v>0</v>
      </c>
      <c r="R1779" t="s">
        <v>237</v>
      </c>
    </row>
    <row r="1780" spans="1:18" x14ac:dyDescent="0.25">
      <c r="A1780" t="s">
        <v>2087</v>
      </c>
      <c r="B1780">
        <v>1656</v>
      </c>
      <c r="C1780" t="s">
        <v>487</v>
      </c>
      <c r="D1780" t="s">
        <v>261</v>
      </c>
      <c r="E1780" t="s">
        <v>620</v>
      </c>
      <c r="F1780" t="s">
        <v>1545</v>
      </c>
      <c r="G1780" s="25">
        <v>44272</v>
      </c>
      <c r="H1780">
        <v>16</v>
      </c>
      <c r="I1780">
        <v>76</v>
      </c>
      <c r="J1780" t="s">
        <v>231</v>
      </c>
      <c r="K1780" t="s">
        <v>506</v>
      </c>
      <c r="L1780" t="s">
        <v>414</v>
      </c>
      <c r="M1780" t="s">
        <v>234</v>
      </c>
      <c r="N1780" t="s">
        <v>50</v>
      </c>
      <c r="O1780" t="s">
        <v>21</v>
      </c>
      <c r="P1780" t="s">
        <v>411</v>
      </c>
      <c r="Q1780">
        <v>0</v>
      </c>
      <c r="R1780" t="s">
        <v>237</v>
      </c>
    </row>
    <row r="1781" spans="1:18" x14ac:dyDescent="0.25">
      <c r="A1781" t="s">
        <v>1981</v>
      </c>
      <c r="B1781">
        <v>1414</v>
      </c>
      <c r="C1781" t="s">
        <v>487</v>
      </c>
      <c r="D1781" t="s">
        <v>261</v>
      </c>
      <c r="E1781" t="s">
        <v>322</v>
      </c>
      <c r="F1781" t="s">
        <v>1417</v>
      </c>
      <c r="G1781" s="25">
        <v>44261</v>
      </c>
      <c r="H1781">
        <v>13</v>
      </c>
      <c r="I1781">
        <v>65</v>
      </c>
      <c r="J1781" t="s">
        <v>231</v>
      </c>
      <c r="K1781" t="s">
        <v>506</v>
      </c>
      <c r="L1781" t="s">
        <v>414</v>
      </c>
      <c r="M1781" t="s">
        <v>234</v>
      </c>
      <c r="N1781" t="s">
        <v>50</v>
      </c>
      <c r="O1781" t="s">
        <v>21</v>
      </c>
      <c r="P1781" t="s">
        <v>411</v>
      </c>
      <c r="Q1781">
        <v>0</v>
      </c>
      <c r="R1781" t="s">
        <v>237</v>
      </c>
    </row>
    <row r="1782" spans="1:18" x14ac:dyDescent="0.25">
      <c r="A1782" t="s">
        <v>2868</v>
      </c>
      <c r="B1782">
        <v>1128</v>
      </c>
      <c r="C1782" t="s">
        <v>487</v>
      </c>
      <c r="D1782" t="s">
        <v>256</v>
      </c>
      <c r="E1782" t="s">
        <v>232</v>
      </c>
      <c r="F1782" t="s">
        <v>1337</v>
      </c>
      <c r="G1782" s="25">
        <v>44248</v>
      </c>
      <c r="H1782">
        <v>11</v>
      </c>
      <c r="I1782">
        <v>52</v>
      </c>
      <c r="J1782" t="s">
        <v>231</v>
      </c>
      <c r="K1782" t="s">
        <v>506</v>
      </c>
      <c r="L1782" t="s">
        <v>414</v>
      </c>
      <c r="M1782" t="s">
        <v>234</v>
      </c>
      <c r="N1782" t="s">
        <v>50</v>
      </c>
      <c r="O1782" t="s">
        <v>21</v>
      </c>
      <c r="P1782" t="s">
        <v>411</v>
      </c>
      <c r="Q1782">
        <v>0</v>
      </c>
      <c r="R1782" t="s">
        <v>237</v>
      </c>
    </row>
    <row r="1783" spans="1:18" x14ac:dyDescent="0.25">
      <c r="A1783" t="s">
        <v>2544</v>
      </c>
      <c r="B1783">
        <v>820</v>
      </c>
      <c r="C1783" t="s">
        <v>487</v>
      </c>
      <c r="D1783" t="s">
        <v>231</v>
      </c>
      <c r="E1783" t="s">
        <v>552</v>
      </c>
      <c r="F1783" t="s">
        <v>1222</v>
      </c>
      <c r="G1783" s="25">
        <v>44234</v>
      </c>
      <c r="H1783">
        <v>8</v>
      </c>
      <c r="I1783">
        <v>38</v>
      </c>
      <c r="J1783" t="s">
        <v>231</v>
      </c>
      <c r="K1783" t="s">
        <v>506</v>
      </c>
      <c r="L1783" t="s">
        <v>414</v>
      </c>
      <c r="M1783" t="s">
        <v>234</v>
      </c>
      <c r="N1783" t="s">
        <v>50</v>
      </c>
      <c r="O1783" t="s">
        <v>21</v>
      </c>
      <c r="P1783" t="s">
        <v>411</v>
      </c>
      <c r="Q1783">
        <v>0</v>
      </c>
      <c r="R1783" t="s">
        <v>237</v>
      </c>
    </row>
    <row r="1784" spans="1:18" x14ac:dyDescent="0.25">
      <c r="A1784" t="s">
        <v>629</v>
      </c>
      <c r="B1784">
        <v>155</v>
      </c>
      <c r="C1784" t="s">
        <v>487</v>
      </c>
      <c r="D1784" t="s">
        <v>229</v>
      </c>
      <c r="E1784" t="s">
        <v>381</v>
      </c>
      <c r="F1784" t="s">
        <v>518</v>
      </c>
      <c r="G1784" s="25">
        <v>44204</v>
      </c>
      <c r="H1784">
        <v>2</v>
      </c>
      <c r="I1784">
        <v>8</v>
      </c>
      <c r="J1784" t="s">
        <v>231</v>
      </c>
      <c r="K1784" t="s">
        <v>505</v>
      </c>
      <c r="L1784" t="s">
        <v>41</v>
      </c>
      <c r="M1784" t="s">
        <v>234</v>
      </c>
      <c r="N1784" t="s">
        <v>40</v>
      </c>
      <c r="O1784" t="s">
        <v>21</v>
      </c>
      <c r="P1784" t="s">
        <v>266</v>
      </c>
      <c r="Q1784">
        <v>0</v>
      </c>
      <c r="R1784" t="s">
        <v>237</v>
      </c>
    </row>
    <row r="1785" spans="1:18" x14ac:dyDescent="0.25">
      <c r="A1785" t="s">
        <v>3787</v>
      </c>
      <c r="B1785">
        <v>1981</v>
      </c>
      <c r="C1785" t="s">
        <v>487</v>
      </c>
      <c r="D1785" t="s">
        <v>322</v>
      </c>
      <c r="E1785" t="s">
        <v>515</v>
      </c>
      <c r="F1785" t="s">
        <v>2983</v>
      </c>
      <c r="G1785" s="25">
        <v>44287</v>
      </c>
      <c r="H1785">
        <v>19</v>
      </c>
      <c r="I1785">
        <v>91</v>
      </c>
      <c r="J1785" t="s">
        <v>231</v>
      </c>
      <c r="K1785" t="s">
        <v>505</v>
      </c>
      <c r="L1785" t="s">
        <v>41</v>
      </c>
      <c r="M1785" t="s">
        <v>234</v>
      </c>
      <c r="N1785" t="s">
        <v>40</v>
      </c>
      <c r="O1785" t="s">
        <v>21</v>
      </c>
      <c r="P1785" t="s">
        <v>266</v>
      </c>
      <c r="Q1785">
        <v>0</v>
      </c>
      <c r="R1785" t="s">
        <v>237</v>
      </c>
    </row>
    <row r="1786" spans="1:18" x14ac:dyDescent="0.25">
      <c r="A1786" t="s">
        <v>1924</v>
      </c>
      <c r="B1786">
        <v>771</v>
      </c>
      <c r="C1786" t="s">
        <v>487</v>
      </c>
      <c r="D1786" t="s">
        <v>231</v>
      </c>
      <c r="E1786" t="s">
        <v>620</v>
      </c>
      <c r="F1786" t="s">
        <v>1215</v>
      </c>
      <c r="G1786" s="25">
        <v>44232</v>
      </c>
      <c r="H1786">
        <v>8</v>
      </c>
      <c r="I1786">
        <v>36</v>
      </c>
      <c r="J1786" t="s">
        <v>231</v>
      </c>
      <c r="K1786" t="s">
        <v>505</v>
      </c>
      <c r="L1786" t="s">
        <v>41</v>
      </c>
      <c r="M1786" t="s">
        <v>234</v>
      </c>
      <c r="N1786" t="s">
        <v>40</v>
      </c>
      <c r="O1786" t="s">
        <v>21</v>
      </c>
      <c r="P1786" t="s">
        <v>266</v>
      </c>
      <c r="Q1786">
        <v>0</v>
      </c>
      <c r="R1786" t="s">
        <v>237</v>
      </c>
    </row>
    <row r="1787" spans="1:18" x14ac:dyDescent="0.25">
      <c r="A1787" t="s">
        <v>1552</v>
      </c>
      <c r="B1787">
        <v>463</v>
      </c>
      <c r="C1787" t="s">
        <v>487</v>
      </c>
      <c r="D1787" t="s">
        <v>231</v>
      </c>
      <c r="E1787" t="s">
        <v>231</v>
      </c>
      <c r="F1787" t="s">
        <v>1080</v>
      </c>
      <c r="G1787" s="25">
        <v>44218</v>
      </c>
      <c r="H1787">
        <v>5</v>
      </c>
      <c r="I1787">
        <v>22</v>
      </c>
      <c r="J1787" t="s">
        <v>231</v>
      </c>
      <c r="K1787" t="s">
        <v>505</v>
      </c>
      <c r="L1787" t="s">
        <v>41</v>
      </c>
      <c r="M1787" t="s">
        <v>234</v>
      </c>
      <c r="N1787" t="s">
        <v>40</v>
      </c>
      <c r="O1787" t="s">
        <v>21</v>
      </c>
      <c r="P1787" t="s">
        <v>266</v>
      </c>
      <c r="Q1787">
        <v>0</v>
      </c>
      <c r="R1787" t="s">
        <v>237</v>
      </c>
    </row>
    <row r="1788" spans="1:18" x14ac:dyDescent="0.25">
      <c r="A1788" t="s">
        <v>3788</v>
      </c>
      <c r="B1788">
        <v>2070</v>
      </c>
      <c r="C1788" t="s">
        <v>487</v>
      </c>
      <c r="D1788" t="s">
        <v>322</v>
      </c>
      <c r="E1788" t="s">
        <v>575</v>
      </c>
      <c r="F1788" t="s">
        <v>3014</v>
      </c>
      <c r="G1788" s="25">
        <v>44291</v>
      </c>
      <c r="H1788">
        <v>19</v>
      </c>
      <c r="I1788">
        <v>95</v>
      </c>
      <c r="J1788" t="s">
        <v>231</v>
      </c>
      <c r="K1788" t="s">
        <v>504</v>
      </c>
      <c r="L1788" t="s">
        <v>43</v>
      </c>
      <c r="M1788" t="s">
        <v>234</v>
      </c>
      <c r="N1788" t="s">
        <v>42</v>
      </c>
      <c r="O1788" t="s">
        <v>21</v>
      </c>
      <c r="P1788" t="s">
        <v>236</v>
      </c>
      <c r="Q1788">
        <v>26842</v>
      </c>
      <c r="R1788" t="s">
        <v>237</v>
      </c>
    </row>
    <row r="1789" spans="1:18" x14ac:dyDescent="0.25">
      <c r="A1789" t="s">
        <v>1925</v>
      </c>
      <c r="B1789">
        <v>1696</v>
      </c>
      <c r="C1789" t="s">
        <v>487</v>
      </c>
      <c r="D1789" t="s">
        <v>261</v>
      </c>
      <c r="E1789" t="s">
        <v>552</v>
      </c>
      <c r="F1789" t="s">
        <v>1585</v>
      </c>
      <c r="G1789" s="25">
        <v>44274</v>
      </c>
      <c r="H1789">
        <v>16</v>
      </c>
      <c r="I1789">
        <v>78</v>
      </c>
      <c r="J1789" t="s">
        <v>231</v>
      </c>
      <c r="K1789" t="s">
        <v>504</v>
      </c>
      <c r="L1789" t="s">
        <v>43</v>
      </c>
      <c r="M1789" t="s">
        <v>234</v>
      </c>
      <c r="N1789" t="s">
        <v>42</v>
      </c>
      <c r="O1789" t="s">
        <v>21</v>
      </c>
      <c r="P1789" t="s">
        <v>236</v>
      </c>
      <c r="Q1789">
        <v>842</v>
      </c>
      <c r="R1789" t="s">
        <v>237</v>
      </c>
    </row>
    <row r="1790" spans="1:18" x14ac:dyDescent="0.25">
      <c r="A1790" t="s">
        <v>3789</v>
      </c>
      <c r="B1790">
        <v>2033</v>
      </c>
      <c r="C1790" t="s">
        <v>487</v>
      </c>
      <c r="D1790" t="s">
        <v>322</v>
      </c>
      <c r="E1790" t="s">
        <v>512</v>
      </c>
      <c r="F1790" t="s">
        <v>2991</v>
      </c>
      <c r="G1790" s="25">
        <v>44289</v>
      </c>
      <c r="H1790">
        <v>19</v>
      </c>
      <c r="I1790">
        <v>93</v>
      </c>
      <c r="J1790" t="s">
        <v>231</v>
      </c>
      <c r="K1790" t="s">
        <v>503</v>
      </c>
      <c r="L1790" t="s">
        <v>303</v>
      </c>
      <c r="M1790" t="s">
        <v>234</v>
      </c>
      <c r="N1790" t="s">
        <v>56</v>
      </c>
      <c r="O1790" t="s">
        <v>235</v>
      </c>
      <c r="P1790" t="s">
        <v>304</v>
      </c>
      <c r="Q1790">
        <v>0</v>
      </c>
      <c r="R1790" t="s">
        <v>237</v>
      </c>
    </row>
    <row r="1791" spans="1:18" x14ac:dyDescent="0.25">
      <c r="A1791" t="s">
        <v>1732</v>
      </c>
      <c r="B1791">
        <v>1659</v>
      </c>
      <c r="C1791" t="s">
        <v>487</v>
      </c>
      <c r="D1791" t="s">
        <v>261</v>
      </c>
      <c r="E1791" t="s">
        <v>620</v>
      </c>
      <c r="F1791" t="s">
        <v>1545</v>
      </c>
      <c r="G1791" s="25">
        <v>44272</v>
      </c>
      <c r="H1791">
        <v>16</v>
      </c>
      <c r="I1791">
        <v>76</v>
      </c>
      <c r="J1791" t="s">
        <v>231</v>
      </c>
      <c r="K1791" t="s">
        <v>503</v>
      </c>
      <c r="L1791" t="s">
        <v>303</v>
      </c>
      <c r="M1791" t="s">
        <v>234</v>
      </c>
      <c r="N1791" t="s">
        <v>56</v>
      </c>
      <c r="O1791" t="s">
        <v>235</v>
      </c>
      <c r="P1791" t="s">
        <v>304</v>
      </c>
      <c r="Q1791">
        <v>0</v>
      </c>
      <c r="R1791" t="s">
        <v>237</v>
      </c>
    </row>
    <row r="1792" spans="1:18" x14ac:dyDescent="0.25">
      <c r="A1792" t="s">
        <v>2877</v>
      </c>
      <c r="B1792">
        <v>1417</v>
      </c>
      <c r="C1792" t="s">
        <v>487</v>
      </c>
      <c r="D1792" t="s">
        <v>261</v>
      </c>
      <c r="E1792" t="s">
        <v>322</v>
      </c>
      <c r="F1792" t="s">
        <v>1417</v>
      </c>
      <c r="G1792" s="25">
        <v>44261</v>
      </c>
      <c r="H1792">
        <v>13</v>
      </c>
      <c r="I1792">
        <v>65</v>
      </c>
      <c r="J1792" t="s">
        <v>231</v>
      </c>
      <c r="K1792" t="s">
        <v>503</v>
      </c>
      <c r="L1792" t="s">
        <v>303</v>
      </c>
      <c r="M1792" t="s">
        <v>234</v>
      </c>
      <c r="N1792" t="s">
        <v>56</v>
      </c>
      <c r="O1792" t="s">
        <v>235</v>
      </c>
      <c r="P1792" t="s">
        <v>304</v>
      </c>
      <c r="Q1792">
        <v>0</v>
      </c>
      <c r="R1792" t="s">
        <v>237</v>
      </c>
    </row>
    <row r="1793" spans="1:18" x14ac:dyDescent="0.25">
      <c r="A1793" t="s">
        <v>2831</v>
      </c>
      <c r="B1793">
        <v>823</v>
      </c>
      <c r="C1793" t="s">
        <v>487</v>
      </c>
      <c r="D1793" t="s">
        <v>231</v>
      </c>
      <c r="E1793" t="s">
        <v>552</v>
      </c>
      <c r="F1793" t="s">
        <v>1222</v>
      </c>
      <c r="G1793" s="25">
        <v>44234</v>
      </c>
      <c r="H1793">
        <v>8</v>
      </c>
      <c r="I1793">
        <v>38</v>
      </c>
      <c r="J1793" t="s">
        <v>231</v>
      </c>
      <c r="K1793" t="s">
        <v>503</v>
      </c>
      <c r="L1793" t="s">
        <v>303</v>
      </c>
      <c r="M1793" t="s">
        <v>234</v>
      </c>
      <c r="N1793" t="s">
        <v>56</v>
      </c>
      <c r="O1793" t="s">
        <v>235</v>
      </c>
      <c r="P1793" t="s">
        <v>304</v>
      </c>
      <c r="Q1793">
        <v>0</v>
      </c>
      <c r="R1793" t="s">
        <v>237</v>
      </c>
    </row>
    <row r="1794" spans="1:18" x14ac:dyDescent="0.25">
      <c r="A1794" t="s">
        <v>2345</v>
      </c>
      <c r="B1794">
        <v>515</v>
      </c>
      <c r="C1794" t="s">
        <v>487</v>
      </c>
      <c r="D1794" t="s">
        <v>231</v>
      </c>
      <c r="E1794" t="s">
        <v>261</v>
      </c>
      <c r="F1794" t="s">
        <v>1065</v>
      </c>
      <c r="G1794" s="25">
        <v>44220</v>
      </c>
      <c r="H1794">
        <v>5</v>
      </c>
      <c r="I1794">
        <v>24</v>
      </c>
      <c r="J1794" t="s">
        <v>231</v>
      </c>
      <c r="K1794" t="s">
        <v>503</v>
      </c>
      <c r="L1794" t="s">
        <v>303</v>
      </c>
      <c r="M1794" t="s">
        <v>234</v>
      </c>
      <c r="N1794" t="s">
        <v>56</v>
      </c>
      <c r="O1794" t="s">
        <v>235</v>
      </c>
      <c r="P1794" t="s">
        <v>304</v>
      </c>
      <c r="Q1794">
        <v>0</v>
      </c>
      <c r="R1794" t="s">
        <v>237</v>
      </c>
    </row>
    <row r="1795" spans="1:18" x14ac:dyDescent="0.25">
      <c r="A1795" t="s">
        <v>3790</v>
      </c>
      <c r="B1795">
        <v>2385</v>
      </c>
      <c r="C1795" t="s">
        <v>487</v>
      </c>
      <c r="D1795" t="s">
        <v>247</v>
      </c>
      <c r="E1795" t="s">
        <v>371</v>
      </c>
      <c r="F1795" t="s">
        <v>3112</v>
      </c>
      <c r="G1795" s="25">
        <v>44305</v>
      </c>
      <c r="H1795">
        <v>22</v>
      </c>
      <c r="I1795">
        <v>109</v>
      </c>
      <c r="J1795" t="s">
        <v>231</v>
      </c>
      <c r="K1795" t="s">
        <v>503</v>
      </c>
      <c r="L1795" t="s">
        <v>303</v>
      </c>
      <c r="M1795" t="s">
        <v>234</v>
      </c>
      <c r="N1795" t="s">
        <v>56</v>
      </c>
      <c r="O1795" t="s">
        <v>235</v>
      </c>
      <c r="P1795" t="s">
        <v>304</v>
      </c>
      <c r="Q1795">
        <v>0</v>
      </c>
      <c r="R1795" t="s">
        <v>237</v>
      </c>
    </row>
    <row r="1796" spans="1:18" x14ac:dyDescent="0.25">
      <c r="A1796" t="s">
        <v>2106</v>
      </c>
      <c r="B1796">
        <v>1528</v>
      </c>
      <c r="C1796" t="s">
        <v>487</v>
      </c>
      <c r="D1796" t="s">
        <v>261</v>
      </c>
      <c r="E1796" t="s">
        <v>239</v>
      </c>
      <c r="F1796" t="s">
        <v>1703</v>
      </c>
      <c r="G1796" s="25">
        <v>44266</v>
      </c>
      <c r="H1796">
        <v>14</v>
      </c>
      <c r="I1796">
        <v>70</v>
      </c>
      <c r="J1796" t="s">
        <v>231</v>
      </c>
      <c r="K1796" t="s">
        <v>502</v>
      </c>
      <c r="L1796" t="s">
        <v>287</v>
      </c>
      <c r="M1796" t="s">
        <v>234</v>
      </c>
      <c r="N1796" t="s">
        <v>58</v>
      </c>
      <c r="O1796" t="s">
        <v>235</v>
      </c>
      <c r="P1796" t="s">
        <v>288</v>
      </c>
      <c r="Q1796">
        <v>0</v>
      </c>
      <c r="R1796" t="s">
        <v>237</v>
      </c>
    </row>
    <row r="1797" spans="1:18" x14ac:dyDescent="0.25">
      <c r="A1797" t="s">
        <v>2553</v>
      </c>
      <c r="B1797">
        <v>1286</v>
      </c>
      <c r="C1797" t="s">
        <v>487</v>
      </c>
      <c r="D1797" t="s">
        <v>256</v>
      </c>
      <c r="E1797" t="s">
        <v>531</v>
      </c>
      <c r="F1797" t="s">
        <v>1373</v>
      </c>
      <c r="G1797" s="25">
        <v>44255</v>
      </c>
      <c r="H1797">
        <v>12</v>
      </c>
      <c r="I1797">
        <v>59</v>
      </c>
      <c r="J1797" t="s">
        <v>231</v>
      </c>
      <c r="K1797" t="s">
        <v>502</v>
      </c>
      <c r="L1797" t="s">
        <v>287</v>
      </c>
      <c r="M1797" t="s">
        <v>234</v>
      </c>
      <c r="N1797" t="s">
        <v>58</v>
      </c>
      <c r="O1797" t="s">
        <v>235</v>
      </c>
      <c r="P1797" t="s">
        <v>288</v>
      </c>
      <c r="Q1797">
        <v>0</v>
      </c>
      <c r="R1797" t="s">
        <v>237</v>
      </c>
    </row>
    <row r="1798" spans="1:18" x14ac:dyDescent="0.25">
      <c r="A1798" t="s">
        <v>2170</v>
      </c>
      <c r="B1798">
        <v>1022</v>
      </c>
      <c r="C1798" t="s">
        <v>487</v>
      </c>
      <c r="D1798" t="s">
        <v>256</v>
      </c>
      <c r="E1798" t="s">
        <v>326</v>
      </c>
      <c r="F1798" t="s">
        <v>1305</v>
      </c>
      <c r="G1798" s="25">
        <v>44243</v>
      </c>
      <c r="H1798">
        <v>10</v>
      </c>
      <c r="I1798">
        <v>47</v>
      </c>
      <c r="J1798" t="s">
        <v>231</v>
      </c>
      <c r="K1798" t="s">
        <v>502</v>
      </c>
      <c r="L1798" t="s">
        <v>287</v>
      </c>
      <c r="M1798" t="s">
        <v>234</v>
      </c>
      <c r="N1798" t="s">
        <v>58</v>
      </c>
      <c r="O1798" t="s">
        <v>235</v>
      </c>
      <c r="P1798" t="s">
        <v>288</v>
      </c>
      <c r="Q1798">
        <v>1750</v>
      </c>
      <c r="R1798" t="s">
        <v>237</v>
      </c>
    </row>
    <row r="1799" spans="1:18" x14ac:dyDescent="0.25">
      <c r="A1799" t="s">
        <v>639</v>
      </c>
      <c r="B1799">
        <v>318</v>
      </c>
      <c r="C1799" t="s">
        <v>487</v>
      </c>
      <c r="D1799" t="s">
        <v>229</v>
      </c>
      <c r="E1799" t="s">
        <v>575</v>
      </c>
      <c r="F1799" t="s">
        <v>576</v>
      </c>
      <c r="G1799" s="25">
        <v>44211</v>
      </c>
      <c r="H1799">
        <v>3</v>
      </c>
      <c r="I1799">
        <v>15</v>
      </c>
      <c r="J1799" t="s">
        <v>231</v>
      </c>
      <c r="K1799" t="s">
        <v>502</v>
      </c>
      <c r="L1799" t="s">
        <v>287</v>
      </c>
      <c r="M1799" t="s">
        <v>234</v>
      </c>
      <c r="N1799" t="s">
        <v>58</v>
      </c>
      <c r="O1799" t="s">
        <v>235</v>
      </c>
      <c r="P1799" t="s">
        <v>288</v>
      </c>
      <c r="Q1799">
        <v>0</v>
      </c>
      <c r="R1799" t="s">
        <v>237</v>
      </c>
    </row>
    <row r="1800" spans="1:18" x14ac:dyDescent="0.25">
      <c r="A1800" t="s">
        <v>3791</v>
      </c>
      <c r="B1800">
        <v>2650</v>
      </c>
      <c r="C1800" t="s">
        <v>487</v>
      </c>
      <c r="D1800" t="s">
        <v>326</v>
      </c>
      <c r="E1800" t="s">
        <v>229</v>
      </c>
      <c r="F1800" t="s">
        <v>3241</v>
      </c>
      <c r="G1800" s="25">
        <v>44317</v>
      </c>
      <c r="H1800">
        <v>25</v>
      </c>
      <c r="I1800">
        <v>121</v>
      </c>
      <c r="J1800" t="s">
        <v>231</v>
      </c>
      <c r="K1800" t="s">
        <v>502</v>
      </c>
      <c r="L1800" t="s">
        <v>287</v>
      </c>
      <c r="M1800" t="s">
        <v>234</v>
      </c>
      <c r="N1800" t="s">
        <v>58</v>
      </c>
      <c r="O1800" t="s">
        <v>235</v>
      </c>
      <c r="P1800" t="s">
        <v>288</v>
      </c>
      <c r="Q1800">
        <v>0</v>
      </c>
      <c r="R1800" t="s">
        <v>237</v>
      </c>
    </row>
    <row r="1801" spans="1:18" x14ac:dyDescent="0.25">
      <c r="A1801" t="s">
        <v>3792</v>
      </c>
      <c r="B1801">
        <v>2496</v>
      </c>
      <c r="C1801" t="s">
        <v>487</v>
      </c>
      <c r="D1801" t="s">
        <v>247</v>
      </c>
      <c r="E1801" t="s">
        <v>537</v>
      </c>
      <c r="F1801" t="s">
        <v>3153</v>
      </c>
      <c r="G1801" s="25">
        <v>44310</v>
      </c>
      <c r="H1801">
        <v>23</v>
      </c>
      <c r="I1801">
        <v>114</v>
      </c>
      <c r="J1801" t="s">
        <v>231</v>
      </c>
      <c r="K1801" t="s">
        <v>502</v>
      </c>
      <c r="L1801" t="s">
        <v>287</v>
      </c>
      <c r="M1801" t="s">
        <v>234</v>
      </c>
      <c r="N1801" t="s">
        <v>58</v>
      </c>
      <c r="O1801" t="s">
        <v>235</v>
      </c>
      <c r="P1801" t="s">
        <v>288</v>
      </c>
      <c r="Q1801">
        <v>0</v>
      </c>
      <c r="R1801" t="s">
        <v>237</v>
      </c>
    </row>
    <row r="1802" spans="1:18" x14ac:dyDescent="0.25">
      <c r="A1802" t="s">
        <v>750</v>
      </c>
      <c r="B1802">
        <v>429</v>
      </c>
      <c r="C1802" t="s">
        <v>487</v>
      </c>
      <c r="D1802" t="s">
        <v>229</v>
      </c>
      <c r="E1802" t="s">
        <v>408</v>
      </c>
      <c r="F1802" t="s">
        <v>527</v>
      </c>
      <c r="G1802" s="25">
        <v>44216</v>
      </c>
      <c r="H1802">
        <v>4</v>
      </c>
      <c r="I1802">
        <v>20</v>
      </c>
      <c r="J1802" t="s">
        <v>231</v>
      </c>
      <c r="K1802" t="s">
        <v>501</v>
      </c>
      <c r="L1802" t="s">
        <v>412</v>
      </c>
      <c r="M1802" t="s">
        <v>234</v>
      </c>
      <c r="N1802" t="s">
        <v>60</v>
      </c>
      <c r="O1802" t="s">
        <v>235</v>
      </c>
      <c r="P1802" t="s">
        <v>413</v>
      </c>
      <c r="Q1802">
        <v>0</v>
      </c>
      <c r="R1802" t="s">
        <v>237</v>
      </c>
    </row>
    <row r="1803" spans="1:18" x14ac:dyDescent="0.25">
      <c r="A1803" t="s">
        <v>2518</v>
      </c>
      <c r="B1803">
        <v>513</v>
      </c>
      <c r="C1803" t="s">
        <v>487</v>
      </c>
      <c r="D1803" t="s">
        <v>231</v>
      </c>
      <c r="E1803" t="s">
        <v>261</v>
      </c>
      <c r="F1803" t="s">
        <v>1065</v>
      </c>
      <c r="G1803" s="25">
        <v>44220</v>
      </c>
      <c r="H1803">
        <v>5</v>
      </c>
      <c r="I1803">
        <v>24</v>
      </c>
      <c r="J1803" t="s">
        <v>231</v>
      </c>
      <c r="K1803" t="s">
        <v>500</v>
      </c>
      <c r="L1803" t="s">
        <v>265</v>
      </c>
      <c r="M1803" t="s">
        <v>234</v>
      </c>
      <c r="N1803" t="s">
        <v>52</v>
      </c>
      <c r="O1803" t="s">
        <v>235</v>
      </c>
      <c r="P1803" t="s">
        <v>266</v>
      </c>
      <c r="Q1803">
        <v>0</v>
      </c>
      <c r="R1803" t="s">
        <v>237</v>
      </c>
    </row>
    <row r="1804" spans="1:18" x14ac:dyDescent="0.25">
      <c r="A1804" t="s">
        <v>3793</v>
      </c>
      <c r="B1804">
        <v>2383</v>
      </c>
      <c r="C1804" t="s">
        <v>487</v>
      </c>
      <c r="D1804" t="s">
        <v>247</v>
      </c>
      <c r="E1804" t="s">
        <v>371</v>
      </c>
      <c r="F1804" t="s">
        <v>3112</v>
      </c>
      <c r="G1804" s="25">
        <v>44305</v>
      </c>
      <c r="H1804">
        <v>22</v>
      </c>
      <c r="I1804">
        <v>109</v>
      </c>
      <c r="J1804" t="s">
        <v>231</v>
      </c>
      <c r="K1804" t="s">
        <v>500</v>
      </c>
      <c r="L1804" t="s">
        <v>265</v>
      </c>
      <c r="M1804" t="s">
        <v>234</v>
      </c>
      <c r="N1804" t="s">
        <v>52</v>
      </c>
      <c r="O1804" t="s">
        <v>235</v>
      </c>
      <c r="P1804" t="s">
        <v>266</v>
      </c>
      <c r="Q1804">
        <v>0</v>
      </c>
      <c r="R1804" t="s">
        <v>237</v>
      </c>
    </row>
    <row r="1805" spans="1:18" x14ac:dyDescent="0.25">
      <c r="A1805" t="s">
        <v>3794</v>
      </c>
      <c r="B1805">
        <v>2031</v>
      </c>
      <c r="C1805" t="s">
        <v>487</v>
      </c>
      <c r="D1805" t="s">
        <v>322</v>
      </c>
      <c r="E1805" t="s">
        <v>512</v>
      </c>
      <c r="F1805" t="s">
        <v>2991</v>
      </c>
      <c r="G1805" s="25">
        <v>44289</v>
      </c>
      <c r="H1805">
        <v>19</v>
      </c>
      <c r="I1805">
        <v>93</v>
      </c>
      <c r="J1805" t="s">
        <v>231</v>
      </c>
      <c r="K1805" t="s">
        <v>500</v>
      </c>
      <c r="L1805" t="s">
        <v>265</v>
      </c>
      <c r="M1805" t="s">
        <v>234</v>
      </c>
      <c r="N1805" t="s">
        <v>52</v>
      </c>
      <c r="O1805" t="s">
        <v>235</v>
      </c>
      <c r="P1805" t="s">
        <v>266</v>
      </c>
      <c r="Q1805">
        <v>0</v>
      </c>
      <c r="R1805" t="s">
        <v>237</v>
      </c>
    </row>
    <row r="1806" spans="1:18" x14ac:dyDescent="0.25">
      <c r="A1806" t="s">
        <v>2176</v>
      </c>
      <c r="B1806">
        <v>1657</v>
      </c>
      <c r="C1806" t="s">
        <v>487</v>
      </c>
      <c r="D1806" t="s">
        <v>261</v>
      </c>
      <c r="E1806" t="s">
        <v>620</v>
      </c>
      <c r="F1806" t="s">
        <v>1545</v>
      </c>
      <c r="G1806" s="25">
        <v>44272</v>
      </c>
      <c r="H1806">
        <v>16</v>
      </c>
      <c r="I1806">
        <v>76</v>
      </c>
      <c r="J1806" t="s">
        <v>231</v>
      </c>
      <c r="K1806" t="s">
        <v>500</v>
      </c>
      <c r="L1806" t="s">
        <v>265</v>
      </c>
      <c r="M1806" t="s">
        <v>234</v>
      </c>
      <c r="N1806" t="s">
        <v>52</v>
      </c>
      <c r="O1806" t="s">
        <v>235</v>
      </c>
      <c r="P1806" t="s">
        <v>266</v>
      </c>
      <c r="Q1806">
        <v>24000</v>
      </c>
      <c r="R1806" t="s">
        <v>237</v>
      </c>
    </row>
    <row r="1807" spans="1:18" x14ac:dyDescent="0.25">
      <c r="A1807" t="s">
        <v>1780</v>
      </c>
      <c r="B1807">
        <v>1415</v>
      </c>
      <c r="C1807" t="s">
        <v>487</v>
      </c>
      <c r="D1807" t="s">
        <v>261</v>
      </c>
      <c r="E1807" t="s">
        <v>322</v>
      </c>
      <c r="F1807" t="s">
        <v>1417</v>
      </c>
      <c r="G1807" s="25">
        <v>44261</v>
      </c>
      <c r="H1807">
        <v>13</v>
      </c>
      <c r="I1807">
        <v>65</v>
      </c>
      <c r="J1807" t="s">
        <v>231</v>
      </c>
      <c r="K1807" t="s">
        <v>500</v>
      </c>
      <c r="L1807" t="s">
        <v>265</v>
      </c>
      <c r="M1807" t="s">
        <v>234</v>
      </c>
      <c r="N1807" t="s">
        <v>52</v>
      </c>
      <c r="O1807" t="s">
        <v>235</v>
      </c>
      <c r="P1807" t="s">
        <v>266</v>
      </c>
      <c r="Q1807">
        <v>0</v>
      </c>
      <c r="R1807" t="s">
        <v>237</v>
      </c>
    </row>
    <row r="1808" spans="1:18" x14ac:dyDescent="0.25">
      <c r="A1808" t="s">
        <v>2048</v>
      </c>
      <c r="B1808">
        <v>1129</v>
      </c>
      <c r="C1808" t="s">
        <v>487</v>
      </c>
      <c r="D1808" t="s">
        <v>256</v>
      </c>
      <c r="E1808" t="s">
        <v>232</v>
      </c>
      <c r="F1808" t="s">
        <v>1337</v>
      </c>
      <c r="G1808" s="25">
        <v>44248</v>
      </c>
      <c r="H1808">
        <v>11</v>
      </c>
      <c r="I1808">
        <v>52</v>
      </c>
      <c r="J1808" t="s">
        <v>231</v>
      </c>
      <c r="K1808" t="s">
        <v>500</v>
      </c>
      <c r="L1808" t="s">
        <v>265</v>
      </c>
      <c r="M1808" t="s">
        <v>234</v>
      </c>
      <c r="N1808" t="s">
        <v>52</v>
      </c>
      <c r="O1808" t="s">
        <v>235</v>
      </c>
      <c r="P1808" t="s">
        <v>266</v>
      </c>
      <c r="Q1808">
        <v>0</v>
      </c>
      <c r="R1808" t="s">
        <v>237</v>
      </c>
    </row>
    <row r="1809" spans="1:18" x14ac:dyDescent="0.25">
      <c r="A1809" t="s">
        <v>1737</v>
      </c>
      <c r="B1809">
        <v>821</v>
      </c>
      <c r="C1809" t="s">
        <v>487</v>
      </c>
      <c r="D1809" t="s">
        <v>231</v>
      </c>
      <c r="E1809" t="s">
        <v>552</v>
      </c>
      <c r="F1809" t="s">
        <v>1222</v>
      </c>
      <c r="G1809" s="25">
        <v>44234</v>
      </c>
      <c r="H1809">
        <v>8</v>
      </c>
      <c r="I1809">
        <v>38</v>
      </c>
      <c r="J1809" t="s">
        <v>231</v>
      </c>
      <c r="K1809" t="s">
        <v>500</v>
      </c>
      <c r="L1809" t="s">
        <v>265</v>
      </c>
      <c r="M1809" t="s">
        <v>234</v>
      </c>
      <c r="N1809" t="s">
        <v>52</v>
      </c>
      <c r="O1809" t="s">
        <v>235</v>
      </c>
      <c r="P1809" t="s">
        <v>266</v>
      </c>
      <c r="Q1809">
        <v>0</v>
      </c>
      <c r="R1809" t="s">
        <v>237</v>
      </c>
    </row>
    <row r="1810" spans="1:18" x14ac:dyDescent="0.25">
      <c r="A1810" t="s">
        <v>3795</v>
      </c>
      <c r="B1810">
        <v>2608</v>
      </c>
      <c r="C1810" t="s">
        <v>487</v>
      </c>
      <c r="D1810" t="s">
        <v>247</v>
      </c>
      <c r="E1810" t="s">
        <v>531</v>
      </c>
      <c r="F1810" t="s">
        <v>3173</v>
      </c>
      <c r="G1810" s="25">
        <v>44315</v>
      </c>
      <c r="H1810">
        <v>24</v>
      </c>
      <c r="I1810">
        <v>119</v>
      </c>
      <c r="J1810" t="s">
        <v>231</v>
      </c>
      <c r="K1810" t="s">
        <v>499</v>
      </c>
      <c r="L1810" t="s">
        <v>410</v>
      </c>
      <c r="M1810" t="s">
        <v>234</v>
      </c>
      <c r="N1810" t="s">
        <v>62</v>
      </c>
      <c r="O1810" t="s">
        <v>235</v>
      </c>
      <c r="P1810" t="s">
        <v>411</v>
      </c>
      <c r="Q1810">
        <v>0</v>
      </c>
      <c r="R1810" t="s">
        <v>237</v>
      </c>
    </row>
    <row r="1811" spans="1:18" x14ac:dyDescent="0.25">
      <c r="A1811" t="s">
        <v>2458</v>
      </c>
      <c r="B1811">
        <v>1640</v>
      </c>
      <c r="C1811" t="s">
        <v>487</v>
      </c>
      <c r="D1811" t="s">
        <v>261</v>
      </c>
      <c r="E1811" t="s">
        <v>575</v>
      </c>
      <c r="F1811" t="s">
        <v>1537</v>
      </c>
      <c r="G1811" s="25">
        <v>44271</v>
      </c>
      <c r="H1811">
        <v>15</v>
      </c>
      <c r="I1811">
        <v>75</v>
      </c>
      <c r="J1811" t="s">
        <v>231</v>
      </c>
      <c r="K1811" t="s">
        <v>499</v>
      </c>
      <c r="L1811" t="s">
        <v>410</v>
      </c>
      <c r="M1811" t="s">
        <v>234</v>
      </c>
      <c r="N1811" t="s">
        <v>62</v>
      </c>
      <c r="O1811" t="s">
        <v>235</v>
      </c>
      <c r="P1811" t="s">
        <v>411</v>
      </c>
      <c r="Q1811">
        <v>0</v>
      </c>
      <c r="R1811" t="s">
        <v>237</v>
      </c>
    </row>
    <row r="1812" spans="1:18" x14ac:dyDescent="0.25">
      <c r="A1812" t="s">
        <v>2841</v>
      </c>
      <c r="B1812">
        <v>857</v>
      </c>
      <c r="C1812" t="s">
        <v>487</v>
      </c>
      <c r="D1812" t="s">
        <v>231</v>
      </c>
      <c r="E1812" t="s">
        <v>531</v>
      </c>
      <c r="F1812" t="s">
        <v>1230</v>
      </c>
      <c r="G1812" s="25">
        <v>44235</v>
      </c>
      <c r="H1812">
        <v>8</v>
      </c>
      <c r="I1812">
        <v>39</v>
      </c>
      <c r="J1812" t="s">
        <v>432</v>
      </c>
      <c r="K1812" t="s">
        <v>498</v>
      </c>
      <c r="L1812" t="s">
        <v>26</v>
      </c>
      <c r="M1812" t="s">
        <v>434</v>
      </c>
      <c r="N1812" t="s">
        <v>77</v>
      </c>
      <c r="O1812" t="s">
        <v>435</v>
      </c>
      <c r="P1812" t="s">
        <v>26</v>
      </c>
      <c r="Q1812">
        <v>114603.125</v>
      </c>
      <c r="R1812" t="s">
        <v>436</v>
      </c>
    </row>
    <row r="1813" spans="1:18" x14ac:dyDescent="0.25">
      <c r="A1813" t="s">
        <v>3796</v>
      </c>
      <c r="B1813">
        <v>2617</v>
      </c>
      <c r="C1813" t="s">
        <v>487</v>
      </c>
      <c r="D1813" t="s">
        <v>247</v>
      </c>
      <c r="E1813" t="s">
        <v>531</v>
      </c>
      <c r="F1813" t="s">
        <v>3173</v>
      </c>
      <c r="G1813" s="25">
        <v>44315</v>
      </c>
      <c r="H1813">
        <v>24</v>
      </c>
      <c r="I1813">
        <v>119</v>
      </c>
      <c r="J1813" t="s">
        <v>432</v>
      </c>
      <c r="K1813" t="s">
        <v>498</v>
      </c>
      <c r="L1813" t="s">
        <v>26</v>
      </c>
      <c r="M1813" t="s">
        <v>434</v>
      </c>
      <c r="N1813" t="s">
        <v>77</v>
      </c>
      <c r="O1813" t="s">
        <v>435</v>
      </c>
      <c r="P1813" t="s">
        <v>26</v>
      </c>
      <c r="Q1813">
        <v>124080</v>
      </c>
      <c r="R1813" t="s">
        <v>436</v>
      </c>
    </row>
    <row r="1814" spans="1:18" x14ac:dyDescent="0.25">
      <c r="A1814" t="s">
        <v>1944</v>
      </c>
      <c r="B1814">
        <v>1647</v>
      </c>
      <c r="C1814" t="s">
        <v>487</v>
      </c>
      <c r="D1814" t="s">
        <v>261</v>
      </c>
      <c r="E1814" t="s">
        <v>575</v>
      </c>
      <c r="F1814" t="s">
        <v>1537</v>
      </c>
      <c r="G1814" s="25">
        <v>44271</v>
      </c>
      <c r="H1814">
        <v>15</v>
      </c>
      <c r="I1814">
        <v>75</v>
      </c>
      <c r="J1814" t="s">
        <v>432</v>
      </c>
      <c r="K1814" t="s">
        <v>497</v>
      </c>
      <c r="L1814" t="s">
        <v>438</v>
      </c>
      <c r="M1814" t="s">
        <v>434</v>
      </c>
      <c r="N1814" t="s">
        <v>75</v>
      </c>
      <c r="O1814" t="s">
        <v>435</v>
      </c>
      <c r="P1814" t="s">
        <v>438</v>
      </c>
      <c r="Q1814">
        <v>25800</v>
      </c>
      <c r="R1814" t="s">
        <v>436</v>
      </c>
    </row>
    <row r="1815" spans="1:18" x14ac:dyDescent="0.25">
      <c r="A1815" t="s">
        <v>3797</v>
      </c>
      <c r="B1815">
        <v>2615</v>
      </c>
      <c r="C1815" t="s">
        <v>487</v>
      </c>
      <c r="D1815" t="s">
        <v>247</v>
      </c>
      <c r="E1815" t="s">
        <v>531</v>
      </c>
      <c r="F1815" t="s">
        <v>3173</v>
      </c>
      <c r="G1815" s="25">
        <v>44315</v>
      </c>
      <c r="H1815">
        <v>24</v>
      </c>
      <c r="I1815">
        <v>119</v>
      </c>
      <c r="J1815" t="s">
        <v>432</v>
      </c>
      <c r="K1815" t="s">
        <v>497</v>
      </c>
      <c r="L1815" t="s">
        <v>438</v>
      </c>
      <c r="M1815" t="s">
        <v>434</v>
      </c>
      <c r="N1815" t="s">
        <v>75</v>
      </c>
      <c r="O1815" t="s">
        <v>435</v>
      </c>
      <c r="P1815" t="s">
        <v>438</v>
      </c>
      <c r="Q1815">
        <v>25500</v>
      </c>
      <c r="R1815" t="s">
        <v>436</v>
      </c>
    </row>
    <row r="1816" spans="1:18" x14ac:dyDescent="0.25">
      <c r="A1816" t="s">
        <v>2741</v>
      </c>
      <c r="B1816">
        <v>1181</v>
      </c>
      <c r="C1816" t="s">
        <v>487</v>
      </c>
      <c r="D1816" t="s">
        <v>256</v>
      </c>
      <c r="E1816" t="s">
        <v>537</v>
      </c>
      <c r="F1816" t="s">
        <v>1348</v>
      </c>
      <c r="G1816" s="25">
        <v>44250</v>
      </c>
      <c r="H1816">
        <v>11</v>
      </c>
      <c r="I1816">
        <v>54</v>
      </c>
      <c r="J1816" t="s">
        <v>432</v>
      </c>
      <c r="K1816" t="s">
        <v>496</v>
      </c>
      <c r="L1816" t="s">
        <v>69</v>
      </c>
      <c r="M1816" t="s">
        <v>434</v>
      </c>
      <c r="N1816" t="s">
        <v>68</v>
      </c>
      <c r="O1816" t="s">
        <v>21</v>
      </c>
      <c r="P1816" t="s">
        <v>439</v>
      </c>
      <c r="Q1816">
        <v>481875</v>
      </c>
      <c r="R1816" t="s">
        <v>237</v>
      </c>
    </row>
    <row r="1817" spans="1:18" x14ac:dyDescent="0.25">
      <c r="A1817" t="s">
        <v>1684</v>
      </c>
      <c r="B1817">
        <v>719</v>
      </c>
      <c r="C1817" t="s">
        <v>487</v>
      </c>
      <c r="D1817" t="s">
        <v>231</v>
      </c>
      <c r="E1817" t="s">
        <v>512</v>
      </c>
      <c r="F1817" t="s">
        <v>1174</v>
      </c>
      <c r="G1817" s="25">
        <v>44229</v>
      </c>
      <c r="H1817">
        <v>7</v>
      </c>
      <c r="I1817">
        <v>33</v>
      </c>
      <c r="J1817" t="s">
        <v>432</v>
      </c>
      <c r="K1817" t="s">
        <v>496</v>
      </c>
      <c r="L1817" t="s">
        <v>69</v>
      </c>
      <c r="M1817" t="s">
        <v>434</v>
      </c>
      <c r="N1817" t="s">
        <v>68</v>
      </c>
      <c r="O1817" t="s">
        <v>21</v>
      </c>
      <c r="P1817" t="s">
        <v>439</v>
      </c>
      <c r="Q1817">
        <v>191250</v>
      </c>
      <c r="R1817" t="s">
        <v>237</v>
      </c>
    </row>
    <row r="1818" spans="1:18" x14ac:dyDescent="0.25">
      <c r="A1818" t="s">
        <v>646</v>
      </c>
      <c r="B1818">
        <v>345</v>
      </c>
      <c r="C1818" t="s">
        <v>487</v>
      </c>
      <c r="D1818" t="s">
        <v>229</v>
      </c>
      <c r="E1818" t="s">
        <v>620</v>
      </c>
      <c r="F1818" t="s">
        <v>621</v>
      </c>
      <c r="G1818" s="25">
        <v>44212</v>
      </c>
      <c r="H1818">
        <v>4</v>
      </c>
      <c r="I1818">
        <v>16</v>
      </c>
      <c r="J1818" t="s">
        <v>432</v>
      </c>
      <c r="K1818" t="s">
        <v>496</v>
      </c>
      <c r="L1818" t="s">
        <v>69</v>
      </c>
      <c r="M1818" t="s">
        <v>434</v>
      </c>
      <c r="N1818" t="s">
        <v>68</v>
      </c>
      <c r="O1818" t="s">
        <v>21</v>
      </c>
      <c r="P1818" t="s">
        <v>439</v>
      </c>
      <c r="Q1818">
        <v>36750</v>
      </c>
      <c r="R1818" t="s">
        <v>237</v>
      </c>
    </row>
    <row r="1819" spans="1:18" x14ac:dyDescent="0.25">
      <c r="A1819" t="s">
        <v>3798</v>
      </c>
      <c r="B1819">
        <v>2193</v>
      </c>
      <c r="C1819" t="s">
        <v>487</v>
      </c>
      <c r="D1819" t="s">
        <v>322</v>
      </c>
      <c r="E1819" t="s">
        <v>408</v>
      </c>
      <c r="F1819" t="s">
        <v>3059</v>
      </c>
      <c r="G1819" s="25">
        <v>44296</v>
      </c>
      <c r="H1819">
        <v>20</v>
      </c>
      <c r="I1819">
        <v>100</v>
      </c>
      <c r="J1819" t="s">
        <v>432</v>
      </c>
      <c r="K1819" t="s">
        <v>496</v>
      </c>
      <c r="L1819" t="s">
        <v>69</v>
      </c>
      <c r="M1819" t="s">
        <v>434</v>
      </c>
      <c r="N1819" t="s">
        <v>68</v>
      </c>
      <c r="O1819" t="s">
        <v>21</v>
      </c>
      <c r="P1819" t="s">
        <v>439</v>
      </c>
      <c r="Q1819">
        <v>561000</v>
      </c>
      <c r="R1819" t="s">
        <v>237</v>
      </c>
    </row>
    <row r="1820" spans="1:18" x14ac:dyDescent="0.25">
      <c r="A1820" t="s">
        <v>2622</v>
      </c>
      <c r="B1820">
        <v>1731</v>
      </c>
      <c r="C1820" t="s">
        <v>487</v>
      </c>
      <c r="D1820" t="s">
        <v>261</v>
      </c>
      <c r="E1820" t="s">
        <v>531</v>
      </c>
      <c r="F1820" t="s">
        <v>1588</v>
      </c>
      <c r="G1820" s="25">
        <v>44275</v>
      </c>
      <c r="H1820">
        <v>16</v>
      </c>
      <c r="I1820">
        <v>79</v>
      </c>
      <c r="J1820" t="s">
        <v>432</v>
      </c>
      <c r="K1820" t="s">
        <v>496</v>
      </c>
      <c r="L1820" t="s">
        <v>69</v>
      </c>
      <c r="M1820" t="s">
        <v>434</v>
      </c>
      <c r="N1820" t="s">
        <v>68</v>
      </c>
      <c r="O1820" t="s">
        <v>21</v>
      </c>
      <c r="P1820" t="s">
        <v>439</v>
      </c>
      <c r="Q1820">
        <v>0</v>
      </c>
      <c r="R1820" t="s">
        <v>237</v>
      </c>
    </row>
    <row r="1821" spans="1:18" x14ac:dyDescent="0.25">
      <c r="A1821" t="s">
        <v>1946</v>
      </c>
      <c r="B1821">
        <v>1555</v>
      </c>
      <c r="C1821" t="s">
        <v>487</v>
      </c>
      <c r="D1821" t="s">
        <v>261</v>
      </c>
      <c r="E1821" t="s">
        <v>515</v>
      </c>
      <c r="F1821" t="s">
        <v>1493</v>
      </c>
      <c r="G1821" s="25">
        <v>44267</v>
      </c>
      <c r="H1821">
        <v>15</v>
      </c>
      <c r="I1821">
        <v>71</v>
      </c>
      <c r="J1821" t="s">
        <v>432</v>
      </c>
      <c r="K1821" t="s">
        <v>496</v>
      </c>
      <c r="L1821" t="s">
        <v>69</v>
      </c>
      <c r="M1821" t="s">
        <v>434</v>
      </c>
      <c r="N1821" t="s">
        <v>68</v>
      </c>
      <c r="O1821" t="s">
        <v>21</v>
      </c>
      <c r="P1821" t="s">
        <v>439</v>
      </c>
      <c r="Q1821">
        <v>124750</v>
      </c>
      <c r="R1821" t="s">
        <v>237</v>
      </c>
    </row>
    <row r="1822" spans="1:18" x14ac:dyDescent="0.25">
      <c r="A1822" t="s">
        <v>327</v>
      </c>
      <c r="B1822">
        <v>82</v>
      </c>
      <c r="C1822" t="s">
        <v>487</v>
      </c>
      <c r="D1822" t="s">
        <v>229</v>
      </c>
      <c r="E1822" t="s">
        <v>261</v>
      </c>
      <c r="F1822" t="s">
        <v>549</v>
      </c>
      <c r="G1822" s="25">
        <v>44200</v>
      </c>
      <c r="H1822">
        <v>1</v>
      </c>
      <c r="I1822">
        <v>4</v>
      </c>
      <c r="J1822" t="s">
        <v>432</v>
      </c>
      <c r="K1822" t="s">
        <v>495</v>
      </c>
      <c r="L1822" t="s">
        <v>135</v>
      </c>
      <c r="M1822" t="s">
        <v>434</v>
      </c>
      <c r="N1822" t="s">
        <v>70</v>
      </c>
      <c r="O1822" t="s">
        <v>21</v>
      </c>
      <c r="P1822" t="s">
        <v>440</v>
      </c>
      <c r="Q1822">
        <v>96000</v>
      </c>
      <c r="R1822" t="s">
        <v>237</v>
      </c>
    </row>
    <row r="1823" spans="1:18" x14ac:dyDescent="0.25">
      <c r="A1823" t="s">
        <v>3799</v>
      </c>
      <c r="B1823">
        <v>2634</v>
      </c>
      <c r="C1823" t="s">
        <v>487</v>
      </c>
      <c r="D1823" t="s">
        <v>247</v>
      </c>
      <c r="E1823" t="s">
        <v>408</v>
      </c>
      <c r="F1823" t="s">
        <v>3178</v>
      </c>
      <c r="G1823" s="25">
        <v>44316</v>
      </c>
      <c r="H1823">
        <v>24</v>
      </c>
      <c r="I1823">
        <v>120</v>
      </c>
      <c r="J1823" t="s">
        <v>432</v>
      </c>
      <c r="K1823" t="s">
        <v>495</v>
      </c>
      <c r="L1823" t="s">
        <v>135</v>
      </c>
      <c r="M1823" t="s">
        <v>434</v>
      </c>
      <c r="N1823" t="s">
        <v>70</v>
      </c>
      <c r="O1823" t="s">
        <v>21</v>
      </c>
      <c r="P1823" t="s">
        <v>440</v>
      </c>
      <c r="Q1823">
        <v>370375</v>
      </c>
      <c r="R1823" t="s">
        <v>237</v>
      </c>
    </row>
    <row r="1824" spans="1:18" x14ac:dyDescent="0.25">
      <c r="A1824" t="s">
        <v>3800</v>
      </c>
      <c r="B1824">
        <v>2260</v>
      </c>
      <c r="C1824" t="s">
        <v>487</v>
      </c>
      <c r="D1824" t="s">
        <v>247</v>
      </c>
      <c r="E1824" t="s">
        <v>256</v>
      </c>
      <c r="F1824" t="s">
        <v>3073</v>
      </c>
      <c r="G1824" s="25">
        <v>44299</v>
      </c>
      <c r="H1824">
        <v>21</v>
      </c>
      <c r="I1824">
        <v>103</v>
      </c>
      <c r="J1824" t="s">
        <v>432</v>
      </c>
      <c r="K1824" t="s">
        <v>495</v>
      </c>
      <c r="L1824" t="s">
        <v>135</v>
      </c>
      <c r="M1824" t="s">
        <v>434</v>
      </c>
      <c r="N1824" t="s">
        <v>70</v>
      </c>
      <c r="O1824" t="s">
        <v>21</v>
      </c>
      <c r="P1824" t="s">
        <v>440</v>
      </c>
      <c r="Q1824">
        <v>561000</v>
      </c>
      <c r="R1824" t="s">
        <v>237</v>
      </c>
    </row>
    <row r="1825" spans="1:18" x14ac:dyDescent="0.25">
      <c r="A1825" t="s">
        <v>3801</v>
      </c>
      <c r="B1825">
        <v>1886</v>
      </c>
      <c r="C1825" t="s">
        <v>487</v>
      </c>
      <c r="D1825" t="s">
        <v>322</v>
      </c>
      <c r="E1825" t="s">
        <v>247</v>
      </c>
      <c r="F1825" t="s">
        <v>2963</v>
      </c>
      <c r="G1825" s="25">
        <v>44282</v>
      </c>
      <c r="H1825">
        <v>18</v>
      </c>
      <c r="I1825">
        <v>86</v>
      </c>
      <c r="J1825" t="s">
        <v>432</v>
      </c>
      <c r="K1825" t="s">
        <v>495</v>
      </c>
      <c r="L1825" t="s">
        <v>135</v>
      </c>
      <c r="M1825" t="s">
        <v>434</v>
      </c>
      <c r="N1825" t="s">
        <v>70</v>
      </c>
      <c r="O1825" t="s">
        <v>21</v>
      </c>
      <c r="P1825" t="s">
        <v>440</v>
      </c>
      <c r="Q1825">
        <v>681000</v>
      </c>
      <c r="R1825" t="s">
        <v>237</v>
      </c>
    </row>
    <row r="1826" spans="1:18" x14ac:dyDescent="0.25">
      <c r="A1826" t="s">
        <v>2901</v>
      </c>
      <c r="B1826">
        <v>1050</v>
      </c>
      <c r="C1826" t="s">
        <v>487</v>
      </c>
      <c r="D1826" t="s">
        <v>256</v>
      </c>
      <c r="E1826" t="s">
        <v>381</v>
      </c>
      <c r="F1826" t="s">
        <v>1311</v>
      </c>
      <c r="G1826" s="25">
        <v>44244</v>
      </c>
      <c r="H1826">
        <v>10</v>
      </c>
      <c r="I1826">
        <v>48</v>
      </c>
      <c r="J1826" t="s">
        <v>432</v>
      </c>
      <c r="K1826" t="s">
        <v>495</v>
      </c>
      <c r="L1826" t="s">
        <v>135</v>
      </c>
      <c r="M1826" t="s">
        <v>434</v>
      </c>
      <c r="N1826" t="s">
        <v>70</v>
      </c>
      <c r="O1826" t="s">
        <v>21</v>
      </c>
      <c r="P1826" t="s">
        <v>440</v>
      </c>
      <c r="Q1826">
        <v>512000</v>
      </c>
      <c r="R1826" t="s">
        <v>237</v>
      </c>
    </row>
    <row r="1827" spans="1:18" x14ac:dyDescent="0.25">
      <c r="A1827" t="s">
        <v>3802</v>
      </c>
      <c r="B1827">
        <v>2286</v>
      </c>
      <c r="C1827" t="s">
        <v>487</v>
      </c>
      <c r="D1827" t="s">
        <v>247</v>
      </c>
      <c r="E1827" t="s">
        <v>261</v>
      </c>
      <c r="F1827" t="s">
        <v>3078</v>
      </c>
      <c r="G1827" s="25">
        <v>44300</v>
      </c>
      <c r="H1827">
        <v>21</v>
      </c>
      <c r="I1827">
        <v>104</v>
      </c>
      <c r="J1827" t="s">
        <v>432</v>
      </c>
      <c r="K1827" t="s">
        <v>494</v>
      </c>
      <c r="L1827" t="s">
        <v>25</v>
      </c>
      <c r="M1827" t="s">
        <v>434</v>
      </c>
      <c r="N1827" t="s">
        <v>76</v>
      </c>
      <c r="O1827" t="s">
        <v>435</v>
      </c>
      <c r="P1827" t="s">
        <v>25</v>
      </c>
      <c r="Q1827">
        <v>38250</v>
      </c>
      <c r="R1827" t="s">
        <v>436</v>
      </c>
    </row>
    <row r="1828" spans="1:18" x14ac:dyDescent="0.25">
      <c r="A1828" t="s">
        <v>3803</v>
      </c>
      <c r="B1828">
        <v>1912</v>
      </c>
      <c r="C1828" t="s">
        <v>487</v>
      </c>
      <c r="D1828" t="s">
        <v>322</v>
      </c>
      <c r="E1828" t="s">
        <v>326</v>
      </c>
      <c r="F1828" t="s">
        <v>2967</v>
      </c>
      <c r="G1828" s="25">
        <v>44283</v>
      </c>
      <c r="H1828">
        <v>18</v>
      </c>
      <c r="I1828">
        <v>87</v>
      </c>
      <c r="J1828" t="s">
        <v>432</v>
      </c>
      <c r="K1828" t="s">
        <v>494</v>
      </c>
      <c r="L1828" t="s">
        <v>25</v>
      </c>
      <c r="M1828" t="s">
        <v>434</v>
      </c>
      <c r="N1828" t="s">
        <v>76</v>
      </c>
      <c r="O1828" t="s">
        <v>435</v>
      </c>
      <c r="P1828" t="s">
        <v>25</v>
      </c>
      <c r="Q1828">
        <v>77550</v>
      </c>
      <c r="R1828" t="s">
        <v>436</v>
      </c>
    </row>
    <row r="1829" spans="1:18" x14ac:dyDescent="0.25">
      <c r="A1829" t="s">
        <v>2415</v>
      </c>
      <c r="B1829">
        <v>1736</v>
      </c>
      <c r="C1829" t="s">
        <v>487</v>
      </c>
      <c r="D1829" t="s">
        <v>261</v>
      </c>
      <c r="E1829" t="s">
        <v>531</v>
      </c>
      <c r="F1829" t="s">
        <v>1588</v>
      </c>
      <c r="G1829" s="25">
        <v>44275</v>
      </c>
      <c r="H1829">
        <v>16</v>
      </c>
      <c r="I1829">
        <v>79</v>
      </c>
      <c r="J1829" t="s">
        <v>432</v>
      </c>
      <c r="K1829" t="s">
        <v>494</v>
      </c>
      <c r="L1829" t="s">
        <v>25</v>
      </c>
      <c r="M1829" t="s">
        <v>434</v>
      </c>
      <c r="N1829" t="s">
        <v>76</v>
      </c>
      <c r="O1829" t="s">
        <v>435</v>
      </c>
      <c r="P1829" t="s">
        <v>25</v>
      </c>
      <c r="Q1829">
        <v>25800</v>
      </c>
      <c r="R1829" t="s">
        <v>436</v>
      </c>
    </row>
    <row r="1830" spans="1:18" x14ac:dyDescent="0.25">
      <c r="A1830" t="s">
        <v>859</v>
      </c>
      <c r="B1830">
        <v>438</v>
      </c>
      <c r="C1830" t="s">
        <v>487</v>
      </c>
      <c r="D1830" t="s">
        <v>229</v>
      </c>
      <c r="E1830" t="s">
        <v>408</v>
      </c>
      <c r="F1830" t="s">
        <v>527</v>
      </c>
      <c r="G1830" s="25">
        <v>44216</v>
      </c>
      <c r="H1830">
        <v>4</v>
      </c>
      <c r="I1830">
        <v>20</v>
      </c>
      <c r="J1830" t="s">
        <v>432</v>
      </c>
      <c r="K1830" t="s">
        <v>494</v>
      </c>
      <c r="L1830" t="s">
        <v>25</v>
      </c>
      <c r="M1830" t="s">
        <v>434</v>
      </c>
      <c r="N1830" t="s">
        <v>76</v>
      </c>
      <c r="O1830" t="s">
        <v>435</v>
      </c>
      <c r="P1830" t="s">
        <v>25</v>
      </c>
      <c r="Q1830">
        <v>7256.25</v>
      </c>
      <c r="R1830" t="s">
        <v>436</v>
      </c>
    </row>
    <row r="1831" spans="1:18" x14ac:dyDescent="0.25">
      <c r="A1831" t="s">
        <v>3804</v>
      </c>
      <c r="B1831">
        <v>2090</v>
      </c>
      <c r="C1831" t="s">
        <v>487</v>
      </c>
      <c r="D1831" t="s">
        <v>322</v>
      </c>
      <c r="E1831" t="s">
        <v>575</v>
      </c>
      <c r="F1831" t="s">
        <v>3014</v>
      </c>
      <c r="G1831" s="25">
        <v>44291</v>
      </c>
      <c r="H1831">
        <v>19</v>
      </c>
      <c r="I1831">
        <v>95</v>
      </c>
      <c r="J1831" t="s">
        <v>432</v>
      </c>
      <c r="K1831" t="s">
        <v>493</v>
      </c>
      <c r="L1831" t="s">
        <v>441</v>
      </c>
      <c r="M1831" t="s">
        <v>434</v>
      </c>
      <c r="N1831" t="s">
        <v>78</v>
      </c>
      <c r="O1831" t="s">
        <v>435</v>
      </c>
      <c r="P1831" t="s">
        <v>441</v>
      </c>
      <c r="Q1831">
        <v>265480</v>
      </c>
      <c r="R1831" t="s">
        <v>436</v>
      </c>
    </row>
    <row r="1832" spans="1:18" x14ac:dyDescent="0.25">
      <c r="A1832" t="s">
        <v>2132</v>
      </c>
      <c r="B1832">
        <v>1672</v>
      </c>
      <c r="C1832" t="s">
        <v>487</v>
      </c>
      <c r="D1832" t="s">
        <v>261</v>
      </c>
      <c r="E1832" t="s">
        <v>620</v>
      </c>
      <c r="F1832" t="s">
        <v>1545</v>
      </c>
      <c r="G1832" s="25">
        <v>44272</v>
      </c>
      <c r="H1832">
        <v>16</v>
      </c>
      <c r="I1832">
        <v>76</v>
      </c>
      <c r="J1832" t="s">
        <v>432</v>
      </c>
      <c r="K1832" t="s">
        <v>493</v>
      </c>
      <c r="L1832" t="s">
        <v>441</v>
      </c>
      <c r="M1832" t="s">
        <v>434</v>
      </c>
      <c r="N1832" t="s">
        <v>78</v>
      </c>
      <c r="O1832" t="s">
        <v>435</v>
      </c>
      <c r="P1832" t="s">
        <v>441</v>
      </c>
      <c r="Q1832">
        <v>117731.25</v>
      </c>
      <c r="R1832" t="s">
        <v>436</v>
      </c>
    </row>
    <row r="1833" spans="1:18" x14ac:dyDescent="0.25">
      <c r="A1833" t="s">
        <v>1698</v>
      </c>
      <c r="B1833">
        <v>968</v>
      </c>
      <c r="C1833" t="s">
        <v>487</v>
      </c>
      <c r="D1833" t="s">
        <v>256</v>
      </c>
      <c r="E1833" t="s">
        <v>261</v>
      </c>
      <c r="F1833" t="s">
        <v>1276</v>
      </c>
      <c r="G1833" s="25">
        <v>44240</v>
      </c>
      <c r="H1833">
        <v>9</v>
      </c>
      <c r="I1833">
        <v>44</v>
      </c>
      <c r="J1833" t="s">
        <v>432</v>
      </c>
      <c r="K1833" t="s">
        <v>493</v>
      </c>
      <c r="L1833" t="s">
        <v>441</v>
      </c>
      <c r="M1833" t="s">
        <v>434</v>
      </c>
      <c r="N1833" t="s">
        <v>78</v>
      </c>
      <c r="O1833" t="s">
        <v>435</v>
      </c>
      <c r="P1833" t="s">
        <v>441</v>
      </c>
      <c r="Q1833">
        <v>82818.75</v>
      </c>
      <c r="R1833" t="s">
        <v>436</v>
      </c>
    </row>
    <row r="1834" spans="1:18" x14ac:dyDescent="0.25">
      <c r="A1834" t="s">
        <v>2064</v>
      </c>
      <c r="B1834">
        <v>814</v>
      </c>
      <c r="C1834" t="s">
        <v>487</v>
      </c>
      <c r="D1834" t="s">
        <v>231</v>
      </c>
      <c r="E1834" t="s">
        <v>534</v>
      </c>
      <c r="F1834" t="s">
        <v>1731</v>
      </c>
      <c r="G1834" s="25">
        <v>44233</v>
      </c>
      <c r="H1834">
        <v>8</v>
      </c>
      <c r="I1834">
        <v>37</v>
      </c>
      <c r="J1834" t="s">
        <v>432</v>
      </c>
      <c r="K1834" t="s">
        <v>493</v>
      </c>
      <c r="L1834" t="s">
        <v>441</v>
      </c>
      <c r="M1834" t="s">
        <v>434</v>
      </c>
      <c r="N1834" t="s">
        <v>78</v>
      </c>
      <c r="O1834" t="s">
        <v>435</v>
      </c>
      <c r="P1834" t="s">
        <v>441</v>
      </c>
      <c r="Q1834">
        <v>101346.875</v>
      </c>
      <c r="R1834" t="s">
        <v>436</v>
      </c>
    </row>
    <row r="1835" spans="1:18" x14ac:dyDescent="0.25">
      <c r="A1835" t="s">
        <v>857</v>
      </c>
      <c r="B1835">
        <v>220</v>
      </c>
      <c r="C1835" t="s">
        <v>487</v>
      </c>
      <c r="D1835" t="s">
        <v>229</v>
      </c>
      <c r="E1835" t="s">
        <v>239</v>
      </c>
      <c r="F1835" t="s">
        <v>578</v>
      </c>
      <c r="G1835" s="25">
        <v>44206</v>
      </c>
      <c r="H1835">
        <v>2</v>
      </c>
      <c r="I1835">
        <v>10</v>
      </c>
      <c r="J1835" t="s">
        <v>432</v>
      </c>
      <c r="K1835" t="s">
        <v>493</v>
      </c>
      <c r="L1835" t="s">
        <v>441</v>
      </c>
      <c r="M1835" t="s">
        <v>434</v>
      </c>
      <c r="N1835" t="s">
        <v>78</v>
      </c>
      <c r="O1835" t="s">
        <v>435</v>
      </c>
      <c r="P1835" t="s">
        <v>441</v>
      </c>
      <c r="Q1835">
        <v>26600</v>
      </c>
      <c r="R1835" t="s">
        <v>436</v>
      </c>
    </row>
    <row r="1836" spans="1:18" x14ac:dyDescent="0.25">
      <c r="A1836" t="s">
        <v>3805</v>
      </c>
      <c r="B1836">
        <v>2574</v>
      </c>
      <c r="C1836" t="s">
        <v>487</v>
      </c>
      <c r="D1836" t="s">
        <v>247</v>
      </c>
      <c r="E1836" t="s">
        <v>534</v>
      </c>
      <c r="F1836" t="s">
        <v>3166</v>
      </c>
      <c r="G1836" s="25">
        <v>44313</v>
      </c>
      <c r="H1836">
        <v>24</v>
      </c>
      <c r="I1836">
        <v>117</v>
      </c>
      <c r="J1836" t="s">
        <v>432</v>
      </c>
      <c r="K1836" t="s">
        <v>493</v>
      </c>
      <c r="L1836" t="s">
        <v>441</v>
      </c>
      <c r="M1836" t="s">
        <v>434</v>
      </c>
      <c r="N1836" t="s">
        <v>78</v>
      </c>
      <c r="O1836" t="s">
        <v>435</v>
      </c>
      <c r="P1836" t="s">
        <v>441</v>
      </c>
      <c r="Q1836">
        <v>139523.75</v>
      </c>
      <c r="R1836" t="s">
        <v>436</v>
      </c>
    </row>
    <row r="1837" spans="1:18" x14ac:dyDescent="0.25">
      <c r="A1837" t="s">
        <v>3806</v>
      </c>
      <c r="B1837">
        <v>2613</v>
      </c>
      <c r="C1837" t="s">
        <v>487</v>
      </c>
      <c r="D1837" t="s">
        <v>247</v>
      </c>
      <c r="E1837" t="s">
        <v>531</v>
      </c>
      <c r="F1837" t="s">
        <v>3173</v>
      </c>
      <c r="G1837" s="25">
        <v>44315</v>
      </c>
      <c r="H1837">
        <v>24</v>
      </c>
      <c r="I1837">
        <v>119</v>
      </c>
      <c r="J1837" t="s">
        <v>432</v>
      </c>
      <c r="K1837" t="s">
        <v>492</v>
      </c>
      <c r="L1837" t="s">
        <v>24</v>
      </c>
      <c r="M1837" t="s">
        <v>434</v>
      </c>
      <c r="N1837" t="s">
        <v>71</v>
      </c>
      <c r="O1837" t="s">
        <v>435</v>
      </c>
      <c r="P1837" t="s">
        <v>24</v>
      </c>
      <c r="Q1837">
        <v>40500</v>
      </c>
      <c r="R1837" t="s">
        <v>436</v>
      </c>
    </row>
    <row r="1838" spans="1:18" x14ac:dyDescent="0.25">
      <c r="A1838" t="s">
        <v>2142</v>
      </c>
      <c r="B1838">
        <v>1306</v>
      </c>
      <c r="C1838" t="s">
        <v>487</v>
      </c>
      <c r="D1838" t="s">
        <v>256</v>
      </c>
      <c r="E1838" t="s">
        <v>408</v>
      </c>
      <c r="F1838" t="s">
        <v>1383</v>
      </c>
      <c r="G1838" s="25">
        <v>44256</v>
      </c>
      <c r="H1838">
        <v>12</v>
      </c>
      <c r="I1838">
        <v>60</v>
      </c>
      <c r="J1838" t="s">
        <v>231</v>
      </c>
      <c r="K1838" t="s">
        <v>491</v>
      </c>
      <c r="L1838" t="s">
        <v>233</v>
      </c>
      <c r="M1838" t="s">
        <v>234</v>
      </c>
      <c r="N1838" t="s">
        <v>54</v>
      </c>
      <c r="O1838" t="s">
        <v>235</v>
      </c>
      <c r="P1838" t="s">
        <v>236</v>
      </c>
      <c r="Q1838">
        <v>0</v>
      </c>
      <c r="R1838" t="s">
        <v>237</v>
      </c>
    </row>
    <row r="1839" spans="1:18" x14ac:dyDescent="0.25">
      <c r="A1839" t="s">
        <v>3807</v>
      </c>
      <c r="B1839">
        <v>2010</v>
      </c>
      <c r="C1839" t="s">
        <v>487</v>
      </c>
      <c r="D1839" t="s">
        <v>322</v>
      </c>
      <c r="E1839" t="s">
        <v>232</v>
      </c>
      <c r="F1839" t="s">
        <v>2987</v>
      </c>
      <c r="G1839" s="25">
        <v>44288</v>
      </c>
      <c r="H1839">
        <v>19</v>
      </c>
      <c r="I1839">
        <v>92</v>
      </c>
      <c r="J1839" t="s">
        <v>231</v>
      </c>
      <c r="K1839" t="s">
        <v>491</v>
      </c>
      <c r="L1839" t="s">
        <v>233</v>
      </c>
      <c r="M1839" t="s">
        <v>234</v>
      </c>
      <c r="N1839" t="s">
        <v>54</v>
      </c>
      <c r="O1839" t="s">
        <v>235</v>
      </c>
      <c r="P1839" t="s">
        <v>236</v>
      </c>
      <c r="Q1839">
        <v>74</v>
      </c>
      <c r="R1839" t="s">
        <v>237</v>
      </c>
    </row>
    <row r="1840" spans="1:18" x14ac:dyDescent="0.25">
      <c r="A1840" t="s">
        <v>720</v>
      </c>
      <c r="B1840">
        <v>299</v>
      </c>
      <c r="C1840" t="s">
        <v>487</v>
      </c>
      <c r="D1840" t="s">
        <v>229</v>
      </c>
      <c r="E1840" t="s">
        <v>537</v>
      </c>
      <c r="F1840" t="s">
        <v>538</v>
      </c>
      <c r="G1840" s="25">
        <v>44210</v>
      </c>
      <c r="H1840">
        <v>3</v>
      </c>
      <c r="I1840">
        <v>14</v>
      </c>
      <c r="J1840" t="s">
        <v>432</v>
      </c>
      <c r="K1840" t="s">
        <v>490</v>
      </c>
      <c r="L1840" t="s">
        <v>65</v>
      </c>
      <c r="M1840" t="s">
        <v>434</v>
      </c>
      <c r="N1840" t="s">
        <v>64</v>
      </c>
      <c r="O1840" t="s">
        <v>235</v>
      </c>
      <c r="P1840" t="s">
        <v>442</v>
      </c>
      <c r="Q1840">
        <v>29000</v>
      </c>
      <c r="R1840" t="s">
        <v>237</v>
      </c>
    </row>
    <row r="1841" spans="1:18" x14ac:dyDescent="0.25">
      <c r="A1841" t="s">
        <v>2145</v>
      </c>
      <c r="B1841">
        <v>1267</v>
      </c>
      <c r="C1841" t="s">
        <v>487</v>
      </c>
      <c r="D1841" t="s">
        <v>256</v>
      </c>
      <c r="E1841" t="s">
        <v>552</v>
      </c>
      <c r="F1841" t="s">
        <v>1365</v>
      </c>
      <c r="G1841" s="25">
        <v>44254</v>
      </c>
      <c r="H1841">
        <v>12</v>
      </c>
      <c r="I1841">
        <v>58</v>
      </c>
      <c r="J1841" t="s">
        <v>432</v>
      </c>
      <c r="K1841" t="s">
        <v>490</v>
      </c>
      <c r="L1841" t="s">
        <v>65</v>
      </c>
      <c r="M1841" t="s">
        <v>434</v>
      </c>
      <c r="N1841" t="s">
        <v>64</v>
      </c>
      <c r="O1841" t="s">
        <v>235</v>
      </c>
      <c r="P1841" t="s">
        <v>442</v>
      </c>
      <c r="Q1841">
        <v>344000</v>
      </c>
      <c r="R1841" t="s">
        <v>237</v>
      </c>
    </row>
    <row r="1842" spans="1:18" x14ac:dyDescent="0.25">
      <c r="A1842" t="s">
        <v>3808</v>
      </c>
      <c r="B1842">
        <v>2570</v>
      </c>
      <c r="C1842" t="s">
        <v>487</v>
      </c>
      <c r="D1842" t="s">
        <v>247</v>
      </c>
      <c r="E1842" t="s">
        <v>534</v>
      </c>
      <c r="F1842" t="s">
        <v>3166</v>
      </c>
      <c r="G1842" s="25">
        <v>44313</v>
      </c>
      <c r="H1842">
        <v>24</v>
      </c>
      <c r="I1842">
        <v>117</v>
      </c>
      <c r="J1842" t="s">
        <v>432</v>
      </c>
      <c r="K1842" t="s">
        <v>488</v>
      </c>
      <c r="L1842" t="s">
        <v>433</v>
      </c>
      <c r="M1842" t="s">
        <v>434</v>
      </c>
      <c r="N1842" t="s">
        <v>74</v>
      </c>
      <c r="O1842" t="s">
        <v>435</v>
      </c>
      <c r="P1842" t="s">
        <v>433</v>
      </c>
      <c r="Q1842">
        <v>20100</v>
      </c>
      <c r="R1842" t="s">
        <v>436</v>
      </c>
    </row>
    <row r="1843" spans="1:18" x14ac:dyDescent="0.25">
      <c r="A1843" t="s">
        <v>2756</v>
      </c>
      <c r="B1843">
        <v>1602</v>
      </c>
      <c r="C1843" t="s">
        <v>487</v>
      </c>
      <c r="D1843" t="s">
        <v>261</v>
      </c>
      <c r="E1843" t="s">
        <v>512</v>
      </c>
      <c r="F1843" t="s">
        <v>1518</v>
      </c>
      <c r="G1843" s="25">
        <v>44269</v>
      </c>
      <c r="H1843">
        <v>15</v>
      </c>
      <c r="I1843">
        <v>73</v>
      </c>
      <c r="J1843" t="s">
        <v>432</v>
      </c>
      <c r="K1843" t="s">
        <v>488</v>
      </c>
      <c r="L1843" t="s">
        <v>433</v>
      </c>
      <c r="M1843" t="s">
        <v>434</v>
      </c>
      <c r="N1843" t="s">
        <v>74</v>
      </c>
      <c r="O1843" t="s">
        <v>435</v>
      </c>
      <c r="P1843" t="s">
        <v>433</v>
      </c>
      <c r="Q1843">
        <v>25800</v>
      </c>
      <c r="R1843" t="s">
        <v>436</v>
      </c>
    </row>
    <row r="1844" spans="1:18" x14ac:dyDescent="0.25">
      <c r="A1844" t="s">
        <v>2493</v>
      </c>
      <c r="B1844">
        <v>766</v>
      </c>
      <c r="C1844" t="s">
        <v>487</v>
      </c>
      <c r="D1844" t="s">
        <v>231</v>
      </c>
      <c r="E1844" t="s">
        <v>575</v>
      </c>
      <c r="F1844" t="s">
        <v>1210</v>
      </c>
      <c r="G1844" s="25">
        <v>44231</v>
      </c>
      <c r="H1844">
        <v>7</v>
      </c>
      <c r="I1844">
        <v>35</v>
      </c>
      <c r="J1844" t="s">
        <v>432</v>
      </c>
      <c r="K1844" t="s">
        <v>488</v>
      </c>
      <c r="L1844" t="s">
        <v>433</v>
      </c>
      <c r="M1844" t="s">
        <v>434</v>
      </c>
      <c r="N1844" t="s">
        <v>74</v>
      </c>
      <c r="O1844" t="s">
        <v>435</v>
      </c>
      <c r="P1844" t="s">
        <v>433</v>
      </c>
      <c r="Q1844">
        <v>21600</v>
      </c>
      <c r="R1844" t="s">
        <v>436</v>
      </c>
    </row>
    <row r="1845" spans="1:18" x14ac:dyDescent="0.25">
      <c r="A1845" t="s">
        <v>659</v>
      </c>
      <c r="B1845">
        <v>392</v>
      </c>
      <c r="C1845" t="s">
        <v>487</v>
      </c>
      <c r="D1845" t="s">
        <v>229</v>
      </c>
      <c r="E1845" t="s">
        <v>552</v>
      </c>
      <c r="F1845" t="s">
        <v>553</v>
      </c>
      <c r="G1845" s="25">
        <v>44214</v>
      </c>
      <c r="H1845">
        <v>4</v>
      </c>
      <c r="I1845">
        <v>18</v>
      </c>
      <c r="J1845" t="s">
        <v>432</v>
      </c>
      <c r="K1845" t="s">
        <v>488</v>
      </c>
      <c r="L1845" t="s">
        <v>433</v>
      </c>
      <c r="M1845" t="s">
        <v>434</v>
      </c>
      <c r="N1845" t="s">
        <v>74</v>
      </c>
      <c r="O1845" t="s">
        <v>435</v>
      </c>
      <c r="P1845" t="s">
        <v>433</v>
      </c>
      <c r="Q1845">
        <v>7200</v>
      </c>
      <c r="R1845" t="s">
        <v>436</v>
      </c>
    </row>
    <row r="1846" spans="1:18" x14ac:dyDescent="0.25">
      <c r="A1846" t="s">
        <v>3809</v>
      </c>
      <c r="B1846">
        <v>2412</v>
      </c>
      <c r="C1846" t="s">
        <v>487</v>
      </c>
      <c r="D1846" t="s">
        <v>247</v>
      </c>
      <c r="E1846" t="s">
        <v>239</v>
      </c>
      <c r="F1846" t="s">
        <v>3118</v>
      </c>
      <c r="G1846" s="25">
        <v>44306</v>
      </c>
      <c r="H1846">
        <v>22</v>
      </c>
      <c r="I1846">
        <v>110</v>
      </c>
      <c r="J1846" t="s">
        <v>432</v>
      </c>
      <c r="K1846" t="s">
        <v>489</v>
      </c>
      <c r="L1846" t="s">
        <v>134</v>
      </c>
      <c r="M1846" t="s">
        <v>434</v>
      </c>
      <c r="N1846" t="s">
        <v>67</v>
      </c>
      <c r="O1846" t="s">
        <v>235</v>
      </c>
      <c r="P1846" t="s">
        <v>437</v>
      </c>
      <c r="Q1846">
        <v>328000</v>
      </c>
      <c r="R1846" t="s">
        <v>237</v>
      </c>
    </row>
    <row r="1847" spans="1:18" x14ac:dyDescent="0.25">
      <c r="A1847" t="s">
        <v>3810</v>
      </c>
      <c r="B1847">
        <v>1950</v>
      </c>
      <c r="C1847" t="s">
        <v>487</v>
      </c>
      <c r="D1847" t="s">
        <v>322</v>
      </c>
      <c r="E1847" t="s">
        <v>371</v>
      </c>
      <c r="F1847" t="s">
        <v>2976</v>
      </c>
      <c r="G1847" s="25">
        <v>44285</v>
      </c>
      <c r="H1847">
        <v>18</v>
      </c>
      <c r="I1847">
        <v>89</v>
      </c>
      <c r="J1847" t="s">
        <v>432</v>
      </c>
      <c r="K1847" t="s">
        <v>489</v>
      </c>
      <c r="L1847" t="s">
        <v>134</v>
      </c>
      <c r="M1847" t="s">
        <v>434</v>
      </c>
      <c r="N1847" t="s">
        <v>67</v>
      </c>
      <c r="O1847" t="s">
        <v>235</v>
      </c>
      <c r="P1847" t="s">
        <v>437</v>
      </c>
      <c r="Q1847">
        <v>523500</v>
      </c>
      <c r="R1847" t="s">
        <v>237</v>
      </c>
    </row>
    <row r="1848" spans="1:18" x14ac:dyDescent="0.25">
      <c r="A1848" t="s">
        <v>1970</v>
      </c>
      <c r="B1848">
        <v>1202</v>
      </c>
      <c r="C1848" t="s">
        <v>487</v>
      </c>
      <c r="D1848" t="s">
        <v>256</v>
      </c>
      <c r="E1848" t="s">
        <v>575</v>
      </c>
      <c r="F1848" t="s">
        <v>1668</v>
      </c>
      <c r="G1848" s="25">
        <v>44251</v>
      </c>
      <c r="H1848">
        <v>11</v>
      </c>
      <c r="I1848">
        <v>55</v>
      </c>
      <c r="J1848" t="s">
        <v>432</v>
      </c>
      <c r="K1848" t="s">
        <v>489</v>
      </c>
      <c r="L1848" t="s">
        <v>134</v>
      </c>
      <c r="M1848" t="s">
        <v>434</v>
      </c>
      <c r="N1848" t="s">
        <v>67</v>
      </c>
      <c r="O1848" t="s">
        <v>235</v>
      </c>
      <c r="P1848" t="s">
        <v>437</v>
      </c>
      <c r="Q1848">
        <v>360000</v>
      </c>
      <c r="R1848" t="s">
        <v>237</v>
      </c>
    </row>
    <row r="1849" spans="1:18" x14ac:dyDescent="0.25">
      <c r="A1849" t="s">
        <v>2432</v>
      </c>
      <c r="B1849">
        <v>674</v>
      </c>
      <c r="C1849" t="s">
        <v>487</v>
      </c>
      <c r="D1849" t="s">
        <v>231</v>
      </c>
      <c r="E1849" t="s">
        <v>515</v>
      </c>
      <c r="F1849" t="s">
        <v>1150</v>
      </c>
      <c r="G1849" s="25">
        <v>44227</v>
      </c>
      <c r="H1849">
        <v>7</v>
      </c>
      <c r="I1849">
        <v>31</v>
      </c>
      <c r="J1849" t="s">
        <v>432</v>
      </c>
      <c r="K1849" t="s">
        <v>489</v>
      </c>
      <c r="L1849" t="s">
        <v>134</v>
      </c>
      <c r="M1849" t="s">
        <v>434</v>
      </c>
      <c r="N1849" t="s">
        <v>67</v>
      </c>
      <c r="O1849" t="s">
        <v>235</v>
      </c>
      <c r="P1849" t="s">
        <v>437</v>
      </c>
      <c r="Q1849">
        <v>259375</v>
      </c>
      <c r="R1849" t="s">
        <v>237</v>
      </c>
    </row>
    <row r="1850" spans="1:18" x14ac:dyDescent="0.25">
      <c r="A1850" t="s">
        <v>3811</v>
      </c>
      <c r="B1850">
        <v>2225</v>
      </c>
      <c r="C1850" t="s">
        <v>487</v>
      </c>
      <c r="D1850" t="s">
        <v>247</v>
      </c>
      <c r="E1850" t="s">
        <v>231</v>
      </c>
      <c r="F1850" t="s">
        <v>3070</v>
      </c>
      <c r="G1850" s="25">
        <v>44298</v>
      </c>
      <c r="H1850">
        <v>21</v>
      </c>
      <c r="I1850">
        <v>102</v>
      </c>
      <c r="J1850" t="s">
        <v>231</v>
      </c>
      <c r="K1850" t="s">
        <v>509</v>
      </c>
      <c r="L1850" t="s">
        <v>45</v>
      </c>
      <c r="M1850" t="s">
        <v>234</v>
      </c>
      <c r="N1850" t="s">
        <v>44</v>
      </c>
      <c r="O1850" t="s">
        <v>21</v>
      </c>
      <c r="P1850" t="s">
        <v>304</v>
      </c>
      <c r="Q1850">
        <v>0</v>
      </c>
      <c r="R1850" t="s">
        <v>237</v>
      </c>
    </row>
    <row r="1851" spans="1:18" x14ac:dyDescent="0.25">
      <c r="A1851" t="s">
        <v>1718</v>
      </c>
      <c r="B1851">
        <v>1015</v>
      </c>
      <c r="C1851" t="s">
        <v>487</v>
      </c>
      <c r="D1851" t="s">
        <v>256</v>
      </c>
      <c r="E1851" t="s">
        <v>326</v>
      </c>
      <c r="F1851" t="s">
        <v>1305</v>
      </c>
      <c r="G1851" s="25">
        <v>44243</v>
      </c>
      <c r="H1851">
        <v>10</v>
      </c>
      <c r="I1851">
        <v>47</v>
      </c>
      <c r="J1851" t="s">
        <v>231</v>
      </c>
      <c r="K1851" t="s">
        <v>509</v>
      </c>
      <c r="L1851" t="s">
        <v>45</v>
      </c>
      <c r="M1851" t="s">
        <v>234</v>
      </c>
      <c r="N1851" t="s">
        <v>44</v>
      </c>
      <c r="O1851" t="s">
        <v>21</v>
      </c>
      <c r="P1851" t="s">
        <v>304</v>
      </c>
      <c r="Q1851">
        <v>0</v>
      </c>
      <c r="R1851" t="s">
        <v>237</v>
      </c>
    </row>
    <row r="1852" spans="1:18" x14ac:dyDescent="0.25">
      <c r="A1852" t="s">
        <v>290</v>
      </c>
      <c r="B1852">
        <v>47</v>
      </c>
      <c r="C1852" t="s">
        <v>487</v>
      </c>
      <c r="D1852" t="s">
        <v>229</v>
      </c>
      <c r="E1852" t="s">
        <v>256</v>
      </c>
      <c r="F1852" t="s">
        <v>525</v>
      </c>
      <c r="G1852" s="25">
        <v>44199</v>
      </c>
      <c r="H1852">
        <v>1</v>
      </c>
      <c r="I1852">
        <v>3</v>
      </c>
      <c r="J1852" t="s">
        <v>231</v>
      </c>
      <c r="K1852" t="s">
        <v>509</v>
      </c>
      <c r="L1852" t="s">
        <v>45</v>
      </c>
      <c r="M1852" t="s">
        <v>234</v>
      </c>
      <c r="N1852" t="s">
        <v>44</v>
      </c>
      <c r="O1852" t="s">
        <v>21</v>
      </c>
      <c r="P1852" t="s">
        <v>304</v>
      </c>
      <c r="Q1852">
        <v>0</v>
      </c>
      <c r="R1852" t="s">
        <v>237</v>
      </c>
    </row>
    <row r="1853" spans="1:18" x14ac:dyDescent="0.25">
      <c r="A1853" t="s">
        <v>3812</v>
      </c>
      <c r="B1853">
        <v>2379</v>
      </c>
      <c r="C1853" t="s">
        <v>487</v>
      </c>
      <c r="D1853" t="s">
        <v>247</v>
      </c>
      <c r="E1853" t="s">
        <v>371</v>
      </c>
      <c r="F1853" t="s">
        <v>3112</v>
      </c>
      <c r="G1853" s="25">
        <v>44305</v>
      </c>
      <c r="H1853">
        <v>22</v>
      </c>
      <c r="I1853">
        <v>109</v>
      </c>
      <c r="J1853" t="s">
        <v>231</v>
      </c>
      <c r="K1853" t="s">
        <v>509</v>
      </c>
      <c r="L1853" t="s">
        <v>45</v>
      </c>
      <c r="M1853" t="s">
        <v>234</v>
      </c>
      <c r="N1853" t="s">
        <v>44</v>
      </c>
      <c r="O1853" t="s">
        <v>21</v>
      </c>
      <c r="P1853" t="s">
        <v>304</v>
      </c>
      <c r="Q1853">
        <v>25693</v>
      </c>
      <c r="R1853" t="s">
        <v>237</v>
      </c>
    </row>
    <row r="1854" spans="1:18" x14ac:dyDescent="0.25">
      <c r="A1854" t="s">
        <v>2079</v>
      </c>
      <c r="B1854">
        <v>1302</v>
      </c>
      <c r="C1854" t="s">
        <v>487</v>
      </c>
      <c r="D1854" t="s">
        <v>256</v>
      </c>
      <c r="E1854" t="s">
        <v>408</v>
      </c>
      <c r="F1854" t="s">
        <v>1383</v>
      </c>
      <c r="G1854" s="25">
        <v>44256</v>
      </c>
      <c r="H1854">
        <v>12</v>
      </c>
      <c r="I1854">
        <v>60</v>
      </c>
      <c r="J1854" t="s">
        <v>231</v>
      </c>
      <c r="K1854" t="s">
        <v>508</v>
      </c>
      <c r="L1854" t="s">
        <v>47</v>
      </c>
      <c r="M1854" t="s">
        <v>234</v>
      </c>
      <c r="N1854" t="s">
        <v>46</v>
      </c>
      <c r="O1854" t="s">
        <v>21</v>
      </c>
      <c r="P1854" t="s">
        <v>288</v>
      </c>
      <c r="Q1854">
        <v>16000</v>
      </c>
      <c r="R1854" t="s">
        <v>237</v>
      </c>
    </row>
    <row r="1855" spans="1:18" x14ac:dyDescent="0.25">
      <c r="A1855" t="s">
        <v>3813</v>
      </c>
      <c r="B1855">
        <v>1962</v>
      </c>
      <c r="C1855" t="s">
        <v>487</v>
      </c>
      <c r="D1855" t="s">
        <v>322</v>
      </c>
      <c r="E1855" t="s">
        <v>239</v>
      </c>
      <c r="F1855" t="s">
        <v>2979</v>
      </c>
      <c r="G1855" s="25">
        <v>44286</v>
      </c>
      <c r="H1855">
        <v>18</v>
      </c>
      <c r="I1855">
        <v>90</v>
      </c>
      <c r="J1855" t="s">
        <v>231</v>
      </c>
      <c r="K1855" t="s">
        <v>508</v>
      </c>
      <c r="L1855" t="s">
        <v>47</v>
      </c>
      <c r="M1855" t="s">
        <v>234</v>
      </c>
      <c r="N1855" t="s">
        <v>46</v>
      </c>
      <c r="O1855" t="s">
        <v>21</v>
      </c>
      <c r="P1855" t="s">
        <v>288</v>
      </c>
      <c r="Q1855">
        <v>0</v>
      </c>
      <c r="R1855" t="s">
        <v>237</v>
      </c>
    </row>
    <row r="1856" spans="1:18" x14ac:dyDescent="0.25">
      <c r="A1856" t="s">
        <v>2333</v>
      </c>
      <c r="B1856">
        <v>907</v>
      </c>
      <c r="C1856" t="s">
        <v>487</v>
      </c>
      <c r="D1856" t="s">
        <v>256</v>
      </c>
      <c r="E1856" t="s">
        <v>231</v>
      </c>
      <c r="F1856" t="s">
        <v>1249</v>
      </c>
      <c r="G1856" s="25">
        <v>44238</v>
      </c>
      <c r="H1856">
        <v>9</v>
      </c>
      <c r="I1856">
        <v>42</v>
      </c>
      <c r="J1856" t="s">
        <v>231</v>
      </c>
      <c r="K1856" t="s">
        <v>507</v>
      </c>
      <c r="L1856" t="s">
        <v>49</v>
      </c>
      <c r="M1856" t="s">
        <v>234</v>
      </c>
      <c r="N1856" t="s">
        <v>48</v>
      </c>
      <c r="O1856" t="s">
        <v>21</v>
      </c>
      <c r="P1856" t="s">
        <v>413</v>
      </c>
      <c r="Q1856">
        <v>0</v>
      </c>
      <c r="R1856" t="s">
        <v>237</v>
      </c>
    </row>
    <row r="1857" spans="1:18" x14ac:dyDescent="0.25">
      <c r="A1857" t="s">
        <v>2158</v>
      </c>
      <c r="B1857">
        <v>1435</v>
      </c>
      <c r="C1857" t="s">
        <v>487</v>
      </c>
      <c r="D1857" t="s">
        <v>261</v>
      </c>
      <c r="E1857" t="s">
        <v>247</v>
      </c>
      <c r="F1857" t="s">
        <v>1425</v>
      </c>
      <c r="G1857" s="25">
        <v>44262</v>
      </c>
      <c r="H1857">
        <v>14</v>
      </c>
      <c r="I1857">
        <v>66</v>
      </c>
      <c r="J1857" t="s">
        <v>231</v>
      </c>
      <c r="K1857" t="s">
        <v>507</v>
      </c>
      <c r="L1857" t="s">
        <v>49</v>
      </c>
      <c r="M1857" t="s">
        <v>234</v>
      </c>
      <c r="N1857" t="s">
        <v>48</v>
      </c>
      <c r="O1857" t="s">
        <v>21</v>
      </c>
      <c r="P1857" t="s">
        <v>413</v>
      </c>
      <c r="Q1857">
        <v>0</v>
      </c>
      <c r="R1857" t="s">
        <v>237</v>
      </c>
    </row>
    <row r="1858" spans="1:18" x14ac:dyDescent="0.25">
      <c r="A1858" t="s">
        <v>1920</v>
      </c>
      <c r="B1858">
        <v>534</v>
      </c>
      <c r="C1858" t="s">
        <v>487</v>
      </c>
      <c r="D1858" t="s">
        <v>231</v>
      </c>
      <c r="E1858" t="s">
        <v>322</v>
      </c>
      <c r="F1858" t="s">
        <v>1085</v>
      </c>
      <c r="G1858" s="25">
        <v>44221</v>
      </c>
      <c r="H1858">
        <v>5</v>
      </c>
      <c r="I1858">
        <v>25</v>
      </c>
      <c r="J1858" t="s">
        <v>231</v>
      </c>
      <c r="K1858" t="s">
        <v>506</v>
      </c>
      <c r="L1858" t="s">
        <v>414</v>
      </c>
      <c r="M1858" t="s">
        <v>234</v>
      </c>
      <c r="N1858" t="s">
        <v>50</v>
      </c>
      <c r="O1858" t="s">
        <v>21</v>
      </c>
      <c r="P1858" t="s">
        <v>411</v>
      </c>
      <c r="Q1858">
        <v>0</v>
      </c>
      <c r="R1858" t="s">
        <v>237</v>
      </c>
    </row>
    <row r="1859" spans="1:18" x14ac:dyDescent="0.25">
      <c r="A1859" t="s">
        <v>3814</v>
      </c>
      <c r="B1859">
        <v>2052</v>
      </c>
      <c r="C1859" t="s">
        <v>487</v>
      </c>
      <c r="D1859" t="s">
        <v>322</v>
      </c>
      <c r="E1859" t="s">
        <v>537</v>
      </c>
      <c r="F1859" t="s">
        <v>2999</v>
      </c>
      <c r="G1859" s="25">
        <v>44290</v>
      </c>
      <c r="H1859">
        <v>19</v>
      </c>
      <c r="I1859">
        <v>94</v>
      </c>
      <c r="J1859" t="s">
        <v>231</v>
      </c>
      <c r="K1859" t="s">
        <v>506</v>
      </c>
      <c r="L1859" t="s">
        <v>414</v>
      </c>
      <c r="M1859" t="s">
        <v>234</v>
      </c>
      <c r="N1859" t="s">
        <v>50</v>
      </c>
      <c r="O1859" t="s">
        <v>21</v>
      </c>
      <c r="P1859" t="s">
        <v>411</v>
      </c>
      <c r="Q1859">
        <v>0</v>
      </c>
      <c r="R1859" t="s">
        <v>237</v>
      </c>
    </row>
    <row r="1860" spans="1:18" x14ac:dyDescent="0.25">
      <c r="A1860" t="s">
        <v>2594</v>
      </c>
      <c r="B1860">
        <v>1678</v>
      </c>
      <c r="C1860" t="s">
        <v>487</v>
      </c>
      <c r="D1860" t="s">
        <v>261</v>
      </c>
      <c r="E1860" t="s">
        <v>534</v>
      </c>
      <c r="F1860" t="s">
        <v>1563</v>
      </c>
      <c r="G1860" s="25">
        <v>44273</v>
      </c>
      <c r="H1860">
        <v>16</v>
      </c>
      <c r="I1860">
        <v>77</v>
      </c>
      <c r="J1860" t="s">
        <v>231</v>
      </c>
      <c r="K1860" t="s">
        <v>506</v>
      </c>
      <c r="L1860" t="s">
        <v>414</v>
      </c>
      <c r="M1860" t="s">
        <v>234</v>
      </c>
      <c r="N1860" t="s">
        <v>50</v>
      </c>
      <c r="O1860" t="s">
        <v>21</v>
      </c>
      <c r="P1860" t="s">
        <v>411</v>
      </c>
      <c r="Q1860">
        <v>0</v>
      </c>
      <c r="R1860" t="s">
        <v>237</v>
      </c>
    </row>
    <row r="1861" spans="1:18" x14ac:dyDescent="0.25">
      <c r="A1861" t="s">
        <v>2773</v>
      </c>
      <c r="B1861">
        <v>1150</v>
      </c>
      <c r="C1861" t="s">
        <v>487</v>
      </c>
      <c r="D1861" t="s">
        <v>256</v>
      </c>
      <c r="E1861" t="s">
        <v>512</v>
      </c>
      <c r="F1861" t="s">
        <v>1342</v>
      </c>
      <c r="G1861" s="25">
        <v>44249</v>
      </c>
      <c r="H1861">
        <v>11</v>
      </c>
      <c r="I1861">
        <v>53</v>
      </c>
      <c r="J1861" t="s">
        <v>231</v>
      </c>
      <c r="K1861" t="s">
        <v>506</v>
      </c>
      <c r="L1861" t="s">
        <v>414</v>
      </c>
      <c r="M1861" t="s">
        <v>234</v>
      </c>
      <c r="N1861" t="s">
        <v>50</v>
      </c>
      <c r="O1861" t="s">
        <v>21</v>
      </c>
      <c r="P1861" t="s">
        <v>411</v>
      </c>
      <c r="Q1861">
        <v>0</v>
      </c>
      <c r="R1861" t="s">
        <v>237</v>
      </c>
    </row>
    <row r="1862" spans="1:18" x14ac:dyDescent="0.25">
      <c r="A1862" t="s">
        <v>1768</v>
      </c>
      <c r="B1862">
        <v>842</v>
      </c>
      <c r="C1862" t="s">
        <v>487</v>
      </c>
      <c r="D1862" t="s">
        <v>231</v>
      </c>
      <c r="E1862" t="s">
        <v>531</v>
      </c>
      <c r="F1862" t="s">
        <v>1230</v>
      </c>
      <c r="G1862" s="25">
        <v>44235</v>
      </c>
      <c r="H1862">
        <v>8</v>
      </c>
      <c r="I1862">
        <v>39</v>
      </c>
      <c r="J1862" t="s">
        <v>231</v>
      </c>
      <c r="K1862" t="s">
        <v>506</v>
      </c>
      <c r="L1862" t="s">
        <v>414</v>
      </c>
      <c r="M1862" t="s">
        <v>234</v>
      </c>
      <c r="N1862" t="s">
        <v>50</v>
      </c>
      <c r="O1862" t="s">
        <v>21</v>
      </c>
      <c r="P1862" t="s">
        <v>411</v>
      </c>
      <c r="Q1862">
        <v>0</v>
      </c>
      <c r="R1862" t="s">
        <v>237</v>
      </c>
    </row>
    <row r="1863" spans="1:18" x14ac:dyDescent="0.25">
      <c r="A1863" t="s">
        <v>685</v>
      </c>
      <c r="B1863">
        <v>177</v>
      </c>
      <c r="C1863" t="s">
        <v>487</v>
      </c>
      <c r="D1863" t="s">
        <v>229</v>
      </c>
      <c r="E1863" t="s">
        <v>371</v>
      </c>
      <c r="F1863" t="s">
        <v>557</v>
      </c>
      <c r="G1863" s="25">
        <v>44205</v>
      </c>
      <c r="H1863">
        <v>2</v>
      </c>
      <c r="I1863">
        <v>9</v>
      </c>
      <c r="J1863" t="s">
        <v>231</v>
      </c>
      <c r="K1863" t="s">
        <v>505</v>
      </c>
      <c r="L1863" t="s">
        <v>41</v>
      </c>
      <c r="M1863" t="s">
        <v>234</v>
      </c>
      <c r="N1863" t="s">
        <v>40</v>
      </c>
      <c r="O1863" t="s">
        <v>21</v>
      </c>
      <c r="P1863" t="s">
        <v>266</v>
      </c>
      <c r="Q1863">
        <v>0</v>
      </c>
      <c r="R1863" t="s">
        <v>237</v>
      </c>
    </row>
    <row r="1864" spans="1:18" x14ac:dyDescent="0.25">
      <c r="A1864" t="s">
        <v>3815</v>
      </c>
      <c r="B1864">
        <v>2355</v>
      </c>
      <c r="C1864" t="s">
        <v>487</v>
      </c>
      <c r="D1864" t="s">
        <v>247</v>
      </c>
      <c r="E1864" t="s">
        <v>381</v>
      </c>
      <c r="F1864" t="s">
        <v>3107</v>
      </c>
      <c r="G1864" s="25">
        <v>44304</v>
      </c>
      <c r="H1864">
        <v>22</v>
      </c>
      <c r="I1864">
        <v>108</v>
      </c>
      <c r="J1864" t="s">
        <v>231</v>
      </c>
      <c r="K1864" t="s">
        <v>505</v>
      </c>
      <c r="L1864" t="s">
        <v>41</v>
      </c>
      <c r="M1864" t="s">
        <v>234</v>
      </c>
      <c r="N1864" t="s">
        <v>40</v>
      </c>
      <c r="O1864" t="s">
        <v>21</v>
      </c>
      <c r="P1864" t="s">
        <v>266</v>
      </c>
      <c r="Q1864">
        <v>0</v>
      </c>
      <c r="R1864" t="s">
        <v>237</v>
      </c>
    </row>
    <row r="1865" spans="1:18" x14ac:dyDescent="0.25">
      <c r="A1865" t="s">
        <v>3816</v>
      </c>
      <c r="B1865">
        <v>2003</v>
      </c>
      <c r="C1865" t="s">
        <v>487</v>
      </c>
      <c r="D1865" t="s">
        <v>322</v>
      </c>
      <c r="E1865" t="s">
        <v>232</v>
      </c>
      <c r="F1865" t="s">
        <v>2987</v>
      </c>
      <c r="G1865" s="25">
        <v>44288</v>
      </c>
      <c r="H1865">
        <v>19</v>
      </c>
      <c r="I1865">
        <v>92</v>
      </c>
      <c r="J1865" t="s">
        <v>231</v>
      </c>
      <c r="K1865" t="s">
        <v>505</v>
      </c>
      <c r="L1865" t="s">
        <v>41</v>
      </c>
      <c r="M1865" t="s">
        <v>234</v>
      </c>
      <c r="N1865" t="s">
        <v>40</v>
      </c>
      <c r="O1865" t="s">
        <v>21</v>
      </c>
      <c r="P1865" t="s">
        <v>266</v>
      </c>
      <c r="Q1865">
        <v>0</v>
      </c>
      <c r="R1865" t="s">
        <v>237</v>
      </c>
    </row>
    <row r="1866" spans="1:18" x14ac:dyDescent="0.25">
      <c r="A1866" t="s">
        <v>1922</v>
      </c>
      <c r="B1866">
        <v>1387</v>
      </c>
      <c r="C1866" t="s">
        <v>487</v>
      </c>
      <c r="D1866" t="s">
        <v>261</v>
      </c>
      <c r="E1866" t="s">
        <v>261</v>
      </c>
      <c r="F1866" t="s">
        <v>1410</v>
      </c>
      <c r="G1866" s="25">
        <v>44260</v>
      </c>
      <c r="H1866">
        <v>13</v>
      </c>
      <c r="I1866">
        <v>64</v>
      </c>
      <c r="J1866" t="s">
        <v>231</v>
      </c>
      <c r="K1866" t="s">
        <v>505</v>
      </c>
      <c r="L1866" t="s">
        <v>41</v>
      </c>
      <c r="M1866" t="s">
        <v>234</v>
      </c>
      <c r="N1866" t="s">
        <v>40</v>
      </c>
      <c r="O1866" t="s">
        <v>21</v>
      </c>
      <c r="P1866" t="s">
        <v>266</v>
      </c>
      <c r="Q1866">
        <v>78432</v>
      </c>
      <c r="R1866" t="s">
        <v>237</v>
      </c>
    </row>
    <row r="1867" spans="1:18" x14ac:dyDescent="0.25">
      <c r="A1867" t="s">
        <v>2601</v>
      </c>
      <c r="B1867">
        <v>1299</v>
      </c>
      <c r="C1867" t="s">
        <v>487</v>
      </c>
      <c r="D1867" t="s">
        <v>256</v>
      </c>
      <c r="E1867" t="s">
        <v>408</v>
      </c>
      <c r="F1867" t="s">
        <v>1383</v>
      </c>
      <c r="G1867" s="25">
        <v>44256</v>
      </c>
      <c r="H1867">
        <v>12</v>
      </c>
      <c r="I1867">
        <v>60</v>
      </c>
      <c r="J1867" t="s">
        <v>231</v>
      </c>
      <c r="K1867" t="s">
        <v>505</v>
      </c>
      <c r="L1867" t="s">
        <v>41</v>
      </c>
      <c r="M1867" t="s">
        <v>234</v>
      </c>
      <c r="N1867" t="s">
        <v>40</v>
      </c>
      <c r="O1867" t="s">
        <v>21</v>
      </c>
      <c r="P1867" t="s">
        <v>266</v>
      </c>
      <c r="Q1867">
        <v>44250</v>
      </c>
      <c r="R1867" t="s">
        <v>237</v>
      </c>
    </row>
    <row r="1868" spans="1:18" x14ac:dyDescent="0.25">
      <c r="A1868" t="s">
        <v>2776</v>
      </c>
      <c r="B1868">
        <v>1101</v>
      </c>
      <c r="C1868" t="s">
        <v>487</v>
      </c>
      <c r="D1868" t="s">
        <v>256</v>
      </c>
      <c r="E1868" t="s">
        <v>515</v>
      </c>
      <c r="F1868" t="s">
        <v>1329</v>
      </c>
      <c r="G1868" s="25">
        <v>44247</v>
      </c>
      <c r="H1868">
        <v>11</v>
      </c>
      <c r="I1868">
        <v>51</v>
      </c>
      <c r="J1868" t="s">
        <v>231</v>
      </c>
      <c r="K1868" t="s">
        <v>505</v>
      </c>
      <c r="L1868" t="s">
        <v>41</v>
      </c>
      <c r="M1868" t="s">
        <v>234</v>
      </c>
      <c r="N1868" t="s">
        <v>40</v>
      </c>
      <c r="O1868" t="s">
        <v>21</v>
      </c>
      <c r="P1868" t="s">
        <v>266</v>
      </c>
      <c r="Q1868">
        <v>0</v>
      </c>
      <c r="R1868" t="s">
        <v>237</v>
      </c>
    </row>
    <row r="1869" spans="1:18" x14ac:dyDescent="0.25">
      <c r="A1869" t="s">
        <v>2443</v>
      </c>
      <c r="B1869">
        <v>793</v>
      </c>
      <c r="C1869" t="s">
        <v>487</v>
      </c>
      <c r="D1869" t="s">
        <v>231</v>
      </c>
      <c r="E1869" t="s">
        <v>534</v>
      </c>
      <c r="F1869" t="s">
        <v>1731</v>
      </c>
      <c r="G1869" s="25">
        <v>44233</v>
      </c>
      <c r="H1869">
        <v>8</v>
      </c>
      <c r="I1869">
        <v>37</v>
      </c>
      <c r="J1869" t="s">
        <v>231</v>
      </c>
      <c r="K1869" t="s">
        <v>505</v>
      </c>
      <c r="L1869" t="s">
        <v>41</v>
      </c>
      <c r="M1869" t="s">
        <v>234</v>
      </c>
      <c r="N1869" t="s">
        <v>40</v>
      </c>
      <c r="O1869" t="s">
        <v>21</v>
      </c>
      <c r="P1869" t="s">
        <v>266</v>
      </c>
      <c r="Q1869">
        <v>0</v>
      </c>
      <c r="R1869" t="s">
        <v>237</v>
      </c>
    </row>
    <row r="1870" spans="1:18" x14ac:dyDescent="0.25">
      <c r="A1870" t="s">
        <v>1601</v>
      </c>
      <c r="B1870">
        <v>485</v>
      </c>
      <c r="C1870" t="s">
        <v>487</v>
      </c>
      <c r="D1870" t="s">
        <v>231</v>
      </c>
      <c r="E1870" t="s">
        <v>256</v>
      </c>
      <c r="F1870" t="s">
        <v>1064</v>
      </c>
      <c r="G1870" s="25">
        <v>44219</v>
      </c>
      <c r="H1870">
        <v>5</v>
      </c>
      <c r="I1870">
        <v>23</v>
      </c>
      <c r="J1870" t="s">
        <v>231</v>
      </c>
      <c r="K1870" t="s">
        <v>505</v>
      </c>
      <c r="L1870" t="s">
        <v>41</v>
      </c>
      <c r="M1870" t="s">
        <v>234</v>
      </c>
      <c r="N1870" t="s">
        <v>40</v>
      </c>
      <c r="O1870" t="s">
        <v>21</v>
      </c>
      <c r="P1870" t="s">
        <v>266</v>
      </c>
      <c r="Q1870">
        <v>0</v>
      </c>
      <c r="R1870" t="s">
        <v>237</v>
      </c>
    </row>
    <row r="1871" spans="1:18" x14ac:dyDescent="0.25">
      <c r="A1871" t="s">
        <v>2290</v>
      </c>
      <c r="B1871">
        <v>1762</v>
      </c>
      <c r="C1871" t="s">
        <v>487</v>
      </c>
      <c r="D1871" t="s">
        <v>322</v>
      </c>
      <c r="E1871" t="s">
        <v>229</v>
      </c>
      <c r="F1871" t="s">
        <v>1643</v>
      </c>
      <c r="G1871" s="25">
        <v>44277</v>
      </c>
      <c r="H1871">
        <v>17</v>
      </c>
      <c r="I1871">
        <v>81</v>
      </c>
      <c r="J1871" t="s">
        <v>231</v>
      </c>
      <c r="K1871" t="s">
        <v>504</v>
      </c>
      <c r="L1871" t="s">
        <v>43</v>
      </c>
      <c r="M1871" t="s">
        <v>234</v>
      </c>
      <c r="N1871" t="s">
        <v>42</v>
      </c>
      <c r="O1871" t="s">
        <v>21</v>
      </c>
      <c r="P1871" t="s">
        <v>236</v>
      </c>
      <c r="Q1871">
        <v>0</v>
      </c>
      <c r="R1871" t="s">
        <v>237</v>
      </c>
    </row>
    <row r="1872" spans="1:18" x14ac:dyDescent="0.25">
      <c r="A1872" t="s">
        <v>1771</v>
      </c>
      <c r="B1872">
        <v>1454</v>
      </c>
      <c r="C1872" t="s">
        <v>487</v>
      </c>
      <c r="D1872" t="s">
        <v>261</v>
      </c>
      <c r="E1872" t="s">
        <v>326</v>
      </c>
      <c r="F1872" t="s">
        <v>1440</v>
      </c>
      <c r="G1872" s="25">
        <v>44263</v>
      </c>
      <c r="H1872">
        <v>14</v>
      </c>
      <c r="I1872">
        <v>67</v>
      </c>
      <c r="J1872" t="s">
        <v>231</v>
      </c>
      <c r="K1872" t="s">
        <v>504</v>
      </c>
      <c r="L1872" t="s">
        <v>43</v>
      </c>
      <c r="M1872" t="s">
        <v>234</v>
      </c>
      <c r="N1872" t="s">
        <v>42</v>
      </c>
      <c r="O1872" t="s">
        <v>21</v>
      </c>
      <c r="P1872" t="s">
        <v>236</v>
      </c>
      <c r="Q1872">
        <v>28364</v>
      </c>
      <c r="R1872" t="s">
        <v>237</v>
      </c>
    </row>
    <row r="1873" spans="1:18" x14ac:dyDescent="0.25">
      <c r="A1873" t="s">
        <v>1987</v>
      </c>
      <c r="B1873">
        <v>552</v>
      </c>
      <c r="C1873" t="s">
        <v>487</v>
      </c>
      <c r="D1873" t="s">
        <v>231</v>
      </c>
      <c r="E1873" t="s">
        <v>247</v>
      </c>
      <c r="F1873" t="s">
        <v>1088</v>
      </c>
      <c r="G1873" s="25">
        <v>44222</v>
      </c>
      <c r="H1873">
        <v>6</v>
      </c>
      <c r="I1873">
        <v>26</v>
      </c>
      <c r="J1873" t="s">
        <v>231</v>
      </c>
      <c r="K1873" t="s">
        <v>504</v>
      </c>
      <c r="L1873" t="s">
        <v>43</v>
      </c>
      <c r="M1873" t="s">
        <v>234</v>
      </c>
      <c r="N1873" t="s">
        <v>42</v>
      </c>
      <c r="O1873" t="s">
        <v>21</v>
      </c>
      <c r="P1873" t="s">
        <v>236</v>
      </c>
      <c r="Q1873">
        <v>0</v>
      </c>
      <c r="R1873" t="s">
        <v>237</v>
      </c>
    </row>
    <row r="1874" spans="1:18" x14ac:dyDescent="0.25">
      <c r="A1874" t="s">
        <v>2229</v>
      </c>
      <c r="B1874">
        <v>1681</v>
      </c>
      <c r="C1874" t="s">
        <v>487</v>
      </c>
      <c r="D1874" t="s">
        <v>261</v>
      </c>
      <c r="E1874" t="s">
        <v>534</v>
      </c>
      <c r="F1874" t="s">
        <v>1563</v>
      </c>
      <c r="G1874" s="25">
        <v>44273</v>
      </c>
      <c r="H1874">
        <v>16</v>
      </c>
      <c r="I1874">
        <v>77</v>
      </c>
      <c r="J1874" t="s">
        <v>231</v>
      </c>
      <c r="K1874" t="s">
        <v>503</v>
      </c>
      <c r="L1874" t="s">
        <v>303</v>
      </c>
      <c r="M1874" t="s">
        <v>234</v>
      </c>
      <c r="N1874" t="s">
        <v>56</v>
      </c>
      <c r="O1874" t="s">
        <v>235</v>
      </c>
      <c r="P1874" t="s">
        <v>304</v>
      </c>
      <c r="Q1874">
        <v>0</v>
      </c>
      <c r="R1874" t="s">
        <v>237</v>
      </c>
    </row>
    <row r="1875" spans="1:18" x14ac:dyDescent="0.25">
      <c r="A1875" t="s">
        <v>2394</v>
      </c>
      <c r="B1875">
        <v>1153</v>
      </c>
      <c r="C1875" t="s">
        <v>487</v>
      </c>
      <c r="D1875" t="s">
        <v>256</v>
      </c>
      <c r="E1875" t="s">
        <v>512</v>
      </c>
      <c r="F1875" t="s">
        <v>1342</v>
      </c>
      <c r="G1875" s="25">
        <v>44249</v>
      </c>
      <c r="H1875">
        <v>11</v>
      </c>
      <c r="I1875">
        <v>53</v>
      </c>
      <c r="J1875" t="s">
        <v>231</v>
      </c>
      <c r="K1875" t="s">
        <v>503</v>
      </c>
      <c r="L1875" t="s">
        <v>303</v>
      </c>
      <c r="M1875" t="s">
        <v>234</v>
      </c>
      <c r="N1875" t="s">
        <v>56</v>
      </c>
      <c r="O1875" t="s">
        <v>235</v>
      </c>
      <c r="P1875" t="s">
        <v>304</v>
      </c>
      <c r="Q1875">
        <v>0</v>
      </c>
      <c r="R1875" t="s">
        <v>237</v>
      </c>
    </row>
    <row r="1876" spans="1:18" x14ac:dyDescent="0.25">
      <c r="A1876" t="s">
        <v>2042</v>
      </c>
      <c r="B1876">
        <v>845</v>
      </c>
      <c r="C1876" t="s">
        <v>487</v>
      </c>
      <c r="D1876" t="s">
        <v>231</v>
      </c>
      <c r="E1876" t="s">
        <v>531</v>
      </c>
      <c r="F1876" t="s">
        <v>1230</v>
      </c>
      <c r="G1876" s="25">
        <v>44235</v>
      </c>
      <c r="H1876">
        <v>8</v>
      </c>
      <c r="I1876">
        <v>39</v>
      </c>
      <c r="J1876" t="s">
        <v>231</v>
      </c>
      <c r="K1876" t="s">
        <v>503</v>
      </c>
      <c r="L1876" t="s">
        <v>303</v>
      </c>
      <c r="M1876" t="s">
        <v>234</v>
      </c>
      <c r="N1876" t="s">
        <v>56</v>
      </c>
      <c r="O1876" t="s">
        <v>235</v>
      </c>
      <c r="P1876" t="s">
        <v>304</v>
      </c>
      <c r="Q1876">
        <v>0</v>
      </c>
      <c r="R1876" t="s">
        <v>237</v>
      </c>
    </row>
    <row r="1877" spans="1:18" x14ac:dyDescent="0.25">
      <c r="A1877" t="s">
        <v>3817</v>
      </c>
      <c r="B1877">
        <v>2055</v>
      </c>
      <c r="C1877" t="s">
        <v>487</v>
      </c>
      <c r="D1877" t="s">
        <v>322</v>
      </c>
      <c r="E1877" t="s">
        <v>537</v>
      </c>
      <c r="F1877" t="s">
        <v>2999</v>
      </c>
      <c r="G1877" s="25">
        <v>44290</v>
      </c>
      <c r="H1877">
        <v>19</v>
      </c>
      <c r="I1877">
        <v>94</v>
      </c>
      <c r="J1877" t="s">
        <v>231</v>
      </c>
      <c r="K1877" t="s">
        <v>503</v>
      </c>
      <c r="L1877" t="s">
        <v>303</v>
      </c>
      <c r="M1877" t="s">
        <v>234</v>
      </c>
      <c r="N1877" t="s">
        <v>56</v>
      </c>
      <c r="O1877" t="s">
        <v>235</v>
      </c>
      <c r="P1877" t="s">
        <v>304</v>
      </c>
      <c r="Q1877">
        <v>0</v>
      </c>
      <c r="R1877" t="s">
        <v>237</v>
      </c>
    </row>
    <row r="1878" spans="1:18" x14ac:dyDescent="0.25">
      <c r="A1878" t="s">
        <v>2046</v>
      </c>
      <c r="B1878">
        <v>648</v>
      </c>
      <c r="C1878" t="s">
        <v>487</v>
      </c>
      <c r="D1878" t="s">
        <v>231</v>
      </c>
      <c r="E1878" t="s">
        <v>239</v>
      </c>
      <c r="F1878" t="s">
        <v>1139</v>
      </c>
      <c r="G1878" s="25">
        <v>44226</v>
      </c>
      <c r="H1878">
        <v>6</v>
      </c>
      <c r="I1878">
        <v>30</v>
      </c>
      <c r="J1878" t="s">
        <v>231</v>
      </c>
      <c r="K1878" t="s">
        <v>502</v>
      </c>
      <c r="L1878" t="s">
        <v>287</v>
      </c>
      <c r="M1878" t="s">
        <v>234</v>
      </c>
      <c r="N1878" t="s">
        <v>58</v>
      </c>
      <c r="O1878" t="s">
        <v>235</v>
      </c>
      <c r="P1878" t="s">
        <v>288</v>
      </c>
      <c r="Q1878">
        <v>0</v>
      </c>
      <c r="R1878" t="s">
        <v>237</v>
      </c>
    </row>
    <row r="1879" spans="1:18" x14ac:dyDescent="0.25">
      <c r="A1879" t="s">
        <v>3818</v>
      </c>
      <c r="B1879">
        <v>2518</v>
      </c>
      <c r="C1879" t="s">
        <v>487</v>
      </c>
      <c r="D1879" t="s">
        <v>247</v>
      </c>
      <c r="E1879" t="s">
        <v>575</v>
      </c>
      <c r="F1879" t="s">
        <v>3158</v>
      </c>
      <c r="G1879" s="25">
        <v>44311</v>
      </c>
      <c r="H1879">
        <v>23</v>
      </c>
      <c r="I1879">
        <v>115</v>
      </c>
      <c r="J1879" t="s">
        <v>231</v>
      </c>
      <c r="K1879" t="s">
        <v>502</v>
      </c>
      <c r="L1879" t="s">
        <v>287</v>
      </c>
      <c r="M1879" t="s">
        <v>234</v>
      </c>
      <c r="N1879" t="s">
        <v>58</v>
      </c>
      <c r="O1879" t="s">
        <v>235</v>
      </c>
      <c r="P1879" t="s">
        <v>288</v>
      </c>
      <c r="Q1879">
        <v>0</v>
      </c>
      <c r="R1879" t="s">
        <v>237</v>
      </c>
    </row>
    <row r="1880" spans="1:18" x14ac:dyDescent="0.25">
      <c r="A1880" t="s">
        <v>2238</v>
      </c>
      <c r="B1880">
        <v>891</v>
      </c>
      <c r="C1880" t="s">
        <v>487</v>
      </c>
      <c r="D1880" t="s">
        <v>256</v>
      </c>
      <c r="E1880" t="s">
        <v>229</v>
      </c>
      <c r="F1880" t="s">
        <v>1241</v>
      </c>
      <c r="G1880" s="25">
        <v>44237</v>
      </c>
      <c r="H1880">
        <v>9</v>
      </c>
      <c r="I1880">
        <v>41</v>
      </c>
      <c r="J1880" t="s">
        <v>231</v>
      </c>
      <c r="K1880" t="s">
        <v>501</v>
      </c>
      <c r="L1880" t="s">
        <v>412</v>
      </c>
      <c r="M1880" t="s">
        <v>234</v>
      </c>
      <c r="N1880" t="s">
        <v>60</v>
      </c>
      <c r="O1880" t="s">
        <v>235</v>
      </c>
      <c r="P1880" t="s">
        <v>413</v>
      </c>
      <c r="Q1880">
        <v>0</v>
      </c>
      <c r="R1880" t="s">
        <v>237</v>
      </c>
    </row>
    <row r="1881" spans="1:18" x14ac:dyDescent="0.25">
      <c r="A1881" t="s">
        <v>3819</v>
      </c>
      <c r="B1881">
        <v>2629</v>
      </c>
      <c r="C1881" t="s">
        <v>487</v>
      </c>
      <c r="D1881" t="s">
        <v>247</v>
      </c>
      <c r="E1881" t="s">
        <v>408</v>
      </c>
      <c r="F1881" t="s">
        <v>3178</v>
      </c>
      <c r="G1881" s="25">
        <v>44316</v>
      </c>
      <c r="H1881">
        <v>24</v>
      </c>
      <c r="I1881">
        <v>120</v>
      </c>
      <c r="J1881" t="s">
        <v>231</v>
      </c>
      <c r="K1881" t="s">
        <v>501</v>
      </c>
      <c r="L1881" t="s">
        <v>412</v>
      </c>
      <c r="M1881" t="s">
        <v>234</v>
      </c>
      <c r="N1881" t="s">
        <v>60</v>
      </c>
      <c r="O1881" t="s">
        <v>235</v>
      </c>
      <c r="P1881" t="s">
        <v>413</v>
      </c>
      <c r="Q1881">
        <v>0</v>
      </c>
      <c r="R1881" t="s">
        <v>237</v>
      </c>
    </row>
    <row r="1882" spans="1:18" x14ac:dyDescent="0.25">
      <c r="A1882" t="s">
        <v>1738</v>
      </c>
      <c r="B1882">
        <v>535</v>
      </c>
      <c r="C1882" t="s">
        <v>487</v>
      </c>
      <c r="D1882" t="s">
        <v>231</v>
      </c>
      <c r="E1882" t="s">
        <v>322</v>
      </c>
      <c r="F1882" t="s">
        <v>1085</v>
      </c>
      <c r="G1882" s="25">
        <v>44221</v>
      </c>
      <c r="H1882">
        <v>5</v>
      </c>
      <c r="I1882">
        <v>25</v>
      </c>
      <c r="J1882" t="s">
        <v>231</v>
      </c>
      <c r="K1882" t="s">
        <v>500</v>
      </c>
      <c r="L1882" t="s">
        <v>265</v>
      </c>
      <c r="M1882" t="s">
        <v>234</v>
      </c>
      <c r="N1882" t="s">
        <v>52</v>
      </c>
      <c r="O1882" t="s">
        <v>235</v>
      </c>
      <c r="P1882" t="s">
        <v>266</v>
      </c>
      <c r="Q1882">
        <v>0</v>
      </c>
      <c r="R1882" t="s">
        <v>237</v>
      </c>
    </row>
    <row r="1883" spans="1:18" x14ac:dyDescent="0.25">
      <c r="A1883" t="s">
        <v>3820</v>
      </c>
      <c r="B1883">
        <v>2053</v>
      </c>
      <c r="C1883" t="s">
        <v>487</v>
      </c>
      <c r="D1883" t="s">
        <v>322</v>
      </c>
      <c r="E1883" t="s">
        <v>537</v>
      </c>
      <c r="F1883" t="s">
        <v>2999</v>
      </c>
      <c r="G1883" s="25">
        <v>44290</v>
      </c>
      <c r="H1883">
        <v>19</v>
      </c>
      <c r="I1883">
        <v>94</v>
      </c>
      <c r="J1883" t="s">
        <v>231</v>
      </c>
      <c r="K1883" t="s">
        <v>500</v>
      </c>
      <c r="L1883" t="s">
        <v>265</v>
      </c>
      <c r="M1883" t="s">
        <v>234</v>
      </c>
      <c r="N1883" t="s">
        <v>52</v>
      </c>
      <c r="O1883" t="s">
        <v>235</v>
      </c>
      <c r="P1883" t="s">
        <v>266</v>
      </c>
      <c r="Q1883">
        <v>0</v>
      </c>
      <c r="R1883" t="s">
        <v>237</v>
      </c>
    </row>
    <row r="1884" spans="1:18" x14ac:dyDescent="0.25">
      <c r="A1884" t="s">
        <v>2558</v>
      </c>
      <c r="B1884">
        <v>1151</v>
      </c>
      <c r="C1884" t="s">
        <v>487</v>
      </c>
      <c r="D1884" t="s">
        <v>256</v>
      </c>
      <c r="E1884" t="s">
        <v>512</v>
      </c>
      <c r="F1884" t="s">
        <v>1342</v>
      </c>
      <c r="G1884" s="25">
        <v>44249</v>
      </c>
      <c r="H1884">
        <v>11</v>
      </c>
      <c r="I1884">
        <v>53</v>
      </c>
      <c r="J1884" t="s">
        <v>231</v>
      </c>
      <c r="K1884" t="s">
        <v>500</v>
      </c>
      <c r="L1884" t="s">
        <v>265</v>
      </c>
      <c r="M1884" t="s">
        <v>234</v>
      </c>
      <c r="N1884" t="s">
        <v>52</v>
      </c>
      <c r="O1884" t="s">
        <v>235</v>
      </c>
      <c r="P1884" t="s">
        <v>266</v>
      </c>
      <c r="Q1884">
        <v>0</v>
      </c>
      <c r="R1884" t="s">
        <v>237</v>
      </c>
    </row>
    <row r="1885" spans="1:18" x14ac:dyDescent="0.25">
      <c r="A1885" t="s">
        <v>2240</v>
      </c>
      <c r="B1885">
        <v>843</v>
      </c>
      <c r="C1885" t="s">
        <v>487</v>
      </c>
      <c r="D1885" t="s">
        <v>231</v>
      </c>
      <c r="E1885" t="s">
        <v>531</v>
      </c>
      <c r="F1885" t="s">
        <v>1230</v>
      </c>
      <c r="G1885" s="25">
        <v>44235</v>
      </c>
      <c r="H1885">
        <v>8</v>
      </c>
      <c r="I1885">
        <v>39</v>
      </c>
      <c r="J1885" t="s">
        <v>231</v>
      </c>
      <c r="K1885" t="s">
        <v>500</v>
      </c>
      <c r="L1885" t="s">
        <v>265</v>
      </c>
      <c r="M1885" t="s">
        <v>234</v>
      </c>
      <c r="N1885" t="s">
        <v>52</v>
      </c>
      <c r="O1885" t="s">
        <v>235</v>
      </c>
      <c r="P1885" t="s">
        <v>266</v>
      </c>
      <c r="Q1885">
        <v>0</v>
      </c>
      <c r="R1885" t="s">
        <v>237</v>
      </c>
    </row>
    <row r="1886" spans="1:18" x14ac:dyDescent="0.25">
      <c r="A1886" t="s">
        <v>3821</v>
      </c>
      <c r="B1886">
        <v>1970</v>
      </c>
      <c r="C1886" t="s">
        <v>487</v>
      </c>
      <c r="D1886" t="s">
        <v>322</v>
      </c>
      <c r="E1886" t="s">
        <v>239</v>
      </c>
      <c r="F1886" t="s">
        <v>2979</v>
      </c>
      <c r="G1886" s="25">
        <v>44286</v>
      </c>
      <c r="H1886">
        <v>18</v>
      </c>
      <c r="I1886">
        <v>90</v>
      </c>
      <c r="J1886" t="s">
        <v>231</v>
      </c>
      <c r="K1886" t="s">
        <v>499</v>
      </c>
      <c r="L1886" t="s">
        <v>410</v>
      </c>
      <c r="M1886" t="s">
        <v>234</v>
      </c>
      <c r="N1886" t="s">
        <v>62</v>
      </c>
      <c r="O1886" t="s">
        <v>235</v>
      </c>
      <c r="P1886" t="s">
        <v>411</v>
      </c>
      <c r="Q1886">
        <v>0</v>
      </c>
      <c r="R1886" t="s">
        <v>237</v>
      </c>
    </row>
    <row r="1887" spans="1:18" x14ac:dyDescent="0.25">
      <c r="A1887" t="s">
        <v>2460</v>
      </c>
      <c r="B1887">
        <v>1310</v>
      </c>
      <c r="C1887" t="s">
        <v>487</v>
      </c>
      <c r="D1887" t="s">
        <v>256</v>
      </c>
      <c r="E1887" t="s">
        <v>408</v>
      </c>
      <c r="F1887" t="s">
        <v>1383</v>
      </c>
      <c r="G1887" s="25">
        <v>44256</v>
      </c>
      <c r="H1887">
        <v>12</v>
      </c>
      <c r="I1887">
        <v>60</v>
      </c>
      <c r="J1887" t="s">
        <v>231</v>
      </c>
      <c r="K1887" t="s">
        <v>499</v>
      </c>
      <c r="L1887" t="s">
        <v>410</v>
      </c>
      <c r="M1887" t="s">
        <v>234</v>
      </c>
      <c r="N1887" t="s">
        <v>62</v>
      </c>
      <c r="O1887" t="s">
        <v>235</v>
      </c>
      <c r="P1887" t="s">
        <v>411</v>
      </c>
      <c r="Q1887">
        <v>0</v>
      </c>
      <c r="R1887" t="s">
        <v>237</v>
      </c>
    </row>
    <row r="1888" spans="1:18" x14ac:dyDescent="0.25">
      <c r="A1888" t="s">
        <v>2735</v>
      </c>
      <c r="B1888">
        <v>1451</v>
      </c>
      <c r="C1888" t="s">
        <v>487</v>
      </c>
      <c r="D1888" t="s">
        <v>261</v>
      </c>
      <c r="E1888" t="s">
        <v>247</v>
      </c>
      <c r="F1888" t="s">
        <v>1425</v>
      </c>
      <c r="G1888" s="25">
        <v>44262</v>
      </c>
      <c r="H1888">
        <v>14</v>
      </c>
      <c r="I1888">
        <v>66</v>
      </c>
      <c r="J1888" t="s">
        <v>432</v>
      </c>
      <c r="K1888" t="s">
        <v>498</v>
      </c>
      <c r="L1888" t="s">
        <v>26</v>
      </c>
      <c r="M1888" t="s">
        <v>434</v>
      </c>
      <c r="N1888" t="s">
        <v>77</v>
      </c>
      <c r="O1888" t="s">
        <v>435</v>
      </c>
      <c r="P1888" t="s">
        <v>26</v>
      </c>
      <c r="Q1888">
        <v>162553.125</v>
      </c>
      <c r="R1888" t="s">
        <v>436</v>
      </c>
    </row>
    <row r="1889" spans="1:18" x14ac:dyDescent="0.25">
      <c r="A1889" t="s">
        <v>1675</v>
      </c>
      <c r="B1889">
        <v>1231</v>
      </c>
      <c r="C1889" t="s">
        <v>487</v>
      </c>
      <c r="D1889" t="s">
        <v>256</v>
      </c>
      <c r="E1889" t="s">
        <v>620</v>
      </c>
      <c r="F1889" t="s">
        <v>1350</v>
      </c>
      <c r="G1889" s="25">
        <v>44252</v>
      </c>
      <c r="H1889">
        <v>12</v>
      </c>
      <c r="I1889">
        <v>56</v>
      </c>
      <c r="J1889" t="s">
        <v>432</v>
      </c>
      <c r="K1889" t="s">
        <v>498</v>
      </c>
      <c r="L1889" t="s">
        <v>26</v>
      </c>
      <c r="M1889" t="s">
        <v>434</v>
      </c>
      <c r="N1889" t="s">
        <v>77</v>
      </c>
      <c r="O1889" t="s">
        <v>435</v>
      </c>
      <c r="P1889" t="s">
        <v>26</v>
      </c>
      <c r="Q1889">
        <v>202606.25</v>
      </c>
      <c r="R1889" t="s">
        <v>436</v>
      </c>
    </row>
    <row r="1890" spans="1:18" x14ac:dyDescent="0.25">
      <c r="A1890" t="s">
        <v>1785</v>
      </c>
      <c r="B1890">
        <v>1405</v>
      </c>
      <c r="C1890" t="s">
        <v>487</v>
      </c>
      <c r="D1890" t="s">
        <v>261</v>
      </c>
      <c r="E1890" t="s">
        <v>261</v>
      </c>
      <c r="F1890" t="s">
        <v>1410</v>
      </c>
      <c r="G1890" s="25">
        <v>44260</v>
      </c>
      <c r="H1890">
        <v>13</v>
      </c>
      <c r="I1890">
        <v>64</v>
      </c>
      <c r="J1890" t="s">
        <v>432</v>
      </c>
      <c r="K1890" t="s">
        <v>497</v>
      </c>
      <c r="L1890" t="s">
        <v>438</v>
      </c>
      <c r="M1890" t="s">
        <v>434</v>
      </c>
      <c r="N1890" t="s">
        <v>75</v>
      </c>
      <c r="O1890" t="s">
        <v>435</v>
      </c>
      <c r="P1890" t="s">
        <v>438</v>
      </c>
      <c r="Q1890">
        <v>37050</v>
      </c>
      <c r="R1890" t="s">
        <v>436</v>
      </c>
    </row>
    <row r="1891" spans="1:18" x14ac:dyDescent="0.25">
      <c r="A1891" t="s">
        <v>3822</v>
      </c>
      <c r="B1891">
        <v>1977</v>
      </c>
      <c r="C1891" t="s">
        <v>487</v>
      </c>
      <c r="D1891" t="s">
        <v>322</v>
      </c>
      <c r="E1891" t="s">
        <v>239</v>
      </c>
      <c r="F1891" t="s">
        <v>2979</v>
      </c>
      <c r="G1891" s="25">
        <v>44286</v>
      </c>
      <c r="H1891">
        <v>18</v>
      </c>
      <c r="I1891">
        <v>90</v>
      </c>
      <c r="J1891" t="s">
        <v>432</v>
      </c>
      <c r="K1891" t="s">
        <v>497</v>
      </c>
      <c r="L1891" t="s">
        <v>438</v>
      </c>
      <c r="M1891" t="s">
        <v>434</v>
      </c>
      <c r="N1891" t="s">
        <v>75</v>
      </c>
      <c r="O1891" t="s">
        <v>435</v>
      </c>
      <c r="P1891" t="s">
        <v>438</v>
      </c>
      <c r="Q1891">
        <v>55200</v>
      </c>
      <c r="R1891" t="s">
        <v>436</v>
      </c>
    </row>
    <row r="1892" spans="1:18" x14ac:dyDescent="0.25">
      <c r="A1892" t="s">
        <v>2364</v>
      </c>
      <c r="B1892">
        <v>1203</v>
      </c>
      <c r="C1892" t="s">
        <v>487</v>
      </c>
      <c r="D1892" t="s">
        <v>256</v>
      </c>
      <c r="E1892" t="s">
        <v>575</v>
      </c>
      <c r="F1892" t="s">
        <v>1668</v>
      </c>
      <c r="G1892" s="25">
        <v>44251</v>
      </c>
      <c r="H1892">
        <v>11</v>
      </c>
      <c r="I1892">
        <v>55</v>
      </c>
      <c r="J1892" t="s">
        <v>432</v>
      </c>
      <c r="K1892" t="s">
        <v>496</v>
      </c>
      <c r="L1892" t="s">
        <v>69</v>
      </c>
      <c r="M1892" t="s">
        <v>434</v>
      </c>
      <c r="N1892" t="s">
        <v>68</v>
      </c>
      <c r="O1892" t="s">
        <v>21</v>
      </c>
      <c r="P1892" t="s">
        <v>439</v>
      </c>
      <c r="Q1892">
        <v>457875</v>
      </c>
      <c r="R1892" t="s">
        <v>237</v>
      </c>
    </row>
    <row r="1893" spans="1:18" x14ac:dyDescent="0.25">
      <c r="A1893" t="s">
        <v>1882</v>
      </c>
      <c r="B1893">
        <v>741</v>
      </c>
      <c r="C1893" t="s">
        <v>487</v>
      </c>
      <c r="D1893" t="s">
        <v>231</v>
      </c>
      <c r="E1893" t="s">
        <v>537</v>
      </c>
      <c r="F1893" t="s">
        <v>1192</v>
      </c>
      <c r="G1893" s="25">
        <v>44230</v>
      </c>
      <c r="H1893">
        <v>7</v>
      </c>
      <c r="I1893">
        <v>34</v>
      </c>
      <c r="J1893" t="s">
        <v>432</v>
      </c>
      <c r="K1893" t="s">
        <v>496</v>
      </c>
      <c r="L1893" t="s">
        <v>69</v>
      </c>
      <c r="M1893" t="s">
        <v>434</v>
      </c>
      <c r="N1893" t="s">
        <v>68</v>
      </c>
      <c r="O1893" t="s">
        <v>21</v>
      </c>
      <c r="P1893" t="s">
        <v>439</v>
      </c>
      <c r="Q1893">
        <v>167250</v>
      </c>
      <c r="R1893" t="s">
        <v>237</v>
      </c>
    </row>
    <row r="1894" spans="1:18" x14ac:dyDescent="0.25">
      <c r="A1894" t="s">
        <v>254</v>
      </c>
      <c r="B1894">
        <v>104</v>
      </c>
      <c r="C1894" t="s">
        <v>487</v>
      </c>
      <c r="D1894" t="s">
        <v>229</v>
      </c>
      <c r="E1894" t="s">
        <v>322</v>
      </c>
      <c r="F1894" t="s">
        <v>529</v>
      </c>
      <c r="G1894" s="25">
        <v>44201</v>
      </c>
      <c r="H1894">
        <v>1</v>
      </c>
      <c r="I1894">
        <v>5</v>
      </c>
      <c r="J1894" t="s">
        <v>432</v>
      </c>
      <c r="K1894" t="s">
        <v>495</v>
      </c>
      <c r="L1894" t="s">
        <v>135</v>
      </c>
      <c r="M1894" t="s">
        <v>434</v>
      </c>
      <c r="N1894" t="s">
        <v>70</v>
      </c>
      <c r="O1894" t="s">
        <v>21</v>
      </c>
      <c r="P1894" t="s">
        <v>440</v>
      </c>
      <c r="Q1894">
        <v>72000</v>
      </c>
      <c r="R1894" t="s">
        <v>237</v>
      </c>
    </row>
    <row r="1895" spans="1:18" x14ac:dyDescent="0.25">
      <c r="A1895" t="s">
        <v>3823</v>
      </c>
      <c r="B1895">
        <v>1908</v>
      </c>
      <c r="C1895" t="s">
        <v>487</v>
      </c>
      <c r="D1895" t="s">
        <v>322</v>
      </c>
      <c r="E1895" t="s">
        <v>326</v>
      </c>
      <c r="F1895" t="s">
        <v>2967</v>
      </c>
      <c r="G1895" s="25">
        <v>44283</v>
      </c>
      <c r="H1895">
        <v>18</v>
      </c>
      <c r="I1895">
        <v>87</v>
      </c>
      <c r="J1895" t="s">
        <v>432</v>
      </c>
      <c r="K1895" t="s">
        <v>495</v>
      </c>
      <c r="L1895" t="s">
        <v>135</v>
      </c>
      <c r="M1895" t="s">
        <v>434</v>
      </c>
      <c r="N1895" t="s">
        <v>70</v>
      </c>
      <c r="O1895" t="s">
        <v>21</v>
      </c>
      <c r="P1895" t="s">
        <v>440</v>
      </c>
      <c r="Q1895">
        <v>681000</v>
      </c>
      <c r="R1895" t="s">
        <v>237</v>
      </c>
    </row>
    <row r="1896" spans="1:18" x14ac:dyDescent="0.25">
      <c r="A1896" t="s">
        <v>2681</v>
      </c>
      <c r="B1896">
        <v>1446</v>
      </c>
      <c r="C1896" t="s">
        <v>487</v>
      </c>
      <c r="D1896" t="s">
        <v>261</v>
      </c>
      <c r="E1896" t="s">
        <v>247</v>
      </c>
      <c r="F1896" t="s">
        <v>1425</v>
      </c>
      <c r="G1896" s="25">
        <v>44262</v>
      </c>
      <c r="H1896">
        <v>14</v>
      </c>
      <c r="I1896">
        <v>66</v>
      </c>
      <c r="J1896" t="s">
        <v>432</v>
      </c>
      <c r="K1896" t="s">
        <v>495</v>
      </c>
      <c r="L1896" t="s">
        <v>135</v>
      </c>
      <c r="M1896" t="s">
        <v>434</v>
      </c>
      <c r="N1896" t="s">
        <v>70</v>
      </c>
      <c r="O1896" t="s">
        <v>21</v>
      </c>
      <c r="P1896" t="s">
        <v>440</v>
      </c>
      <c r="Q1896">
        <v>240875</v>
      </c>
      <c r="R1896" t="s">
        <v>237</v>
      </c>
    </row>
    <row r="1897" spans="1:18" x14ac:dyDescent="0.25">
      <c r="A1897" t="s">
        <v>2799</v>
      </c>
      <c r="B1897">
        <v>1072</v>
      </c>
      <c r="C1897" t="s">
        <v>487</v>
      </c>
      <c r="D1897" t="s">
        <v>256</v>
      </c>
      <c r="E1897" t="s">
        <v>371</v>
      </c>
      <c r="F1897" t="s">
        <v>1318</v>
      </c>
      <c r="G1897" s="25">
        <v>44245</v>
      </c>
      <c r="H1897">
        <v>10</v>
      </c>
      <c r="I1897">
        <v>49</v>
      </c>
      <c r="J1897" t="s">
        <v>432</v>
      </c>
      <c r="K1897" t="s">
        <v>495</v>
      </c>
      <c r="L1897" t="s">
        <v>135</v>
      </c>
      <c r="M1897" t="s">
        <v>434</v>
      </c>
      <c r="N1897" t="s">
        <v>70</v>
      </c>
      <c r="O1897" t="s">
        <v>21</v>
      </c>
      <c r="P1897" t="s">
        <v>440</v>
      </c>
      <c r="Q1897">
        <v>512000</v>
      </c>
      <c r="R1897" t="s">
        <v>237</v>
      </c>
    </row>
    <row r="1898" spans="1:18" x14ac:dyDescent="0.25">
      <c r="A1898" t="s">
        <v>3824</v>
      </c>
      <c r="B1898">
        <v>2308</v>
      </c>
      <c r="C1898" t="s">
        <v>487</v>
      </c>
      <c r="D1898" t="s">
        <v>247</v>
      </c>
      <c r="E1898" t="s">
        <v>322</v>
      </c>
      <c r="F1898" t="s">
        <v>3083</v>
      </c>
      <c r="G1898" s="25">
        <v>44301</v>
      </c>
      <c r="H1898">
        <v>21</v>
      </c>
      <c r="I1898">
        <v>105</v>
      </c>
      <c r="J1898" t="s">
        <v>432</v>
      </c>
      <c r="K1898" t="s">
        <v>494</v>
      </c>
      <c r="L1898" t="s">
        <v>25</v>
      </c>
      <c r="M1898" t="s">
        <v>434</v>
      </c>
      <c r="N1898" t="s">
        <v>76</v>
      </c>
      <c r="O1898" t="s">
        <v>435</v>
      </c>
      <c r="P1898" t="s">
        <v>25</v>
      </c>
      <c r="Q1898">
        <v>38250</v>
      </c>
      <c r="R1898" t="s">
        <v>436</v>
      </c>
    </row>
    <row r="1899" spans="1:18" x14ac:dyDescent="0.25">
      <c r="A1899" t="s">
        <v>3825</v>
      </c>
      <c r="B1899">
        <v>1934</v>
      </c>
      <c r="C1899" t="s">
        <v>487</v>
      </c>
      <c r="D1899" t="s">
        <v>322</v>
      </c>
      <c r="E1899" t="s">
        <v>381</v>
      </c>
      <c r="F1899" t="s">
        <v>2971</v>
      </c>
      <c r="G1899" s="25">
        <v>44284</v>
      </c>
      <c r="H1899">
        <v>18</v>
      </c>
      <c r="I1899">
        <v>88</v>
      </c>
      <c r="J1899" t="s">
        <v>432</v>
      </c>
      <c r="K1899" t="s">
        <v>494</v>
      </c>
      <c r="L1899" t="s">
        <v>25</v>
      </c>
      <c r="M1899" t="s">
        <v>434</v>
      </c>
      <c r="N1899" t="s">
        <v>76</v>
      </c>
      <c r="O1899" t="s">
        <v>435</v>
      </c>
      <c r="P1899" t="s">
        <v>25</v>
      </c>
      <c r="Q1899">
        <v>77550</v>
      </c>
      <c r="R1899" t="s">
        <v>436</v>
      </c>
    </row>
    <row r="1900" spans="1:18" x14ac:dyDescent="0.25">
      <c r="A1900" t="s">
        <v>3826</v>
      </c>
      <c r="B1900">
        <v>2332</v>
      </c>
      <c r="C1900" t="s">
        <v>487</v>
      </c>
      <c r="D1900" t="s">
        <v>247</v>
      </c>
      <c r="E1900" t="s">
        <v>247</v>
      </c>
      <c r="F1900" t="s">
        <v>3085</v>
      </c>
      <c r="G1900" s="25">
        <v>44302</v>
      </c>
      <c r="H1900">
        <v>22</v>
      </c>
      <c r="I1900">
        <v>106</v>
      </c>
      <c r="J1900" t="s">
        <v>432</v>
      </c>
      <c r="K1900" t="s">
        <v>493</v>
      </c>
      <c r="L1900" t="s">
        <v>441</v>
      </c>
      <c r="M1900" t="s">
        <v>434</v>
      </c>
      <c r="N1900" t="s">
        <v>78</v>
      </c>
      <c r="O1900" t="s">
        <v>435</v>
      </c>
      <c r="P1900" t="s">
        <v>441</v>
      </c>
      <c r="Q1900">
        <v>203573.75</v>
      </c>
      <c r="R1900" t="s">
        <v>436</v>
      </c>
    </row>
    <row r="1901" spans="1:18" x14ac:dyDescent="0.25">
      <c r="A1901" t="s">
        <v>2312</v>
      </c>
      <c r="B1901">
        <v>990</v>
      </c>
      <c r="C1901" t="s">
        <v>487</v>
      </c>
      <c r="D1901" t="s">
        <v>256</v>
      </c>
      <c r="E1901" t="s">
        <v>322</v>
      </c>
      <c r="F1901" t="s">
        <v>1288</v>
      </c>
      <c r="G1901" s="25">
        <v>44241</v>
      </c>
      <c r="H1901">
        <v>9</v>
      </c>
      <c r="I1901">
        <v>45</v>
      </c>
      <c r="J1901" t="s">
        <v>432</v>
      </c>
      <c r="K1901" t="s">
        <v>493</v>
      </c>
      <c r="L1901" t="s">
        <v>441</v>
      </c>
      <c r="M1901" t="s">
        <v>434</v>
      </c>
      <c r="N1901" t="s">
        <v>78</v>
      </c>
      <c r="O1901" t="s">
        <v>435</v>
      </c>
      <c r="P1901" t="s">
        <v>441</v>
      </c>
      <c r="Q1901">
        <v>269718.75</v>
      </c>
      <c r="R1901" t="s">
        <v>436</v>
      </c>
    </row>
    <row r="1902" spans="1:18" x14ac:dyDescent="0.25">
      <c r="A1902" t="s">
        <v>2315</v>
      </c>
      <c r="B1902">
        <v>594</v>
      </c>
      <c r="C1902" t="s">
        <v>487</v>
      </c>
      <c r="D1902" t="s">
        <v>231</v>
      </c>
      <c r="E1902" t="s">
        <v>326</v>
      </c>
      <c r="F1902" t="s">
        <v>1095</v>
      </c>
      <c r="G1902" s="25">
        <v>44223</v>
      </c>
      <c r="H1902">
        <v>6</v>
      </c>
      <c r="I1902">
        <v>27</v>
      </c>
      <c r="J1902" t="s">
        <v>432</v>
      </c>
      <c r="K1902" t="s">
        <v>493</v>
      </c>
      <c r="L1902" t="s">
        <v>441</v>
      </c>
      <c r="M1902" t="s">
        <v>434</v>
      </c>
      <c r="N1902" t="s">
        <v>78</v>
      </c>
      <c r="O1902" t="s">
        <v>435</v>
      </c>
      <c r="P1902" t="s">
        <v>441</v>
      </c>
      <c r="Q1902">
        <v>144834.375</v>
      </c>
      <c r="R1902" t="s">
        <v>436</v>
      </c>
    </row>
    <row r="1903" spans="1:18" x14ac:dyDescent="0.25">
      <c r="A1903" t="s">
        <v>3827</v>
      </c>
      <c r="B1903">
        <v>1975</v>
      </c>
      <c r="C1903" t="s">
        <v>487</v>
      </c>
      <c r="D1903" t="s">
        <v>322</v>
      </c>
      <c r="E1903" t="s">
        <v>239</v>
      </c>
      <c r="F1903" t="s">
        <v>2979</v>
      </c>
      <c r="G1903" s="25">
        <v>44286</v>
      </c>
      <c r="H1903">
        <v>18</v>
      </c>
      <c r="I1903">
        <v>90</v>
      </c>
      <c r="J1903" t="s">
        <v>432</v>
      </c>
      <c r="K1903" t="s">
        <v>492</v>
      </c>
      <c r="L1903" t="s">
        <v>24</v>
      </c>
      <c r="M1903" t="s">
        <v>434</v>
      </c>
      <c r="N1903" t="s">
        <v>71</v>
      </c>
      <c r="O1903" t="s">
        <v>435</v>
      </c>
      <c r="P1903" t="s">
        <v>24</v>
      </c>
      <c r="Q1903">
        <v>74400</v>
      </c>
      <c r="R1903" t="s">
        <v>436</v>
      </c>
    </row>
    <row r="1904" spans="1:18" x14ac:dyDescent="0.25">
      <c r="A1904" t="s">
        <v>2754</v>
      </c>
      <c r="B1904">
        <v>1315</v>
      </c>
      <c r="C1904" t="s">
        <v>487</v>
      </c>
      <c r="D1904" t="s">
        <v>256</v>
      </c>
      <c r="E1904" t="s">
        <v>408</v>
      </c>
      <c r="F1904" t="s">
        <v>1383</v>
      </c>
      <c r="G1904" s="25">
        <v>44256</v>
      </c>
      <c r="H1904">
        <v>12</v>
      </c>
      <c r="I1904">
        <v>60</v>
      </c>
      <c r="J1904" t="s">
        <v>432</v>
      </c>
      <c r="K1904" t="s">
        <v>492</v>
      </c>
      <c r="L1904" t="s">
        <v>24</v>
      </c>
      <c r="M1904" t="s">
        <v>434</v>
      </c>
      <c r="N1904" t="s">
        <v>71</v>
      </c>
      <c r="O1904" t="s">
        <v>435</v>
      </c>
      <c r="P1904" t="s">
        <v>24</v>
      </c>
      <c r="Q1904">
        <v>38700</v>
      </c>
      <c r="R1904" t="s">
        <v>436</v>
      </c>
    </row>
    <row r="1905" spans="1:18" x14ac:dyDescent="0.25">
      <c r="A1905" t="s">
        <v>526</v>
      </c>
      <c r="B1905">
        <v>426</v>
      </c>
      <c r="C1905" t="s">
        <v>487</v>
      </c>
      <c r="D1905" t="s">
        <v>229</v>
      </c>
      <c r="E1905" t="s">
        <v>408</v>
      </c>
      <c r="F1905" t="s">
        <v>527</v>
      </c>
      <c r="G1905" s="25">
        <v>44216</v>
      </c>
      <c r="H1905">
        <v>4</v>
      </c>
      <c r="I1905">
        <v>20</v>
      </c>
      <c r="J1905" t="s">
        <v>231</v>
      </c>
      <c r="K1905" t="s">
        <v>491</v>
      </c>
      <c r="L1905" t="s">
        <v>233</v>
      </c>
      <c r="M1905" t="s">
        <v>234</v>
      </c>
      <c r="N1905" t="s">
        <v>54</v>
      </c>
      <c r="O1905" t="s">
        <v>235</v>
      </c>
      <c r="P1905" t="s">
        <v>236</v>
      </c>
      <c r="Q1905">
        <v>0</v>
      </c>
      <c r="R1905" t="s">
        <v>237</v>
      </c>
    </row>
    <row r="1906" spans="1:18" x14ac:dyDescent="0.25">
      <c r="A1906" t="s">
        <v>3828</v>
      </c>
      <c r="B1906">
        <v>2494</v>
      </c>
      <c r="C1906" t="s">
        <v>487</v>
      </c>
      <c r="D1906" t="s">
        <v>247</v>
      </c>
      <c r="E1906" t="s">
        <v>537</v>
      </c>
      <c r="F1906" t="s">
        <v>3153</v>
      </c>
      <c r="G1906" s="25">
        <v>44310</v>
      </c>
      <c r="H1906">
        <v>23</v>
      </c>
      <c r="I1906">
        <v>114</v>
      </c>
      <c r="J1906" t="s">
        <v>231</v>
      </c>
      <c r="K1906" t="s">
        <v>491</v>
      </c>
      <c r="L1906" t="s">
        <v>233</v>
      </c>
      <c r="M1906" t="s">
        <v>234</v>
      </c>
      <c r="N1906" t="s">
        <v>54</v>
      </c>
      <c r="O1906" t="s">
        <v>235</v>
      </c>
      <c r="P1906" t="s">
        <v>236</v>
      </c>
      <c r="Q1906">
        <v>14875</v>
      </c>
      <c r="R1906" t="s">
        <v>237</v>
      </c>
    </row>
    <row r="1907" spans="1:18" x14ac:dyDescent="0.25">
      <c r="A1907" t="s">
        <v>3829</v>
      </c>
      <c r="B1907">
        <v>2032</v>
      </c>
      <c r="C1907" t="s">
        <v>487</v>
      </c>
      <c r="D1907" t="s">
        <v>322</v>
      </c>
      <c r="E1907" t="s">
        <v>512</v>
      </c>
      <c r="F1907" t="s">
        <v>2991</v>
      </c>
      <c r="G1907" s="25">
        <v>44289</v>
      </c>
      <c r="H1907">
        <v>19</v>
      </c>
      <c r="I1907">
        <v>93</v>
      </c>
      <c r="J1907" t="s">
        <v>231</v>
      </c>
      <c r="K1907" t="s">
        <v>491</v>
      </c>
      <c r="L1907" t="s">
        <v>233</v>
      </c>
      <c r="M1907" t="s">
        <v>234</v>
      </c>
      <c r="N1907" t="s">
        <v>54</v>
      </c>
      <c r="O1907" t="s">
        <v>235</v>
      </c>
      <c r="P1907" t="s">
        <v>236</v>
      </c>
      <c r="Q1907">
        <v>74</v>
      </c>
      <c r="R1907" t="s">
        <v>237</v>
      </c>
    </row>
    <row r="1908" spans="1:18" x14ac:dyDescent="0.25">
      <c r="A1908" t="s">
        <v>2699</v>
      </c>
      <c r="B1908">
        <v>1025</v>
      </c>
      <c r="C1908" t="s">
        <v>487</v>
      </c>
      <c r="D1908" t="s">
        <v>256</v>
      </c>
      <c r="E1908" t="s">
        <v>326</v>
      </c>
      <c r="F1908" t="s">
        <v>1305</v>
      </c>
      <c r="G1908" s="25">
        <v>44243</v>
      </c>
      <c r="H1908">
        <v>10</v>
      </c>
      <c r="I1908">
        <v>47</v>
      </c>
      <c r="J1908" t="s">
        <v>432</v>
      </c>
      <c r="K1908" t="s">
        <v>490</v>
      </c>
      <c r="L1908" t="s">
        <v>65</v>
      </c>
      <c r="M1908" t="s">
        <v>434</v>
      </c>
      <c r="N1908" t="s">
        <v>64</v>
      </c>
      <c r="O1908" t="s">
        <v>235</v>
      </c>
      <c r="P1908" t="s">
        <v>442</v>
      </c>
      <c r="Q1908">
        <v>486250</v>
      </c>
      <c r="R1908" t="s">
        <v>237</v>
      </c>
    </row>
    <row r="1909" spans="1:18" x14ac:dyDescent="0.25">
      <c r="A1909" t="s">
        <v>667</v>
      </c>
      <c r="B1909">
        <v>321</v>
      </c>
      <c r="C1909" t="s">
        <v>487</v>
      </c>
      <c r="D1909" t="s">
        <v>229</v>
      </c>
      <c r="E1909" t="s">
        <v>575</v>
      </c>
      <c r="F1909" t="s">
        <v>576</v>
      </c>
      <c r="G1909" s="25">
        <v>44211</v>
      </c>
      <c r="H1909">
        <v>3</v>
      </c>
      <c r="I1909">
        <v>15</v>
      </c>
      <c r="J1909" t="s">
        <v>432</v>
      </c>
      <c r="K1909" t="s">
        <v>490</v>
      </c>
      <c r="L1909" t="s">
        <v>65</v>
      </c>
      <c r="M1909" t="s">
        <v>434</v>
      </c>
      <c r="N1909" t="s">
        <v>64</v>
      </c>
      <c r="O1909" t="s">
        <v>235</v>
      </c>
      <c r="P1909" t="s">
        <v>442</v>
      </c>
      <c r="Q1909">
        <v>24000</v>
      </c>
      <c r="R1909" t="s">
        <v>237</v>
      </c>
    </row>
    <row r="1910" spans="1:18" x14ac:dyDescent="0.25">
      <c r="A1910" t="s">
        <v>3830</v>
      </c>
      <c r="B1910">
        <v>2653</v>
      </c>
      <c r="C1910" t="s">
        <v>487</v>
      </c>
      <c r="D1910" t="s">
        <v>326</v>
      </c>
      <c r="E1910" t="s">
        <v>229</v>
      </c>
      <c r="F1910" t="s">
        <v>3241</v>
      </c>
      <c r="G1910" s="25">
        <v>44317</v>
      </c>
      <c r="H1910">
        <v>25</v>
      </c>
      <c r="I1910">
        <v>121</v>
      </c>
      <c r="J1910" t="s">
        <v>432</v>
      </c>
      <c r="K1910" t="s">
        <v>490</v>
      </c>
      <c r="L1910" t="s">
        <v>65</v>
      </c>
      <c r="M1910" t="s">
        <v>434</v>
      </c>
      <c r="N1910" t="s">
        <v>64</v>
      </c>
      <c r="O1910" t="s">
        <v>235</v>
      </c>
      <c r="P1910" t="s">
        <v>442</v>
      </c>
      <c r="Q1910">
        <v>156000</v>
      </c>
      <c r="R1910" t="s">
        <v>237</v>
      </c>
    </row>
    <row r="1911" spans="1:18" x14ac:dyDescent="0.25">
      <c r="A1911" t="s">
        <v>2071</v>
      </c>
      <c r="B1911">
        <v>1663</v>
      </c>
      <c r="C1911" t="s">
        <v>487</v>
      </c>
      <c r="D1911" t="s">
        <v>261</v>
      </c>
      <c r="E1911" t="s">
        <v>620</v>
      </c>
      <c r="F1911" t="s">
        <v>1545</v>
      </c>
      <c r="G1911" s="25">
        <v>44272</v>
      </c>
      <c r="H1911">
        <v>16</v>
      </c>
      <c r="I1911">
        <v>76</v>
      </c>
      <c r="J1911" t="s">
        <v>432</v>
      </c>
      <c r="K1911" t="s">
        <v>490</v>
      </c>
      <c r="L1911" t="s">
        <v>65</v>
      </c>
      <c r="M1911" t="s">
        <v>434</v>
      </c>
      <c r="N1911" t="s">
        <v>64</v>
      </c>
      <c r="O1911" t="s">
        <v>235</v>
      </c>
      <c r="P1911" t="s">
        <v>442</v>
      </c>
      <c r="Q1911">
        <v>312375</v>
      </c>
      <c r="R1911" t="s">
        <v>237</v>
      </c>
    </row>
    <row r="1912" spans="1:18" x14ac:dyDescent="0.25">
      <c r="A1912" t="s">
        <v>2205</v>
      </c>
      <c r="B1912">
        <v>1531</v>
      </c>
      <c r="C1912" t="s">
        <v>487</v>
      </c>
      <c r="D1912" t="s">
        <v>261</v>
      </c>
      <c r="E1912" t="s">
        <v>239</v>
      </c>
      <c r="F1912" t="s">
        <v>1703</v>
      </c>
      <c r="G1912" s="25">
        <v>44266</v>
      </c>
      <c r="H1912">
        <v>14</v>
      </c>
      <c r="I1912">
        <v>70</v>
      </c>
      <c r="J1912" t="s">
        <v>432</v>
      </c>
      <c r="K1912" t="s">
        <v>490</v>
      </c>
      <c r="L1912" t="s">
        <v>65</v>
      </c>
      <c r="M1912" t="s">
        <v>434</v>
      </c>
      <c r="N1912" t="s">
        <v>64</v>
      </c>
      <c r="O1912" t="s">
        <v>235</v>
      </c>
      <c r="P1912" t="s">
        <v>442</v>
      </c>
      <c r="Q1912">
        <v>344000</v>
      </c>
      <c r="R1912" t="s">
        <v>237</v>
      </c>
    </row>
    <row r="1913" spans="1:18" x14ac:dyDescent="0.25">
      <c r="A1913" t="s">
        <v>2638</v>
      </c>
      <c r="B1913">
        <v>1289</v>
      </c>
      <c r="C1913" t="s">
        <v>487</v>
      </c>
      <c r="D1913" t="s">
        <v>256</v>
      </c>
      <c r="E1913" t="s">
        <v>531</v>
      </c>
      <c r="F1913" t="s">
        <v>1373</v>
      </c>
      <c r="G1913" s="25">
        <v>44255</v>
      </c>
      <c r="H1913">
        <v>12</v>
      </c>
      <c r="I1913">
        <v>59</v>
      </c>
      <c r="J1913" t="s">
        <v>432</v>
      </c>
      <c r="K1913" t="s">
        <v>490</v>
      </c>
      <c r="L1913" t="s">
        <v>65</v>
      </c>
      <c r="M1913" t="s">
        <v>434</v>
      </c>
      <c r="N1913" t="s">
        <v>64</v>
      </c>
      <c r="O1913" t="s">
        <v>235</v>
      </c>
      <c r="P1913" t="s">
        <v>442</v>
      </c>
      <c r="Q1913">
        <v>344000</v>
      </c>
      <c r="R1913" t="s">
        <v>237</v>
      </c>
    </row>
    <row r="1914" spans="1:18" x14ac:dyDescent="0.25">
      <c r="A1914" t="s">
        <v>3831</v>
      </c>
      <c r="B1914">
        <v>2592</v>
      </c>
      <c r="C1914" t="s">
        <v>487</v>
      </c>
      <c r="D1914" t="s">
        <v>247</v>
      </c>
      <c r="E1914" t="s">
        <v>552</v>
      </c>
      <c r="F1914" t="s">
        <v>3170</v>
      </c>
      <c r="G1914" s="25">
        <v>44314</v>
      </c>
      <c r="H1914">
        <v>24</v>
      </c>
      <c r="I1914">
        <v>118</v>
      </c>
      <c r="J1914" t="s">
        <v>432</v>
      </c>
      <c r="K1914" t="s">
        <v>488</v>
      </c>
      <c r="L1914" t="s">
        <v>433</v>
      </c>
      <c r="M1914" t="s">
        <v>434</v>
      </c>
      <c r="N1914" t="s">
        <v>74</v>
      </c>
      <c r="O1914" t="s">
        <v>435</v>
      </c>
      <c r="P1914" t="s">
        <v>433</v>
      </c>
      <c r="Q1914">
        <v>20100</v>
      </c>
      <c r="R1914" t="s">
        <v>436</v>
      </c>
    </row>
    <row r="1915" spans="1:18" x14ac:dyDescent="0.25">
      <c r="A1915" t="s">
        <v>3832</v>
      </c>
      <c r="B1915">
        <v>2372</v>
      </c>
      <c r="C1915" t="s">
        <v>487</v>
      </c>
      <c r="D1915" t="s">
        <v>247</v>
      </c>
      <c r="E1915" t="s">
        <v>381</v>
      </c>
      <c r="F1915" t="s">
        <v>3107</v>
      </c>
      <c r="G1915" s="25">
        <v>44304</v>
      </c>
      <c r="H1915">
        <v>22</v>
      </c>
      <c r="I1915">
        <v>108</v>
      </c>
      <c r="J1915" t="s">
        <v>432</v>
      </c>
      <c r="K1915" t="s">
        <v>488</v>
      </c>
      <c r="L1915" t="s">
        <v>433</v>
      </c>
      <c r="M1915" t="s">
        <v>434</v>
      </c>
      <c r="N1915" t="s">
        <v>74</v>
      </c>
      <c r="O1915" t="s">
        <v>435</v>
      </c>
      <c r="P1915" t="s">
        <v>433</v>
      </c>
      <c r="Q1915">
        <v>40818.75</v>
      </c>
      <c r="R1915" t="s">
        <v>436</v>
      </c>
    </row>
    <row r="1916" spans="1:18" x14ac:dyDescent="0.25">
      <c r="A1916" t="s">
        <v>3833</v>
      </c>
      <c r="B1916">
        <v>2064</v>
      </c>
      <c r="C1916" t="s">
        <v>487</v>
      </c>
      <c r="D1916" t="s">
        <v>322</v>
      </c>
      <c r="E1916" t="s">
        <v>537</v>
      </c>
      <c r="F1916" t="s">
        <v>2999</v>
      </c>
      <c r="G1916" s="25">
        <v>44290</v>
      </c>
      <c r="H1916">
        <v>19</v>
      </c>
      <c r="I1916">
        <v>94</v>
      </c>
      <c r="J1916" t="s">
        <v>432</v>
      </c>
      <c r="K1916" t="s">
        <v>488</v>
      </c>
      <c r="L1916" t="s">
        <v>433</v>
      </c>
      <c r="M1916" t="s">
        <v>434</v>
      </c>
      <c r="N1916" t="s">
        <v>74</v>
      </c>
      <c r="O1916" t="s">
        <v>435</v>
      </c>
      <c r="P1916" t="s">
        <v>433</v>
      </c>
      <c r="Q1916">
        <v>54187.5</v>
      </c>
      <c r="R1916" t="s">
        <v>436</v>
      </c>
    </row>
    <row r="1917" spans="1:18" x14ac:dyDescent="0.25">
      <c r="A1917" t="s">
        <v>1965</v>
      </c>
      <c r="B1917">
        <v>1624</v>
      </c>
      <c r="C1917" t="s">
        <v>487</v>
      </c>
      <c r="D1917" t="s">
        <v>261</v>
      </c>
      <c r="E1917" t="s">
        <v>537</v>
      </c>
      <c r="F1917" t="s">
        <v>1530</v>
      </c>
      <c r="G1917" s="25">
        <v>44270</v>
      </c>
      <c r="H1917">
        <v>15</v>
      </c>
      <c r="I1917">
        <v>74</v>
      </c>
      <c r="J1917" t="s">
        <v>432</v>
      </c>
      <c r="K1917" t="s">
        <v>488</v>
      </c>
      <c r="L1917" t="s">
        <v>433</v>
      </c>
      <c r="M1917" t="s">
        <v>434</v>
      </c>
      <c r="N1917" t="s">
        <v>74</v>
      </c>
      <c r="O1917" t="s">
        <v>435</v>
      </c>
      <c r="P1917" t="s">
        <v>433</v>
      </c>
      <c r="Q1917">
        <v>25800</v>
      </c>
      <c r="R1917" t="s">
        <v>436</v>
      </c>
    </row>
    <row r="1918" spans="1:18" x14ac:dyDescent="0.25">
      <c r="A1918" t="s">
        <v>2817</v>
      </c>
      <c r="B1918">
        <v>876</v>
      </c>
      <c r="C1918" t="s">
        <v>487</v>
      </c>
      <c r="D1918" t="s">
        <v>231</v>
      </c>
      <c r="E1918" t="s">
        <v>408</v>
      </c>
      <c r="F1918" t="s">
        <v>1234</v>
      </c>
      <c r="G1918" s="25">
        <v>44236</v>
      </c>
      <c r="H1918">
        <v>8</v>
      </c>
      <c r="I1918">
        <v>40</v>
      </c>
      <c r="J1918" t="s">
        <v>432</v>
      </c>
      <c r="K1918" t="s">
        <v>488</v>
      </c>
      <c r="L1918" t="s">
        <v>433</v>
      </c>
      <c r="M1918" t="s">
        <v>434</v>
      </c>
      <c r="N1918" t="s">
        <v>74</v>
      </c>
      <c r="O1918" t="s">
        <v>435</v>
      </c>
      <c r="P1918" t="s">
        <v>433</v>
      </c>
      <c r="Q1918">
        <v>22200</v>
      </c>
      <c r="R1918" t="s">
        <v>436</v>
      </c>
    </row>
    <row r="1919" spans="1:18" x14ac:dyDescent="0.25">
      <c r="A1919" t="s">
        <v>712</v>
      </c>
      <c r="B1919">
        <v>414</v>
      </c>
      <c r="C1919" t="s">
        <v>487</v>
      </c>
      <c r="D1919" t="s">
        <v>229</v>
      </c>
      <c r="E1919" t="s">
        <v>531</v>
      </c>
      <c r="F1919" t="s">
        <v>532</v>
      </c>
      <c r="G1919" s="25">
        <v>44215</v>
      </c>
      <c r="H1919">
        <v>4</v>
      </c>
      <c r="I1919">
        <v>19</v>
      </c>
      <c r="J1919" t="s">
        <v>432</v>
      </c>
      <c r="K1919" t="s">
        <v>488</v>
      </c>
      <c r="L1919" t="s">
        <v>433</v>
      </c>
      <c r="M1919" t="s">
        <v>434</v>
      </c>
      <c r="N1919" t="s">
        <v>74</v>
      </c>
      <c r="O1919" t="s">
        <v>435</v>
      </c>
      <c r="P1919" t="s">
        <v>433</v>
      </c>
      <c r="Q1919">
        <v>7200</v>
      </c>
      <c r="R1919" t="s">
        <v>436</v>
      </c>
    </row>
    <row r="1920" spans="1:18" x14ac:dyDescent="0.25">
      <c r="A1920" t="s">
        <v>3834</v>
      </c>
      <c r="B1920">
        <v>2247</v>
      </c>
      <c r="C1920" t="s">
        <v>487</v>
      </c>
      <c r="D1920" t="s">
        <v>247</v>
      </c>
      <c r="E1920" t="s">
        <v>256</v>
      </c>
      <c r="F1920" t="s">
        <v>3073</v>
      </c>
      <c r="G1920" s="25">
        <v>44299</v>
      </c>
      <c r="H1920">
        <v>21</v>
      </c>
      <c r="I1920">
        <v>103</v>
      </c>
      <c r="J1920" t="s">
        <v>231</v>
      </c>
      <c r="K1920" t="s">
        <v>509</v>
      </c>
      <c r="L1920" t="s">
        <v>45</v>
      </c>
      <c r="M1920" t="s">
        <v>234</v>
      </c>
      <c r="N1920" t="s">
        <v>44</v>
      </c>
      <c r="O1920" t="s">
        <v>21</v>
      </c>
      <c r="P1920" t="s">
        <v>304</v>
      </c>
      <c r="Q1920">
        <v>0</v>
      </c>
      <c r="R1920" t="s">
        <v>237</v>
      </c>
    </row>
    <row r="1921" spans="1:18" x14ac:dyDescent="0.25">
      <c r="A1921" t="s">
        <v>3835</v>
      </c>
      <c r="B1921">
        <v>1873</v>
      </c>
      <c r="C1921" t="s">
        <v>487</v>
      </c>
      <c r="D1921" t="s">
        <v>322</v>
      </c>
      <c r="E1921" t="s">
        <v>247</v>
      </c>
      <c r="F1921" t="s">
        <v>2963</v>
      </c>
      <c r="G1921" s="25">
        <v>44282</v>
      </c>
      <c r="H1921">
        <v>18</v>
      </c>
      <c r="I1921">
        <v>86</v>
      </c>
      <c r="J1921" t="s">
        <v>231</v>
      </c>
      <c r="K1921" t="s">
        <v>509</v>
      </c>
      <c r="L1921" t="s">
        <v>45</v>
      </c>
      <c r="M1921" t="s">
        <v>234</v>
      </c>
      <c r="N1921" t="s">
        <v>44</v>
      </c>
      <c r="O1921" t="s">
        <v>21</v>
      </c>
      <c r="P1921" t="s">
        <v>304</v>
      </c>
      <c r="Q1921">
        <v>0</v>
      </c>
      <c r="R1921" t="s">
        <v>237</v>
      </c>
    </row>
    <row r="1922" spans="1:18" x14ac:dyDescent="0.25">
      <c r="A1922" t="s">
        <v>2216</v>
      </c>
      <c r="B1922">
        <v>1037</v>
      </c>
      <c r="C1922" t="s">
        <v>487</v>
      </c>
      <c r="D1922" t="s">
        <v>256</v>
      </c>
      <c r="E1922" t="s">
        <v>381</v>
      </c>
      <c r="F1922" t="s">
        <v>1311</v>
      </c>
      <c r="G1922" s="25">
        <v>44244</v>
      </c>
      <c r="H1922">
        <v>10</v>
      </c>
      <c r="I1922">
        <v>48</v>
      </c>
      <c r="J1922" t="s">
        <v>231</v>
      </c>
      <c r="K1922" t="s">
        <v>509</v>
      </c>
      <c r="L1922" t="s">
        <v>45</v>
      </c>
      <c r="M1922" t="s">
        <v>234</v>
      </c>
      <c r="N1922" t="s">
        <v>44</v>
      </c>
      <c r="O1922" t="s">
        <v>21</v>
      </c>
      <c r="P1922" t="s">
        <v>304</v>
      </c>
      <c r="Q1922">
        <v>0</v>
      </c>
      <c r="R1922" t="s">
        <v>237</v>
      </c>
    </row>
    <row r="1923" spans="1:18" x14ac:dyDescent="0.25">
      <c r="A1923" t="s">
        <v>1721</v>
      </c>
      <c r="B1923">
        <v>685</v>
      </c>
      <c r="C1923" t="s">
        <v>487</v>
      </c>
      <c r="D1923" t="s">
        <v>231</v>
      </c>
      <c r="E1923" t="s">
        <v>232</v>
      </c>
      <c r="F1923" t="s">
        <v>1162</v>
      </c>
      <c r="G1923" s="25">
        <v>44228</v>
      </c>
      <c r="H1923">
        <v>7</v>
      </c>
      <c r="I1923">
        <v>32</v>
      </c>
      <c r="J1923" t="s">
        <v>231</v>
      </c>
      <c r="K1923" t="s">
        <v>509</v>
      </c>
      <c r="L1923" t="s">
        <v>45</v>
      </c>
      <c r="M1923" t="s">
        <v>234</v>
      </c>
      <c r="N1923" t="s">
        <v>44</v>
      </c>
      <c r="O1923" t="s">
        <v>21</v>
      </c>
      <c r="P1923" t="s">
        <v>304</v>
      </c>
      <c r="Q1923">
        <v>0</v>
      </c>
      <c r="R1923" t="s">
        <v>237</v>
      </c>
    </row>
    <row r="1924" spans="1:18" x14ac:dyDescent="0.25">
      <c r="A1924" t="s">
        <v>311</v>
      </c>
      <c r="B1924">
        <v>69</v>
      </c>
      <c r="C1924" t="s">
        <v>487</v>
      </c>
      <c r="D1924" t="s">
        <v>229</v>
      </c>
      <c r="E1924" t="s">
        <v>261</v>
      </c>
      <c r="F1924" t="s">
        <v>549</v>
      </c>
      <c r="G1924" s="25">
        <v>44200</v>
      </c>
      <c r="H1924">
        <v>1</v>
      </c>
      <c r="I1924">
        <v>4</v>
      </c>
      <c r="J1924" t="s">
        <v>231</v>
      </c>
      <c r="K1924" t="s">
        <v>509</v>
      </c>
      <c r="L1924" t="s">
        <v>45</v>
      </c>
      <c r="M1924" t="s">
        <v>234</v>
      </c>
      <c r="N1924" t="s">
        <v>44</v>
      </c>
      <c r="O1924" t="s">
        <v>21</v>
      </c>
      <c r="P1924" t="s">
        <v>304</v>
      </c>
      <c r="Q1924">
        <v>0</v>
      </c>
      <c r="R1924" t="s">
        <v>237</v>
      </c>
    </row>
    <row r="1925" spans="1:18" x14ac:dyDescent="0.25">
      <c r="A1925" t="s">
        <v>1854</v>
      </c>
      <c r="B1925">
        <v>1522</v>
      </c>
      <c r="C1925" t="s">
        <v>487</v>
      </c>
      <c r="D1925" t="s">
        <v>261</v>
      </c>
      <c r="E1925" t="s">
        <v>239</v>
      </c>
      <c r="F1925" t="s">
        <v>1703</v>
      </c>
      <c r="G1925" s="25">
        <v>44266</v>
      </c>
      <c r="H1925">
        <v>14</v>
      </c>
      <c r="I1925">
        <v>70</v>
      </c>
      <c r="J1925" t="s">
        <v>231</v>
      </c>
      <c r="K1925" t="s">
        <v>508</v>
      </c>
      <c r="L1925" t="s">
        <v>47</v>
      </c>
      <c r="M1925" t="s">
        <v>234</v>
      </c>
      <c r="N1925" t="s">
        <v>46</v>
      </c>
      <c r="O1925" t="s">
        <v>21</v>
      </c>
      <c r="P1925" t="s">
        <v>288</v>
      </c>
      <c r="Q1925">
        <v>1171</v>
      </c>
      <c r="R1925" t="s">
        <v>237</v>
      </c>
    </row>
    <row r="1926" spans="1:18" x14ac:dyDescent="0.25">
      <c r="A1926" t="s">
        <v>2080</v>
      </c>
      <c r="B1926">
        <v>1016</v>
      </c>
      <c r="C1926" t="s">
        <v>487</v>
      </c>
      <c r="D1926" t="s">
        <v>256</v>
      </c>
      <c r="E1926" t="s">
        <v>326</v>
      </c>
      <c r="F1926" t="s">
        <v>1305</v>
      </c>
      <c r="G1926" s="25">
        <v>44243</v>
      </c>
      <c r="H1926">
        <v>10</v>
      </c>
      <c r="I1926">
        <v>47</v>
      </c>
      <c r="J1926" t="s">
        <v>231</v>
      </c>
      <c r="K1926" t="s">
        <v>508</v>
      </c>
      <c r="L1926" t="s">
        <v>47</v>
      </c>
      <c r="M1926" t="s">
        <v>234</v>
      </c>
      <c r="N1926" t="s">
        <v>46</v>
      </c>
      <c r="O1926" t="s">
        <v>21</v>
      </c>
      <c r="P1926" t="s">
        <v>288</v>
      </c>
      <c r="Q1926">
        <v>5261</v>
      </c>
      <c r="R1926" t="s">
        <v>237</v>
      </c>
    </row>
    <row r="1927" spans="1:18" x14ac:dyDescent="0.25">
      <c r="A1927" t="s">
        <v>2824</v>
      </c>
      <c r="B1927">
        <v>929</v>
      </c>
      <c r="C1927" t="s">
        <v>487</v>
      </c>
      <c r="D1927" t="s">
        <v>256</v>
      </c>
      <c r="E1927" t="s">
        <v>256</v>
      </c>
      <c r="F1927" t="s">
        <v>1263</v>
      </c>
      <c r="G1927" s="25">
        <v>44239</v>
      </c>
      <c r="H1927">
        <v>9</v>
      </c>
      <c r="I1927">
        <v>43</v>
      </c>
      <c r="J1927" t="s">
        <v>231</v>
      </c>
      <c r="K1927" t="s">
        <v>507</v>
      </c>
      <c r="L1927" t="s">
        <v>49</v>
      </c>
      <c r="M1927" t="s">
        <v>234</v>
      </c>
      <c r="N1927" t="s">
        <v>48</v>
      </c>
      <c r="O1927" t="s">
        <v>21</v>
      </c>
      <c r="P1927" t="s">
        <v>413</v>
      </c>
      <c r="Q1927">
        <v>0</v>
      </c>
      <c r="R1927" t="s">
        <v>237</v>
      </c>
    </row>
    <row r="1928" spans="1:18" x14ac:dyDescent="0.25">
      <c r="A1928" t="s">
        <v>2086</v>
      </c>
      <c r="B1928">
        <v>555</v>
      </c>
      <c r="C1928" t="s">
        <v>487</v>
      </c>
      <c r="D1928" t="s">
        <v>231</v>
      </c>
      <c r="E1928" t="s">
        <v>247</v>
      </c>
      <c r="F1928" t="s">
        <v>1088</v>
      </c>
      <c r="G1928" s="25">
        <v>44222</v>
      </c>
      <c r="H1928">
        <v>6</v>
      </c>
      <c r="I1928">
        <v>26</v>
      </c>
      <c r="J1928" t="s">
        <v>231</v>
      </c>
      <c r="K1928" t="s">
        <v>507</v>
      </c>
      <c r="L1928" t="s">
        <v>49</v>
      </c>
      <c r="M1928" t="s">
        <v>234</v>
      </c>
      <c r="N1928" t="s">
        <v>48</v>
      </c>
      <c r="O1928" t="s">
        <v>21</v>
      </c>
      <c r="P1928" t="s">
        <v>413</v>
      </c>
      <c r="Q1928">
        <v>0</v>
      </c>
      <c r="R1928" t="s">
        <v>237</v>
      </c>
    </row>
    <row r="1929" spans="1:18" x14ac:dyDescent="0.25">
      <c r="A1929" t="s">
        <v>2384</v>
      </c>
      <c r="B1929">
        <v>1765</v>
      </c>
      <c r="C1929" t="s">
        <v>487</v>
      </c>
      <c r="D1929" t="s">
        <v>322</v>
      </c>
      <c r="E1929" t="s">
        <v>229</v>
      </c>
      <c r="F1929" t="s">
        <v>1643</v>
      </c>
      <c r="G1929" s="25">
        <v>44277</v>
      </c>
      <c r="H1929">
        <v>17</v>
      </c>
      <c r="I1929">
        <v>81</v>
      </c>
      <c r="J1929" t="s">
        <v>231</v>
      </c>
      <c r="K1929" t="s">
        <v>507</v>
      </c>
      <c r="L1929" t="s">
        <v>49</v>
      </c>
      <c r="M1929" t="s">
        <v>234</v>
      </c>
      <c r="N1929" t="s">
        <v>48</v>
      </c>
      <c r="O1929" t="s">
        <v>21</v>
      </c>
      <c r="P1929" t="s">
        <v>413</v>
      </c>
      <c r="Q1929">
        <v>0</v>
      </c>
      <c r="R1929" t="s">
        <v>237</v>
      </c>
    </row>
    <row r="1930" spans="1:18" x14ac:dyDescent="0.25">
      <c r="A1930" t="s">
        <v>2029</v>
      </c>
      <c r="B1930">
        <v>1457</v>
      </c>
      <c r="C1930" t="s">
        <v>487</v>
      </c>
      <c r="D1930" t="s">
        <v>261</v>
      </c>
      <c r="E1930" t="s">
        <v>326</v>
      </c>
      <c r="F1930" t="s">
        <v>1440</v>
      </c>
      <c r="G1930" s="25">
        <v>44263</v>
      </c>
      <c r="H1930">
        <v>14</v>
      </c>
      <c r="I1930">
        <v>67</v>
      </c>
      <c r="J1930" t="s">
        <v>231</v>
      </c>
      <c r="K1930" t="s">
        <v>507</v>
      </c>
      <c r="L1930" t="s">
        <v>49</v>
      </c>
      <c r="M1930" t="s">
        <v>234</v>
      </c>
      <c r="N1930" t="s">
        <v>48</v>
      </c>
      <c r="O1930" t="s">
        <v>21</v>
      </c>
      <c r="P1930" t="s">
        <v>413</v>
      </c>
      <c r="Q1930">
        <v>0</v>
      </c>
      <c r="R1930" t="s">
        <v>237</v>
      </c>
    </row>
    <row r="1931" spans="1:18" x14ac:dyDescent="0.25">
      <c r="A1931" t="s">
        <v>730</v>
      </c>
      <c r="B1931">
        <v>204</v>
      </c>
      <c r="C1931" t="s">
        <v>487</v>
      </c>
      <c r="D1931" t="s">
        <v>229</v>
      </c>
      <c r="E1931" t="s">
        <v>239</v>
      </c>
      <c r="F1931" t="s">
        <v>578</v>
      </c>
      <c r="G1931" s="25">
        <v>44206</v>
      </c>
      <c r="H1931">
        <v>2</v>
      </c>
      <c r="I1931">
        <v>10</v>
      </c>
      <c r="J1931" t="s">
        <v>231</v>
      </c>
      <c r="K1931" t="s">
        <v>506</v>
      </c>
      <c r="L1931" t="s">
        <v>414</v>
      </c>
      <c r="M1931" t="s">
        <v>234</v>
      </c>
      <c r="N1931" t="s">
        <v>50</v>
      </c>
      <c r="O1931" t="s">
        <v>21</v>
      </c>
      <c r="P1931" t="s">
        <v>411</v>
      </c>
      <c r="Q1931">
        <v>0</v>
      </c>
      <c r="R1931" t="s">
        <v>237</v>
      </c>
    </row>
    <row r="1932" spans="1:18" x14ac:dyDescent="0.25">
      <c r="A1932" t="s">
        <v>3836</v>
      </c>
      <c r="B1932">
        <v>2074</v>
      </c>
      <c r="C1932" t="s">
        <v>487</v>
      </c>
      <c r="D1932" t="s">
        <v>322</v>
      </c>
      <c r="E1932" t="s">
        <v>575</v>
      </c>
      <c r="F1932" t="s">
        <v>3014</v>
      </c>
      <c r="G1932" s="25">
        <v>44291</v>
      </c>
      <c r="H1932">
        <v>19</v>
      </c>
      <c r="I1932">
        <v>95</v>
      </c>
      <c r="J1932" t="s">
        <v>231</v>
      </c>
      <c r="K1932" t="s">
        <v>506</v>
      </c>
      <c r="L1932" t="s">
        <v>414</v>
      </c>
      <c r="M1932" t="s">
        <v>234</v>
      </c>
      <c r="N1932" t="s">
        <v>50</v>
      </c>
      <c r="O1932" t="s">
        <v>21</v>
      </c>
      <c r="P1932" t="s">
        <v>411</v>
      </c>
      <c r="Q1932">
        <v>0</v>
      </c>
      <c r="R1932" t="s">
        <v>237</v>
      </c>
    </row>
    <row r="1933" spans="1:18" x14ac:dyDescent="0.25">
      <c r="A1933" t="s">
        <v>1810</v>
      </c>
      <c r="B1933">
        <v>1700</v>
      </c>
      <c r="C1933" t="s">
        <v>487</v>
      </c>
      <c r="D1933" t="s">
        <v>261</v>
      </c>
      <c r="E1933" t="s">
        <v>552</v>
      </c>
      <c r="F1933" t="s">
        <v>1585</v>
      </c>
      <c r="G1933" s="25">
        <v>44274</v>
      </c>
      <c r="H1933">
        <v>16</v>
      </c>
      <c r="I1933">
        <v>78</v>
      </c>
      <c r="J1933" t="s">
        <v>231</v>
      </c>
      <c r="K1933" t="s">
        <v>506</v>
      </c>
      <c r="L1933" t="s">
        <v>414</v>
      </c>
      <c r="M1933" t="s">
        <v>234</v>
      </c>
      <c r="N1933" t="s">
        <v>50</v>
      </c>
      <c r="O1933" t="s">
        <v>21</v>
      </c>
      <c r="P1933" t="s">
        <v>411</v>
      </c>
      <c r="Q1933">
        <v>0</v>
      </c>
      <c r="R1933" t="s">
        <v>237</v>
      </c>
    </row>
    <row r="1934" spans="1:18" x14ac:dyDescent="0.25">
      <c r="A1934" t="s">
        <v>1982</v>
      </c>
      <c r="B1934">
        <v>1172</v>
      </c>
      <c r="C1934" t="s">
        <v>487</v>
      </c>
      <c r="D1934" t="s">
        <v>256</v>
      </c>
      <c r="E1934" t="s">
        <v>537</v>
      </c>
      <c r="F1934" t="s">
        <v>1348</v>
      </c>
      <c r="G1934" s="25">
        <v>44250</v>
      </c>
      <c r="H1934">
        <v>11</v>
      </c>
      <c r="I1934">
        <v>54</v>
      </c>
      <c r="J1934" t="s">
        <v>231</v>
      </c>
      <c r="K1934" t="s">
        <v>506</v>
      </c>
      <c r="L1934" t="s">
        <v>414</v>
      </c>
      <c r="M1934" t="s">
        <v>234</v>
      </c>
      <c r="N1934" t="s">
        <v>50</v>
      </c>
      <c r="O1934" t="s">
        <v>21</v>
      </c>
      <c r="P1934" t="s">
        <v>411</v>
      </c>
      <c r="Q1934">
        <v>0</v>
      </c>
      <c r="R1934" t="s">
        <v>237</v>
      </c>
    </row>
    <row r="1935" spans="1:18" x14ac:dyDescent="0.25">
      <c r="A1935" t="s">
        <v>627</v>
      </c>
      <c r="B1935">
        <v>309</v>
      </c>
      <c r="C1935" t="s">
        <v>487</v>
      </c>
      <c r="D1935" t="s">
        <v>229</v>
      </c>
      <c r="E1935" t="s">
        <v>575</v>
      </c>
      <c r="F1935" t="s">
        <v>576</v>
      </c>
      <c r="G1935" s="25">
        <v>44211</v>
      </c>
      <c r="H1935">
        <v>3</v>
      </c>
      <c r="I1935">
        <v>15</v>
      </c>
      <c r="J1935" t="s">
        <v>231</v>
      </c>
      <c r="K1935" t="s">
        <v>505</v>
      </c>
      <c r="L1935" t="s">
        <v>41</v>
      </c>
      <c r="M1935" t="s">
        <v>234</v>
      </c>
      <c r="N1935" t="s">
        <v>40</v>
      </c>
      <c r="O1935" t="s">
        <v>21</v>
      </c>
      <c r="P1935" t="s">
        <v>266</v>
      </c>
      <c r="Q1935">
        <v>15125</v>
      </c>
      <c r="R1935" t="s">
        <v>237</v>
      </c>
    </row>
    <row r="1936" spans="1:18" x14ac:dyDescent="0.25">
      <c r="A1936" t="s">
        <v>3837</v>
      </c>
      <c r="B1936">
        <v>2377</v>
      </c>
      <c r="C1936" t="s">
        <v>487</v>
      </c>
      <c r="D1936" t="s">
        <v>247</v>
      </c>
      <c r="E1936" t="s">
        <v>371</v>
      </c>
      <c r="F1936" t="s">
        <v>3112</v>
      </c>
      <c r="G1936" s="25">
        <v>44305</v>
      </c>
      <c r="H1936">
        <v>22</v>
      </c>
      <c r="I1936">
        <v>109</v>
      </c>
      <c r="J1936" t="s">
        <v>231</v>
      </c>
      <c r="K1936" t="s">
        <v>505</v>
      </c>
      <c r="L1936" t="s">
        <v>41</v>
      </c>
      <c r="M1936" t="s">
        <v>234</v>
      </c>
      <c r="N1936" t="s">
        <v>40</v>
      </c>
      <c r="O1936" t="s">
        <v>21</v>
      </c>
      <c r="P1936" t="s">
        <v>266</v>
      </c>
      <c r="Q1936">
        <v>0</v>
      </c>
      <c r="R1936" t="s">
        <v>237</v>
      </c>
    </row>
    <row r="1937" spans="1:18" x14ac:dyDescent="0.25">
      <c r="A1937" t="s">
        <v>2652</v>
      </c>
      <c r="B1937">
        <v>1409</v>
      </c>
      <c r="C1937" t="s">
        <v>487</v>
      </c>
      <c r="D1937" t="s">
        <v>261</v>
      </c>
      <c r="E1937" t="s">
        <v>322</v>
      </c>
      <c r="F1937" t="s">
        <v>1417</v>
      </c>
      <c r="G1937" s="25">
        <v>44261</v>
      </c>
      <c r="H1937">
        <v>13</v>
      </c>
      <c r="I1937">
        <v>65</v>
      </c>
      <c r="J1937" t="s">
        <v>231</v>
      </c>
      <c r="K1937" t="s">
        <v>505</v>
      </c>
      <c r="L1937" t="s">
        <v>41</v>
      </c>
      <c r="M1937" t="s">
        <v>234</v>
      </c>
      <c r="N1937" t="s">
        <v>40</v>
      </c>
      <c r="O1937" t="s">
        <v>21</v>
      </c>
      <c r="P1937" t="s">
        <v>266</v>
      </c>
      <c r="Q1937">
        <v>75028</v>
      </c>
      <c r="R1937" t="s">
        <v>237</v>
      </c>
    </row>
    <row r="1938" spans="1:18" x14ac:dyDescent="0.25">
      <c r="A1938" t="s">
        <v>2655</v>
      </c>
      <c r="B1938">
        <v>1123</v>
      </c>
      <c r="C1938" t="s">
        <v>487</v>
      </c>
      <c r="D1938" t="s">
        <v>256</v>
      </c>
      <c r="E1938" t="s">
        <v>232</v>
      </c>
      <c r="F1938" t="s">
        <v>1337</v>
      </c>
      <c r="G1938" s="25">
        <v>44248</v>
      </c>
      <c r="H1938">
        <v>11</v>
      </c>
      <c r="I1938">
        <v>52</v>
      </c>
      <c r="J1938" t="s">
        <v>231</v>
      </c>
      <c r="K1938" t="s">
        <v>505</v>
      </c>
      <c r="L1938" t="s">
        <v>41</v>
      </c>
      <c r="M1938" t="s">
        <v>234</v>
      </c>
      <c r="N1938" t="s">
        <v>40</v>
      </c>
      <c r="O1938" t="s">
        <v>21</v>
      </c>
      <c r="P1938" t="s">
        <v>266</v>
      </c>
      <c r="Q1938">
        <v>0</v>
      </c>
      <c r="R1938" t="s">
        <v>237</v>
      </c>
    </row>
    <row r="1939" spans="1:18" x14ac:dyDescent="0.25">
      <c r="A1939" t="s">
        <v>2341</v>
      </c>
      <c r="B1939">
        <v>815</v>
      </c>
      <c r="C1939" t="s">
        <v>487</v>
      </c>
      <c r="D1939" t="s">
        <v>231</v>
      </c>
      <c r="E1939" t="s">
        <v>552</v>
      </c>
      <c r="F1939" t="s">
        <v>1222</v>
      </c>
      <c r="G1939" s="25">
        <v>44234</v>
      </c>
      <c r="H1939">
        <v>8</v>
      </c>
      <c r="I1939">
        <v>38</v>
      </c>
      <c r="J1939" t="s">
        <v>231</v>
      </c>
      <c r="K1939" t="s">
        <v>505</v>
      </c>
      <c r="L1939" t="s">
        <v>41</v>
      </c>
      <c r="M1939" t="s">
        <v>234</v>
      </c>
      <c r="N1939" t="s">
        <v>40</v>
      </c>
      <c r="O1939" t="s">
        <v>21</v>
      </c>
      <c r="P1939" t="s">
        <v>266</v>
      </c>
      <c r="Q1939">
        <v>0</v>
      </c>
      <c r="R1939" t="s">
        <v>237</v>
      </c>
    </row>
    <row r="1940" spans="1:18" x14ac:dyDescent="0.25">
      <c r="A1940" t="s">
        <v>1814</v>
      </c>
      <c r="B1940">
        <v>507</v>
      </c>
      <c r="C1940" t="s">
        <v>487</v>
      </c>
      <c r="D1940" t="s">
        <v>231</v>
      </c>
      <c r="E1940" t="s">
        <v>261</v>
      </c>
      <c r="F1940" t="s">
        <v>1065</v>
      </c>
      <c r="G1940" s="25">
        <v>44220</v>
      </c>
      <c r="H1940">
        <v>5</v>
      </c>
      <c r="I1940">
        <v>24</v>
      </c>
      <c r="J1940" t="s">
        <v>231</v>
      </c>
      <c r="K1940" t="s">
        <v>505</v>
      </c>
      <c r="L1940" t="s">
        <v>41</v>
      </c>
      <c r="M1940" t="s">
        <v>234</v>
      </c>
      <c r="N1940" t="s">
        <v>40</v>
      </c>
      <c r="O1940" t="s">
        <v>21</v>
      </c>
      <c r="P1940" t="s">
        <v>266</v>
      </c>
      <c r="Q1940">
        <v>0</v>
      </c>
      <c r="R1940" t="s">
        <v>237</v>
      </c>
    </row>
    <row r="1941" spans="1:18" x14ac:dyDescent="0.25">
      <c r="A1941" t="s">
        <v>3838</v>
      </c>
      <c r="B1941">
        <v>1784</v>
      </c>
      <c r="C1941" t="s">
        <v>487</v>
      </c>
      <c r="D1941" t="s">
        <v>322</v>
      </c>
      <c r="E1941" t="s">
        <v>231</v>
      </c>
      <c r="F1941" t="s">
        <v>2945</v>
      </c>
      <c r="G1941" s="25">
        <v>44278</v>
      </c>
      <c r="H1941">
        <v>17</v>
      </c>
      <c r="I1941">
        <v>82</v>
      </c>
      <c r="J1941" t="s">
        <v>231</v>
      </c>
      <c r="K1941" t="s">
        <v>504</v>
      </c>
      <c r="L1941" t="s">
        <v>43</v>
      </c>
      <c r="M1941" t="s">
        <v>234</v>
      </c>
      <c r="N1941" t="s">
        <v>42</v>
      </c>
      <c r="O1941" t="s">
        <v>21</v>
      </c>
      <c r="P1941" t="s">
        <v>236</v>
      </c>
      <c r="Q1941">
        <v>0</v>
      </c>
      <c r="R1941" t="s">
        <v>237</v>
      </c>
    </row>
    <row r="1942" spans="1:18" x14ac:dyDescent="0.25">
      <c r="A1942" t="s">
        <v>2039</v>
      </c>
      <c r="B1942">
        <v>1586</v>
      </c>
      <c r="C1942" t="s">
        <v>487</v>
      </c>
      <c r="D1942" t="s">
        <v>261</v>
      </c>
      <c r="E1942" t="s">
        <v>512</v>
      </c>
      <c r="F1942" t="s">
        <v>1518</v>
      </c>
      <c r="G1942" s="25">
        <v>44269</v>
      </c>
      <c r="H1942">
        <v>15</v>
      </c>
      <c r="I1942">
        <v>73</v>
      </c>
      <c r="J1942" t="s">
        <v>231</v>
      </c>
      <c r="K1942" t="s">
        <v>504</v>
      </c>
      <c r="L1942" t="s">
        <v>43</v>
      </c>
      <c r="M1942" t="s">
        <v>234</v>
      </c>
      <c r="N1942" t="s">
        <v>42</v>
      </c>
      <c r="O1942" t="s">
        <v>21</v>
      </c>
      <c r="P1942" t="s">
        <v>236</v>
      </c>
      <c r="Q1942">
        <v>19437</v>
      </c>
      <c r="R1942" t="s">
        <v>237</v>
      </c>
    </row>
    <row r="1943" spans="1:18" x14ac:dyDescent="0.25">
      <c r="A1943" t="s">
        <v>2291</v>
      </c>
      <c r="B1943">
        <v>1498</v>
      </c>
      <c r="C1943" t="s">
        <v>487</v>
      </c>
      <c r="D1943" t="s">
        <v>261</v>
      </c>
      <c r="E1943" t="s">
        <v>371</v>
      </c>
      <c r="F1943" t="s">
        <v>1478</v>
      </c>
      <c r="G1943" s="25">
        <v>44265</v>
      </c>
      <c r="H1943">
        <v>14</v>
      </c>
      <c r="I1943">
        <v>69</v>
      </c>
      <c r="J1943" t="s">
        <v>231</v>
      </c>
      <c r="K1943" t="s">
        <v>504</v>
      </c>
      <c r="L1943" t="s">
        <v>43</v>
      </c>
      <c r="M1943" t="s">
        <v>234</v>
      </c>
      <c r="N1943" t="s">
        <v>42</v>
      </c>
      <c r="O1943" t="s">
        <v>21</v>
      </c>
      <c r="P1943" t="s">
        <v>236</v>
      </c>
      <c r="Q1943">
        <v>55349</v>
      </c>
      <c r="R1943" t="s">
        <v>237</v>
      </c>
    </row>
    <row r="1944" spans="1:18" x14ac:dyDescent="0.25">
      <c r="A1944" t="s">
        <v>2606</v>
      </c>
      <c r="B1944">
        <v>948</v>
      </c>
      <c r="C1944" t="s">
        <v>487</v>
      </c>
      <c r="D1944" t="s">
        <v>256</v>
      </c>
      <c r="E1944" t="s">
        <v>261</v>
      </c>
      <c r="F1944" t="s">
        <v>1276</v>
      </c>
      <c r="G1944" s="25">
        <v>44240</v>
      </c>
      <c r="H1944">
        <v>9</v>
      </c>
      <c r="I1944">
        <v>44</v>
      </c>
      <c r="J1944" t="s">
        <v>231</v>
      </c>
      <c r="K1944" t="s">
        <v>504</v>
      </c>
      <c r="L1944" t="s">
        <v>43</v>
      </c>
      <c r="M1944" t="s">
        <v>234</v>
      </c>
      <c r="N1944" t="s">
        <v>42</v>
      </c>
      <c r="O1944" t="s">
        <v>21</v>
      </c>
      <c r="P1944" t="s">
        <v>236</v>
      </c>
      <c r="Q1944">
        <v>0</v>
      </c>
      <c r="R1944" t="s">
        <v>237</v>
      </c>
    </row>
    <row r="1945" spans="1:18" x14ac:dyDescent="0.25">
      <c r="A1945" t="s">
        <v>1863</v>
      </c>
      <c r="B1945">
        <v>574</v>
      </c>
      <c r="C1945" t="s">
        <v>487</v>
      </c>
      <c r="D1945" t="s">
        <v>231</v>
      </c>
      <c r="E1945" t="s">
        <v>326</v>
      </c>
      <c r="F1945" t="s">
        <v>1095</v>
      </c>
      <c r="G1945" s="25">
        <v>44223</v>
      </c>
      <c r="H1945">
        <v>6</v>
      </c>
      <c r="I1945">
        <v>27</v>
      </c>
      <c r="J1945" t="s">
        <v>231</v>
      </c>
      <c r="K1945" t="s">
        <v>504</v>
      </c>
      <c r="L1945" t="s">
        <v>43</v>
      </c>
      <c r="M1945" t="s">
        <v>234</v>
      </c>
      <c r="N1945" t="s">
        <v>42</v>
      </c>
      <c r="O1945" t="s">
        <v>21</v>
      </c>
      <c r="P1945" t="s">
        <v>236</v>
      </c>
      <c r="Q1945">
        <v>0</v>
      </c>
      <c r="R1945" t="s">
        <v>237</v>
      </c>
    </row>
    <row r="1946" spans="1:18" x14ac:dyDescent="0.25">
      <c r="A1946" t="s">
        <v>625</v>
      </c>
      <c r="B1946">
        <v>222</v>
      </c>
      <c r="C1946" t="s">
        <v>487</v>
      </c>
      <c r="D1946" t="s">
        <v>229</v>
      </c>
      <c r="E1946" t="s">
        <v>515</v>
      </c>
      <c r="F1946" t="s">
        <v>516</v>
      </c>
      <c r="G1946" s="25">
        <v>44207</v>
      </c>
      <c r="H1946">
        <v>3</v>
      </c>
      <c r="I1946">
        <v>11</v>
      </c>
      <c r="J1946" t="s">
        <v>231</v>
      </c>
      <c r="K1946" t="s">
        <v>504</v>
      </c>
      <c r="L1946" t="s">
        <v>43</v>
      </c>
      <c r="M1946" t="s">
        <v>234</v>
      </c>
      <c r="N1946" t="s">
        <v>42</v>
      </c>
      <c r="O1946" t="s">
        <v>21</v>
      </c>
      <c r="P1946" t="s">
        <v>236</v>
      </c>
      <c r="Q1946">
        <v>0</v>
      </c>
      <c r="R1946" t="s">
        <v>237</v>
      </c>
    </row>
    <row r="1947" spans="1:18" x14ac:dyDescent="0.25">
      <c r="A1947" t="s">
        <v>2097</v>
      </c>
      <c r="B1947">
        <v>1703</v>
      </c>
      <c r="C1947" t="s">
        <v>487</v>
      </c>
      <c r="D1947" t="s">
        <v>261</v>
      </c>
      <c r="E1947" t="s">
        <v>552</v>
      </c>
      <c r="F1947" t="s">
        <v>1585</v>
      </c>
      <c r="G1947" s="25">
        <v>44274</v>
      </c>
      <c r="H1947">
        <v>16</v>
      </c>
      <c r="I1947">
        <v>78</v>
      </c>
      <c r="J1947" t="s">
        <v>231</v>
      </c>
      <c r="K1947" t="s">
        <v>503</v>
      </c>
      <c r="L1947" t="s">
        <v>303</v>
      </c>
      <c r="M1947" t="s">
        <v>234</v>
      </c>
      <c r="N1947" t="s">
        <v>56</v>
      </c>
      <c r="O1947" t="s">
        <v>235</v>
      </c>
      <c r="P1947" t="s">
        <v>304</v>
      </c>
      <c r="Q1947">
        <v>0</v>
      </c>
      <c r="R1947" t="s">
        <v>237</v>
      </c>
    </row>
    <row r="1948" spans="1:18" x14ac:dyDescent="0.25">
      <c r="A1948" t="s">
        <v>2880</v>
      </c>
      <c r="B1948">
        <v>1175</v>
      </c>
      <c r="C1948" t="s">
        <v>487</v>
      </c>
      <c r="D1948" t="s">
        <v>256</v>
      </c>
      <c r="E1948" t="s">
        <v>537</v>
      </c>
      <c r="F1948" t="s">
        <v>1348</v>
      </c>
      <c r="G1948" s="25">
        <v>44250</v>
      </c>
      <c r="H1948">
        <v>11</v>
      </c>
      <c r="I1948">
        <v>54</v>
      </c>
      <c r="J1948" t="s">
        <v>231</v>
      </c>
      <c r="K1948" t="s">
        <v>503</v>
      </c>
      <c r="L1948" t="s">
        <v>303</v>
      </c>
      <c r="M1948" t="s">
        <v>234</v>
      </c>
      <c r="N1948" t="s">
        <v>56</v>
      </c>
      <c r="O1948" t="s">
        <v>235</v>
      </c>
      <c r="P1948" t="s">
        <v>304</v>
      </c>
      <c r="Q1948">
        <v>0</v>
      </c>
      <c r="R1948" t="s">
        <v>237</v>
      </c>
    </row>
    <row r="1949" spans="1:18" x14ac:dyDescent="0.25">
      <c r="A1949" t="s">
        <v>617</v>
      </c>
      <c r="B1949">
        <v>207</v>
      </c>
      <c r="C1949" t="s">
        <v>487</v>
      </c>
      <c r="D1949" t="s">
        <v>229</v>
      </c>
      <c r="E1949" t="s">
        <v>239</v>
      </c>
      <c r="F1949" t="s">
        <v>578</v>
      </c>
      <c r="G1949" s="25">
        <v>44206</v>
      </c>
      <c r="H1949">
        <v>2</v>
      </c>
      <c r="I1949">
        <v>10</v>
      </c>
      <c r="J1949" t="s">
        <v>231</v>
      </c>
      <c r="K1949" t="s">
        <v>503</v>
      </c>
      <c r="L1949" t="s">
        <v>303</v>
      </c>
      <c r="M1949" t="s">
        <v>234</v>
      </c>
      <c r="N1949" t="s">
        <v>56</v>
      </c>
      <c r="O1949" t="s">
        <v>235</v>
      </c>
      <c r="P1949" t="s">
        <v>304</v>
      </c>
      <c r="Q1949">
        <v>0</v>
      </c>
      <c r="R1949" t="s">
        <v>237</v>
      </c>
    </row>
    <row r="1950" spans="1:18" x14ac:dyDescent="0.25">
      <c r="A1950" t="s">
        <v>3839</v>
      </c>
      <c r="B1950">
        <v>2077</v>
      </c>
      <c r="C1950" t="s">
        <v>487</v>
      </c>
      <c r="D1950" t="s">
        <v>322</v>
      </c>
      <c r="E1950" t="s">
        <v>575</v>
      </c>
      <c r="F1950" t="s">
        <v>3014</v>
      </c>
      <c r="G1950" s="25">
        <v>44291</v>
      </c>
      <c r="H1950">
        <v>19</v>
      </c>
      <c r="I1950">
        <v>95</v>
      </c>
      <c r="J1950" t="s">
        <v>231</v>
      </c>
      <c r="K1950" t="s">
        <v>503</v>
      </c>
      <c r="L1950" t="s">
        <v>303</v>
      </c>
      <c r="M1950" t="s">
        <v>234</v>
      </c>
      <c r="N1950" t="s">
        <v>56</v>
      </c>
      <c r="O1950" t="s">
        <v>235</v>
      </c>
      <c r="P1950" t="s">
        <v>304</v>
      </c>
      <c r="Q1950">
        <v>0</v>
      </c>
      <c r="R1950" t="s">
        <v>237</v>
      </c>
    </row>
    <row r="1951" spans="1:18" x14ac:dyDescent="0.25">
      <c r="A1951" t="s">
        <v>3840</v>
      </c>
      <c r="B1951">
        <v>2188</v>
      </c>
      <c r="C1951" t="s">
        <v>487</v>
      </c>
      <c r="D1951" t="s">
        <v>322</v>
      </c>
      <c r="E1951" t="s">
        <v>408</v>
      </c>
      <c r="F1951" t="s">
        <v>3059</v>
      </c>
      <c r="G1951" s="25">
        <v>44296</v>
      </c>
      <c r="H1951">
        <v>20</v>
      </c>
      <c r="I1951">
        <v>100</v>
      </c>
      <c r="J1951" t="s">
        <v>231</v>
      </c>
      <c r="K1951" t="s">
        <v>502</v>
      </c>
      <c r="L1951" t="s">
        <v>287</v>
      </c>
      <c r="M1951" t="s">
        <v>234</v>
      </c>
      <c r="N1951" t="s">
        <v>58</v>
      </c>
      <c r="O1951" t="s">
        <v>235</v>
      </c>
      <c r="P1951" t="s">
        <v>288</v>
      </c>
      <c r="Q1951">
        <v>0</v>
      </c>
      <c r="R1951" t="s">
        <v>237</v>
      </c>
    </row>
    <row r="1952" spans="1:18" x14ac:dyDescent="0.25">
      <c r="A1952" t="s">
        <v>2231</v>
      </c>
      <c r="B1952">
        <v>1726</v>
      </c>
      <c r="C1952" t="s">
        <v>487</v>
      </c>
      <c r="D1952" t="s">
        <v>261</v>
      </c>
      <c r="E1952" t="s">
        <v>531</v>
      </c>
      <c r="F1952" t="s">
        <v>1588</v>
      </c>
      <c r="G1952" s="25">
        <v>44275</v>
      </c>
      <c r="H1952">
        <v>16</v>
      </c>
      <c r="I1952">
        <v>79</v>
      </c>
      <c r="J1952" t="s">
        <v>231</v>
      </c>
      <c r="K1952" t="s">
        <v>502</v>
      </c>
      <c r="L1952" t="s">
        <v>287</v>
      </c>
      <c r="M1952" t="s">
        <v>234</v>
      </c>
      <c r="N1952" t="s">
        <v>58</v>
      </c>
      <c r="O1952" t="s">
        <v>235</v>
      </c>
      <c r="P1952" t="s">
        <v>288</v>
      </c>
      <c r="Q1952">
        <v>0</v>
      </c>
      <c r="R1952" t="s">
        <v>237</v>
      </c>
    </row>
    <row r="1953" spans="1:18" x14ac:dyDescent="0.25">
      <c r="A1953" t="s">
        <v>2725</v>
      </c>
      <c r="B1953">
        <v>913</v>
      </c>
      <c r="C1953" t="s">
        <v>487</v>
      </c>
      <c r="D1953" t="s">
        <v>256</v>
      </c>
      <c r="E1953" t="s">
        <v>231</v>
      </c>
      <c r="F1953" t="s">
        <v>1249</v>
      </c>
      <c r="G1953" s="25">
        <v>44238</v>
      </c>
      <c r="H1953">
        <v>9</v>
      </c>
      <c r="I1953">
        <v>42</v>
      </c>
      <c r="J1953" t="s">
        <v>231</v>
      </c>
      <c r="K1953" t="s">
        <v>501</v>
      </c>
      <c r="L1953" t="s">
        <v>412</v>
      </c>
      <c r="M1953" t="s">
        <v>234</v>
      </c>
      <c r="N1953" t="s">
        <v>60</v>
      </c>
      <c r="O1953" t="s">
        <v>235</v>
      </c>
      <c r="P1953" t="s">
        <v>413</v>
      </c>
      <c r="Q1953">
        <v>0</v>
      </c>
      <c r="R1953" t="s">
        <v>237</v>
      </c>
    </row>
    <row r="1954" spans="1:18" x14ac:dyDescent="0.25">
      <c r="A1954" t="s">
        <v>2555</v>
      </c>
      <c r="B1954">
        <v>1441</v>
      </c>
      <c r="C1954" t="s">
        <v>487</v>
      </c>
      <c r="D1954" t="s">
        <v>261</v>
      </c>
      <c r="E1954" t="s">
        <v>247</v>
      </c>
      <c r="F1954" t="s">
        <v>1425</v>
      </c>
      <c r="G1954" s="25">
        <v>44262</v>
      </c>
      <c r="H1954">
        <v>14</v>
      </c>
      <c r="I1954">
        <v>66</v>
      </c>
      <c r="J1954" t="s">
        <v>231</v>
      </c>
      <c r="K1954" t="s">
        <v>501</v>
      </c>
      <c r="L1954" t="s">
        <v>412</v>
      </c>
      <c r="M1954" t="s">
        <v>234</v>
      </c>
      <c r="N1954" t="s">
        <v>60</v>
      </c>
      <c r="O1954" t="s">
        <v>235</v>
      </c>
      <c r="P1954" t="s">
        <v>413</v>
      </c>
      <c r="Q1954">
        <v>0</v>
      </c>
      <c r="R1954" t="s">
        <v>237</v>
      </c>
    </row>
    <row r="1955" spans="1:18" x14ac:dyDescent="0.25">
      <c r="A1955" t="s">
        <v>844</v>
      </c>
      <c r="B1955">
        <v>205</v>
      </c>
      <c r="C1955" t="s">
        <v>487</v>
      </c>
      <c r="D1955" t="s">
        <v>229</v>
      </c>
      <c r="E1955" t="s">
        <v>239</v>
      </c>
      <c r="F1955" t="s">
        <v>578</v>
      </c>
      <c r="G1955" s="25">
        <v>44206</v>
      </c>
      <c r="H1955">
        <v>2</v>
      </c>
      <c r="I1955">
        <v>10</v>
      </c>
      <c r="J1955" t="s">
        <v>231</v>
      </c>
      <c r="K1955" t="s">
        <v>500</v>
      </c>
      <c r="L1955" t="s">
        <v>265</v>
      </c>
      <c r="M1955" t="s">
        <v>234</v>
      </c>
      <c r="N1955" t="s">
        <v>52</v>
      </c>
      <c r="O1955" t="s">
        <v>235</v>
      </c>
      <c r="P1955" t="s">
        <v>266</v>
      </c>
      <c r="Q1955">
        <v>0</v>
      </c>
      <c r="R1955" t="s">
        <v>237</v>
      </c>
    </row>
    <row r="1956" spans="1:18" x14ac:dyDescent="0.25">
      <c r="A1956" t="s">
        <v>3841</v>
      </c>
      <c r="B1956">
        <v>2075</v>
      </c>
      <c r="C1956" t="s">
        <v>487</v>
      </c>
      <c r="D1956" t="s">
        <v>322</v>
      </c>
      <c r="E1956" t="s">
        <v>575</v>
      </c>
      <c r="F1956" t="s">
        <v>3014</v>
      </c>
      <c r="G1956" s="25">
        <v>44291</v>
      </c>
      <c r="H1956">
        <v>19</v>
      </c>
      <c r="I1956">
        <v>95</v>
      </c>
      <c r="J1956" t="s">
        <v>231</v>
      </c>
      <c r="K1956" t="s">
        <v>500</v>
      </c>
      <c r="L1956" t="s">
        <v>265</v>
      </c>
      <c r="M1956" t="s">
        <v>234</v>
      </c>
      <c r="N1956" t="s">
        <v>52</v>
      </c>
      <c r="O1956" t="s">
        <v>235</v>
      </c>
      <c r="P1956" t="s">
        <v>266</v>
      </c>
      <c r="Q1956">
        <v>0</v>
      </c>
      <c r="R1956" t="s">
        <v>237</v>
      </c>
    </row>
    <row r="1957" spans="1:18" x14ac:dyDescent="0.25">
      <c r="A1957" t="s">
        <v>2298</v>
      </c>
      <c r="B1957">
        <v>1701</v>
      </c>
      <c r="C1957" t="s">
        <v>487</v>
      </c>
      <c r="D1957" t="s">
        <v>261</v>
      </c>
      <c r="E1957" t="s">
        <v>552</v>
      </c>
      <c r="F1957" t="s">
        <v>1585</v>
      </c>
      <c r="G1957" s="25">
        <v>44274</v>
      </c>
      <c r="H1957">
        <v>16</v>
      </c>
      <c r="I1957">
        <v>78</v>
      </c>
      <c r="J1957" t="s">
        <v>231</v>
      </c>
      <c r="K1957" t="s">
        <v>500</v>
      </c>
      <c r="L1957" t="s">
        <v>265</v>
      </c>
      <c r="M1957" t="s">
        <v>234</v>
      </c>
      <c r="N1957" t="s">
        <v>52</v>
      </c>
      <c r="O1957" t="s">
        <v>235</v>
      </c>
      <c r="P1957" t="s">
        <v>266</v>
      </c>
      <c r="Q1957">
        <v>0</v>
      </c>
      <c r="R1957" t="s">
        <v>237</v>
      </c>
    </row>
    <row r="1958" spans="1:18" x14ac:dyDescent="0.25">
      <c r="A1958" t="s">
        <v>1779</v>
      </c>
      <c r="B1958">
        <v>1173</v>
      </c>
      <c r="C1958" t="s">
        <v>487</v>
      </c>
      <c r="D1958" t="s">
        <v>256</v>
      </c>
      <c r="E1958" t="s">
        <v>537</v>
      </c>
      <c r="F1958" t="s">
        <v>1348</v>
      </c>
      <c r="G1958" s="25">
        <v>44250</v>
      </c>
      <c r="H1958">
        <v>11</v>
      </c>
      <c r="I1958">
        <v>54</v>
      </c>
      <c r="J1958" t="s">
        <v>231</v>
      </c>
      <c r="K1958" t="s">
        <v>500</v>
      </c>
      <c r="L1958" t="s">
        <v>265</v>
      </c>
      <c r="M1958" t="s">
        <v>234</v>
      </c>
      <c r="N1958" t="s">
        <v>52</v>
      </c>
      <c r="O1958" t="s">
        <v>235</v>
      </c>
      <c r="P1958" t="s">
        <v>266</v>
      </c>
      <c r="Q1958">
        <v>0</v>
      </c>
      <c r="R1958" t="s">
        <v>237</v>
      </c>
    </row>
    <row r="1959" spans="1:18" x14ac:dyDescent="0.25">
      <c r="A1959" t="s">
        <v>744</v>
      </c>
      <c r="B1959">
        <v>430</v>
      </c>
      <c r="C1959" t="s">
        <v>487</v>
      </c>
      <c r="D1959" t="s">
        <v>229</v>
      </c>
      <c r="E1959" t="s">
        <v>408</v>
      </c>
      <c r="F1959" t="s">
        <v>527</v>
      </c>
      <c r="G1959" s="25">
        <v>44216</v>
      </c>
      <c r="H1959">
        <v>4</v>
      </c>
      <c r="I1959">
        <v>20</v>
      </c>
      <c r="J1959" t="s">
        <v>231</v>
      </c>
      <c r="K1959" t="s">
        <v>499</v>
      </c>
      <c r="L1959" t="s">
        <v>410</v>
      </c>
      <c r="M1959" t="s">
        <v>234</v>
      </c>
      <c r="N1959" t="s">
        <v>62</v>
      </c>
      <c r="O1959" t="s">
        <v>235</v>
      </c>
      <c r="P1959" t="s">
        <v>411</v>
      </c>
      <c r="Q1959">
        <v>0</v>
      </c>
      <c r="R1959" t="s">
        <v>237</v>
      </c>
    </row>
    <row r="1960" spans="1:18" x14ac:dyDescent="0.25">
      <c r="A1960" t="s">
        <v>3842</v>
      </c>
      <c r="B1960">
        <v>2155</v>
      </c>
      <c r="C1960" t="s">
        <v>487</v>
      </c>
      <c r="D1960" t="s">
        <v>322</v>
      </c>
      <c r="E1960" t="s">
        <v>552</v>
      </c>
      <c r="F1960" t="s">
        <v>3045</v>
      </c>
      <c r="G1960" s="25">
        <v>44294</v>
      </c>
      <c r="H1960">
        <v>20</v>
      </c>
      <c r="I1960">
        <v>98</v>
      </c>
      <c r="J1960" t="s">
        <v>432</v>
      </c>
      <c r="K1960" t="s">
        <v>498</v>
      </c>
      <c r="L1960" t="s">
        <v>26</v>
      </c>
      <c r="M1960" t="s">
        <v>434</v>
      </c>
      <c r="N1960" t="s">
        <v>77</v>
      </c>
      <c r="O1960" t="s">
        <v>435</v>
      </c>
      <c r="P1960" t="s">
        <v>26</v>
      </c>
      <c r="Q1960">
        <v>254586.25</v>
      </c>
      <c r="R1960" t="s">
        <v>436</v>
      </c>
    </row>
    <row r="1961" spans="1:18" x14ac:dyDescent="0.25">
      <c r="A1961" t="s">
        <v>2792</v>
      </c>
      <c r="B1961">
        <v>1649</v>
      </c>
      <c r="C1961" t="s">
        <v>487</v>
      </c>
      <c r="D1961" t="s">
        <v>261</v>
      </c>
      <c r="E1961" t="s">
        <v>575</v>
      </c>
      <c r="F1961" t="s">
        <v>1537</v>
      </c>
      <c r="G1961" s="25">
        <v>44271</v>
      </c>
      <c r="H1961">
        <v>15</v>
      </c>
      <c r="I1961">
        <v>75</v>
      </c>
      <c r="J1961" t="s">
        <v>432</v>
      </c>
      <c r="K1961" t="s">
        <v>498</v>
      </c>
      <c r="L1961" t="s">
        <v>26</v>
      </c>
      <c r="M1961" t="s">
        <v>434</v>
      </c>
      <c r="N1961" t="s">
        <v>77</v>
      </c>
      <c r="O1961" t="s">
        <v>435</v>
      </c>
      <c r="P1961" t="s">
        <v>26</v>
      </c>
      <c r="Q1961">
        <v>126131.25</v>
      </c>
      <c r="R1961" t="s">
        <v>436</v>
      </c>
    </row>
    <row r="1962" spans="1:18" x14ac:dyDescent="0.25">
      <c r="A1962" t="s">
        <v>1878</v>
      </c>
      <c r="B1962">
        <v>1473</v>
      </c>
      <c r="C1962" t="s">
        <v>487</v>
      </c>
      <c r="D1962" t="s">
        <v>261</v>
      </c>
      <c r="E1962" t="s">
        <v>326</v>
      </c>
      <c r="F1962" t="s">
        <v>1440</v>
      </c>
      <c r="G1962" s="25">
        <v>44263</v>
      </c>
      <c r="H1962">
        <v>14</v>
      </c>
      <c r="I1962">
        <v>67</v>
      </c>
      <c r="J1962" t="s">
        <v>432</v>
      </c>
      <c r="K1962" t="s">
        <v>498</v>
      </c>
      <c r="L1962" t="s">
        <v>26</v>
      </c>
      <c r="M1962" t="s">
        <v>434</v>
      </c>
      <c r="N1962" t="s">
        <v>77</v>
      </c>
      <c r="O1962" t="s">
        <v>435</v>
      </c>
      <c r="P1962" t="s">
        <v>26</v>
      </c>
      <c r="Q1962">
        <v>158353.125</v>
      </c>
      <c r="R1962" t="s">
        <v>436</v>
      </c>
    </row>
    <row r="1963" spans="1:18" x14ac:dyDescent="0.25">
      <c r="A1963" t="s">
        <v>2466</v>
      </c>
      <c r="B1963">
        <v>1363</v>
      </c>
      <c r="C1963" t="s">
        <v>487</v>
      </c>
      <c r="D1963" t="s">
        <v>261</v>
      </c>
      <c r="E1963" t="s">
        <v>231</v>
      </c>
      <c r="F1963" t="s">
        <v>1400</v>
      </c>
      <c r="G1963" s="25">
        <v>44258</v>
      </c>
      <c r="H1963">
        <v>13</v>
      </c>
      <c r="I1963">
        <v>62</v>
      </c>
      <c r="J1963" t="s">
        <v>432</v>
      </c>
      <c r="K1963" t="s">
        <v>498</v>
      </c>
      <c r="L1963" t="s">
        <v>26</v>
      </c>
      <c r="M1963" t="s">
        <v>434</v>
      </c>
      <c r="N1963" t="s">
        <v>77</v>
      </c>
      <c r="O1963" t="s">
        <v>435</v>
      </c>
      <c r="P1963" t="s">
        <v>26</v>
      </c>
      <c r="Q1963">
        <v>177996.875</v>
      </c>
      <c r="R1963" t="s">
        <v>436</v>
      </c>
    </row>
    <row r="1964" spans="1:18" x14ac:dyDescent="0.25">
      <c r="A1964" t="s">
        <v>1680</v>
      </c>
      <c r="B1964">
        <v>1427</v>
      </c>
      <c r="C1964" t="s">
        <v>487</v>
      </c>
      <c r="D1964" t="s">
        <v>261</v>
      </c>
      <c r="E1964" t="s">
        <v>322</v>
      </c>
      <c r="F1964" t="s">
        <v>1417</v>
      </c>
      <c r="G1964" s="25">
        <v>44261</v>
      </c>
      <c r="H1964">
        <v>13</v>
      </c>
      <c r="I1964">
        <v>65</v>
      </c>
      <c r="J1964" t="s">
        <v>432</v>
      </c>
      <c r="K1964" t="s">
        <v>497</v>
      </c>
      <c r="L1964" t="s">
        <v>438</v>
      </c>
      <c r="M1964" t="s">
        <v>434</v>
      </c>
      <c r="N1964" t="s">
        <v>75</v>
      </c>
      <c r="O1964" t="s">
        <v>435</v>
      </c>
      <c r="P1964" t="s">
        <v>438</v>
      </c>
      <c r="Q1964">
        <v>33450</v>
      </c>
      <c r="R1964" t="s">
        <v>436</v>
      </c>
    </row>
    <row r="1965" spans="1:18" x14ac:dyDescent="0.25">
      <c r="A1965" t="s">
        <v>761</v>
      </c>
      <c r="B1965">
        <v>437</v>
      </c>
      <c r="C1965" t="s">
        <v>487</v>
      </c>
      <c r="D1965" t="s">
        <v>229</v>
      </c>
      <c r="E1965" t="s">
        <v>408</v>
      </c>
      <c r="F1965" t="s">
        <v>527</v>
      </c>
      <c r="G1965" s="25">
        <v>44216</v>
      </c>
      <c r="H1965">
        <v>4</v>
      </c>
      <c r="I1965">
        <v>20</v>
      </c>
      <c r="J1965" t="s">
        <v>432</v>
      </c>
      <c r="K1965" t="s">
        <v>497</v>
      </c>
      <c r="L1965" t="s">
        <v>438</v>
      </c>
      <c r="M1965" t="s">
        <v>434</v>
      </c>
      <c r="N1965" t="s">
        <v>75</v>
      </c>
      <c r="O1965" t="s">
        <v>435</v>
      </c>
      <c r="P1965" t="s">
        <v>438</v>
      </c>
      <c r="Q1965">
        <v>0</v>
      </c>
      <c r="R1965" t="s">
        <v>436</v>
      </c>
    </row>
    <row r="1966" spans="1:18" x14ac:dyDescent="0.25">
      <c r="A1966" t="s">
        <v>2624</v>
      </c>
      <c r="B1966">
        <v>587</v>
      </c>
      <c r="C1966" t="s">
        <v>487</v>
      </c>
      <c r="D1966" t="s">
        <v>231</v>
      </c>
      <c r="E1966" t="s">
        <v>326</v>
      </c>
      <c r="F1966" t="s">
        <v>1095</v>
      </c>
      <c r="G1966" s="25">
        <v>44223</v>
      </c>
      <c r="H1966">
        <v>6</v>
      </c>
      <c r="I1966">
        <v>27</v>
      </c>
      <c r="J1966" t="s">
        <v>432</v>
      </c>
      <c r="K1966" t="s">
        <v>496</v>
      </c>
      <c r="L1966" t="s">
        <v>69</v>
      </c>
      <c r="M1966" t="s">
        <v>434</v>
      </c>
      <c r="N1966" t="s">
        <v>68</v>
      </c>
      <c r="O1966" t="s">
        <v>21</v>
      </c>
      <c r="P1966" t="s">
        <v>439</v>
      </c>
      <c r="Q1966">
        <v>43625</v>
      </c>
      <c r="R1966" t="s">
        <v>237</v>
      </c>
    </row>
    <row r="1967" spans="1:18" x14ac:dyDescent="0.25">
      <c r="A1967" t="s">
        <v>363</v>
      </c>
      <c r="B1967">
        <v>125</v>
      </c>
      <c r="C1967" t="s">
        <v>487</v>
      </c>
      <c r="D1967" t="s">
        <v>229</v>
      </c>
      <c r="E1967" t="s">
        <v>247</v>
      </c>
      <c r="F1967" t="s">
        <v>524</v>
      </c>
      <c r="G1967" s="25">
        <v>44202</v>
      </c>
      <c r="H1967">
        <v>2</v>
      </c>
      <c r="I1967">
        <v>6</v>
      </c>
      <c r="J1967" t="s">
        <v>432</v>
      </c>
      <c r="K1967" t="s">
        <v>496</v>
      </c>
      <c r="L1967" t="s">
        <v>69</v>
      </c>
      <c r="M1967" t="s">
        <v>434</v>
      </c>
      <c r="N1967" t="s">
        <v>68</v>
      </c>
      <c r="O1967" t="s">
        <v>21</v>
      </c>
      <c r="P1967" t="s">
        <v>439</v>
      </c>
      <c r="Q1967">
        <v>56000</v>
      </c>
      <c r="R1967" t="s">
        <v>237</v>
      </c>
    </row>
    <row r="1968" spans="1:18" x14ac:dyDescent="0.25">
      <c r="A1968" t="s">
        <v>3843</v>
      </c>
      <c r="B1968">
        <v>2105</v>
      </c>
      <c r="C1968" t="s">
        <v>487</v>
      </c>
      <c r="D1968" t="s">
        <v>322</v>
      </c>
      <c r="E1968" t="s">
        <v>620</v>
      </c>
      <c r="F1968" t="s">
        <v>3025</v>
      </c>
      <c r="G1968" s="25">
        <v>44292</v>
      </c>
      <c r="H1968">
        <v>20</v>
      </c>
      <c r="I1968">
        <v>96</v>
      </c>
      <c r="J1968" t="s">
        <v>432</v>
      </c>
      <c r="K1968" t="s">
        <v>496</v>
      </c>
      <c r="L1968" t="s">
        <v>69</v>
      </c>
      <c r="M1968" t="s">
        <v>434</v>
      </c>
      <c r="N1968" t="s">
        <v>68</v>
      </c>
      <c r="O1968" t="s">
        <v>21</v>
      </c>
      <c r="P1968" t="s">
        <v>439</v>
      </c>
      <c r="Q1968">
        <v>600125</v>
      </c>
      <c r="R1968" t="s">
        <v>237</v>
      </c>
    </row>
    <row r="1969" spans="1:18" x14ac:dyDescent="0.25">
      <c r="A1969" t="s">
        <v>2127</v>
      </c>
      <c r="B1969">
        <v>676</v>
      </c>
      <c r="C1969" t="s">
        <v>487</v>
      </c>
      <c r="D1969" t="s">
        <v>231</v>
      </c>
      <c r="E1969" t="s">
        <v>515</v>
      </c>
      <c r="F1969" t="s">
        <v>1150</v>
      </c>
      <c r="G1969" s="25">
        <v>44227</v>
      </c>
      <c r="H1969">
        <v>7</v>
      </c>
      <c r="I1969">
        <v>31</v>
      </c>
      <c r="J1969" t="s">
        <v>432</v>
      </c>
      <c r="K1969" t="s">
        <v>495</v>
      </c>
      <c r="L1969" t="s">
        <v>135</v>
      </c>
      <c r="M1969" t="s">
        <v>434</v>
      </c>
      <c r="N1969" t="s">
        <v>70</v>
      </c>
      <c r="O1969" t="s">
        <v>21</v>
      </c>
      <c r="P1969" t="s">
        <v>440</v>
      </c>
      <c r="Q1969">
        <v>216000</v>
      </c>
      <c r="R1969" t="s">
        <v>237</v>
      </c>
    </row>
    <row r="1970" spans="1:18" x14ac:dyDescent="0.25">
      <c r="A1970" t="s">
        <v>3844</v>
      </c>
      <c r="B1970">
        <v>2546</v>
      </c>
      <c r="C1970" t="s">
        <v>487</v>
      </c>
      <c r="D1970" t="s">
        <v>247</v>
      </c>
      <c r="E1970" t="s">
        <v>620</v>
      </c>
      <c r="F1970" t="s">
        <v>3162</v>
      </c>
      <c r="G1970" s="25">
        <v>44312</v>
      </c>
      <c r="H1970">
        <v>24</v>
      </c>
      <c r="I1970">
        <v>116</v>
      </c>
      <c r="J1970" t="s">
        <v>432</v>
      </c>
      <c r="K1970" t="s">
        <v>495</v>
      </c>
      <c r="L1970" t="s">
        <v>135</v>
      </c>
      <c r="M1970" t="s">
        <v>434</v>
      </c>
      <c r="N1970" t="s">
        <v>70</v>
      </c>
      <c r="O1970" t="s">
        <v>21</v>
      </c>
      <c r="P1970" t="s">
        <v>440</v>
      </c>
      <c r="Q1970">
        <v>384000</v>
      </c>
      <c r="R1970" t="s">
        <v>237</v>
      </c>
    </row>
    <row r="1971" spans="1:18" x14ac:dyDescent="0.25">
      <c r="A1971" t="s">
        <v>3845</v>
      </c>
      <c r="B1971">
        <v>1930</v>
      </c>
      <c r="C1971" t="s">
        <v>487</v>
      </c>
      <c r="D1971" t="s">
        <v>322</v>
      </c>
      <c r="E1971" t="s">
        <v>381</v>
      </c>
      <c r="F1971" t="s">
        <v>2971</v>
      </c>
      <c r="G1971" s="25">
        <v>44284</v>
      </c>
      <c r="H1971">
        <v>18</v>
      </c>
      <c r="I1971">
        <v>88</v>
      </c>
      <c r="J1971" t="s">
        <v>432</v>
      </c>
      <c r="K1971" t="s">
        <v>495</v>
      </c>
      <c r="L1971" t="s">
        <v>135</v>
      </c>
      <c r="M1971" t="s">
        <v>434</v>
      </c>
      <c r="N1971" t="s">
        <v>70</v>
      </c>
      <c r="O1971" t="s">
        <v>21</v>
      </c>
      <c r="P1971" t="s">
        <v>440</v>
      </c>
      <c r="Q1971">
        <v>681000</v>
      </c>
      <c r="R1971" t="s">
        <v>237</v>
      </c>
    </row>
    <row r="1972" spans="1:18" x14ac:dyDescent="0.25">
      <c r="A1972" t="s">
        <v>2899</v>
      </c>
      <c r="B1972">
        <v>1468</v>
      </c>
      <c r="C1972" t="s">
        <v>487</v>
      </c>
      <c r="D1972" t="s">
        <v>261</v>
      </c>
      <c r="E1972" t="s">
        <v>326</v>
      </c>
      <c r="F1972" t="s">
        <v>1440</v>
      </c>
      <c r="G1972" s="25">
        <v>44263</v>
      </c>
      <c r="H1972">
        <v>14</v>
      </c>
      <c r="I1972">
        <v>67</v>
      </c>
      <c r="J1972" t="s">
        <v>432</v>
      </c>
      <c r="K1972" t="s">
        <v>495</v>
      </c>
      <c r="L1972" t="s">
        <v>135</v>
      </c>
      <c r="M1972" t="s">
        <v>434</v>
      </c>
      <c r="N1972" t="s">
        <v>70</v>
      </c>
      <c r="O1972" t="s">
        <v>21</v>
      </c>
      <c r="P1972" t="s">
        <v>440</v>
      </c>
      <c r="Q1972">
        <v>216875</v>
      </c>
      <c r="R1972" t="s">
        <v>237</v>
      </c>
    </row>
    <row r="1973" spans="1:18" x14ac:dyDescent="0.25">
      <c r="A1973" t="s">
        <v>318</v>
      </c>
      <c r="B1973">
        <v>130</v>
      </c>
      <c r="C1973" t="s">
        <v>487</v>
      </c>
      <c r="D1973" t="s">
        <v>229</v>
      </c>
      <c r="E1973" t="s">
        <v>247</v>
      </c>
      <c r="F1973" t="s">
        <v>524</v>
      </c>
      <c r="G1973" s="25">
        <v>44202</v>
      </c>
      <c r="H1973">
        <v>2</v>
      </c>
      <c r="I1973">
        <v>6</v>
      </c>
      <c r="J1973" t="s">
        <v>432</v>
      </c>
      <c r="K1973" t="s">
        <v>494</v>
      </c>
      <c r="L1973" t="s">
        <v>25</v>
      </c>
      <c r="M1973" t="s">
        <v>434</v>
      </c>
      <c r="N1973" t="s">
        <v>76</v>
      </c>
      <c r="O1973" t="s">
        <v>435</v>
      </c>
      <c r="P1973" t="s">
        <v>25</v>
      </c>
      <c r="Q1973">
        <v>10800</v>
      </c>
      <c r="R1973" t="s">
        <v>436</v>
      </c>
    </row>
    <row r="1974" spans="1:18" x14ac:dyDescent="0.25">
      <c r="A1974" t="s">
        <v>1951</v>
      </c>
      <c r="B1974">
        <v>1340</v>
      </c>
      <c r="C1974" t="s">
        <v>487</v>
      </c>
      <c r="D1974" t="s">
        <v>261</v>
      </c>
      <c r="E1974" t="s">
        <v>229</v>
      </c>
      <c r="F1974" t="s">
        <v>1388</v>
      </c>
      <c r="G1974" s="25">
        <v>44257</v>
      </c>
      <c r="H1974">
        <v>13</v>
      </c>
      <c r="I1974">
        <v>61</v>
      </c>
      <c r="J1974" t="s">
        <v>432</v>
      </c>
      <c r="K1974" t="s">
        <v>494</v>
      </c>
      <c r="L1974" t="s">
        <v>25</v>
      </c>
      <c r="M1974" t="s">
        <v>434</v>
      </c>
      <c r="N1974" t="s">
        <v>76</v>
      </c>
      <c r="O1974" t="s">
        <v>435</v>
      </c>
      <c r="P1974" t="s">
        <v>25</v>
      </c>
      <c r="Q1974">
        <v>38100</v>
      </c>
      <c r="R1974" t="s">
        <v>436</v>
      </c>
    </row>
    <row r="1975" spans="1:18" x14ac:dyDescent="0.25">
      <c r="A1975" t="s">
        <v>3846</v>
      </c>
      <c r="B1975">
        <v>2354</v>
      </c>
      <c r="C1975" t="s">
        <v>487</v>
      </c>
      <c r="D1975" t="s">
        <v>247</v>
      </c>
      <c r="E1975" t="s">
        <v>326</v>
      </c>
      <c r="F1975" t="s">
        <v>3091</v>
      </c>
      <c r="G1975" s="25">
        <v>44303</v>
      </c>
      <c r="H1975">
        <v>22</v>
      </c>
      <c r="I1975">
        <v>107</v>
      </c>
      <c r="J1975" t="s">
        <v>432</v>
      </c>
      <c r="K1975" t="s">
        <v>493</v>
      </c>
      <c r="L1975" t="s">
        <v>441</v>
      </c>
      <c r="M1975" t="s">
        <v>434</v>
      </c>
      <c r="N1975" t="s">
        <v>78</v>
      </c>
      <c r="O1975" t="s">
        <v>435</v>
      </c>
      <c r="P1975" t="s">
        <v>441</v>
      </c>
      <c r="Q1975">
        <v>199373.75</v>
      </c>
      <c r="R1975" t="s">
        <v>436</v>
      </c>
    </row>
    <row r="1976" spans="1:18" x14ac:dyDescent="0.25">
      <c r="A1976" t="s">
        <v>2065</v>
      </c>
      <c r="B1976">
        <v>616</v>
      </c>
      <c r="C1976" t="s">
        <v>487</v>
      </c>
      <c r="D1976" t="s">
        <v>231</v>
      </c>
      <c r="E1976" t="s">
        <v>381</v>
      </c>
      <c r="F1976" t="s">
        <v>1099</v>
      </c>
      <c r="G1976" s="25">
        <v>44224</v>
      </c>
      <c r="H1976">
        <v>6</v>
      </c>
      <c r="I1976">
        <v>28</v>
      </c>
      <c r="J1976" t="s">
        <v>432</v>
      </c>
      <c r="K1976" t="s">
        <v>493</v>
      </c>
      <c r="L1976" t="s">
        <v>441</v>
      </c>
      <c r="M1976" t="s">
        <v>434</v>
      </c>
      <c r="N1976" t="s">
        <v>78</v>
      </c>
      <c r="O1976" t="s">
        <v>435</v>
      </c>
      <c r="P1976" t="s">
        <v>441</v>
      </c>
      <c r="Q1976">
        <v>140634.375</v>
      </c>
      <c r="R1976" t="s">
        <v>436</v>
      </c>
    </row>
    <row r="1977" spans="1:18" x14ac:dyDescent="0.25">
      <c r="A1977" t="s">
        <v>655</v>
      </c>
      <c r="B1977">
        <v>396</v>
      </c>
      <c r="C1977" t="s">
        <v>487</v>
      </c>
      <c r="D1977" t="s">
        <v>229</v>
      </c>
      <c r="E1977" t="s">
        <v>552</v>
      </c>
      <c r="F1977" t="s">
        <v>553</v>
      </c>
      <c r="G1977" s="25">
        <v>44214</v>
      </c>
      <c r="H1977">
        <v>4</v>
      </c>
      <c r="I1977">
        <v>18</v>
      </c>
      <c r="J1977" t="s">
        <v>432</v>
      </c>
      <c r="K1977" t="s">
        <v>493</v>
      </c>
      <c r="L1977" t="s">
        <v>441</v>
      </c>
      <c r="M1977" t="s">
        <v>434</v>
      </c>
      <c r="N1977" t="s">
        <v>78</v>
      </c>
      <c r="O1977" t="s">
        <v>435</v>
      </c>
      <c r="P1977" t="s">
        <v>441</v>
      </c>
      <c r="Q1977">
        <v>19775</v>
      </c>
      <c r="R1977" t="s">
        <v>436</v>
      </c>
    </row>
    <row r="1978" spans="1:18" x14ac:dyDescent="0.25">
      <c r="A1978" t="s">
        <v>766</v>
      </c>
      <c r="B1978">
        <v>242</v>
      </c>
      <c r="C1978" t="s">
        <v>487</v>
      </c>
      <c r="D1978" t="s">
        <v>229</v>
      </c>
      <c r="E1978" t="s">
        <v>515</v>
      </c>
      <c r="F1978" t="s">
        <v>516</v>
      </c>
      <c r="G1978" s="25">
        <v>44207</v>
      </c>
      <c r="H1978">
        <v>3</v>
      </c>
      <c r="I1978">
        <v>11</v>
      </c>
      <c r="J1978" t="s">
        <v>432</v>
      </c>
      <c r="K1978" t="s">
        <v>493</v>
      </c>
      <c r="L1978" t="s">
        <v>441</v>
      </c>
      <c r="M1978" t="s">
        <v>434</v>
      </c>
      <c r="N1978" t="s">
        <v>78</v>
      </c>
      <c r="O1978" t="s">
        <v>435</v>
      </c>
      <c r="P1978" t="s">
        <v>441</v>
      </c>
      <c r="Q1978">
        <v>26250</v>
      </c>
      <c r="R1978" t="s">
        <v>436</v>
      </c>
    </row>
    <row r="1979" spans="1:18" x14ac:dyDescent="0.25">
      <c r="A1979" t="s">
        <v>3847</v>
      </c>
      <c r="B1979">
        <v>2508</v>
      </c>
      <c r="C1979" t="s">
        <v>487</v>
      </c>
      <c r="D1979" t="s">
        <v>247</v>
      </c>
      <c r="E1979" t="s">
        <v>537</v>
      </c>
      <c r="F1979" t="s">
        <v>3153</v>
      </c>
      <c r="G1979" s="25">
        <v>44310</v>
      </c>
      <c r="H1979">
        <v>23</v>
      </c>
      <c r="I1979">
        <v>114</v>
      </c>
      <c r="J1979" t="s">
        <v>432</v>
      </c>
      <c r="K1979" t="s">
        <v>493</v>
      </c>
      <c r="L1979" t="s">
        <v>441</v>
      </c>
      <c r="M1979" t="s">
        <v>434</v>
      </c>
      <c r="N1979" t="s">
        <v>78</v>
      </c>
      <c r="O1979" t="s">
        <v>435</v>
      </c>
      <c r="P1979" t="s">
        <v>441</v>
      </c>
      <c r="Q1979">
        <v>163367.5</v>
      </c>
      <c r="R1979" t="s">
        <v>436</v>
      </c>
    </row>
    <row r="1980" spans="1:18" x14ac:dyDescent="0.25">
      <c r="A1980" t="s">
        <v>603</v>
      </c>
      <c r="B1980">
        <v>435</v>
      </c>
      <c r="C1980" t="s">
        <v>487</v>
      </c>
      <c r="D1980" t="s">
        <v>229</v>
      </c>
      <c r="E1980" t="s">
        <v>408</v>
      </c>
      <c r="F1980" t="s">
        <v>527</v>
      </c>
      <c r="G1980" s="25">
        <v>44216</v>
      </c>
      <c r="H1980">
        <v>4</v>
      </c>
      <c r="I1980">
        <v>20</v>
      </c>
      <c r="J1980" t="s">
        <v>432</v>
      </c>
      <c r="K1980" t="s">
        <v>492</v>
      </c>
      <c r="L1980" t="s">
        <v>24</v>
      </c>
      <c r="M1980" t="s">
        <v>434</v>
      </c>
      <c r="N1980" t="s">
        <v>71</v>
      </c>
      <c r="O1980" t="s">
        <v>435</v>
      </c>
      <c r="P1980" t="s">
        <v>24</v>
      </c>
      <c r="Q1980">
        <v>0</v>
      </c>
      <c r="R1980" t="s">
        <v>436</v>
      </c>
    </row>
    <row r="1981" spans="1:18" x14ac:dyDescent="0.25">
      <c r="A1981" t="s">
        <v>3848</v>
      </c>
      <c r="B1981">
        <v>2626</v>
      </c>
      <c r="C1981" t="s">
        <v>487</v>
      </c>
      <c r="D1981" t="s">
        <v>247</v>
      </c>
      <c r="E1981" t="s">
        <v>408</v>
      </c>
      <c r="F1981" t="s">
        <v>3178</v>
      </c>
      <c r="G1981" s="25">
        <v>44316</v>
      </c>
      <c r="H1981">
        <v>24</v>
      </c>
      <c r="I1981">
        <v>120</v>
      </c>
      <c r="J1981" t="s">
        <v>231</v>
      </c>
      <c r="K1981" t="s">
        <v>491</v>
      </c>
      <c r="L1981" t="s">
        <v>233</v>
      </c>
      <c r="M1981" t="s">
        <v>234</v>
      </c>
      <c r="N1981" t="s">
        <v>54</v>
      </c>
      <c r="O1981" t="s">
        <v>235</v>
      </c>
      <c r="P1981" t="s">
        <v>236</v>
      </c>
      <c r="Q1981">
        <v>0</v>
      </c>
      <c r="R1981" t="s">
        <v>237</v>
      </c>
    </row>
    <row r="1982" spans="1:18" x14ac:dyDescent="0.25">
      <c r="A1982" t="s">
        <v>2323</v>
      </c>
      <c r="B1982">
        <v>1047</v>
      </c>
      <c r="C1982" t="s">
        <v>487</v>
      </c>
      <c r="D1982" t="s">
        <v>256</v>
      </c>
      <c r="E1982" t="s">
        <v>381</v>
      </c>
      <c r="F1982" t="s">
        <v>1311</v>
      </c>
      <c r="G1982" s="25">
        <v>44244</v>
      </c>
      <c r="H1982">
        <v>10</v>
      </c>
      <c r="I1982">
        <v>48</v>
      </c>
      <c r="J1982" t="s">
        <v>432</v>
      </c>
      <c r="K1982" t="s">
        <v>490</v>
      </c>
      <c r="L1982" t="s">
        <v>65</v>
      </c>
      <c r="M1982" t="s">
        <v>434</v>
      </c>
      <c r="N1982" t="s">
        <v>64</v>
      </c>
      <c r="O1982" t="s">
        <v>235</v>
      </c>
      <c r="P1982" t="s">
        <v>442</v>
      </c>
      <c r="Q1982">
        <v>462250</v>
      </c>
      <c r="R1982" t="s">
        <v>237</v>
      </c>
    </row>
    <row r="1983" spans="1:18" x14ac:dyDescent="0.25">
      <c r="A1983" t="s">
        <v>1846</v>
      </c>
      <c r="B1983">
        <v>651</v>
      </c>
      <c r="C1983" t="s">
        <v>487</v>
      </c>
      <c r="D1983" t="s">
        <v>231</v>
      </c>
      <c r="E1983" t="s">
        <v>239</v>
      </c>
      <c r="F1983" t="s">
        <v>1139</v>
      </c>
      <c r="G1983" s="25">
        <v>44226</v>
      </c>
      <c r="H1983">
        <v>6</v>
      </c>
      <c r="I1983">
        <v>30</v>
      </c>
      <c r="J1983" t="s">
        <v>432</v>
      </c>
      <c r="K1983" t="s">
        <v>490</v>
      </c>
      <c r="L1983" t="s">
        <v>65</v>
      </c>
      <c r="M1983" t="s">
        <v>434</v>
      </c>
      <c r="N1983" t="s">
        <v>64</v>
      </c>
      <c r="O1983" t="s">
        <v>235</v>
      </c>
      <c r="P1983" t="s">
        <v>442</v>
      </c>
      <c r="Q1983">
        <v>264000</v>
      </c>
      <c r="R1983" t="s">
        <v>237</v>
      </c>
    </row>
    <row r="1984" spans="1:18" x14ac:dyDescent="0.25">
      <c r="A1984" t="s">
        <v>1706</v>
      </c>
      <c r="B1984">
        <v>541</v>
      </c>
      <c r="C1984" t="s">
        <v>487</v>
      </c>
      <c r="D1984" t="s">
        <v>231</v>
      </c>
      <c r="E1984" t="s">
        <v>322</v>
      </c>
      <c r="F1984" t="s">
        <v>1085</v>
      </c>
      <c r="G1984" s="25">
        <v>44221</v>
      </c>
      <c r="H1984">
        <v>5</v>
      </c>
      <c r="I1984">
        <v>25</v>
      </c>
      <c r="J1984" t="s">
        <v>432</v>
      </c>
      <c r="K1984" t="s">
        <v>490</v>
      </c>
      <c r="L1984" t="s">
        <v>65</v>
      </c>
      <c r="M1984" t="s">
        <v>434</v>
      </c>
      <c r="N1984" t="s">
        <v>64</v>
      </c>
      <c r="O1984" t="s">
        <v>235</v>
      </c>
      <c r="P1984" t="s">
        <v>442</v>
      </c>
      <c r="Q1984">
        <v>27875</v>
      </c>
      <c r="R1984" t="s">
        <v>237</v>
      </c>
    </row>
    <row r="1985" spans="1:18" x14ac:dyDescent="0.25">
      <c r="A1985" t="s">
        <v>3849</v>
      </c>
      <c r="B1985">
        <v>1883</v>
      </c>
      <c r="C1985" t="s">
        <v>487</v>
      </c>
      <c r="D1985" t="s">
        <v>322</v>
      </c>
      <c r="E1985" t="s">
        <v>247</v>
      </c>
      <c r="F1985" t="s">
        <v>2963</v>
      </c>
      <c r="G1985" s="25">
        <v>44282</v>
      </c>
      <c r="H1985">
        <v>18</v>
      </c>
      <c r="I1985">
        <v>86</v>
      </c>
      <c r="J1985" t="s">
        <v>432</v>
      </c>
      <c r="K1985" t="s">
        <v>490</v>
      </c>
      <c r="L1985" t="s">
        <v>65</v>
      </c>
      <c r="M1985" t="s">
        <v>434</v>
      </c>
      <c r="N1985" t="s">
        <v>64</v>
      </c>
      <c r="O1985" t="s">
        <v>235</v>
      </c>
      <c r="P1985" t="s">
        <v>442</v>
      </c>
      <c r="Q1985">
        <v>587750</v>
      </c>
      <c r="R1985" t="s">
        <v>237</v>
      </c>
    </row>
    <row r="1986" spans="1:18" x14ac:dyDescent="0.25">
      <c r="A1986" t="s">
        <v>3850</v>
      </c>
      <c r="B1986">
        <v>2614</v>
      </c>
      <c r="C1986" t="s">
        <v>487</v>
      </c>
      <c r="D1986" t="s">
        <v>247</v>
      </c>
      <c r="E1986" t="s">
        <v>531</v>
      </c>
      <c r="F1986" t="s">
        <v>3173</v>
      </c>
      <c r="G1986" s="25">
        <v>44315</v>
      </c>
      <c r="H1986">
        <v>24</v>
      </c>
      <c r="I1986">
        <v>119</v>
      </c>
      <c r="J1986" t="s">
        <v>432</v>
      </c>
      <c r="K1986" t="s">
        <v>488</v>
      </c>
      <c r="L1986" t="s">
        <v>433</v>
      </c>
      <c r="M1986" t="s">
        <v>434</v>
      </c>
      <c r="N1986" t="s">
        <v>74</v>
      </c>
      <c r="O1986" t="s">
        <v>435</v>
      </c>
      <c r="P1986" t="s">
        <v>433</v>
      </c>
      <c r="Q1986">
        <v>20100</v>
      </c>
      <c r="R1986" t="s">
        <v>436</v>
      </c>
    </row>
    <row r="1987" spans="1:18" x14ac:dyDescent="0.25">
      <c r="A1987" t="s">
        <v>3851</v>
      </c>
      <c r="B1987">
        <v>2394</v>
      </c>
      <c r="C1987" t="s">
        <v>487</v>
      </c>
      <c r="D1987" t="s">
        <v>247</v>
      </c>
      <c r="E1987" t="s">
        <v>371</v>
      </c>
      <c r="F1987" t="s">
        <v>3112</v>
      </c>
      <c r="G1987" s="25">
        <v>44305</v>
      </c>
      <c r="H1987">
        <v>22</v>
      </c>
      <c r="I1987">
        <v>109</v>
      </c>
      <c r="J1987" t="s">
        <v>432</v>
      </c>
      <c r="K1987" t="s">
        <v>488</v>
      </c>
      <c r="L1987" t="s">
        <v>433</v>
      </c>
      <c r="M1987" t="s">
        <v>434</v>
      </c>
      <c r="N1987" t="s">
        <v>74</v>
      </c>
      <c r="O1987" t="s">
        <v>435</v>
      </c>
      <c r="P1987" t="s">
        <v>433</v>
      </c>
      <c r="Q1987">
        <v>37218.75</v>
      </c>
      <c r="R1987" t="s">
        <v>436</v>
      </c>
    </row>
    <row r="1988" spans="1:18" x14ac:dyDescent="0.25">
      <c r="A1988" t="s">
        <v>2489</v>
      </c>
      <c r="B1988">
        <v>1646</v>
      </c>
      <c r="C1988" t="s">
        <v>487</v>
      </c>
      <c r="D1988" t="s">
        <v>261</v>
      </c>
      <c r="E1988" t="s">
        <v>575</v>
      </c>
      <c r="F1988" t="s">
        <v>1537</v>
      </c>
      <c r="G1988" s="25">
        <v>44271</v>
      </c>
      <c r="H1988">
        <v>15</v>
      </c>
      <c r="I1988">
        <v>75</v>
      </c>
      <c r="J1988" t="s">
        <v>432</v>
      </c>
      <c r="K1988" t="s">
        <v>488</v>
      </c>
      <c r="L1988" t="s">
        <v>433</v>
      </c>
      <c r="M1988" t="s">
        <v>434</v>
      </c>
      <c r="N1988" t="s">
        <v>74</v>
      </c>
      <c r="O1988" t="s">
        <v>435</v>
      </c>
      <c r="P1988" t="s">
        <v>433</v>
      </c>
      <c r="Q1988">
        <v>25800</v>
      </c>
      <c r="R1988" t="s">
        <v>436</v>
      </c>
    </row>
    <row r="1989" spans="1:18" x14ac:dyDescent="0.25">
      <c r="A1989" t="s">
        <v>1798</v>
      </c>
      <c r="B1989">
        <v>1514</v>
      </c>
      <c r="C1989" t="s">
        <v>487</v>
      </c>
      <c r="D1989" t="s">
        <v>261</v>
      </c>
      <c r="E1989" t="s">
        <v>371</v>
      </c>
      <c r="F1989" t="s">
        <v>1478</v>
      </c>
      <c r="G1989" s="25">
        <v>44265</v>
      </c>
      <c r="H1989">
        <v>14</v>
      </c>
      <c r="I1989">
        <v>69</v>
      </c>
      <c r="J1989" t="s">
        <v>432</v>
      </c>
      <c r="K1989" t="s">
        <v>488</v>
      </c>
      <c r="L1989" t="s">
        <v>433</v>
      </c>
      <c r="M1989" t="s">
        <v>434</v>
      </c>
      <c r="N1989" t="s">
        <v>74</v>
      </c>
      <c r="O1989" t="s">
        <v>435</v>
      </c>
      <c r="P1989" t="s">
        <v>433</v>
      </c>
      <c r="Q1989">
        <v>26831.25</v>
      </c>
      <c r="R1989" t="s">
        <v>436</v>
      </c>
    </row>
    <row r="1990" spans="1:18" x14ac:dyDescent="0.25">
      <c r="A1990" t="s">
        <v>3852</v>
      </c>
      <c r="B1990">
        <v>2269</v>
      </c>
      <c r="C1990" t="s">
        <v>487</v>
      </c>
      <c r="D1990" t="s">
        <v>247</v>
      </c>
      <c r="E1990" t="s">
        <v>261</v>
      </c>
      <c r="F1990" t="s">
        <v>3078</v>
      </c>
      <c r="G1990" s="25">
        <v>44300</v>
      </c>
      <c r="H1990">
        <v>21</v>
      </c>
      <c r="I1990">
        <v>104</v>
      </c>
      <c r="J1990" t="s">
        <v>231</v>
      </c>
      <c r="K1990" t="s">
        <v>509</v>
      </c>
      <c r="L1990" t="s">
        <v>45</v>
      </c>
      <c r="M1990" t="s">
        <v>234</v>
      </c>
      <c r="N1990" t="s">
        <v>44</v>
      </c>
      <c r="O1990" t="s">
        <v>21</v>
      </c>
      <c r="P1990" t="s">
        <v>304</v>
      </c>
      <c r="Q1990">
        <v>0</v>
      </c>
      <c r="R1990" t="s">
        <v>237</v>
      </c>
    </row>
    <row r="1991" spans="1:18" x14ac:dyDescent="0.25">
      <c r="A1991" t="s">
        <v>3853</v>
      </c>
      <c r="B1991">
        <v>1895</v>
      </c>
      <c r="C1991" t="s">
        <v>487</v>
      </c>
      <c r="D1991" t="s">
        <v>322</v>
      </c>
      <c r="E1991" t="s">
        <v>326</v>
      </c>
      <c r="F1991" t="s">
        <v>2967</v>
      </c>
      <c r="G1991" s="25">
        <v>44283</v>
      </c>
      <c r="H1991">
        <v>18</v>
      </c>
      <c r="I1991">
        <v>87</v>
      </c>
      <c r="J1991" t="s">
        <v>231</v>
      </c>
      <c r="K1991" t="s">
        <v>509</v>
      </c>
      <c r="L1991" t="s">
        <v>45</v>
      </c>
      <c r="M1991" t="s">
        <v>234</v>
      </c>
      <c r="N1991" t="s">
        <v>44</v>
      </c>
      <c r="O1991" t="s">
        <v>21</v>
      </c>
      <c r="P1991" t="s">
        <v>304</v>
      </c>
      <c r="Q1991">
        <v>0</v>
      </c>
      <c r="R1991" t="s">
        <v>237</v>
      </c>
    </row>
    <row r="1992" spans="1:18" x14ac:dyDescent="0.25">
      <c r="A1992" t="s">
        <v>2381</v>
      </c>
      <c r="B1992">
        <v>1543</v>
      </c>
      <c r="C1992" t="s">
        <v>487</v>
      </c>
      <c r="D1992" t="s">
        <v>261</v>
      </c>
      <c r="E1992" t="s">
        <v>515</v>
      </c>
      <c r="F1992" t="s">
        <v>1493</v>
      </c>
      <c r="G1992" s="25">
        <v>44267</v>
      </c>
      <c r="H1992">
        <v>15</v>
      </c>
      <c r="I1992">
        <v>71</v>
      </c>
      <c r="J1992" t="s">
        <v>231</v>
      </c>
      <c r="K1992" t="s">
        <v>509</v>
      </c>
      <c r="L1992" t="s">
        <v>45</v>
      </c>
      <c r="M1992" t="s">
        <v>234</v>
      </c>
      <c r="N1992" t="s">
        <v>44</v>
      </c>
      <c r="O1992" t="s">
        <v>21</v>
      </c>
      <c r="P1992" t="s">
        <v>304</v>
      </c>
      <c r="Q1992">
        <v>0</v>
      </c>
      <c r="R1992" t="s">
        <v>237</v>
      </c>
    </row>
    <row r="1993" spans="1:18" x14ac:dyDescent="0.25">
      <c r="A1993" t="s">
        <v>2708</v>
      </c>
      <c r="B1993">
        <v>1059</v>
      </c>
      <c r="C1993" t="s">
        <v>487</v>
      </c>
      <c r="D1993" t="s">
        <v>256</v>
      </c>
      <c r="E1993" t="s">
        <v>371</v>
      </c>
      <c r="F1993" t="s">
        <v>1318</v>
      </c>
      <c r="G1993" s="25">
        <v>44245</v>
      </c>
      <c r="H1993">
        <v>10</v>
      </c>
      <c r="I1993">
        <v>49</v>
      </c>
      <c r="J1993" t="s">
        <v>231</v>
      </c>
      <c r="K1993" t="s">
        <v>509</v>
      </c>
      <c r="L1993" t="s">
        <v>45</v>
      </c>
      <c r="M1993" t="s">
        <v>234</v>
      </c>
      <c r="N1993" t="s">
        <v>44</v>
      </c>
      <c r="O1993" t="s">
        <v>21</v>
      </c>
      <c r="P1993" t="s">
        <v>304</v>
      </c>
      <c r="Q1993">
        <v>0</v>
      </c>
      <c r="R1993" t="s">
        <v>237</v>
      </c>
    </row>
    <row r="1994" spans="1:18" x14ac:dyDescent="0.25">
      <c r="A1994" t="s">
        <v>2821</v>
      </c>
      <c r="B1994">
        <v>905</v>
      </c>
      <c r="C1994" t="s">
        <v>487</v>
      </c>
      <c r="D1994" t="s">
        <v>256</v>
      </c>
      <c r="E1994" t="s">
        <v>231</v>
      </c>
      <c r="F1994" t="s">
        <v>1249</v>
      </c>
      <c r="G1994" s="25">
        <v>44238</v>
      </c>
      <c r="H1994">
        <v>9</v>
      </c>
      <c r="I1994">
        <v>42</v>
      </c>
      <c r="J1994" t="s">
        <v>231</v>
      </c>
      <c r="K1994" t="s">
        <v>509</v>
      </c>
      <c r="L1994" t="s">
        <v>45</v>
      </c>
      <c r="M1994" t="s">
        <v>234</v>
      </c>
      <c r="N1994" t="s">
        <v>44</v>
      </c>
      <c r="O1994" t="s">
        <v>21</v>
      </c>
      <c r="P1994" t="s">
        <v>304</v>
      </c>
      <c r="Q1994">
        <v>34775</v>
      </c>
      <c r="R1994" t="s">
        <v>237</v>
      </c>
    </row>
    <row r="1995" spans="1:18" x14ac:dyDescent="0.25">
      <c r="A1995" t="s">
        <v>2218</v>
      </c>
      <c r="B1995">
        <v>707</v>
      </c>
      <c r="C1995" t="s">
        <v>487</v>
      </c>
      <c r="D1995" t="s">
        <v>231</v>
      </c>
      <c r="E1995" t="s">
        <v>512</v>
      </c>
      <c r="F1995" t="s">
        <v>1174</v>
      </c>
      <c r="G1995" s="25">
        <v>44229</v>
      </c>
      <c r="H1995">
        <v>7</v>
      </c>
      <c r="I1995">
        <v>33</v>
      </c>
      <c r="J1995" t="s">
        <v>231</v>
      </c>
      <c r="K1995" t="s">
        <v>509</v>
      </c>
      <c r="L1995" t="s">
        <v>45</v>
      </c>
      <c r="M1995" t="s">
        <v>234</v>
      </c>
      <c r="N1995" t="s">
        <v>44</v>
      </c>
      <c r="O1995" t="s">
        <v>21</v>
      </c>
      <c r="P1995" t="s">
        <v>304</v>
      </c>
      <c r="Q1995">
        <v>0</v>
      </c>
      <c r="R1995" t="s">
        <v>237</v>
      </c>
    </row>
    <row r="1996" spans="1:18" x14ac:dyDescent="0.25">
      <c r="A1996" t="s">
        <v>789</v>
      </c>
      <c r="B1996">
        <v>333</v>
      </c>
      <c r="C1996" t="s">
        <v>487</v>
      </c>
      <c r="D1996" t="s">
        <v>229</v>
      </c>
      <c r="E1996" t="s">
        <v>620</v>
      </c>
      <c r="F1996" t="s">
        <v>621</v>
      </c>
      <c r="G1996" s="25">
        <v>44212</v>
      </c>
      <c r="H1996">
        <v>4</v>
      </c>
      <c r="I1996">
        <v>16</v>
      </c>
      <c r="J1996" t="s">
        <v>231</v>
      </c>
      <c r="K1996" t="s">
        <v>509</v>
      </c>
      <c r="L1996" t="s">
        <v>45</v>
      </c>
      <c r="M1996" t="s">
        <v>234</v>
      </c>
      <c r="N1996" t="s">
        <v>44</v>
      </c>
      <c r="O1996" t="s">
        <v>21</v>
      </c>
      <c r="P1996" t="s">
        <v>304</v>
      </c>
      <c r="Q1996">
        <v>0</v>
      </c>
      <c r="R1996" t="s">
        <v>237</v>
      </c>
    </row>
    <row r="1997" spans="1:18" x14ac:dyDescent="0.25">
      <c r="A1997" t="s">
        <v>325</v>
      </c>
      <c r="B1997">
        <v>91</v>
      </c>
      <c r="C1997" t="s">
        <v>487</v>
      </c>
      <c r="D1997" t="s">
        <v>229</v>
      </c>
      <c r="E1997" t="s">
        <v>322</v>
      </c>
      <c r="F1997" t="s">
        <v>529</v>
      </c>
      <c r="G1997" s="25">
        <v>44201</v>
      </c>
      <c r="H1997">
        <v>1</v>
      </c>
      <c r="I1997">
        <v>5</v>
      </c>
      <c r="J1997" t="s">
        <v>231</v>
      </c>
      <c r="K1997" t="s">
        <v>509</v>
      </c>
      <c r="L1997" t="s">
        <v>45</v>
      </c>
      <c r="M1997" t="s">
        <v>234</v>
      </c>
      <c r="N1997" t="s">
        <v>44</v>
      </c>
      <c r="O1997" t="s">
        <v>21</v>
      </c>
      <c r="P1997" t="s">
        <v>304</v>
      </c>
      <c r="Q1997">
        <v>0</v>
      </c>
      <c r="R1997" t="s">
        <v>237</v>
      </c>
    </row>
    <row r="1998" spans="1:18" x14ac:dyDescent="0.25">
      <c r="A1998" t="s">
        <v>2589</v>
      </c>
      <c r="B1998">
        <v>1038</v>
      </c>
      <c r="C1998" t="s">
        <v>487</v>
      </c>
      <c r="D1998" t="s">
        <v>256</v>
      </c>
      <c r="E1998" t="s">
        <v>381</v>
      </c>
      <c r="F1998" t="s">
        <v>1311</v>
      </c>
      <c r="G1998" s="25">
        <v>44244</v>
      </c>
      <c r="H1998">
        <v>10</v>
      </c>
      <c r="I1998">
        <v>48</v>
      </c>
      <c r="J1998" t="s">
        <v>231</v>
      </c>
      <c r="K1998" t="s">
        <v>508</v>
      </c>
      <c r="L1998" t="s">
        <v>47</v>
      </c>
      <c r="M1998" t="s">
        <v>234</v>
      </c>
      <c r="N1998" t="s">
        <v>46</v>
      </c>
      <c r="O1998" t="s">
        <v>21</v>
      </c>
      <c r="P1998" t="s">
        <v>288</v>
      </c>
      <c r="Q1998">
        <v>5261</v>
      </c>
      <c r="R1998" t="s">
        <v>237</v>
      </c>
    </row>
    <row r="1999" spans="1:18" x14ac:dyDescent="0.25">
      <c r="A1999" t="s">
        <v>3854</v>
      </c>
      <c r="B1999">
        <v>2622</v>
      </c>
      <c r="C1999" t="s">
        <v>487</v>
      </c>
      <c r="D1999" t="s">
        <v>247</v>
      </c>
      <c r="E1999" t="s">
        <v>408</v>
      </c>
      <c r="F1999" t="s">
        <v>3178</v>
      </c>
      <c r="G1999" s="25">
        <v>44316</v>
      </c>
      <c r="H1999">
        <v>24</v>
      </c>
      <c r="I1999">
        <v>120</v>
      </c>
      <c r="J1999" t="s">
        <v>231</v>
      </c>
      <c r="K1999" t="s">
        <v>508</v>
      </c>
      <c r="L1999" t="s">
        <v>47</v>
      </c>
      <c r="M1999" t="s">
        <v>234</v>
      </c>
      <c r="N1999" t="s">
        <v>46</v>
      </c>
      <c r="O1999" t="s">
        <v>21</v>
      </c>
      <c r="P1999" t="s">
        <v>288</v>
      </c>
      <c r="Q1999">
        <v>0</v>
      </c>
      <c r="R1999" t="s">
        <v>237</v>
      </c>
    </row>
    <row r="2000" spans="1:18" x14ac:dyDescent="0.25">
      <c r="A2000" t="s">
        <v>2711</v>
      </c>
      <c r="B2000">
        <v>951</v>
      </c>
      <c r="C2000" t="s">
        <v>487</v>
      </c>
      <c r="D2000" t="s">
        <v>256</v>
      </c>
      <c r="E2000" t="s">
        <v>261</v>
      </c>
      <c r="F2000" t="s">
        <v>1276</v>
      </c>
      <c r="G2000" s="25">
        <v>44240</v>
      </c>
      <c r="H2000">
        <v>9</v>
      </c>
      <c r="I2000">
        <v>44</v>
      </c>
      <c r="J2000" t="s">
        <v>231</v>
      </c>
      <c r="K2000" t="s">
        <v>507</v>
      </c>
      <c r="L2000" t="s">
        <v>49</v>
      </c>
      <c r="M2000" t="s">
        <v>234</v>
      </c>
      <c r="N2000" t="s">
        <v>48</v>
      </c>
      <c r="O2000" t="s">
        <v>21</v>
      </c>
      <c r="P2000" t="s">
        <v>413</v>
      </c>
      <c r="Q2000">
        <v>0</v>
      </c>
      <c r="R2000" t="s">
        <v>237</v>
      </c>
    </row>
    <row r="2001" spans="1:18" x14ac:dyDescent="0.25">
      <c r="A2001" t="s">
        <v>1979</v>
      </c>
      <c r="B2001">
        <v>577</v>
      </c>
      <c r="C2001" t="s">
        <v>487</v>
      </c>
      <c r="D2001" t="s">
        <v>231</v>
      </c>
      <c r="E2001" t="s">
        <v>326</v>
      </c>
      <c r="F2001" t="s">
        <v>1095</v>
      </c>
      <c r="G2001" s="25">
        <v>44223</v>
      </c>
      <c r="H2001">
        <v>6</v>
      </c>
      <c r="I2001">
        <v>27</v>
      </c>
      <c r="J2001" t="s">
        <v>231</v>
      </c>
      <c r="K2001" t="s">
        <v>507</v>
      </c>
      <c r="L2001" t="s">
        <v>49</v>
      </c>
      <c r="M2001" t="s">
        <v>234</v>
      </c>
      <c r="N2001" t="s">
        <v>48</v>
      </c>
      <c r="O2001" t="s">
        <v>21</v>
      </c>
      <c r="P2001" t="s">
        <v>413</v>
      </c>
      <c r="Q2001">
        <v>0</v>
      </c>
      <c r="R2001" t="s">
        <v>237</v>
      </c>
    </row>
    <row r="2002" spans="1:18" x14ac:dyDescent="0.25">
      <c r="A2002" t="s">
        <v>545</v>
      </c>
      <c r="B2002">
        <v>225</v>
      </c>
      <c r="C2002" t="s">
        <v>487</v>
      </c>
      <c r="D2002" t="s">
        <v>229</v>
      </c>
      <c r="E2002" t="s">
        <v>515</v>
      </c>
      <c r="F2002" t="s">
        <v>516</v>
      </c>
      <c r="G2002" s="25">
        <v>44207</v>
      </c>
      <c r="H2002">
        <v>3</v>
      </c>
      <c r="I2002">
        <v>11</v>
      </c>
      <c r="J2002" t="s">
        <v>231</v>
      </c>
      <c r="K2002" t="s">
        <v>507</v>
      </c>
      <c r="L2002" t="s">
        <v>49</v>
      </c>
      <c r="M2002" t="s">
        <v>234</v>
      </c>
      <c r="N2002" t="s">
        <v>48</v>
      </c>
      <c r="O2002" t="s">
        <v>21</v>
      </c>
      <c r="P2002" t="s">
        <v>413</v>
      </c>
      <c r="Q2002">
        <v>0</v>
      </c>
      <c r="R2002" t="s">
        <v>237</v>
      </c>
    </row>
    <row r="2003" spans="1:18" x14ac:dyDescent="0.25">
      <c r="A2003" t="s">
        <v>3855</v>
      </c>
      <c r="B2003">
        <v>2095</v>
      </c>
      <c r="C2003" t="s">
        <v>487</v>
      </c>
      <c r="D2003" t="s">
        <v>322</v>
      </c>
      <c r="E2003" t="s">
        <v>620</v>
      </c>
      <c r="F2003" t="s">
        <v>3025</v>
      </c>
      <c r="G2003" s="25">
        <v>44292</v>
      </c>
      <c r="H2003">
        <v>20</v>
      </c>
      <c r="I2003">
        <v>96</v>
      </c>
      <c r="J2003" t="s">
        <v>231</v>
      </c>
      <c r="K2003" t="s">
        <v>507</v>
      </c>
      <c r="L2003" t="s">
        <v>49</v>
      </c>
      <c r="M2003" t="s">
        <v>234</v>
      </c>
      <c r="N2003" t="s">
        <v>48</v>
      </c>
      <c r="O2003" t="s">
        <v>21</v>
      </c>
      <c r="P2003" t="s">
        <v>413</v>
      </c>
      <c r="Q2003">
        <v>0</v>
      </c>
      <c r="R2003" t="s">
        <v>237</v>
      </c>
    </row>
    <row r="2004" spans="1:18" x14ac:dyDescent="0.25">
      <c r="A2004" t="s">
        <v>3856</v>
      </c>
      <c r="B2004">
        <v>1787</v>
      </c>
      <c r="C2004" t="s">
        <v>487</v>
      </c>
      <c r="D2004" t="s">
        <v>322</v>
      </c>
      <c r="E2004" t="s">
        <v>231</v>
      </c>
      <c r="F2004" t="s">
        <v>2945</v>
      </c>
      <c r="G2004" s="25">
        <v>44278</v>
      </c>
      <c r="H2004">
        <v>17</v>
      </c>
      <c r="I2004">
        <v>82</v>
      </c>
      <c r="J2004" t="s">
        <v>231</v>
      </c>
      <c r="K2004" t="s">
        <v>507</v>
      </c>
      <c r="L2004" t="s">
        <v>49</v>
      </c>
      <c r="M2004" t="s">
        <v>234</v>
      </c>
      <c r="N2004" t="s">
        <v>48</v>
      </c>
      <c r="O2004" t="s">
        <v>21</v>
      </c>
      <c r="P2004" t="s">
        <v>413</v>
      </c>
      <c r="Q2004">
        <v>0</v>
      </c>
      <c r="R2004" t="s">
        <v>237</v>
      </c>
    </row>
    <row r="2005" spans="1:18" x14ac:dyDescent="0.25">
      <c r="A2005" t="s">
        <v>2542</v>
      </c>
      <c r="B2005">
        <v>1479</v>
      </c>
      <c r="C2005" t="s">
        <v>487</v>
      </c>
      <c r="D2005" t="s">
        <v>261</v>
      </c>
      <c r="E2005" t="s">
        <v>381</v>
      </c>
      <c r="F2005" t="s">
        <v>1458</v>
      </c>
      <c r="G2005" s="25">
        <v>44264</v>
      </c>
      <c r="H2005">
        <v>14</v>
      </c>
      <c r="I2005">
        <v>68</v>
      </c>
      <c r="J2005" t="s">
        <v>231</v>
      </c>
      <c r="K2005" t="s">
        <v>507</v>
      </c>
      <c r="L2005" t="s">
        <v>49</v>
      </c>
      <c r="M2005" t="s">
        <v>234</v>
      </c>
      <c r="N2005" t="s">
        <v>48</v>
      </c>
      <c r="O2005" t="s">
        <v>21</v>
      </c>
      <c r="P2005" t="s">
        <v>413</v>
      </c>
      <c r="Q2005">
        <v>0</v>
      </c>
      <c r="R2005" t="s">
        <v>237</v>
      </c>
    </row>
    <row r="2006" spans="1:18" x14ac:dyDescent="0.25">
      <c r="A2006" t="s">
        <v>3857</v>
      </c>
      <c r="B2006">
        <v>2404</v>
      </c>
      <c r="C2006" t="s">
        <v>487</v>
      </c>
      <c r="D2006" t="s">
        <v>247</v>
      </c>
      <c r="E2006" t="s">
        <v>239</v>
      </c>
      <c r="F2006" t="s">
        <v>3118</v>
      </c>
      <c r="G2006" s="25">
        <v>44306</v>
      </c>
      <c r="H2006">
        <v>22</v>
      </c>
      <c r="I2006">
        <v>110</v>
      </c>
      <c r="J2006" t="s">
        <v>231</v>
      </c>
      <c r="K2006" t="s">
        <v>506</v>
      </c>
      <c r="L2006" t="s">
        <v>414</v>
      </c>
      <c r="M2006" t="s">
        <v>234</v>
      </c>
      <c r="N2006" t="s">
        <v>50</v>
      </c>
      <c r="O2006" t="s">
        <v>21</v>
      </c>
      <c r="P2006" t="s">
        <v>411</v>
      </c>
      <c r="Q2006">
        <v>0</v>
      </c>
      <c r="R2006" t="s">
        <v>237</v>
      </c>
    </row>
    <row r="2007" spans="1:18" x14ac:dyDescent="0.25">
      <c r="A2007" t="s">
        <v>3858</v>
      </c>
      <c r="B2007">
        <v>1942</v>
      </c>
      <c r="C2007" t="s">
        <v>487</v>
      </c>
      <c r="D2007" t="s">
        <v>322</v>
      </c>
      <c r="E2007" t="s">
        <v>371</v>
      </c>
      <c r="F2007" t="s">
        <v>2976</v>
      </c>
      <c r="G2007" s="25">
        <v>44285</v>
      </c>
      <c r="H2007">
        <v>18</v>
      </c>
      <c r="I2007">
        <v>89</v>
      </c>
      <c r="J2007" t="s">
        <v>231</v>
      </c>
      <c r="K2007" t="s">
        <v>506</v>
      </c>
      <c r="L2007" t="s">
        <v>414</v>
      </c>
      <c r="M2007" t="s">
        <v>234</v>
      </c>
      <c r="N2007" t="s">
        <v>50</v>
      </c>
      <c r="O2007" t="s">
        <v>21</v>
      </c>
      <c r="P2007" t="s">
        <v>411</v>
      </c>
      <c r="Q2007">
        <v>0</v>
      </c>
      <c r="R2007" t="s">
        <v>237</v>
      </c>
    </row>
    <row r="2008" spans="1:18" x14ac:dyDescent="0.25">
      <c r="A2008" t="s">
        <v>2508</v>
      </c>
      <c r="B2008">
        <v>1194</v>
      </c>
      <c r="C2008" t="s">
        <v>487</v>
      </c>
      <c r="D2008" t="s">
        <v>256</v>
      </c>
      <c r="E2008" t="s">
        <v>575</v>
      </c>
      <c r="F2008" t="s">
        <v>1668</v>
      </c>
      <c r="G2008" s="25">
        <v>44251</v>
      </c>
      <c r="H2008">
        <v>11</v>
      </c>
      <c r="I2008">
        <v>55</v>
      </c>
      <c r="J2008" t="s">
        <v>231</v>
      </c>
      <c r="K2008" t="s">
        <v>506</v>
      </c>
      <c r="L2008" t="s">
        <v>414</v>
      </c>
      <c r="M2008" t="s">
        <v>234</v>
      </c>
      <c r="N2008" t="s">
        <v>50</v>
      </c>
      <c r="O2008" t="s">
        <v>21</v>
      </c>
      <c r="P2008" t="s">
        <v>411</v>
      </c>
      <c r="Q2008">
        <v>0</v>
      </c>
      <c r="R2008" t="s">
        <v>237</v>
      </c>
    </row>
    <row r="2009" spans="1:18" x14ac:dyDescent="0.25">
      <c r="A2009" t="s">
        <v>2829</v>
      </c>
      <c r="B2009">
        <v>837</v>
      </c>
      <c r="C2009" t="s">
        <v>487</v>
      </c>
      <c r="D2009" t="s">
        <v>231</v>
      </c>
      <c r="E2009" t="s">
        <v>531</v>
      </c>
      <c r="F2009" t="s">
        <v>1230</v>
      </c>
      <c r="G2009" s="25">
        <v>44235</v>
      </c>
      <c r="H2009">
        <v>8</v>
      </c>
      <c r="I2009">
        <v>39</v>
      </c>
      <c r="J2009" t="s">
        <v>231</v>
      </c>
      <c r="K2009" t="s">
        <v>505</v>
      </c>
      <c r="L2009" t="s">
        <v>41</v>
      </c>
      <c r="M2009" t="s">
        <v>234</v>
      </c>
      <c r="N2009" t="s">
        <v>40</v>
      </c>
      <c r="O2009" t="s">
        <v>21</v>
      </c>
      <c r="P2009" t="s">
        <v>266</v>
      </c>
      <c r="Q2009">
        <v>0</v>
      </c>
      <c r="R2009" t="s">
        <v>237</v>
      </c>
    </row>
    <row r="2010" spans="1:18" x14ac:dyDescent="0.25">
      <c r="A2010" t="s">
        <v>2339</v>
      </c>
      <c r="B2010">
        <v>529</v>
      </c>
      <c r="C2010" t="s">
        <v>487</v>
      </c>
      <c r="D2010" t="s">
        <v>231</v>
      </c>
      <c r="E2010" t="s">
        <v>322</v>
      </c>
      <c r="F2010" t="s">
        <v>1085</v>
      </c>
      <c r="G2010" s="25">
        <v>44221</v>
      </c>
      <c r="H2010">
        <v>5</v>
      </c>
      <c r="I2010">
        <v>25</v>
      </c>
      <c r="J2010" t="s">
        <v>231</v>
      </c>
      <c r="K2010" t="s">
        <v>505</v>
      </c>
      <c r="L2010" t="s">
        <v>41</v>
      </c>
      <c r="M2010" t="s">
        <v>234</v>
      </c>
      <c r="N2010" t="s">
        <v>40</v>
      </c>
      <c r="O2010" t="s">
        <v>21</v>
      </c>
      <c r="P2010" t="s">
        <v>266</v>
      </c>
      <c r="Q2010">
        <v>0</v>
      </c>
      <c r="R2010" t="s">
        <v>237</v>
      </c>
    </row>
    <row r="2011" spans="1:18" x14ac:dyDescent="0.25">
      <c r="A2011" t="s">
        <v>3859</v>
      </c>
      <c r="B2011">
        <v>1806</v>
      </c>
      <c r="C2011" t="s">
        <v>487</v>
      </c>
      <c r="D2011" t="s">
        <v>322</v>
      </c>
      <c r="E2011" t="s">
        <v>256</v>
      </c>
      <c r="F2011" t="s">
        <v>2952</v>
      </c>
      <c r="G2011" s="25">
        <v>44279</v>
      </c>
      <c r="H2011">
        <v>17</v>
      </c>
      <c r="I2011">
        <v>83</v>
      </c>
      <c r="J2011" t="s">
        <v>231</v>
      </c>
      <c r="K2011" t="s">
        <v>504</v>
      </c>
      <c r="L2011" t="s">
        <v>43</v>
      </c>
      <c r="M2011" t="s">
        <v>234</v>
      </c>
      <c r="N2011" t="s">
        <v>42</v>
      </c>
      <c r="O2011" t="s">
        <v>21</v>
      </c>
      <c r="P2011" t="s">
        <v>236</v>
      </c>
      <c r="Q2011">
        <v>0</v>
      </c>
      <c r="R2011" t="s">
        <v>237</v>
      </c>
    </row>
    <row r="2012" spans="1:18" x14ac:dyDescent="0.25">
      <c r="A2012" t="s">
        <v>1821</v>
      </c>
      <c r="B2012">
        <v>970</v>
      </c>
      <c r="C2012" t="s">
        <v>487</v>
      </c>
      <c r="D2012" t="s">
        <v>256</v>
      </c>
      <c r="E2012" t="s">
        <v>322</v>
      </c>
      <c r="F2012" t="s">
        <v>1288</v>
      </c>
      <c r="G2012" s="25">
        <v>44241</v>
      </c>
      <c r="H2012">
        <v>9</v>
      </c>
      <c r="I2012">
        <v>45</v>
      </c>
      <c r="J2012" t="s">
        <v>231</v>
      </c>
      <c r="K2012" t="s">
        <v>504</v>
      </c>
      <c r="L2012" t="s">
        <v>43</v>
      </c>
      <c r="M2012" t="s">
        <v>234</v>
      </c>
      <c r="N2012" t="s">
        <v>42</v>
      </c>
      <c r="O2012" t="s">
        <v>21</v>
      </c>
      <c r="P2012" t="s">
        <v>236</v>
      </c>
      <c r="Q2012">
        <v>0</v>
      </c>
      <c r="R2012" t="s">
        <v>237</v>
      </c>
    </row>
    <row r="2013" spans="1:18" x14ac:dyDescent="0.25">
      <c r="A2013" t="s">
        <v>1645</v>
      </c>
      <c r="B2013">
        <v>860</v>
      </c>
      <c r="C2013" t="s">
        <v>487</v>
      </c>
      <c r="D2013" t="s">
        <v>231</v>
      </c>
      <c r="E2013" t="s">
        <v>408</v>
      </c>
      <c r="F2013" t="s">
        <v>1234</v>
      </c>
      <c r="G2013" s="25">
        <v>44236</v>
      </c>
      <c r="H2013">
        <v>8</v>
      </c>
      <c r="I2013">
        <v>40</v>
      </c>
      <c r="J2013" t="s">
        <v>231</v>
      </c>
      <c r="K2013" t="s">
        <v>504</v>
      </c>
      <c r="L2013" t="s">
        <v>43</v>
      </c>
      <c r="M2013" t="s">
        <v>234</v>
      </c>
      <c r="N2013" t="s">
        <v>42</v>
      </c>
      <c r="O2013" t="s">
        <v>21</v>
      </c>
      <c r="P2013" t="s">
        <v>236</v>
      </c>
      <c r="Q2013">
        <v>11613</v>
      </c>
      <c r="R2013" t="s">
        <v>237</v>
      </c>
    </row>
    <row r="2014" spans="1:18" x14ac:dyDescent="0.25">
      <c r="A2014" t="s">
        <v>2391</v>
      </c>
      <c r="B2014">
        <v>596</v>
      </c>
      <c r="C2014" t="s">
        <v>487</v>
      </c>
      <c r="D2014" t="s">
        <v>231</v>
      </c>
      <c r="E2014" t="s">
        <v>381</v>
      </c>
      <c r="F2014" t="s">
        <v>1099</v>
      </c>
      <c r="G2014" s="25">
        <v>44224</v>
      </c>
      <c r="H2014">
        <v>6</v>
      </c>
      <c r="I2014">
        <v>28</v>
      </c>
      <c r="J2014" t="s">
        <v>231</v>
      </c>
      <c r="K2014" t="s">
        <v>504</v>
      </c>
      <c r="L2014" t="s">
        <v>43</v>
      </c>
      <c r="M2014" t="s">
        <v>234</v>
      </c>
      <c r="N2014" t="s">
        <v>42</v>
      </c>
      <c r="O2014" t="s">
        <v>21</v>
      </c>
      <c r="P2014" t="s">
        <v>236</v>
      </c>
      <c r="Q2014">
        <v>0</v>
      </c>
      <c r="R2014" t="s">
        <v>237</v>
      </c>
    </row>
    <row r="2015" spans="1:18" x14ac:dyDescent="0.25">
      <c r="A2015" t="s">
        <v>683</v>
      </c>
      <c r="B2015">
        <v>244</v>
      </c>
      <c r="C2015" t="s">
        <v>487</v>
      </c>
      <c r="D2015" t="s">
        <v>229</v>
      </c>
      <c r="E2015" t="s">
        <v>232</v>
      </c>
      <c r="F2015" t="s">
        <v>520</v>
      </c>
      <c r="G2015" s="25">
        <v>44208</v>
      </c>
      <c r="H2015">
        <v>3</v>
      </c>
      <c r="I2015">
        <v>12</v>
      </c>
      <c r="J2015" t="s">
        <v>231</v>
      </c>
      <c r="K2015" t="s">
        <v>504</v>
      </c>
      <c r="L2015" t="s">
        <v>43</v>
      </c>
      <c r="M2015" t="s">
        <v>234</v>
      </c>
      <c r="N2015" t="s">
        <v>42</v>
      </c>
      <c r="O2015" t="s">
        <v>21</v>
      </c>
      <c r="P2015" t="s">
        <v>236</v>
      </c>
      <c r="Q2015">
        <v>0</v>
      </c>
      <c r="R2015" t="s">
        <v>237</v>
      </c>
    </row>
    <row r="2016" spans="1:18" x14ac:dyDescent="0.25">
      <c r="A2016" t="s">
        <v>3860</v>
      </c>
      <c r="B2016">
        <v>2422</v>
      </c>
      <c r="C2016" t="s">
        <v>487</v>
      </c>
      <c r="D2016" t="s">
        <v>247</v>
      </c>
      <c r="E2016" t="s">
        <v>515</v>
      </c>
      <c r="F2016" t="s">
        <v>3134</v>
      </c>
      <c r="G2016" s="25">
        <v>44307</v>
      </c>
      <c r="H2016">
        <v>23</v>
      </c>
      <c r="I2016">
        <v>111</v>
      </c>
      <c r="J2016" t="s">
        <v>231</v>
      </c>
      <c r="K2016" t="s">
        <v>504</v>
      </c>
      <c r="L2016" t="s">
        <v>43</v>
      </c>
      <c r="M2016" t="s">
        <v>234</v>
      </c>
      <c r="N2016" t="s">
        <v>42</v>
      </c>
      <c r="O2016" t="s">
        <v>21</v>
      </c>
      <c r="P2016" t="s">
        <v>236</v>
      </c>
      <c r="Q2016">
        <v>0</v>
      </c>
      <c r="R2016" t="s">
        <v>237</v>
      </c>
    </row>
    <row r="2017" spans="1:18" x14ac:dyDescent="0.25">
      <c r="A2017" t="s">
        <v>3861</v>
      </c>
      <c r="B2017">
        <v>1945</v>
      </c>
      <c r="C2017" t="s">
        <v>487</v>
      </c>
      <c r="D2017" t="s">
        <v>322</v>
      </c>
      <c r="E2017" t="s">
        <v>371</v>
      </c>
      <c r="F2017" t="s">
        <v>2976</v>
      </c>
      <c r="G2017" s="25">
        <v>44285</v>
      </c>
      <c r="H2017">
        <v>18</v>
      </c>
      <c r="I2017">
        <v>89</v>
      </c>
      <c r="J2017" t="s">
        <v>231</v>
      </c>
      <c r="K2017" t="s">
        <v>503</v>
      </c>
      <c r="L2017" t="s">
        <v>303</v>
      </c>
      <c r="M2017" t="s">
        <v>234</v>
      </c>
      <c r="N2017" t="s">
        <v>56</v>
      </c>
      <c r="O2017" t="s">
        <v>235</v>
      </c>
      <c r="P2017" t="s">
        <v>304</v>
      </c>
      <c r="Q2017">
        <v>0</v>
      </c>
      <c r="R2017" t="s">
        <v>237</v>
      </c>
    </row>
    <row r="2018" spans="1:18" x14ac:dyDescent="0.25">
      <c r="A2018" t="s">
        <v>2100</v>
      </c>
      <c r="B2018">
        <v>1197</v>
      </c>
      <c r="C2018" t="s">
        <v>487</v>
      </c>
      <c r="D2018" t="s">
        <v>256</v>
      </c>
      <c r="E2018" t="s">
        <v>575</v>
      </c>
      <c r="F2018" t="s">
        <v>1668</v>
      </c>
      <c r="G2018" s="25">
        <v>44251</v>
      </c>
      <c r="H2018">
        <v>11</v>
      </c>
      <c r="I2018">
        <v>55</v>
      </c>
      <c r="J2018" t="s">
        <v>231</v>
      </c>
      <c r="K2018" t="s">
        <v>503</v>
      </c>
      <c r="L2018" t="s">
        <v>303</v>
      </c>
      <c r="M2018" t="s">
        <v>234</v>
      </c>
      <c r="N2018" t="s">
        <v>56</v>
      </c>
      <c r="O2018" t="s">
        <v>235</v>
      </c>
      <c r="P2018" t="s">
        <v>304</v>
      </c>
      <c r="Q2018">
        <v>0</v>
      </c>
      <c r="R2018" t="s">
        <v>237</v>
      </c>
    </row>
    <row r="2019" spans="1:18" x14ac:dyDescent="0.25">
      <c r="A2019" t="s">
        <v>3862</v>
      </c>
      <c r="B2019">
        <v>2539</v>
      </c>
      <c r="C2019" t="s">
        <v>487</v>
      </c>
      <c r="D2019" t="s">
        <v>247</v>
      </c>
      <c r="E2019" t="s">
        <v>620</v>
      </c>
      <c r="F2019" t="s">
        <v>3162</v>
      </c>
      <c r="G2019" s="25">
        <v>44312</v>
      </c>
      <c r="H2019">
        <v>24</v>
      </c>
      <c r="I2019">
        <v>116</v>
      </c>
      <c r="J2019" t="s">
        <v>231</v>
      </c>
      <c r="K2019" t="s">
        <v>503</v>
      </c>
      <c r="L2019" t="s">
        <v>303</v>
      </c>
      <c r="M2019" t="s">
        <v>234</v>
      </c>
      <c r="N2019" t="s">
        <v>56</v>
      </c>
      <c r="O2019" t="s">
        <v>235</v>
      </c>
      <c r="P2019" t="s">
        <v>304</v>
      </c>
      <c r="Q2019">
        <v>3375</v>
      </c>
      <c r="R2019" t="s">
        <v>237</v>
      </c>
    </row>
    <row r="2020" spans="1:18" x14ac:dyDescent="0.25">
      <c r="A2020" t="s">
        <v>3863</v>
      </c>
      <c r="B2020">
        <v>2407</v>
      </c>
      <c r="C2020" t="s">
        <v>487</v>
      </c>
      <c r="D2020" t="s">
        <v>247</v>
      </c>
      <c r="E2020" t="s">
        <v>239</v>
      </c>
      <c r="F2020" t="s">
        <v>3118</v>
      </c>
      <c r="G2020" s="25">
        <v>44306</v>
      </c>
      <c r="H2020">
        <v>22</v>
      </c>
      <c r="I2020">
        <v>110</v>
      </c>
      <c r="J2020" t="s">
        <v>231</v>
      </c>
      <c r="K2020" t="s">
        <v>503</v>
      </c>
      <c r="L2020" t="s">
        <v>303</v>
      </c>
      <c r="M2020" t="s">
        <v>234</v>
      </c>
      <c r="N2020" t="s">
        <v>56</v>
      </c>
      <c r="O2020" t="s">
        <v>235</v>
      </c>
      <c r="P2020" t="s">
        <v>304</v>
      </c>
      <c r="Q2020">
        <v>0</v>
      </c>
      <c r="R2020" t="s">
        <v>237</v>
      </c>
    </row>
    <row r="2021" spans="1:18" x14ac:dyDescent="0.25">
      <c r="A2021" t="s">
        <v>1934</v>
      </c>
      <c r="B2021">
        <v>935</v>
      </c>
      <c r="C2021" t="s">
        <v>487</v>
      </c>
      <c r="D2021" t="s">
        <v>256</v>
      </c>
      <c r="E2021" t="s">
        <v>256</v>
      </c>
      <c r="F2021" t="s">
        <v>1263</v>
      </c>
      <c r="G2021" s="25">
        <v>44239</v>
      </c>
      <c r="H2021">
        <v>9</v>
      </c>
      <c r="I2021">
        <v>43</v>
      </c>
      <c r="J2021" t="s">
        <v>231</v>
      </c>
      <c r="K2021" t="s">
        <v>501</v>
      </c>
      <c r="L2021" t="s">
        <v>412</v>
      </c>
      <c r="M2021" t="s">
        <v>234</v>
      </c>
      <c r="N2021" t="s">
        <v>60</v>
      </c>
      <c r="O2021" t="s">
        <v>235</v>
      </c>
      <c r="P2021" t="s">
        <v>413</v>
      </c>
      <c r="Q2021">
        <v>0</v>
      </c>
      <c r="R2021" t="s">
        <v>237</v>
      </c>
    </row>
    <row r="2022" spans="1:18" x14ac:dyDescent="0.25">
      <c r="A2022" t="s">
        <v>2514</v>
      </c>
      <c r="B2022">
        <v>561</v>
      </c>
      <c r="C2022" t="s">
        <v>487</v>
      </c>
      <c r="D2022" t="s">
        <v>231</v>
      </c>
      <c r="E2022" t="s">
        <v>247</v>
      </c>
      <c r="F2022" t="s">
        <v>1088</v>
      </c>
      <c r="G2022" s="25">
        <v>44222</v>
      </c>
      <c r="H2022">
        <v>6</v>
      </c>
      <c r="I2022">
        <v>26</v>
      </c>
      <c r="J2022" t="s">
        <v>231</v>
      </c>
      <c r="K2022" t="s">
        <v>501</v>
      </c>
      <c r="L2022" t="s">
        <v>412</v>
      </c>
      <c r="M2022" t="s">
        <v>234</v>
      </c>
      <c r="N2022" t="s">
        <v>60</v>
      </c>
      <c r="O2022" t="s">
        <v>235</v>
      </c>
      <c r="P2022" t="s">
        <v>413</v>
      </c>
      <c r="Q2022">
        <v>0</v>
      </c>
      <c r="R2022" t="s">
        <v>237</v>
      </c>
    </row>
    <row r="2023" spans="1:18" x14ac:dyDescent="0.25">
      <c r="A2023" t="s">
        <v>2785</v>
      </c>
      <c r="B2023">
        <v>1771</v>
      </c>
      <c r="C2023" t="s">
        <v>487</v>
      </c>
      <c r="D2023" t="s">
        <v>322</v>
      </c>
      <c r="E2023" t="s">
        <v>229</v>
      </c>
      <c r="F2023" t="s">
        <v>1643</v>
      </c>
      <c r="G2023" s="25">
        <v>44277</v>
      </c>
      <c r="H2023">
        <v>17</v>
      </c>
      <c r="I2023">
        <v>81</v>
      </c>
      <c r="J2023" t="s">
        <v>231</v>
      </c>
      <c r="K2023" t="s">
        <v>501</v>
      </c>
      <c r="L2023" t="s">
        <v>412</v>
      </c>
      <c r="M2023" t="s">
        <v>234</v>
      </c>
      <c r="N2023" t="s">
        <v>60</v>
      </c>
      <c r="O2023" t="s">
        <v>235</v>
      </c>
      <c r="P2023" t="s">
        <v>413</v>
      </c>
      <c r="Q2023">
        <v>0</v>
      </c>
      <c r="R2023" t="s">
        <v>237</v>
      </c>
    </row>
    <row r="2024" spans="1:18" x14ac:dyDescent="0.25">
      <c r="A2024" t="s">
        <v>2450</v>
      </c>
      <c r="B2024">
        <v>1463</v>
      </c>
      <c r="C2024" t="s">
        <v>487</v>
      </c>
      <c r="D2024" t="s">
        <v>261</v>
      </c>
      <c r="E2024" t="s">
        <v>326</v>
      </c>
      <c r="F2024" t="s">
        <v>1440</v>
      </c>
      <c r="G2024" s="25">
        <v>44263</v>
      </c>
      <c r="H2024">
        <v>14</v>
      </c>
      <c r="I2024">
        <v>67</v>
      </c>
      <c r="J2024" t="s">
        <v>231</v>
      </c>
      <c r="K2024" t="s">
        <v>501</v>
      </c>
      <c r="L2024" t="s">
        <v>412</v>
      </c>
      <c r="M2024" t="s">
        <v>234</v>
      </c>
      <c r="N2024" t="s">
        <v>60</v>
      </c>
      <c r="O2024" t="s">
        <v>235</v>
      </c>
      <c r="P2024" t="s">
        <v>413</v>
      </c>
      <c r="Q2024">
        <v>0</v>
      </c>
      <c r="R2024" t="s">
        <v>237</v>
      </c>
    </row>
    <row r="2025" spans="1:18" x14ac:dyDescent="0.25">
      <c r="A2025" t="s">
        <v>3864</v>
      </c>
      <c r="B2025">
        <v>2405</v>
      </c>
      <c r="C2025" t="s">
        <v>487</v>
      </c>
      <c r="D2025" t="s">
        <v>247</v>
      </c>
      <c r="E2025" t="s">
        <v>239</v>
      </c>
      <c r="F2025" t="s">
        <v>3118</v>
      </c>
      <c r="G2025" s="25">
        <v>44306</v>
      </c>
      <c r="H2025">
        <v>22</v>
      </c>
      <c r="I2025">
        <v>110</v>
      </c>
      <c r="J2025" t="s">
        <v>231</v>
      </c>
      <c r="K2025" t="s">
        <v>500</v>
      </c>
      <c r="L2025" t="s">
        <v>265</v>
      </c>
      <c r="M2025" t="s">
        <v>234</v>
      </c>
      <c r="N2025" t="s">
        <v>52</v>
      </c>
      <c r="O2025" t="s">
        <v>235</v>
      </c>
      <c r="P2025" t="s">
        <v>266</v>
      </c>
      <c r="Q2025">
        <v>0</v>
      </c>
      <c r="R2025" t="s">
        <v>237</v>
      </c>
    </row>
    <row r="2026" spans="1:18" x14ac:dyDescent="0.25">
      <c r="A2026" t="s">
        <v>3865</v>
      </c>
      <c r="B2026">
        <v>1943</v>
      </c>
      <c r="C2026" t="s">
        <v>487</v>
      </c>
      <c r="D2026" t="s">
        <v>322</v>
      </c>
      <c r="E2026" t="s">
        <v>371</v>
      </c>
      <c r="F2026" t="s">
        <v>2976</v>
      </c>
      <c r="G2026" s="25">
        <v>44285</v>
      </c>
      <c r="H2026">
        <v>18</v>
      </c>
      <c r="I2026">
        <v>89</v>
      </c>
      <c r="J2026" t="s">
        <v>231</v>
      </c>
      <c r="K2026" t="s">
        <v>500</v>
      </c>
      <c r="L2026" t="s">
        <v>265</v>
      </c>
      <c r="M2026" t="s">
        <v>234</v>
      </c>
      <c r="N2026" t="s">
        <v>52</v>
      </c>
      <c r="O2026" t="s">
        <v>235</v>
      </c>
      <c r="P2026" t="s">
        <v>266</v>
      </c>
      <c r="Q2026">
        <v>0</v>
      </c>
      <c r="R2026" t="s">
        <v>237</v>
      </c>
    </row>
    <row r="2027" spans="1:18" x14ac:dyDescent="0.25">
      <c r="A2027" t="s">
        <v>2295</v>
      </c>
      <c r="B2027">
        <v>1195</v>
      </c>
      <c r="C2027" t="s">
        <v>487</v>
      </c>
      <c r="D2027" t="s">
        <v>256</v>
      </c>
      <c r="E2027" t="s">
        <v>575</v>
      </c>
      <c r="F2027" t="s">
        <v>1668</v>
      </c>
      <c r="G2027" s="25">
        <v>44251</v>
      </c>
      <c r="H2027">
        <v>11</v>
      </c>
      <c r="I2027">
        <v>55</v>
      </c>
      <c r="J2027" t="s">
        <v>231</v>
      </c>
      <c r="K2027" t="s">
        <v>500</v>
      </c>
      <c r="L2027" t="s">
        <v>265</v>
      </c>
      <c r="M2027" t="s">
        <v>234</v>
      </c>
      <c r="N2027" t="s">
        <v>52</v>
      </c>
      <c r="O2027" t="s">
        <v>235</v>
      </c>
      <c r="P2027" t="s">
        <v>266</v>
      </c>
      <c r="Q2027">
        <v>0</v>
      </c>
      <c r="R2027" t="s">
        <v>237</v>
      </c>
    </row>
    <row r="2028" spans="1:18" x14ac:dyDescent="0.25">
      <c r="A2028" t="s">
        <v>3866</v>
      </c>
      <c r="B2028">
        <v>2630</v>
      </c>
      <c r="C2028" t="s">
        <v>487</v>
      </c>
      <c r="D2028" t="s">
        <v>247</v>
      </c>
      <c r="E2028" t="s">
        <v>408</v>
      </c>
      <c r="F2028" t="s">
        <v>3178</v>
      </c>
      <c r="G2028" s="25">
        <v>44316</v>
      </c>
      <c r="H2028">
        <v>24</v>
      </c>
      <c r="I2028">
        <v>120</v>
      </c>
      <c r="J2028" t="s">
        <v>231</v>
      </c>
      <c r="K2028" t="s">
        <v>499</v>
      </c>
      <c r="L2028" t="s">
        <v>410</v>
      </c>
      <c r="M2028" t="s">
        <v>234</v>
      </c>
      <c r="N2028" t="s">
        <v>62</v>
      </c>
      <c r="O2028" t="s">
        <v>235</v>
      </c>
      <c r="P2028" t="s">
        <v>411</v>
      </c>
      <c r="Q2028">
        <v>0</v>
      </c>
      <c r="R2028" t="s">
        <v>237</v>
      </c>
    </row>
    <row r="2029" spans="1:18" x14ac:dyDescent="0.25">
      <c r="A2029" t="s">
        <v>2242</v>
      </c>
      <c r="B2029">
        <v>892</v>
      </c>
      <c r="C2029" t="s">
        <v>487</v>
      </c>
      <c r="D2029" t="s">
        <v>256</v>
      </c>
      <c r="E2029" t="s">
        <v>229</v>
      </c>
      <c r="F2029" t="s">
        <v>1241</v>
      </c>
      <c r="G2029" s="25">
        <v>44237</v>
      </c>
      <c r="H2029">
        <v>9</v>
      </c>
      <c r="I2029">
        <v>41</v>
      </c>
      <c r="J2029" t="s">
        <v>231</v>
      </c>
      <c r="K2029" t="s">
        <v>499</v>
      </c>
      <c r="L2029" t="s">
        <v>410</v>
      </c>
      <c r="M2029" t="s">
        <v>234</v>
      </c>
      <c r="N2029" t="s">
        <v>62</v>
      </c>
      <c r="O2029" t="s">
        <v>235</v>
      </c>
      <c r="P2029" t="s">
        <v>411</v>
      </c>
      <c r="Q2029">
        <v>0</v>
      </c>
      <c r="R2029" t="s">
        <v>237</v>
      </c>
    </row>
    <row r="2030" spans="1:18" x14ac:dyDescent="0.25">
      <c r="A2030" t="s">
        <v>3867</v>
      </c>
      <c r="B2030">
        <v>2177</v>
      </c>
      <c r="C2030" t="s">
        <v>487</v>
      </c>
      <c r="D2030" t="s">
        <v>322</v>
      </c>
      <c r="E2030" t="s">
        <v>531</v>
      </c>
      <c r="F2030" t="s">
        <v>3056</v>
      </c>
      <c r="G2030" s="25">
        <v>44295</v>
      </c>
      <c r="H2030">
        <v>20</v>
      </c>
      <c r="I2030">
        <v>99</v>
      </c>
      <c r="J2030" t="s">
        <v>432</v>
      </c>
      <c r="K2030" t="s">
        <v>498</v>
      </c>
      <c r="L2030" t="s">
        <v>26</v>
      </c>
      <c r="M2030" t="s">
        <v>434</v>
      </c>
      <c r="N2030" t="s">
        <v>77</v>
      </c>
      <c r="O2030" t="s">
        <v>435</v>
      </c>
      <c r="P2030" t="s">
        <v>26</v>
      </c>
      <c r="Q2030">
        <v>246186.25</v>
      </c>
      <c r="R2030" t="s">
        <v>436</v>
      </c>
    </row>
    <row r="2031" spans="1:18" x14ac:dyDescent="0.25">
      <c r="A2031" t="s">
        <v>1672</v>
      </c>
      <c r="B2031">
        <v>1495</v>
      </c>
      <c r="C2031" t="s">
        <v>487</v>
      </c>
      <c r="D2031" t="s">
        <v>261</v>
      </c>
      <c r="E2031" t="s">
        <v>381</v>
      </c>
      <c r="F2031" t="s">
        <v>1458</v>
      </c>
      <c r="G2031" s="25">
        <v>44264</v>
      </c>
      <c r="H2031">
        <v>14</v>
      </c>
      <c r="I2031">
        <v>68</v>
      </c>
      <c r="J2031" t="s">
        <v>432</v>
      </c>
      <c r="K2031" t="s">
        <v>498</v>
      </c>
      <c r="L2031" t="s">
        <v>26</v>
      </c>
      <c r="M2031" t="s">
        <v>434</v>
      </c>
      <c r="N2031" t="s">
        <v>77</v>
      </c>
      <c r="O2031" t="s">
        <v>435</v>
      </c>
      <c r="P2031" t="s">
        <v>26</v>
      </c>
      <c r="Q2031">
        <v>154153.125</v>
      </c>
      <c r="R2031" t="s">
        <v>436</v>
      </c>
    </row>
    <row r="2032" spans="1:18" x14ac:dyDescent="0.25">
      <c r="A2032" t="s">
        <v>2247</v>
      </c>
      <c r="B2032">
        <v>1385</v>
      </c>
      <c r="C2032" t="s">
        <v>487</v>
      </c>
      <c r="D2032" t="s">
        <v>261</v>
      </c>
      <c r="E2032" t="s">
        <v>256</v>
      </c>
      <c r="F2032" t="s">
        <v>1402</v>
      </c>
      <c r="G2032" s="25">
        <v>44259</v>
      </c>
      <c r="H2032">
        <v>13</v>
      </c>
      <c r="I2032">
        <v>63</v>
      </c>
      <c r="J2032" t="s">
        <v>432</v>
      </c>
      <c r="K2032" t="s">
        <v>498</v>
      </c>
      <c r="L2032" t="s">
        <v>26</v>
      </c>
      <c r="M2032" t="s">
        <v>434</v>
      </c>
      <c r="N2032" t="s">
        <v>77</v>
      </c>
      <c r="O2032" t="s">
        <v>435</v>
      </c>
      <c r="P2032" t="s">
        <v>26</v>
      </c>
      <c r="Q2032">
        <v>173796.875</v>
      </c>
      <c r="R2032" t="s">
        <v>436</v>
      </c>
    </row>
    <row r="2033" spans="1:18" x14ac:dyDescent="0.25">
      <c r="A2033" t="s">
        <v>2567</v>
      </c>
      <c r="B2033">
        <v>1581</v>
      </c>
      <c r="C2033" t="s">
        <v>487</v>
      </c>
      <c r="D2033" t="s">
        <v>261</v>
      </c>
      <c r="E2033" t="s">
        <v>232</v>
      </c>
      <c r="F2033" t="s">
        <v>1500</v>
      </c>
      <c r="G2033" s="25">
        <v>44268</v>
      </c>
      <c r="H2033">
        <v>15</v>
      </c>
      <c r="I2033">
        <v>72</v>
      </c>
      <c r="J2033" t="s">
        <v>432</v>
      </c>
      <c r="K2033" t="s">
        <v>497</v>
      </c>
      <c r="L2033" t="s">
        <v>438</v>
      </c>
      <c r="M2033" t="s">
        <v>434</v>
      </c>
      <c r="N2033" t="s">
        <v>75</v>
      </c>
      <c r="O2033" t="s">
        <v>435</v>
      </c>
      <c r="P2033" t="s">
        <v>438</v>
      </c>
      <c r="Q2033">
        <v>29193.75</v>
      </c>
      <c r="R2033" t="s">
        <v>436</v>
      </c>
    </row>
    <row r="2034" spans="1:18" x14ac:dyDescent="0.25">
      <c r="A2034" t="s">
        <v>2526</v>
      </c>
      <c r="B2034">
        <v>899</v>
      </c>
      <c r="C2034" t="s">
        <v>487</v>
      </c>
      <c r="D2034" t="s">
        <v>256</v>
      </c>
      <c r="E2034" t="s">
        <v>229</v>
      </c>
      <c r="F2034" t="s">
        <v>1241</v>
      </c>
      <c r="G2034" s="25">
        <v>44237</v>
      </c>
      <c r="H2034">
        <v>9</v>
      </c>
      <c r="I2034">
        <v>41</v>
      </c>
      <c r="J2034" t="s">
        <v>432</v>
      </c>
      <c r="K2034" t="s">
        <v>497</v>
      </c>
      <c r="L2034" t="s">
        <v>438</v>
      </c>
      <c r="M2034" t="s">
        <v>434</v>
      </c>
      <c r="N2034" t="s">
        <v>75</v>
      </c>
      <c r="O2034" t="s">
        <v>435</v>
      </c>
      <c r="P2034" t="s">
        <v>438</v>
      </c>
      <c r="Q2034">
        <v>19200</v>
      </c>
      <c r="R2034" t="s">
        <v>436</v>
      </c>
    </row>
    <row r="2035" spans="1:18" x14ac:dyDescent="0.25">
      <c r="A2035" t="s">
        <v>701</v>
      </c>
      <c r="B2035">
        <v>371</v>
      </c>
      <c r="C2035" t="s">
        <v>487</v>
      </c>
      <c r="D2035" t="s">
        <v>229</v>
      </c>
      <c r="E2035" t="s">
        <v>534</v>
      </c>
      <c r="F2035" t="s">
        <v>535</v>
      </c>
      <c r="G2035" s="25">
        <v>44213</v>
      </c>
      <c r="H2035">
        <v>4</v>
      </c>
      <c r="I2035">
        <v>17</v>
      </c>
      <c r="J2035" t="s">
        <v>432</v>
      </c>
      <c r="K2035" t="s">
        <v>497</v>
      </c>
      <c r="L2035" t="s">
        <v>438</v>
      </c>
      <c r="M2035" t="s">
        <v>434</v>
      </c>
      <c r="N2035" t="s">
        <v>75</v>
      </c>
      <c r="O2035" t="s">
        <v>435</v>
      </c>
      <c r="P2035" t="s">
        <v>438</v>
      </c>
      <c r="Q2035">
        <v>2493.75</v>
      </c>
      <c r="R2035" t="s">
        <v>436</v>
      </c>
    </row>
    <row r="2036" spans="1:18" x14ac:dyDescent="0.25">
      <c r="A2036" t="s">
        <v>3868</v>
      </c>
      <c r="B2036">
        <v>2637</v>
      </c>
      <c r="C2036" t="s">
        <v>487</v>
      </c>
      <c r="D2036" t="s">
        <v>247</v>
      </c>
      <c r="E2036" t="s">
        <v>408</v>
      </c>
      <c r="F2036" t="s">
        <v>3178</v>
      </c>
      <c r="G2036" s="25">
        <v>44316</v>
      </c>
      <c r="H2036">
        <v>24</v>
      </c>
      <c r="I2036">
        <v>120</v>
      </c>
      <c r="J2036" t="s">
        <v>432</v>
      </c>
      <c r="K2036" t="s">
        <v>497</v>
      </c>
      <c r="L2036" t="s">
        <v>438</v>
      </c>
      <c r="M2036" t="s">
        <v>434</v>
      </c>
      <c r="N2036" t="s">
        <v>75</v>
      </c>
      <c r="O2036" t="s">
        <v>435</v>
      </c>
      <c r="P2036" t="s">
        <v>438</v>
      </c>
      <c r="Q2036">
        <v>25500</v>
      </c>
      <c r="R2036" t="s">
        <v>436</v>
      </c>
    </row>
    <row r="2037" spans="1:18" x14ac:dyDescent="0.25">
      <c r="A2037" t="s">
        <v>3869</v>
      </c>
      <c r="B2037">
        <v>1889</v>
      </c>
      <c r="C2037" t="s">
        <v>487</v>
      </c>
      <c r="D2037" t="s">
        <v>322</v>
      </c>
      <c r="E2037" t="s">
        <v>247</v>
      </c>
      <c r="F2037" t="s">
        <v>2963</v>
      </c>
      <c r="G2037" s="25">
        <v>44282</v>
      </c>
      <c r="H2037">
        <v>18</v>
      </c>
      <c r="I2037">
        <v>86</v>
      </c>
      <c r="J2037" t="s">
        <v>432</v>
      </c>
      <c r="K2037" t="s">
        <v>497</v>
      </c>
      <c r="L2037" t="s">
        <v>438</v>
      </c>
      <c r="M2037" t="s">
        <v>434</v>
      </c>
      <c r="N2037" t="s">
        <v>75</v>
      </c>
      <c r="O2037" t="s">
        <v>435</v>
      </c>
      <c r="P2037" t="s">
        <v>438</v>
      </c>
      <c r="Q2037">
        <v>56925</v>
      </c>
      <c r="R2037" t="s">
        <v>436</v>
      </c>
    </row>
    <row r="2038" spans="1:18" x14ac:dyDescent="0.25">
      <c r="A2038" t="s">
        <v>2004</v>
      </c>
      <c r="B2038">
        <v>609</v>
      </c>
      <c r="C2038" t="s">
        <v>487</v>
      </c>
      <c r="D2038" t="s">
        <v>231</v>
      </c>
      <c r="E2038" t="s">
        <v>381</v>
      </c>
      <c r="F2038" t="s">
        <v>1099</v>
      </c>
      <c r="G2038" s="25">
        <v>44224</v>
      </c>
      <c r="H2038">
        <v>6</v>
      </c>
      <c r="I2038">
        <v>28</v>
      </c>
      <c r="J2038" t="s">
        <v>432</v>
      </c>
      <c r="K2038" t="s">
        <v>496</v>
      </c>
      <c r="L2038" t="s">
        <v>69</v>
      </c>
      <c r="M2038" t="s">
        <v>434</v>
      </c>
      <c r="N2038" t="s">
        <v>68</v>
      </c>
      <c r="O2038" t="s">
        <v>21</v>
      </c>
      <c r="P2038" t="s">
        <v>439</v>
      </c>
      <c r="Q2038">
        <v>275625</v>
      </c>
      <c r="R2038" t="s">
        <v>237</v>
      </c>
    </row>
    <row r="2039" spans="1:18" x14ac:dyDescent="0.25">
      <c r="A2039" t="s">
        <v>579</v>
      </c>
      <c r="B2039">
        <v>455</v>
      </c>
      <c r="C2039" t="s">
        <v>487</v>
      </c>
      <c r="D2039" t="s">
        <v>231</v>
      </c>
      <c r="E2039" t="s">
        <v>229</v>
      </c>
      <c r="F2039" t="s">
        <v>541</v>
      </c>
      <c r="G2039" s="25">
        <v>44217</v>
      </c>
      <c r="H2039">
        <v>5</v>
      </c>
      <c r="I2039">
        <v>21</v>
      </c>
      <c r="J2039" t="s">
        <v>432</v>
      </c>
      <c r="K2039" t="s">
        <v>496</v>
      </c>
      <c r="L2039" t="s">
        <v>69</v>
      </c>
      <c r="M2039" t="s">
        <v>434</v>
      </c>
      <c r="N2039" t="s">
        <v>68</v>
      </c>
      <c r="O2039" t="s">
        <v>21</v>
      </c>
      <c r="P2039" t="s">
        <v>439</v>
      </c>
      <c r="Q2039">
        <v>0</v>
      </c>
      <c r="R2039" t="s">
        <v>237</v>
      </c>
    </row>
    <row r="2040" spans="1:18" x14ac:dyDescent="0.25">
      <c r="A2040" t="s">
        <v>699</v>
      </c>
      <c r="B2040">
        <v>147</v>
      </c>
      <c r="C2040" t="s">
        <v>487</v>
      </c>
      <c r="D2040" t="s">
        <v>229</v>
      </c>
      <c r="E2040" t="s">
        <v>326</v>
      </c>
      <c r="F2040" t="s">
        <v>522</v>
      </c>
      <c r="G2040" s="25">
        <v>44203</v>
      </c>
      <c r="H2040">
        <v>2</v>
      </c>
      <c r="I2040">
        <v>7</v>
      </c>
      <c r="J2040" t="s">
        <v>432</v>
      </c>
      <c r="K2040" t="s">
        <v>496</v>
      </c>
      <c r="L2040" t="s">
        <v>69</v>
      </c>
      <c r="M2040" t="s">
        <v>434</v>
      </c>
      <c r="N2040" t="s">
        <v>68</v>
      </c>
      <c r="O2040" t="s">
        <v>21</v>
      </c>
      <c r="P2040" t="s">
        <v>439</v>
      </c>
      <c r="Q2040">
        <v>40000</v>
      </c>
      <c r="R2040" t="s">
        <v>237</v>
      </c>
    </row>
    <row r="2041" spans="1:18" x14ac:dyDescent="0.25">
      <c r="A2041" t="s">
        <v>807</v>
      </c>
      <c r="B2041">
        <v>390</v>
      </c>
      <c r="C2041" t="s">
        <v>487</v>
      </c>
      <c r="D2041" t="s">
        <v>229</v>
      </c>
      <c r="E2041" t="s">
        <v>552</v>
      </c>
      <c r="F2041" t="s">
        <v>553</v>
      </c>
      <c r="G2041" s="25">
        <v>44214</v>
      </c>
      <c r="H2041">
        <v>4</v>
      </c>
      <c r="I2041">
        <v>18</v>
      </c>
      <c r="J2041" t="s">
        <v>432</v>
      </c>
      <c r="K2041" t="s">
        <v>495</v>
      </c>
      <c r="L2041" t="s">
        <v>135</v>
      </c>
      <c r="M2041" t="s">
        <v>434</v>
      </c>
      <c r="N2041" t="s">
        <v>70</v>
      </c>
      <c r="O2041" t="s">
        <v>21</v>
      </c>
      <c r="P2041" t="s">
        <v>440</v>
      </c>
      <c r="Q2041">
        <v>24000</v>
      </c>
      <c r="R2041" t="s">
        <v>237</v>
      </c>
    </row>
    <row r="2042" spans="1:18" x14ac:dyDescent="0.25">
      <c r="A2042" t="s">
        <v>3870</v>
      </c>
      <c r="B2042">
        <v>2568</v>
      </c>
      <c r="C2042" t="s">
        <v>487</v>
      </c>
      <c r="D2042" t="s">
        <v>247</v>
      </c>
      <c r="E2042" t="s">
        <v>534</v>
      </c>
      <c r="F2042" t="s">
        <v>3166</v>
      </c>
      <c r="G2042" s="25">
        <v>44313</v>
      </c>
      <c r="H2042">
        <v>24</v>
      </c>
      <c r="I2042">
        <v>117</v>
      </c>
      <c r="J2042" t="s">
        <v>432</v>
      </c>
      <c r="K2042" t="s">
        <v>495</v>
      </c>
      <c r="L2042" t="s">
        <v>135</v>
      </c>
      <c r="M2042" t="s">
        <v>434</v>
      </c>
      <c r="N2042" t="s">
        <v>70</v>
      </c>
      <c r="O2042" t="s">
        <v>21</v>
      </c>
      <c r="P2042" t="s">
        <v>440</v>
      </c>
      <c r="Q2042">
        <v>384000</v>
      </c>
      <c r="R2042" t="s">
        <v>237</v>
      </c>
    </row>
    <row r="2043" spans="1:18" x14ac:dyDescent="0.25">
      <c r="A2043" t="s">
        <v>2570</v>
      </c>
      <c r="B2043">
        <v>1600</v>
      </c>
      <c r="C2043" t="s">
        <v>487</v>
      </c>
      <c r="D2043" t="s">
        <v>261</v>
      </c>
      <c r="E2043" t="s">
        <v>512</v>
      </c>
      <c r="F2043" t="s">
        <v>1518</v>
      </c>
      <c r="G2043" s="25">
        <v>44269</v>
      </c>
      <c r="H2043">
        <v>15</v>
      </c>
      <c r="I2043">
        <v>73</v>
      </c>
      <c r="J2043" t="s">
        <v>432</v>
      </c>
      <c r="K2043" t="s">
        <v>495</v>
      </c>
      <c r="L2043" t="s">
        <v>135</v>
      </c>
      <c r="M2043" t="s">
        <v>434</v>
      </c>
      <c r="N2043" t="s">
        <v>70</v>
      </c>
      <c r="O2043" t="s">
        <v>21</v>
      </c>
      <c r="P2043" t="s">
        <v>440</v>
      </c>
      <c r="Q2043">
        <v>82000</v>
      </c>
      <c r="R2043" t="s">
        <v>237</v>
      </c>
    </row>
    <row r="2044" spans="1:18" x14ac:dyDescent="0.25">
      <c r="A2044" t="s">
        <v>1834</v>
      </c>
      <c r="B2044">
        <v>1490</v>
      </c>
      <c r="C2044" t="s">
        <v>487</v>
      </c>
      <c r="D2044" t="s">
        <v>261</v>
      </c>
      <c r="E2044" t="s">
        <v>381</v>
      </c>
      <c r="F2044" t="s">
        <v>1458</v>
      </c>
      <c r="G2044" s="25">
        <v>44264</v>
      </c>
      <c r="H2044">
        <v>14</v>
      </c>
      <c r="I2044">
        <v>68</v>
      </c>
      <c r="J2044" t="s">
        <v>432</v>
      </c>
      <c r="K2044" t="s">
        <v>495</v>
      </c>
      <c r="L2044" t="s">
        <v>135</v>
      </c>
      <c r="M2044" t="s">
        <v>434</v>
      </c>
      <c r="N2044" t="s">
        <v>70</v>
      </c>
      <c r="O2044" t="s">
        <v>21</v>
      </c>
      <c r="P2044" t="s">
        <v>440</v>
      </c>
      <c r="Q2044">
        <v>192875</v>
      </c>
      <c r="R2044" t="s">
        <v>237</v>
      </c>
    </row>
    <row r="2045" spans="1:18" x14ac:dyDescent="0.25">
      <c r="A2045" t="s">
        <v>2367</v>
      </c>
      <c r="B2045">
        <v>1336</v>
      </c>
      <c r="C2045" t="s">
        <v>487</v>
      </c>
      <c r="D2045" t="s">
        <v>261</v>
      </c>
      <c r="E2045" t="s">
        <v>229</v>
      </c>
      <c r="F2045" t="s">
        <v>1388</v>
      </c>
      <c r="G2045" s="25">
        <v>44257</v>
      </c>
      <c r="H2045">
        <v>13</v>
      </c>
      <c r="I2045">
        <v>61</v>
      </c>
      <c r="J2045" t="s">
        <v>432</v>
      </c>
      <c r="K2045" t="s">
        <v>495</v>
      </c>
      <c r="L2045" t="s">
        <v>135</v>
      </c>
      <c r="M2045" t="s">
        <v>434</v>
      </c>
      <c r="N2045" t="s">
        <v>70</v>
      </c>
      <c r="O2045" t="s">
        <v>21</v>
      </c>
      <c r="P2045" t="s">
        <v>440</v>
      </c>
      <c r="Q2045">
        <v>349250</v>
      </c>
      <c r="R2045" t="s">
        <v>237</v>
      </c>
    </row>
    <row r="2046" spans="1:18" x14ac:dyDescent="0.25">
      <c r="A2046" t="s">
        <v>2190</v>
      </c>
      <c r="B2046">
        <v>764</v>
      </c>
      <c r="C2046" t="s">
        <v>487</v>
      </c>
      <c r="D2046" t="s">
        <v>231</v>
      </c>
      <c r="E2046" t="s">
        <v>575</v>
      </c>
      <c r="F2046" t="s">
        <v>1210</v>
      </c>
      <c r="G2046" s="25">
        <v>44231</v>
      </c>
      <c r="H2046">
        <v>7</v>
      </c>
      <c r="I2046">
        <v>35</v>
      </c>
      <c r="J2046" t="s">
        <v>432</v>
      </c>
      <c r="K2046" t="s">
        <v>495</v>
      </c>
      <c r="L2046" t="s">
        <v>135</v>
      </c>
      <c r="M2046" t="s">
        <v>434</v>
      </c>
      <c r="N2046" t="s">
        <v>70</v>
      </c>
      <c r="O2046" t="s">
        <v>21</v>
      </c>
      <c r="P2046" t="s">
        <v>440</v>
      </c>
      <c r="Q2046">
        <v>144000</v>
      </c>
      <c r="R2046" t="s">
        <v>237</v>
      </c>
    </row>
    <row r="2047" spans="1:18" x14ac:dyDescent="0.25">
      <c r="A2047" t="s">
        <v>819</v>
      </c>
      <c r="B2047">
        <v>152</v>
      </c>
      <c r="C2047" t="s">
        <v>487</v>
      </c>
      <c r="D2047" t="s">
        <v>229</v>
      </c>
      <c r="E2047" t="s">
        <v>326</v>
      </c>
      <c r="F2047" t="s">
        <v>522</v>
      </c>
      <c r="G2047" s="25">
        <v>44203</v>
      </c>
      <c r="H2047">
        <v>2</v>
      </c>
      <c r="I2047">
        <v>7</v>
      </c>
      <c r="J2047" t="s">
        <v>432</v>
      </c>
      <c r="K2047" t="s">
        <v>494</v>
      </c>
      <c r="L2047" t="s">
        <v>25</v>
      </c>
      <c r="M2047" t="s">
        <v>434</v>
      </c>
      <c r="N2047" t="s">
        <v>76</v>
      </c>
      <c r="O2047" t="s">
        <v>435</v>
      </c>
      <c r="P2047" t="s">
        <v>25</v>
      </c>
      <c r="Q2047">
        <v>10800</v>
      </c>
      <c r="R2047" t="s">
        <v>436</v>
      </c>
    </row>
    <row r="2048" spans="1:18" x14ac:dyDescent="0.25">
      <c r="A2048" t="s">
        <v>3871</v>
      </c>
      <c r="B2048">
        <v>2594</v>
      </c>
      <c r="C2048" t="s">
        <v>487</v>
      </c>
      <c r="D2048" t="s">
        <v>247</v>
      </c>
      <c r="E2048" t="s">
        <v>552</v>
      </c>
      <c r="F2048" t="s">
        <v>3170</v>
      </c>
      <c r="G2048" s="25">
        <v>44314</v>
      </c>
      <c r="H2048">
        <v>24</v>
      </c>
      <c r="I2048">
        <v>118</v>
      </c>
      <c r="J2048" t="s">
        <v>432</v>
      </c>
      <c r="K2048" t="s">
        <v>494</v>
      </c>
      <c r="L2048" t="s">
        <v>25</v>
      </c>
      <c r="M2048" t="s">
        <v>434</v>
      </c>
      <c r="N2048" t="s">
        <v>76</v>
      </c>
      <c r="O2048" t="s">
        <v>435</v>
      </c>
      <c r="P2048" t="s">
        <v>25</v>
      </c>
      <c r="Q2048">
        <v>27450</v>
      </c>
      <c r="R2048" t="s">
        <v>436</v>
      </c>
    </row>
    <row r="2049" spans="1:18" x14ac:dyDescent="0.25">
      <c r="A2049" t="s">
        <v>2575</v>
      </c>
      <c r="B2049">
        <v>1692</v>
      </c>
      <c r="C2049" t="s">
        <v>487</v>
      </c>
      <c r="D2049" t="s">
        <v>261</v>
      </c>
      <c r="E2049" t="s">
        <v>534</v>
      </c>
      <c r="F2049" t="s">
        <v>1563</v>
      </c>
      <c r="G2049" s="25">
        <v>44273</v>
      </c>
      <c r="H2049">
        <v>16</v>
      </c>
      <c r="I2049">
        <v>77</v>
      </c>
      <c r="J2049" t="s">
        <v>432</v>
      </c>
      <c r="K2049" t="s">
        <v>494</v>
      </c>
      <c r="L2049" t="s">
        <v>25</v>
      </c>
      <c r="M2049" t="s">
        <v>434</v>
      </c>
      <c r="N2049" t="s">
        <v>76</v>
      </c>
      <c r="O2049" t="s">
        <v>435</v>
      </c>
      <c r="P2049" t="s">
        <v>25</v>
      </c>
      <c r="Q2049">
        <v>32437.5</v>
      </c>
      <c r="R2049" t="s">
        <v>436</v>
      </c>
    </row>
    <row r="2050" spans="1:18" x14ac:dyDescent="0.25">
      <c r="A2050" t="s">
        <v>2475</v>
      </c>
      <c r="B2050">
        <v>1362</v>
      </c>
      <c r="C2050" t="s">
        <v>487</v>
      </c>
      <c r="D2050" t="s">
        <v>261</v>
      </c>
      <c r="E2050" t="s">
        <v>231</v>
      </c>
      <c r="F2050" t="s">
        <v>1400</v>
      </c>
      <c r="G2050" s="25">
        <v>44258</v>
      </c>
      <c r="H2050">
        <v>13</v>
      </c>
      <c r="I2050">
        <v>62</v>
      </c>
      <c r="J2050" t="s">
        <v>432</v>
      </c>
      <c r="K2050" t="s">
        <v>494</v>
      </c>
      <c r="L2050" t="s">
        <v>25</v>
      </c>
      <c r="M2050" t="s">
        <v>434</v>
      </c>
      <c r="N2050" t="s">
        <v>76</v>
      </c>
      <c r="O2050" t="s">
        <v>435</v>
      </c>
      <c r="P2050" t="s">
        <v>25</v>
      </c>
      <c r="Q2050">
        <v>38100</v>
      </c>
      <c r="R2050" t="s">
        <v>436</v>
      </c>
    </row>
    <row r="2051" spans="1:18" x14ac:dyDescent="0.25">
      <c r="A2051" t="s">
        <v>590</v>
      </c>
      <c r="B2051">
        <v>460</v>
      </c>
      <c r="C2051" t="s">
        <v>487</v>
      </c>
      <c r="D2051" t="s">
        <v>231</v>
      </c>
      <c r="E2051" t="s">
        <v>229</v>
      </c>
      <c r="F2051" t="s">
        <v>541</v>
      </c>
      <c r="G2051" s="25">
        <v>44217</v>
      </c>
      <c r="H2051">
        <v>5</v>
      </c>
      <c r="I2051">
        <v>21</v>
      </c>
      <c r="J2051" t="s">
        <v>432</v>
      </c>
      <c r="K2051" t="s">
        <v>494</v>
      </c>
      <c r="L2051" t="s">
        <v>25</v>
      </c>
      <c r="M2051" t="s">
        <v>434</v>
      </c>
      <c r="N2051" t="s">
        <v>76</v>
      </c>
      <c r="O2051" t="s">
        <v>435</v>
      </c>
      <c r="P2051" t="s">
        <v>25</v>
      </c>
      <c r="Q2051">
        <v>7200</v>
      </c>
      <c r="R2051" t="s">
        <v>436</v>
      </c>
    </row>
    <row r="2052" spans="1:18" x14ac:dyDescent="0.25">
      <c r="A2052" t="s">
        <v>1837</v>
      </c>
      <c r="B2052">
        <v>638</v>
      </c>
      <c r="C2052" t="s">
        <v>487</v>
      </c>
      <c r="D2052" t="s">
        <v>231</v>
      </c>
      <c r="E2052" t="s">
        <v>371</v>
      </c>
      <c r="F2052" t="s">
        <v>1124</v>
      </c>
      <c r="G2052" s="25">
        <v>44225</v>
      </c>
      <c r="H2052">
        <v>6</v>
      </c>
      <c r="I2052">
        <v>29</v>
      </c>
      <c r="J2052" t="s">
        <v>432</v>
      </c>
      <c r="K2052" t="s">
        <v>493</v>
      </c>
      <c r="L2052" t="s">
        <v>441</v>
      </c>
      <c r="M2052" t="s">
        <v>434</v>
      </c>
      <c r="N2052" t="s">
        <v>78</v>
      </c>
      <c r="O2052" t="s">
        <v>435</v>
      </c>
      <c r="P2052" t="s">
        <v>441</v>
      </c>
      <c r="Q2052">
        <v>136434.375</v>
      </c>
      <c r="R2052" t="s">
        <v>436</v>
      </c>
    </row>
    <row r="2053" spans="1:18" x14ac:dyDescent="0.25">
      <c r="A2053" t="s">
        <v>3872</v>
      </c>
      <c r="B2053">
        <v>2530</v>
      </c>
      <c r="C2053" t="s">
        <v>487</v>
      </c>
      <c r="D2053" t="s">
        <v>247</v>
      </c>
      <c r="E2053" t="s">
        <v>575</v>
      </c>
      <c r="F2053" t="s">
        <v>3158</v>
      </c>
      <c r="G2053" s="25">
        <v>44311</v>
      </c>
      <c r="H2053">
        <v>23</v>
      </c>
      <c r="I2053">
        <v>115</v>
      </c>
      <c r="J2053" t="s">
        <v>432</v>
      </c>
      <c r="K2053" t="s">
        <v>493</v>
      </c>
      <c r="L2053" t="s">
        <v>441</v>
      </c>
      <c r="M2053" t="s">
        <v>434</v>
      </c>
      <c r="N2053" t="s">
        <v>78</v>
      </c>
      <c r="O2053" t="s">
        <v>435</v>
      </c>
      <c r="P2053" t="s">
        <v>441</v>
      </c>
      <c r="Q2053">
        <v>154967.5</v>
      </c>
      <c r="R2053" t="s">
        <v>436</v>
      </c>
    </row>
    <row r="2054" spans="1:18" x14ac:dyDescent="0.25">
      <c r="A2054" t="s">
        <v>3873</v>
      </c>
      <c r="B2054">
        <v>2442</v>
      </c>
      <c r="C2054" t="s">
        <v>487</v>
      </c>
      <c r="D2054" t="s">
        <v>247</v>
      </c>
      <c r="E2054" t="s">
        <v>515</v>
      </c>
      <c r="F2054" t="s">
        <v>3134</v>
      </c>
      <c r="G2054" s="25">
        <v>44307</v>
      </c>
      <c r="H2054">
        <v>23</v>
      </c>
      <c r="I2054">
        <v>111</v>
      </c>
      <c r="J2054" t="s">
        <v>432</v>
      </c>
      <c r="K2054" t="s">
        <v>493</v>
      </c>
      <c r="L2054" t="s">
        <v>441</v>
      </c>
      <c r="M2054" t="s">
        <v>434</v>
      </c>
      <c r="N2054" t="s">
        <v>78</v>
      </c>
      <c r="O2054" t="s">
        <v>435</v>
      </c>
      <c r="P2054" t="s">
        <v>441</v>
      </c>
      <c r="Q2054">
        <v>183930</v>
      </c>
      <c r="R2054" t="s">
        <v>436</v>
      </c>
    </row>
    <row r="2055" spans="1:18" x14ac:dyDescent="0.25">
      <c r="A2055" t="s">
        <v>2752</v>
      </c>
      <c r="B2055">
        <v>897</v>
      </c>
      <c r="C2055" t="s">
        <v>487</v>
      </c>
      <c r="D2055" t="s">
        <v>256</v>
      </c>
      <c r="E2055" t="s">
        <v>229</v>
      </c>
      <c r="F2055" t="s">
        <v>1241</v>
      </c>
      <c r="G2055" s="25">
        <v>44237</v>
      </c>
      <c r="H2055">
        <v>9</v>
      </c>
      <c r="I2055">
        <v>41</v>
      </c>
      <c r="J2055" t="s">
        <v>432</v>
      </c>
      <c r="K2055" t="s">
        <v>492</v>
      </c>
      <c r="L2055" t="s">
        <v>24</v>
      </c>
      <c r="M2055" t="s">
        <v>434</v>
      </c>
      <c r="N2055" t="s">
        <v>71</v>
      </c>
      <c r="O2055" t="s">
        <v>435</v>
      </c>
      <c r="P2055" t="s">
        <v>24</v>
      </c>
      <c r="Q2055">
        <v>28800</v>
      </c>
      <c r="R2055" t="s">
        <v>436</v>
      </c>
    </row>
    <row r="2056" spans="1:18" x14ac:dyDescent="0.25">
      <c r="A2056" t="s">
        <v>3874</v>
      </c>
      <c r="B2056">
        <v>2635</v>
      </c>
      <c r="C2056" t="s">
        <v>487</v>
      </c>
      <c r="D2056" t="s">
        <v>247</v>
      </c>
      <c r="E2056" t="s">
        <v>408</v>
      </c>
      <c r="F2056" t="s">
        <v>3178</v>
      </c>
      <c r="G2056" s="25">
        <v>44316</v>
      </c>
      <c r="H2056">
        <v>24</v>
      </c>
      <c r="I2056">
        <v>120</v>
      </c>
      <c r="J2056" t="s">
        <v>432</v>
      </c>
      <c r="K2056" t="s">
        <v>492</v>
      </c>
      <c r="L2056" t="s">
        <v>24</v>
      </c>
      <c r="M2056" t="s">
        <v>434</v>
      </c>
      <c r="N2056" t="s">
        <v>71</v>
      </c>
      <c r="O2056" t="s">
        <v>435</v>
      </c>
      <c r="P2056" t="s">
        <v>24</v>
      </c>
      <c r="Q2056">
        <v>40500</v>
      </c>
      <c r="R2056" t="s">
        <v>436</v>
      </c>
    </row>
    <row r="2057" spans="1:18" x14ac:dyDescent="0.25">
      <c r="A2057" t="s">
        <v>2913</v>
      </c>
      <c r="B2057">
        <v>1438</v>
      </c>
      <c r="C2057" t="s">
        <v>487</v>
      </c>
      <c r="D2057" t="s">
        <v>261</v>
      </c>
      <c r="E2057" t="s">
        <v>247</v>
      </c>
      <c r="F2057" t="s">
        <v>1425</v>
      </c>
      <c r="G2057" s="25">
        <v>44262</v>
      </c>
      <c r="H2057">
        <v>14</v>
      </c>
      <c r="I2057">
        <v>66</v>
      </c>
      <c r="J2057" t="s">
        <v>231</v>
      </c>
      <c r="K2057" t="s">
        <v>491</v>
      </c>
      <c r="L2057" t="s">
        <v>233</v>
      </c>
      <c r="M2057" t="s">
        <v>234</v>
      </c>
      <c r="N2057" t="s">
        <v>54</v>
      </c>
      <c r="O2057" t="s">
        <v>235</v>
      </c>
      <c r="P2057" t="s">
        <v>236</v>
      </c>
      <c r="Q2057">
        <v>0</v>
      </c>
      <c r="R2057" t="s">
        <v>237</v>
      </c>
    </row>
    <row r="2058" spans="1:18" x14ac:dyDescent="0.25">
      <c r="A2058" t="s">
        <v>2422</v>
      </c>
      <c r="B2058">
        <v>1729</v>
      </c>
      <c r="C2058" t="s">
        <v>487</v>
      </c>
      <c r="D2058" t="s">
        <v>261</v>
      </c>
      <c r="E2058" t="s">
        <v>531</v>
      </c>
      <c r="F2058" t="s">
        <v>1588</v>
      </c>
      <c r="G2058" s="25">
        <v>44275</v>
      </c>
      <c r="H2058">
        <v>16</v>
      </c>
      <c r="I2058">
        <v>79</v>
      </c>
      <c r="J2058" t="s">
        <v>432</v>
      </c>
      <c r="K2058" t="s">
        <v>490</v>
      </c>
      <c r="L2058" t="s">
        <v>65</v>
      </c>
      <c r="M2058" t="s">
        <v>434</v>
      </c>
      <c r="N2058" t="s">
        <v>64</v>
      </c>
      <c r="O2058" t="s">
        <v>235</v>
      </c>
      <c r="P2058" t="s">
        <v>442</v>
      </c>
      <c r="Q2058">
        <v>296000</v>
      </c>
      <c r="R2058" t="s">
        <v>237</v>
      </c>
    </row>
    <row r="2059" spans="1:18" x14ac:dyDescent="0.25">
      <c r="A2059" t="s">
        <v>3875</v>
      </c>
      <c r="B2059">
        <v>1976</v>
      </c>
      <c r="C2059" t="s">
        <v>487</v>
      </c>
      <c r="D2059" t="s">
        <v>322</v>
      </c>
      <c r="E2059" t="s">
        <v>239</v>
      </c>
      <c r="F2059" t="s">
        <v>2979</v>
      </c>
      <c r="G2059" s="25">
        <v>44286</v>
      </c>
      <c r="H2059">
        <v>18</v>
      </c>
      <c r="I2059">
        <v>90</v>
      </c>
      <c r="J2059" t="s">
        <v>432</v>
      </c>
      <c r="K2059" t="s">
        <v>488</v>
      </c>
      <c r="L2059" t="s">
        <v>433</v>
      </c>
      <c r="M2059" t="s">
        <v>434</v>
      </c>
      <c r="N2059" t="s">
        <v>74</v>
      </c>
      <c r="O2059" t="s">
        <v>435</v>
      </c>
      <c r="P2059" t="s">
        <v>433</v>
      </c>
      <c r="Q2059">
        <v>55200</v>
      </c>
      <c r="R2059" t="s">
        <v>436</v>
      </c>
    </row>
    <row r="2060" spans="1:18" x14ac:dyDescent="0.25">
      <c r="A2060" t="s">
        <v>2858</v>
      </c>
      <c r="B2060">
        <v>1316</v>
      </c>
      <c r="C2060" t="s">
        <v>487</v>
      </c>
      <c r="D2060" t="s">
        <v>256</v>
      </c>
      <c r="E2060" t="s">
        <v>408</v>
      </c>
      <c r="F2060" t="s">
        <v>1383</v>
      </c>
      <c r="G2060" s="25">
        <v>44256</v>
      </c>
      <c r="H2060">
        <v>12</v>
      </c>
      <c r="I2060">
        <v>60</v>
      </c>
      <c r="J2060" t="s">
        <v>432</v>
      </c>
      <c r="K2060" t="s">
        <v>488</v>
      </c>
      <c r="L2060" t="s">
        <v>433</v>
      </c>
      <c r="M2060" t="s">
        <v>434</v>
      </c>
      <c r="N2060" t="s">
        <v>74</v>
      </c>
      <c r="O2060" t="s">
        <v>435</v>
      </c>
      <c r="P2060" t="s">
        <v>433</v>
      </c>
      <c r="Q2060">
        <v>39300</v>
      </c>
      <c r="R2060" t="s">
        <v>436</v>
      </c>
    </row>
    <row r="2061" spans="1:18" x14ac:dyDescent="0.25">
      <c r="A2061" t="s">
        <v>320</v>
      </c>
      <c r="B2061">
        <v>14</v>
      </c>
      <c r="C2061" t="s">
        <v>487</v>
      </c>
      <c r="D2061" t="s">
        <v>229</v>
      </c>
      <c r="E2061" t="s">
        <v>229</v>
      </c>
      <c r="F2061" t="s">
        <v>230</v>
      </c>
      <c r="G2061" s="25">
        <v>44197</v>
      </c>
      <c r="H2061">
        <v>1</v>
      </c>
      <c r="I2061">
        <v>1</v>
      </c>
      <c r="J2061" t="s">
        <v>432</v>
      </c>
      <c r="K2061" t="s">
        <v>489</v>
      </c>
      <c r="L2061" t="s">
        <v>134</v>
      </c>
      <c r="M2061" t="s">
        <v>434</v>
      </c>
      <c r="N2061" t="s">
        <v>67</v>
      </c>
      <c r="O2061" t="s">
        <v>235</v>
      </c>
      <c r="P2061" t="s">
        <v>437</v>
      </c>
      <c r="Q2061">
        <v>0</v>
      </c>
      <c r="R2061" t="s">
        <v>237</v>
      </c>
    </row>
    <row r="2062" spans="1:18" x14ac:dyDescent="0.25">
      <c r="A2062" t="s">
        <v>2380</v>
      </c>
      <c r="B2062">
        <v>1642</v>
      </c>
      <c r="C2062" t="s">
        <v>487</v>
      </c>
      <c r="D2062" t="s">
        <v>261</v>
      </c>
      <c r="E2062" t="s">
        <v>575</v>
      </c>
      <c r="F2062" t="s">
        <v>1537</v>
      </c>
      <c r="G2062" s="25">
        <v>44271</v>
      </c>
      <c r="H2062">
        <v>15</v>
      </c>
      <c r="I2062">
        <v>75</v>
      </c>
      <c r="J2062" t="s">
        <v>432</v>
      </c>
      <c r="K2062" t="s">
        <v>489</v>
      </c>
      <c r="L2062" t="s">
        <v>134</v>
      </c>
      <c r="M2062" t="s">
        <v>434</v>
      </c>
      <c r="N2062" t="s">
        <v>67</v>
      </c>
      <c r="O2062" t="s">
        <v>235</v>
      </c>
      <c r="P2062" t="s">
        <v>437</v>
      </c>
      <c r="Q2062">
        <v>336375</v>
      </c>
      <c r="R2062" t="s">
        <v>237</v>
      </c>
    </row>
    <row r="2063" spans="1:18" x14ac:dyDescent="0.25">
      <c r="A2063" t="s">
        <v>3876</v>
      </c>
      <c r="B2063">
        <v>2291</v>
      </c>
      <c r="C2063" t="s">
        <v>487</v>
      </c>
      <c r="D2063" t="s">
        <v>247</v>
      </c>
      <c r="E2063" t="s">
        <v>322</v>
      </c>
      <c r="F2063" t="s">
        <v>3083</v>
      </c>
      <c r="G2063" s="25">
        <v>44301</v>
      </c>
      <c r="H2063">
        <v>21</v>
      </c>
      <c r="I2063">
        <v>105</v>
      </c>
      <c r="J2063" t="s">
        <v>231</v>
      </c>
      <c r="K2063" t="s">
        <v>509</v>
      </c>
      <c r="L2063" t="s">
        <v>45</v>
      </c>
      <c r="M2063" t="s">
        <v>234</v>
      </c>
      <c r="N2063" t="s">
        <v>44</v>
      </c>
      <c r="O2063" t="s">
        <v>21</v>
      </c>
      <c r="P2063" t="s">
        <v>304</v>
      </c>
      <c r="Q2063">
        <v>0</v>
      </c>
      <c r="R2063" t="s">
        <v>237</v>
      </c>
    </row>
    <row r="2064" spans="1:18" x14ac:dyDescent="0.25">
      <c r="A2064" t="s">
        <v>3877</v>
      </c>
      <c r="B2064">
        <v>1917</v>
      </c>
      <c r="C2064" t="s">
        <v>487</v>
      </c>
      <c r="D2064" t="s">
        <v>322</v>
      </c>
      <c r="E2064" t="s">
        <v>381</v>
      </c>
      <c r="F2064" t="s">
        <v>2971</v>
      </c>
      <c r="G2064" s="25">
        <v>44284</v>
      </c>
      <c r="H2064">
        <v>18</v>
      </c>
      <c r="I2064">
        <v>88</v>
      </c>
      <c r="J2064" t="s">
        <v>231</v>
      </c>
      <c r="K2064" t="s">
        <v>509</v>
      </c>
      <c r="L2064" t="s">
        <v>45</v>
      </c>
      <c r="M2064" t="s">
        <v>234</v>
      </c>
      <c r="N2064" t="s">
        <v>44</v>
      </c>
      <c r="O2064" t="s">
        <v>21</v>
      </c>
      <c r="P2064" t="s">
        <v>304</v>
      </c>
      <c r="Q2064">
        <v>0</v>
      </c>
      <c r="R2064" t="s">
        <v>237</v>
      </c>
    </row>
    <row r="2065" spans="1:18" x14ac:dyDescent="0.25">
      <c r="A2065" t="s">
        <v>1722</v>
      </c>
      <c r="B2065">
        <v>1763</v>
      </c>
      <c r="C2065" t="s">
        <v>487</v>
      </c>
      <c r="D2065" t="s">
        <v>322</v>
      </c>
      <c r="E2065" t="s">
        <v>229</v>
      </c>
      <c r="F2065" t="s">
        <v>1643</v>
      </c>
      <c r="G2065" s="25">
        <v>44277</v>
      </c>
      <c r="H2065">
        <v>17</v>
      </c>
      <c r="I2065">
        <v>81</v>
      </c>
      <c r="J2065" t="s">
        <v>231</v>
      </c>
      <c r="K2065" t="s">
        <v>509</v>
      </c>
      <c r="L2065" t="s">
        <v>45</v>
      </c>
      <c r="M2065" t="s">
        <v>234</v>
      </c>
      <c r="N2065" t="s">
        <v>44</v>
      </c>
      <c r="O2065" t="s">
        <v>21</v>
      </c>
      <c r="P2065" t="s">
        <v>304</v>
      </c>
      <c r="Q2065">
        <v>167</v>
      </c>
      <c r="R2065" t="s">
        <v>237</v>
      </c>
    </row>
    <row r="2066" spans="1:18" x14ac:dyDescent="0.25">
      <c r="A2066" t="s">
        <v>2217</v>
      </c>
      <c r="B2066">
        <v>927</v>
      </c>
      <c r="C2066" t="s">
        <v>487</v>
      </c>
      <c r="D2066" t="s">
        <v>256</v>
      </c>
      <c r="E2066" t="s">
        <v>256</v>
      </c>
      <c r="F2066" t="s">
        <v>1263</v>
      </c>
      <c r="G2066" s="25">
        <v>44239</v>
      </c>
      <c r="H2066">
        <v>9</v>
      </c>
      <c r="I2066">
        <v>43</v>
      </c>
      <c r="J2066" t="s">
        <v>231</v>
      </c>
      <c r="K2066" t="s">
        <v>509</v>
      </c>
      <c r="L2066" t="s">
        <v>45</v>
      </c>
      <c r="M2066" t="s">
        <v>234</v>
      </c>
      <c r="N2066" t="s">
        <v>44</v>
      </c>
      <c r="O2066" t="s">
        <v>21</v>
      </c>
      <c r="P2066" t="s">
        <v>304</v>
      </c>
      <c r="Q2066">
        <v>21059</v>
      </c>
      <c r="R2066" t="s">
        <v>237</v>
      </c>
    </row>
    <row r="2067" spans="1:18" x14ac:dyDescent="0.25">
      <c r="A2067" t="s">
        <v>2709</v>
      </c>
      <c r="B2067">
        <v>729</v>
      </c>
      <c r="C2067" t="s">
        <v>487</v>
      </c>
      <c r="D2067" t="s">
        <v>231</v>
      </c>
      <c r="E2067" t="s">
        <v>537</v>
      </c>
      <c r="F2067" t="s">
        <v>1192</v>
      </c>
      <c r="G2067" s="25">
        <v>44230</v>
      </c>
      <c r="H2067">
        <v>7</v>
      </c>
      <c r="I2067">
        <v>34</v>
      </c>
      <c r="J2067" t="s">
        <v>231</v>
      </c>
      <c r="K2067" t="s">
        <v>509</v>
      </c>
      <c r="L2067" t="s">
        <v>45</v>
      </c>
      <c r="M2067" t="s">
        <v>234</v>
      </c>
      <c r="N2067" t="s">
        <v>44</v>
      </c>
      <c r="O2067" t="s">
        <v>21</v>
      </c>
      <c r="P2067" t="s">
        <v>304</v>
      </c>
      <c r="Q2067">
        <v>0</v>
      </c>
      <c r="R2067" t="s">
        <v>237</v>
      </c>
    </row>
    <row r="2068" spans="1:18" x14ac:dyDescent="0.25">
      <c r="A2068" t="s">
        <v>2434</v>
      </c>
      <c r="B2068">
        <v>663</v>
      </c>
      <c r="C2068" t="s">
        <v>487</v>
      </c>
      <c r="D2068" t="s">
        <v>231</v>
      </c>
      <c r="E2068" t="s">
        <v>515</v>
      </c>
      <c r="F2068" t="s">
        <v>1150</v>
      </c>
      <c r="G2068" s="25">
        <v>44227</v>
      </c>
      <c r="H2068">
        <v>7</v>
      </c>
      <c r="I2068">
        <v>31</v>
      </c>
      <c r="J2068" t="s">
        <v>231</v>
      </c>
      <c r="K2068" t="s">
        <v>509</v>
      </c>
      <c r="L2068" t="s">
        <v>45</v>
      </c>
      <c r="M2068" t="s">
        <v>234</v>
      </c>
      <c r="N2068" t="s">
        <v>44</v>
      </c>
      <c r="O2068" t="s">
        <v>21</v>
      </c>
      <c r="P2068" t="s">
        <v>304</v>
      </c>
      <c r="Q2068">
        <v>15500</v>
      </c>
      <c r="R2068" t="s">
        <v>237</v>
      </c>
    </row>
    <row r="2069" spans="1:18" x14ac:dyDescent="0.25">
      <c r="A2069" t="s">
        <v>3878</v>
      </c>
      <c r="B2069">
        <v>2533</v>
      </c>
      <c r="C2069" t="s">
        <v>487</v>
      </c>
      <c r="D2069" t="s">
        <v>247</v>
      </c>
      <c r="E2069" t="s">
        <v>620</v>
      </c>
      <c r="F2069" t="s">
        <v>3162</v>
      </c>
      <c r="G2069" s="25">
        <v>44312</v>
      </c>
      <c r="H2069">
        <v>24</v>
      </c>
      <c r="I2069">
        <v>116</v>
      </c>
      <c r="J2069" t="s">
        <v>231</v>
      </c>
      <c r="K2069" t="s">
        <v>509</v>
      </c>
      <c r="L2069" t="s">
        <v>45</v>
      </c>
      <c r="M2069" t="s">
        <v>234</v>
      </c>
      <c r="N2069" t="s">
        <v>44</v>
      </c>
      <c r="O2069" t="s">
        <v>21</v>
      </c>
      <c r="P2069" t="s">
        <v>304</v>
      </c>
      <c r="Q2069">
        <v>0</v>
      </c>
      <c r="R2069" t="s">
        <v>237</v>
      </c>
    </row>
    <row r="2070" spans="1:18" x14ac:dyDescent="0.25">
      <c r="A2070" t="s">
        <v>2032</v>
      </c>
      <c r="B2070">
        <v>1215</v>
      </c>
      <c r="C2070" t="s">
        <v>487</v>
      </c>
      <c r="D2070" t="s">
        <v>256</v>
      </c>
      <c r="E2070" t="s">
        <v>620</v>
      </c>
      <c r="F2070" t="s">
        <v>1350</v>
      </c>
      <c r="G2070" s="25">
        <v>44252</v>
      </c>
      <c r="H2070">
        <v>12</v>
      </c>
      <c r="I2070">
        <v>56</v>
      </c>
      <c r="J2070" t="s">
        <v>231</v>
      </c>
      <c r="K2070" t="s">
        <v>507</v>
      </c>
      <c r="L2070" t="s">
        <v>49</v>
      </c>
      <c r="M2070" t="s">
        <v>234</v>
      </c>
      <c r="N2070" t="s">
        <v>48</v>
      </c>
      <c r="O2070" t="s">
        <v>21</v>
      </c>
      <c r="P2070" t="s">
        <v>413</v>
      </c>
      <c r="Q2070">
        <v>0</v>
      </c>
      <c r="R2070" t="s">
        <v>237</v>
      </c>
    </row>
    <row r="2071" spans="1:18" x14ac:dyDescent="0.25">
      <c r="A2071" t="s">
        <v>1917</v>
      </c>
      <c r="B2071">
        <v>973</v>
      </c>
      <c r="C2071" t="s">
        <v>487</v>
      </c>
      <c r="D2071" t="s">
        <v>256</v>
      </c>
      <c r="E2071" t="s">
        <v>322</v>
      </c>
      <c r="F2071" t="s">
        <v>1288</v>
      </c>
      <c r="G2071" s="25">
        <v>44241</v>
      </c>
      <c r="H2071">
        <v>9</v>
      </c>
      <c r="I2071">
        <v>45</v>
      </c>
      <c r="J2071" t="s">
        <v>231</v>
      </c>
      <c r="K2071" t="s">
        <v>507</v>
      </c>
      <c r="L2071" t="s">
        <v>49</v>
      </c>
      <c r="M2071" t="s">
        <v>234</v>
      </c>
      <c r="N2071" t="s">
        <v>48</v>
      </c>
      <c r="O2071" t="s">
        <v>21</v>
      </c>
      <c r="P2071" t="s">
        <v>413</v>
      </c>
      <c r="Q2071">
        <v>0</v>
      </c>
      <c r="R2071" t="s">
        <v>237</v>
      </c>
    </row>
    <row r="2072" spans="1:18" x14ac:dyDescent="0.25">
      <c r="A2072" t="s">
        <v>2507</v>
      </c>
      <c r="B2072">
        <v>599</v>
      </c>
      <c r="C2072" t="s">
        <v>487</v>
      </c>
      <c r="D2072" t="s">
        <v>231</v>
      </c>
      <c r="E2072" t="s">
        <v>381</v>
      </c>
      <c r="F2072" t="s">
        <v>1099</v>
      </c>
      <c r="G2072" s="25">
        <v>44224</v>
      </c>
      <c r="H2072">
        <v>6</v>
      </c>
      <c r="I2072">
        <v>28</v>
      </c>
      <c r="J2072" t="s">
        <v>231</v>
      </c>
      <c r="K2072" t="s">
        <v>507</v>
      </c>
      <c r="L2072" t="s">
        <v>49</v>
      </c>
      <c r="M2072" t="s">
        <v>234</v>
      </c>
      <c r="N2072" t="s">
        <v>48</v>
      </c>
      <c r="O2072" t="s">
        <v>21</v>
      </c>
      <c r="P2072" t="s">
        <v>413</v>
      </c>
      <c r="Q2072">
        <v>0</v>
      </c>
      <c r="R2072" t="s">
        <v>237</v>
      </c>
    </row>
    <row r="2073" spans="1:18" x14ac:dyDescent="0.25">
      <c r="A2073" t="s">
        <v>608</v>
      </c>
      <c r="B2073">
        <v>247</v>
      </c>
      <c r="C2073" t="s">
        <v>487</v>
      </c>
      <c r="D2073" t="s">
        <v>229</v>
      </c>
      <c r="E2073" t="s">
        <v>232</v>
      </c>
      <c r="F2073" t="s">
        <v>520</v>
      </c>
      <c r="G2073" s="25">
        <v>44208</v>
      </c>
      <c r="H2073">
        <v>3</v>
      </c>
      <c r="I2073">
        <v>12</v>
      </c>
      <c r="J2073" t="s">
        <v>231</v>
      </c>
      <c r="K2073" t="s">
        <v>507</v>
      </c>
      <c r="L2073" t="s">
        <v>49</v>
      </c>
      <c r="M2073" t="s">
        <v>234</v>
      </c>
      <c r="N2073" t="s">
        <v>48</v>
      </c>
      <c r="O2073" t="s">
        <v>21</v>
      </c>
      <c r="P2073" t="s">
        <v>413</v>
      </c>
      <c r="Q2073">
        <v>0</v>
      </c>
      <c r="R2073" t="s">
        <v>237</v>
      </c>
    </row>
    <row r="2074" spans="1:18" x14ac:dyDescent="0.25">
      <c r="A2074" t="s">
        <v>3879</v>
      </c>
      <c r="B2074">
        <v>2425</v>
      </c>
      <c r="C2074" t="s">
        <v>487</v>
      </c>
      <c r="D2074" t="s">
        <v>247</v>
      </c>
      <c r="E2074" t="s">
        <v>515</v>
      </c>
      <c r="F2074" t="s">
        <v>3134</v>
      </c>
      <c r="G2074" s="25">
        <v>44307</v>
      </c>
      <c r="H2074">
        <v>23</v>
      </c>
      <c r="I2074">
        <v>111</v>
      </c>
      <c r="J2074" t="s">
        <v>231</v>
      </c>
      <c r="K2074" t="s">
        <v>507</v>
      </c>
      <c r="L2074" t="s">
        <v>49</v>
      </c>
      <c r="M2074" t="s">
        <v>234</v>
      </c>
      <c r="N2074" t="s">
        <v>48</v>
      </c>
      <c r="O2074" t="s">
        <v>21</v>
      </c>
      <c r="P2074" t="s">
        <v>413</v>
      </c>
      <c r="Q2074">
        <v>0</v>
      </c>
      <c r="R2074" t="s">
        <v>237</v>
      </c>
    </row>
    <row r="2075" spans="1:18" x14ac:dyDescent="0.25">
      <c r="A2075" t="s">
        <v>3880</v>
      </c>
      <c r="B2075">
        <v>2117</v>
      </c>
      <c r="C2075" t="s">
        <v>487</v>
      </c>
      <c r="D2075" t="s">
        <v>322</v>
      </c>
      <c r="E2075" t="s">
        <v>534</v>
      </c>
      <c r="F2075" t="s">
        <v>3031</v>
      </c>
      <c r="G2075" s="25">
        <v>44293</v>
      </c>
      <c r="H2075">
        <v>20</v>
      </c>
      <c r="I2075">
        <v>97</v>
      </c>
      <c r="J2075" t="s">
        <v>231</v>
      </c>
      <c r="K2075" t="s">
        <v>507</v>
      </c>
      <c r="L2075" t="s">
        <v>49</v>
      </c>
      <c r="M2075" t="s">
        <v>234</v>
      </c>
      <c r="N2075" t="s">
        <v>48</v>
      </c>
      <c r="O2075" t="s">
        <v>21</v>
      </c>
      <c r="P2075" t="s">
        <v>413</v>
      </c>
      <c r="Q2075">
        <v>0</v>
      </c>
      <c r="R2075" t="s">
        <v>237</v>
      </c>
    </row>
    <row r="2076" spans="1:18" x14ac:dyDescent="0.25">
      <c r="A2076" t="s">
        <v>3881</v>
      </c>
      <c r="B2076">
        <v>1809</v>
      </c>
      <c r="C2076" t="s">
        <v>487</v>
      </c>
      <c r="D2076" t="s">
        <v>322</v>
      </c>
      <c r="E2076" t="s">
        <v>256</v>
      </c>
      <c r="F2076" t="s">
        <v>2952</v>
      </c>
      <c r="G2076" s="25">
        <v>44279</v>
      </c>
      <c r="H2076">
        <v>17</v>
      </c>
      <c r="I2076">
        <v>83</v>
      </c>
      <c r="J2076" t="s">
        <v>231</v>
      </c>
      <c r="K2076" t="s">
        <v>507</v>
      </c>
      <c r="L2076" t="s">
        <v>49</v>
      </c>
      <c r="M2076" t="s">
        <v>234</v>
      </c>
      <c r="N2076" t="s">
        <v>48</v>
      </c>
      <c r="O2076" t="s">
        <v>21</v>
      </c>
      <c r="P2076" t="s">
        <v>413</v>
      </c>
      <c r="Q2076">
        <v>0</v>
      </c>
      <c r="R2076" t="s">
        <v>237</v>
      </c>
    </row>
    <row r="2077" spans="1:18" x14ac:dyDescent="0.25">
      <c r="A2077" t="s">
        <v>628</v>
      </c>
      <c r="B2077">
        <v>199</v>
      </c>
      <c r="C2077" t="s">
        <v>487</v>
      </c>
      <c r="D2077" t="s">
        <v>229</v>
      </c>
      <c r="E2077" t="s">
        <v>239</v>
      </c>
      <c r="F2077" t="s">
        <v>578</v>
      </c>
      <c r="G2077" s="25">
        <v>44206</v>
      </c>
      <c r="H2077">
        <v>2</v>
      </c>
      <c r="I2077">
        <v>10</v>
      </c>
      <c r="J2077" t="s">
        <v>231</v>
      </c>
      <c r="K2077" t="s">
        <v>505</v>
      </c>
      <c r="L2077" t="s">
        <v>41</v>
      </c>
      <c r="M2077" t="s">
        <v>234</v>
      </c>
      <c r="N2077" t="s">
        <v>40</v>
      </c>
      <c r="O2077" t="s">
        <v>21</v>
      </c>
      <c r="P2077" t="s">
        <v>266</v>
      </c>
      <c r="Q2077">
        <v>0</v>
      </c>
      <c r="R2077" t="s">
        <v>237</v>
      </c>
    </row>
    <row r="2078" spans="1:18" x14ac:dyDescent="0.25">
      <c r="A2078" t="s">
        <v>3882</v>
      </c>
      <c r="B2078">
        <v>2069</v>
      </c>
      <c r="C2078" t="s">
        <v>487</v>
      </c>
      <c r="D2078" t="s">
        <v>322</v>
      </c>
      <c r="E2078" t="s">
        <v>575</v>
      </c>
      <c r="F2078" t="s">
        <v>3014</v>
      </c>
      <c r="G2078" s="25">
        <v>44291</v>
      </c>
      <c r="H2078">
        <v>19</v>
      </c>
      <c r="I2078">
        <v>95</v>
      </c>
      <c r="J2078" t="s">
        <v>231</v>
      </c>
      <c r="K2078" t="s">
        <v>505</v>
      </c>
      <c r="L2078" t="s">
        <v>41</v>
      </c>
      <c r="M2078" t="s">
        <v>234</v>
      </c>
      <c r="N2078" t="s">
        <v>40</v>
      </c>
      <c r="O2078" t="s">
        <v>21</v>
      </c>
      <c r="P2078" t="s">
        <v>266</v>
      </c>
      <c r="Q2078">
        <v>4288</v>
      </c>
      <c r="R2078" t="s">
        <v>237</v>
      </c>
    </row>
    <row r="2079" spans="1:18" x14ac:dyDescent="0.25">
      <c r="A2079" t="s">
        <v>2654</v>
      </c>
      <c r="B2079">
        <v>1167</v>
      </c>
      <c r="C2079" t="s">
        <v>487</v>
      </c>
      <c r="D2079" t="s">
        <v>256</v>
      </c>
      <c r="E2079" t="s">
        <v>537</v>
      </c>
      <c r="F2079" t="s">
        <v>1348</v>
      </c>
      <c r="G2079" s="25">
        <v>44250</v>
      </c>
      <c r="H2079">
        <v>11</v>
      </c>
      <c r="I2079">
        <v>54</v>
      </c>
      <c r="J2079" t="s">
        <v>231</v>
      </c>
      <c r="K2079" t="s">
        <v>505</v>
      </c>
      <c r="L2079" t="s">
        <v>41</v>
      </c>
      <c r="M2079" t="s">
        <v>234</v>
      </c>
      <c r="N2079" t="s">
        <v>40</v>
      </c>
      <c r="O2079" t="s">
        <v>21</v>
      </c>
      <c r="P2079" t="s">
        <v>266</v>
      </c>
      <c r="Q2079">
        <v>24000</v>
      </c>
      <c r="R2079" t="s">
        <v>237</v>
      </c>
    </row>
    <row r="2080" spans="1:18" x14ac:dyDescent="0.25">
      <c r="A2080" t="s">
        <v>3883</v>
      </c>
      <c r="B2080">
        <v>1828</v>
      </c>
      <c r="C2080" t="s">
        <v>487</v>
      </c>
      <c r="D2080" t="s">
        <v>322</v>
      </c>
      <c r="E2080" t="s">
        <v>261</v>
      </c>
      <c r="F2080" t="s">
        <v>2956</v>
      </c>
      <c r="G2080" s="25">
        <v>44280</v>
      </c>
      <c r="H2080">
        <v>17</v>
      </c>
      <c r="I2080">
        <v>84</v>
      </c>
      <c r="J2080" t="s">
        <v>231</v>
      </c>
      <c r="K2080" t="s">
        <v>504</v>
      </c>
      <c r="L2080" t="s">
        <v>43</v>
      </c>
      <c r="M2080" t="s">
        <v>234</v>
      </c>
      <c r="N2080" t="s">
        <v>42</v>
      </c>
      <c r="O2080" t="s">
        <v>21</v>
      </c>
      <c r="P2080" t="s">
        <v>236</v>
      </c>
      <c r="Q2080">
        <v>0</v>
      </c>
      <c r="R2080" t="s">
        <v>237</v>
      </c>
    </row>
    <row r="2081" spans="1:18" x14ac:dyDescent="0.25">
      <c r="A2081" t="s">
        <v>2512</v>
      </c>
      <c r="B2081">
        <v>1740</v>
      </c>
      <c r="C2081" t="s">
        <v>487</v>
      </c>
      <c r="D2081" t="s">
        <v>261</v>
      </c>
      <c r="E2081" t="s">
        <v>408</v>
      </c>
      <c r="F2081" t="s">
        <v>1595</v>
      </c>
      <c r="G2081" s="25">
        <v>44276</v>
      </c>
      <c r="H2081">
        <v>16</v>
      </c>
      <c r="I2081">
        <v>80</v>
      </c>
      <c r="J2081" t="s">
        <v>231</v>
      </c>
      <c r="K2081" t="s">
        <v>504</v>
      </c>
      <c r="L2081" t="s">
        <v>43</v>
      </c>
      <c r="M2081" t="s">
        <v>234</v>
      </c>
      <c r="N2081" t="s">
        <v>42</v>
      </c>
      <c r="O2081" t="s">
        <v>21</v>
      </c>
      <c r="P2081" t="s">
        <v>236</v>
      </c>
      <c r="Q2081">
        <v>842</v>
      </c>
      <c r="R2081" t="s">
        <v>237</v>
      </c>
    </row>
    <row r="2082" spans="1:18" x14ac:dyDescent="0.25">
      <c r="A2082" t="s">
        <v>2657</v>
      </c>
      <c r="B2082">
        <v>1630</v>
      </c>
      <c r="C2082" t="s">
        <v>487</v>
      </c>
      <c r="D2082" t="s">
        <v>261</v>
      </c>
      <c r="E2082" t="s">
        <v>575</v>
      </c>
      <c r="F2082" t="s">
        <v>1537</v>
      </c>
      <c r="G2082" s="25">
        <v>44271</v>
      </c>
      <c r="H2082">
        <v>15</v>
      </c>
      <c r="I2082">
        <v>75</v>
      </c>
      <c r="J2082" t="s">
        <v>231</v>
      </c>
      <c r="K2082" t="s">
        <v>504</v>
      </c>
      <c r="L2082" t="s">
        <v>43</v>
      </c>
      <c r="M2082" t="s">
        <v>234</v>
      </c>
      <c r="N2082" t="s">
        <v>42</v>
      </c>
      <c r="O2082" t="s">
        <v>21</v>
      </c>
      <c r="P2082" t="s">
        <v>236</v>
      </c>
      <c r="Q2082">
        <v>12985</v>
      </c>
      <c r="R2082" t="s">
        <v>237</v>
      </c>
    </row>
    <row r="2083" spans="1:18" x14ac:dyDescent="0.25">
      <c r="A2083" t="s">
        <v>2040</v>
      </c>
      <c r="B2083">
        <v>1080</v>
      </c>
      <c r="C2083" t="s">
        <v>487</v>
      </c>
      <c r="D2083" t="s">
        <v>256</v>
      </c>
      <c r="E2083" t="s">
        <v>239</v>
      </c>
      <c r="F2083" t="s">
        <v>1322</v>
      </c>
      <c r="G2083" s="25">
        <v>44246</v>
      </c>
      <c r="H2083">
        <v>10</v>
      </c>
      <c r="I2083">
        <v>50</v>
      </c>
      <c r="J2083" t="s">
        <v>231</v>
      </c>
      <c r="K2083" t="s">
        <v>504</v>
      </c>
      <c r="L2083" t="s">
        <v>43</v>
      </c>
      <c r="M2083" t="s">
        <v>234</v>
      </c>
      <c r="N2083" t="s">
        <v>42</v>
      </c>
      <c r="O2083" t="s">
        <v>21</v>
      </c>
      <c r="P2083" t="s">
        <v>236</v>
      </c>
      <c r="Q2083">
        <v>0</v>
      </c>
      <c r="R2083" t="s">
        <v>237</v>
      </c>
    </row>
    <row r="2084" spans="1:18" x14ac:dyDescent="0.25">
      <c r="A2084" t="s">
        <v>2875</v>
      </c>
      <c r="B2084">
        <v>618</v>
      </c>
      <c r="C2084" t="s">
        <v>487</v>
      </c>
      <c r="D2084" t="s">
        <v>231</v>
      </c>
      <c r="E2084" t="s">
        <v>371</v>
      </c>
      <c r="F2084" t="s">
        <v>1124</v>
      </c>
      <c r="G2084" s="25">
        <v>44225</v>
      </c>
      <c r="H2084">
        <v>6</v>
      </c>
      <c r="I2084">
        <v>29</v>
      </c>
      <c r="J2084" t="s">
        <v>231</v>
      </c>
      <c r="K2084" t="s">
        <v>504</v>
      </c>
      <c r="L2084" t="s">
        <v>43</v>
      </c>
      <c r="M2084" t="s">
        <v>234</v>
      </c>
      <c r="N2084" t="s">
        <v>42</v>
      </c>
      <c r="O2084" t="s">
        <v>21</v>
      </c>
      <c r="P2084" t="s">
        <v>236</v>
      </c>
      <c r="Q2084">
        <v>0</v>
      </c>
      <c r="R2084" t="s">
        <v>237</v>
      </c>
    </row>
    <row r="2085" spans="1:18" x14ac:dyDescent="0.25">
      <c r="A2085" t="s">
        <v>624</v>
      </c>
      <c r="B2085">
        <v>266</v>
      </c>
      <c r="C2085" t="s">
        <v>487</v>
      </c>
      <c r="D2085" t="s">
        <v>229</v>
      </c>
      <c r="E2085" t="s">
        <v>512</v>
      </c>
      <c r="F2085" t="s">
        <v>513</v>
      </c>
      <c r="G2085" s="25">
        <v>44209</v>
      </c>
      <c r="H2085">
        <v>3</v>
      </c>
      <c r="I2085">
        <v>13</v>
      </c>
      <c r="J2085" t="s">
        <v>231</v>
      </c>
      <c r="K2085" t="s">
        <v>504</v>
      </c>
      <c r="L2085" t="s">
        <v>43</v>
      </c>
      <c r="M2085" t="s">
        <v>234</v>
      </c>
      <c r="N2085" t="s">
        <v>42</v>
      </c>
      <c r="O2085" t="s">
        <v>21</v>
      </c>
      <c r="P2085" t="s">
        <v>236</v>
      </c>
      <c r="Q2085">
        <v>0</v>
      </c>
      <c r="R2085" t="s">
        <v>237</v>
      </c>
    </row>
    <row r="2086" spans="1:18" x14ac:dyDescent="0.25">
      <c r="A2086" t="s">
        <v>3884</v>
      </c>
      <c r="B2086">
        <v>2444</v>
      </c>
      <c r="C2086" t="s">
        <v>487</v>
      </c>
      <c r="D2086" t="s">
        <v>247</v>
      </c>
      <c r="E2086" t="s">
        <v>232</v>
      </c>
      <c r="F2086" t="s">
        <v>3140</v>
      </c>
      <c r="G2086" s="25">
        <v>44308</v>
      </c>
      <c r="H2086">
        <v>23</v>
      </c>
      <c r="I2086">
        <v>112</v>
      </c>
      <c r="J2086" t="s">
        <v>231</v>
      </c>
      <c r="K2086" t="s">
        <v>504</v>
      </c>
      <c r="L2086" t="s">
        <v>43</v>
      </c>
      <c r="M2086" t="s">
        <v>234</v>
      </c>
      <c r="N2086" t="s">
        <v>42</v>
      </c>
      <c r="O2086" t="s">
        <v>21</v>
      </c>
      <c r="P2086" t="s">
        <v>236</v>
      </c>
      <c r="Q2086">
        <v>0</v>
      </c>
      <c r="R2086" t="s">
        <v>237</v>
      </c>
    </row>
    <row r="2087" spans="1:18" x14ac:dyDescent="0.25">
      <c r="A2087" t="s">
        <v>2233</v>
      </c>
      <c r="B2087">
        <v>1330</v>
      </c>
      <c r="C2087" t="s">
        <v>487</v>
      </c>
      <c r="D2087" t="s">
        <v>261</v>
      </c>
      <c r="E2087" t="s">
        <v>229</v>
      </c>
      <c r="F2087" t="s">
        <v>1388</v>
      </c>
      <c r="G2087" s="25">
        <v>44257</v>
      </c>
      <c r="H2087">
        <v>13</v>
      </c>
      <c r="I2087">
        <v>61</v>
      </c>
      <c r="J2087" t="s">
        <v>231</v>
      </c>
      <c r="K2087" t="s">
        <v>502</v>
      </c>
      <c r="L2087" t="s">
        <v>287</v>
      </c>
      <c r="M2087" t="s">
        <v>234</v>
      </c>
      <c r="N2087" t="s">
        <v>58</v>
      </c>
      <c r="O2087" t="s">
        <v>235</v>
      </c>
      <c r="P2087" t="s">
        <v>288</v>
      </c>
      <c r="Q2087">
        <v>0</v>
      </c>
      <c r="R2087" t="s">
        <v>237</v>
      </c>
    </row>
    <row r="2088" spans="1:18" x14ac:dyDescent="0.25">
      <c r="A2088" t="s">
        <v>270</v>
      </c>
      <c r="B2088">
        <v>120</v>
      </c>
      <c r="C2088" t="s">
        <v>487</v>
      </c>
      <c r="D2088" t="s">
        <v>229</v>
      </c>
      <c r="E2088" t="s">
        <v>247</v>
      </c>
      <c r="F2088" t="s">
        <v>524</v>
      </c>
      <c r="G2088" s="25">
        <v>44202</v>
      </c>
      <c r="H2088">
        <v>2</v>
      </c>
      <c r="I2088">
        <v>6</v>
      </c>
      <c r="J2088" t="s">
        <v>231</v>
      </c>
      <c r="K2088" t="s">
        <v>502</v>
      </c>
      <c r="L2088" t="s">
        <v>287</v>
      </c>
      <c r="M2088" t="s">
        <v>234</v>
      </c>
      <c r="N2088" t="s">
        <v>58</v>
      </c>
      <c r="O2088" t="s">
        <v>235</v>
      </c>
      <c r="P2088" t="s">
        <v>288</v>
      </c>
      <c r="Q2088">
        <v>0</v>
      </c>
      <c r="R2088" t="s">
        <v>237</v>
      </c>
    </row>
    <row r="2089" spans="1:18" x14ac:dyDescent="0.25">
      <c r="A2089" t="s">
        <v>1828</v>
      </c>
      <c r="B2089">
        <v>957</v>
      </c>
      <c r="C2089" t="s">
        <v>487</v>
      </c>
      <c r="D2089" t="s">
        <v>256</v>
      </c>
      <c r="E2089" t="s">
        <v>261</v>
      </c>
      <c r="F2089" t="s">
        <v>1276</v>
      </c>
      <c r="G2089" s="25">
        <v>44240</v>
      </c>
      <c r="H2089">
        <v>9</v>
      </c>
      <c r="I2089">
        <v>44</v>
      </c>
      <c r="J2089" t="s">
        <v>231</v>
      </c>
      <c r="K2089" t="s">
        <v>501</v>
      </c>
      <c r="L2089" t="s">
        <v>412</v>
      </c>
      <c r="M2089" t="s">
        <v>234</v>
      </c>
      <c r="N2089" t="s">
        <v>60</v>
      </c>
      <c r="O2089" t="s">
        <v>235</v>
      </c>
      <c r="P2089" t="s">
        <v>413</v>
      </c>
      <c r="Q2089">
        <v>0</v>
      </c>
      <c r="R2089" t="s">
        <v>237</v>
      </c>
    </row>
    <row r="2090" spans="1:18" x14ac:dyDescent="0.25">
      <c r="A2090" t="s">
        <v>2400</v>
      </c>
      <c r="B2090">
        <v>583</v>
      </c>
      <c r="C2090" t="s">
        <v>487</v>
      </c>
      <c r="D2090" t="s">
        <v>231</v>
      </c>
      <c r="E2090" t="s">
        <v>326</v>
      </c>
      <c r="F2090" t="s">
        <v>1095</v>
      </c>
      <c r="G2090" s="25">
        <v>44223</v>
      </c>
      <c r="H2090">
        <v>6</v>
      </c>
      <c r="I2090">
        <v>27</v>
      </c>
      <c r="J2090" t="s">
        <v>231</v>
      </c>
      <c r="K2090" t="s">
        <v>501</v>
      </c>
      <c r="L2090" t="s">
        <v>412</v>
      </c>
      <c r="M2090" t="s">
        <v>234</v>
      </c>
      <c r="N2090" t="s">
        <v>60</v>
      </c>
      <c r="O2090" t="s">
        <v>235</v>
      </c>
      <c r="P2090" t="s">
        <v>413</v>
      </c>
      <c r="Q2090">
        <v>0</v>
      </c>
      <c r="R2090" t="s">
        <v>237</v>
      </c>
    </row>
    <row r="2091" spans="1:18" x14ac:dyDescent="0.25">
      <c r="A2091" t="s">
        <v>752</v>
      </c>
      <c r="B2091">
        <v>231</v>
      </c>
      <c r="C2091" t="s">
        <v>487</v>
      </c>
      <c r="D2091" t="s">
        <v>229</v>
      </c>
      <c r="E2091" t="s">
        <v>515</v>
      </c>
      <c r="F2091" t="s">
        <v>516</v>
      </c>
      <c r="G2091" s="25">
        <v>44207</v>
      </c>
      <c r="H2091">
        <v>3</v>
      </c>
      <c r="I2091">
        <v>11</v>
      </c>
      <c r="J2091" t="s">
        <v>231</v>
      </c>
      <c r="K2091" t="s">
        <v>501</v>
      </c>
      <c r="L2091" t="s">
        <v>412</v>
      </c>
      <c r="M2091" t="s">
        <v>234</v>
      </c>
      <c r="N2091" t="s">
        <v>60</v>
      </c>
      <c r="O2091" t="s">
        <v>235</v>
      </c>
      <c r="P2091" t="s">
        <v>413</v>
      </c>
      <c r="Q2091">
        <v>0</v>
      </c>
      <c r="R2091" t="s">
        <v>237</v>
      </c>
    </row>
    <row r="2092" spans="1:18" x14ac:dyDescent="0.25">
      <c r="A2092" t="s">
        <v>3885</v>
      </c>
      <c r="B2092">
        <v>2101</v>
      </c>
      <c r="C2092" t="s">
        <v>487</v>
      </c>
      <c r="D2092" t="s">
        <v>322</v>
      </c>
      <c r="E2092" t="s">
        <v>620</v>
      </c>
      <c r="F2092" t="s">
        <v>3025</v>
      </c>
      <c r="G2092" s="25">
        <v>44292</v>
      </c>
      <c r="H2092">
        <v>20</v>
      </c>
      <c r="I2092">
        <v>96</v>
      </c>
      <c r="J2092" t="s">
        <v>231</v>
      </c>
      <c r="K2092" t="s">
        <v>501</v>
      </c>
      <c r="L2092" t="s">
        <v>412</v>
      </c>
      <c r="M2092" t="s">
        <v>234</v>
      </c>
      <c r="N2092" t="s">
        <v>60</v>
      </c>
      <c r="O2092" t="s">
        <v>235</v>
      </c>
      <c r="P2092" t="s">
        <v>413</v>
      </c>
      <c r="Q2092">
        <v>0</v>
      </c>
      <c r="R2092" t="s">
        <v>237</v>
      </c>
    </row>
    <row r="2093" spans="1:18" x14ac:dyDescent="0.25">
      <c r="A2093" t="s">
        <v>3886</v>
      </c>
      <c r="B2093">
        <v>1793</v>
      </c>
      <c r="C2093" t="s">
        <v>487</v>
      </c>
      <c r="D2093" t="s">
        <v>322</v>
      </c>
      <c r="E2093" t="s">
        <v>231</v>
      </c>
      <c r="F2093" t="s">
        <v>2945</v>
      </c>
      <c r="G2093" s="25">
        <v>44278</v>
      </c>
      <c r="H2093">
        <v>17</v>
      </c>
      <c r="I2093">
        <v>82</v>
      </c>
      <c r="J2093" t="s">
        <v>231</v>
      </c>
      <c r="K2093" t="s">
        <v>501</v>
      </c>
      <c r="L2093" t="s">
        <v>412</v>
      </c>
      <c r="M2093" t="s">
        <v>234</v>
      </c>
      <c r="N2093" t="s">
        <v>60</v>
      </c>
      <c r="O2093" t="s">
        <v>235</v>
      </c>
      <c r="P2093" t="s">
        <v>413</v>
      </c>
      <c r="Q2093">
        <v>0</v>
      </c>
      <c r="R2093" t="s">
        <v>237</v>
      </c>
    </row>
    <row r="2094" spans="1:18" x14ac:dyDescent="0.25">
      <c r="A2094" t="s">
        <v>1656</v>
      </c>
      <c r="B2094">
        <v>1485</v>
      </c>
      <c r="C2094" t="s">
        <v>487</v>
      </c>
      <c r="D2094" t="s">
        <v>261</v>
      </c>
      <c r="E2094" t="s">
        <v>381</v>
      </c>
      <c r="F2094" t="s">
        <v>1458</v>
      </c>
      <c r="G2094" s="25">
        <v>44264</v>
      </c>
      <c r="H2094">
        <v>14</v>
      </c>
      <c r="I2094">
        <v>68</v>
      </c>
      <c r="J2094" t="s">
        <v>231</v>
      </c>
      <c r="K2094" t="s">
        <v>501</v>
      </c>
      <c r="L2094" t="s">
        <v>412</v>
      </c>
      <c r="M2094" t="s">
        <v>234</v>
      </c>
      <c r="N2094" t="s">
        <v>60</v>
      </c>
      <c r="O2094" t="s">
        <v>235</v>
      </c>
      <c r="P2094" t="s">
        <v>413</v>
      </c>
      <c r="Q2094">
        <v>0</v>
      </c>
      <c r="R2094" t="s">
        <v>237</v>
      </c>
    </row>
    <row r="2095" spans="1:18" x14ac:dyDescent="0.25">
      <c r="A2095" t="s">
        <v>2563</v>
      </c>
      <c r="B2095">
        <v>1442</v>
      </c>
      <c r="C2095" t="s">
        <v>487</v>
      </c>
      <c r="D2095" t="s">
        <v>261</v>
      </c>
      <c r="E2095" t="s">
        <v>247</v>
      </c>
      <c r="F2095" t="s">
        <v>1425</v>
      </c>
      <c r="G2095" s="25">
        <v>44262</v>
      </c>
      <c r="H2095">
        <v>14</v>
      </c>
      <c r="I2095">
        <v>66</v>
      </c>
      <c r="J2095" t="s">
        <v>231</v>
      </c>
      <c r="K2095" t="s">
        <v>499</v>
      </c>
      <c r="L2095" t="s">
        <v>410</v>
      </c>
      <c r="M2095" t="s">
        <v>234</v>
      </c>
      <c r="N2095" t="s">
        <v>62</v>
      </c>
      <c r="O2095" t="s">
        <v>235</v>
      </c>
      <c r="P2095" t="s">
        <v>411</v>
      </c>
      <c r="Q2095">
        <v>0</v>
      </c>
      <c r="R2095" t="s">
        <v>237</v>
      </c>
    </row>
    <row r="2096" spans="1:18" x14ac:dyDescent="0.25">
      <c r="A2096" t="s">
        <v>2729</v>
      </c>
      <c r="B2096">
        <v>914</v>
      </c>
      <c r="C2096" t="s">
        <v>487</v>
      </c>
      <c r="D2096" t="s">
        <v>256</v>
      </c>
      <c r="E2096" t="s">
        <v>231</v>
      </c>
      <c r="F2096" t="s">
        <v>1249</v>
      </c>
      <c r="G2096" s="25">
        <v>44238</v>
      </c>
      <c r="H2096">
        <v>9</v>
      </c>
      <c r="I2096">
        <v>42</v>
      </c>
      <c r="J2096" t="s">
        <v>231</v>
      </c>
      <c r="K2096" t="s">
        <v>499</v>
      </c>
      <c r="L2096" t="s">
        <v>410</v>
      </c>
      <c r="M2096" t="s">
        <v>234</v>
      </c>
      <c r="N2096" t="s">
        <v>62</v>
      </c>
      <c r="O2096" t="s">
        <v>235</v>
      </c>
      <c r="P2096" t="s">
        <v>411</v>
      </c>
      <c r="Q2096">
        <v>0</v>
      </c>
      <c r="R2096" t="s">
        <v>237</v>
      </c>
    </row>
    <row r="2097" spans="1:18" x14ac:dyDescent="0.25">
      <c r="A2097" t="s">
        <v>2183</v>
      </c>
      <c r="B2097">
        <v>1583</v>
      </c>
      <c r="C2097" t="s">
        <v>487</v>
      </c>
      <c r="D2097" t="s">
        <v>261</v>
      </c>
      <c r="E2097" t="s">
        <v>232</v>
      </c>
      <c r="F2097" t="s">
        <v>1500</v>
      </c>
      <c r="G2097" s="25">
        <v>44268</v>
      </c>
      <c r="H2097">
        <v>15</v>
      </c>
      <c r="I2097">
        <v>72</v>
      </c>
      <c r="J2097" t="s">
        <v>432</v>
      </c>
      <c r="K2097" t="s">
        <v>498</v>
      </c>
      <c r="L2097" t="s">
        <v>26</v>
      </c>
      <c r="M2097" t="s">
        <v>434</v>
      </c>
      <c r="N2097" t="s">
        <v>77</v>
      </c>
      <c r="O2097" t="s">
        <v>435</v>
      </c>
      <c r="P2097" t="s">
        <v>26</v>
      </c>
      <c r="Q2097">
        <v>138709.375</v>
      </c>
      <c r="R2097" t="s">
        <v>436</v>
      </c>
    </row>
    <row r="2098" spans="1:18" x14ac:dyDescent="0.25">
      <c r="A2098" t="s">
        <v>854</v>
      </c>
      <c r="B2098">
        <v>373</v>
      </c>
      <c r="C2098" t="s">
        <v>487</v>
      </c>
      <c r="D2098" t="s">
        <v>229</v>
      </c>
      <c r="E2098" t="s">
        <v>534</v>
      </c>
      <c r="F2098" t="s">
        <v>535</v>
      </c>
      <c r="G2098" s="25">
        <v>44213</v>
      </c>
      <c r="H2098">
        <v>4</v>
      </c>
      <c r="I2098">
        <v>17</v>
      </c>
      <c r="J2098" t="s">
        <v>432</v>
      </c>
      <c r="K2098" t="s">
        <v>498</v>
      </c>
      <c r="L2098" t="s">
        <v>26</v>
      </c>
      <c r="M2098" t="s">
        <v>434</v>
      </c>
      <c r="N2098" t="s">
        <v>77</v>
      </c>
      <c r="O2098" t="s">
        <v>435</v>
      </c>
      <c r="P2098" t="s">
        <v>26</v>
      </c>
      <c r="Q2098">
        <v>11309.375</v>
      </c>
      <c r="R2098" t="s">
        <v>436</v>
      </c>
    </row>
    <row r="2099" spans="1:18" x14ac:dyDescent="0.25">
      <c r="A2099" t="s">
        <v>2524</v>
      </c>
      <c r="B2099">
        <v>1449</v>
      </c>
      <c r="C2099" t="s">
        <v>487</v>
      </c>
      <c r="D2099" t="s">
        <v>261</v>
      </c>
      <c r="E2099" t="s">
        <v>247</v>
      </c>
      <c r="F2099" t="s">
        <v>1425</v>
      </c>
      <c r="G2099" s="25">
        <v>44262</v>
      </c>
      <c r="H2099">
        <v>14</v>
      </c>
      <c r="I2099">
        <v>66</v>
      </c>
      <c r="J2099" t="s">
        <v>432</v>
      </c>
      <c r="K2099" t="s">
        <v>497</v>
      </c>
      <c r="L2099" t="s">
        <v>438</v>
      </c>
      <c r="M2099" t="s">
        <v>434</v>
      </c>
      <c r="N2099" t="s">
        <v>75</v>
      </c>
      <c r="O2099" t="s">
        <v>435</v>
      </c>
      <c r="P2099" t="s">
        <v>438</v>
      </c>
      <c r="Q2099">
        <v>32100</v>
      </c>
      <c r="R2099" t="s">
        <v>436</v>
      </c>
    </row>
    <row r="2100" spans="1:18" x14ac:dyDescent="0.25">
      <c r="A2100" t="s">
        <v>1681</v>
      </c>
      <c r="B2100">
        <v>1097</v>
      </c>
      <c r="C2100" t="s">
        <v>487</v>
      </c>
      <c r="D2100" t="s">
        <v>256</v>
      </c>
      <c r="E2100" t="s">
        <v>239</v>
      </c>
      <c r="F2100" t="s">
        <v>1322</v>
      </c>
      <c r="G2100" s="25">
        <v>44246</v>
      </c>
      <c r="H2100">
        <v>10</v>
      </c>
      <c r="I2100">
        <v>50</v>
      </c>
      <c r="J2100" t="s">
        <v>432</v>
      </c>
      <c r="K2100" t="s">
        <v>497</v>
      </c>
      <c r="L2100" t="s">
        <v>438</v>
      </c>
      <c r="M2100" t="s">
        <v>434</v>
      </c>
      <c r="N2100" t="s">
        <v>75</v>
      </c>
      <c r="O2100" t="s">
        <v>435</v>
      </c>
      <c r="P2100" t="s">
        <v>438</v>
      </c>
      <c r="Q2100">
        <v>55837.5</v>
      </c>
      <c r="R2100" t="s">
        <v>436</v>
      </c>
    </row>
    <row r="2101" spans="1:18" x14ac:dyDescent="0.25">
      <c r="A2101" t="s">
        <v>1746</v>
      </c>
      <c r="B2101">
        <v>921</v>
      </c>
      <c r="C2101" t="s">
        <v>487</v>
      </c>
      <c r="D2101" t="s">
        <v>256</v>
      </c>
      <c r="E2101" t="s">
        <v>231</v>
      </c>
      <c r="F2101" t="s">
        <v>1249</v>
      </c>
      <c r="G2101" s="25">
        <v>44238</v>
      </c>
      <c r="H2101">
        <v>9</v>
      </c>
      <c r="I2101">
        <v>42</v>
      </c>
      <c r="J2101" t="s">
        <v>432</v>
      </c>
      <c r="K2101" t="s">
        <v>497</v>
      </c>
      <c r="L2101" t="s">
        <v>438</v>
      </c>
      <c r="M2101" t="s">
        <v>434</v>
      </c>
      <c r="N2101" t="s">
        <v>75</v>
      </c>
      <c r="O2101" t="s">
        <v>435</v>
      </c>
      <c r="P2101" t="s">
        <v>438</v>
      </c>
      <c r="Q2101">
        <v>19200</v>
      </c>
      <c r="R2101" t="s">
        <v>436</v>
      </c>
    </row>
    <row r="2102" spans="1:18" x14ac:dyDescent="0.25">
      <c r="A2102" t="s">
        <v>2254</v>
      </c>
      <c r="B2102">
        <v>631</v>
      </c>
      <c r="C2102" t="s">
        <v>487</v>
      </c>
      <c r="D2102" t="s">
        <v>231</v>
      </c>
      <c r="E2102" t="s">
        <v>371</v>
      </c>
      <c r="F2102" t="s">
        <v>1124</v>
      </c>
      <c r="G2102" s="25">
        <v>44225</v>
      </c>
      <c r="H2102">
        <v>6</v>
      </c>
      <c r="I2102">
        <v>29</v>
      </c>
      <c r="J2102" t="s">
        <v>432</v>
      </c>
      <c r="K2102" t="s">
        <v>496</v>
      </c>
      <c r="L2102" t="s">
        <v>69</v>
      </c>
      <c r="M2102" t="s">
        <v>434</v>
      </c>
      <c r="N2102" t="s">
        <v>68</v>
      </c>
      <c r="O2102" t="s">
        <v>21</v>
      </c>
      <c r="P2102" t="s">
        <v>439</v>
      </c>
      <c r="Q2102">
        <v>251625</v>
      </c>
      <c r="R2102" t="s">
        <v>237</v>
      </c>
    </row>
    <row r="2103" spans="1:18" x14ac:dyDescent="0.25">
      <c r="A2103" t="s">
        <v>1575</v>
      </c>
      <c r="B2103">
        <v>477</v>
      </c>
      <c r="C2103" t="s">
        <v>487</v>
      </c>
      <c r="D2103" t="s">
        <v>231</v>
      </c>
      <c r="E2103" t="s">
        <v>231</v>
      </c>
      <c r="F2103" t="s">
        <v>1080</v>
      </c>
      <c r="G2103" s="25">
        <v>44218</v>
      </c>
      <c r="H2103">
        <v>5</v>
      </c>
      <c r="I2103">
        <v>22</v>
      </c>
      <c r="J2103" t="s">
        <v>432</v>
      </c>
      <c r="K2103" t="s">
        <v>496</v>
      </c>
      <c r="L2103" t="s">
        <v>69</v>
      </c>
      <c r="M2103" t="s">
        <v>434</v>
      </c>
      <c r="N2103" t="s">
        <v>68</v>
      </c>
      <c r="O2103" t="s">
        <v>21</v>
      </c>
      <c r="P2103" t="s">
        <v>439</v>
      </c>
      <c r="Q2103">
        <v>0</v>
      </c>
      <c r="R2103" t="s">
        <v>237</v>
      </c>
    </row>
    <row r="2104" spans="1:18" x14ac:dyDescent="0.25">
      <c r="A2104" t="s">
        <v>853</v>
      </c>
      <c r="B2104">
        <v>169</v>
      </c>
      <c r="C2104" t="s">
        <v>487</v>
      </c>
      <c r="D2104" t="s">
        <v>229</v>
      </c>
      <c r="E2104" t="s">
        <v>381</v>
      </c>
      <c r="F2104" t="s">
        <v>518</v>
      </c>
      <c r="G2104" s="25">
        <v>44204</v>
      </c>
      <c r="H2104">
        <v>2</v>
      </c>
      <c r="I2104">
        <v>8</v>
      </c>
      <c r="J2104" t="s">
        <v>432</v>
      </c>
      <c r="K2104" t="s">
        <v>496</v>
      </c>
      <c r="L2104" t="s">
        <v>69</v>
      </c>
      <c r="M2104" t="s">
        <v>434</v>
      </c>
      <c r="N2104" t="s">
        <v>68</v>
      </c>
      <c r="O2104" t="s">
        <v>21</v>
      </c>
      <c r="P2104" t="s">
        <v>439</v>
      </c>
      <c r="Q2104">
        <v>24000</v>
      </c>
      <c r="R2104" t="s">
        <v>237</v>
      </c>
    </row>
    <row r="2105" spans="1:18" x14ac:dyDescent="0.25">
      <c r="A2105" t="s">
        <v>3887</v>
      </c>
      <c r="B2105">
        <v>1995</v>
      </c>
      <c r="C2105" t="s">
        <v>487</v>
      </c>
      <c r="D2105" t="s">
        <v>322</v>
      </c>
      <c r="E2105" t="s">
        <v>515</v>
      </c>
      <c r="F2105" t="s">
        <v>2983</v>
      </c>
      <c r="G2105" s="25">
        <v>44287</v>
      </c>
      <c r="H2105">
        <v>19</v>
      </c>
      <c r="I2105">
        <v>91</v>
      </c>
      <c r="J2105" t="s">
        <v>432</v>
      </c>
      <c r="K2105" t="s">
        <v>496</v>
      </c>
      <c r="L2105" t="s">
        <v>69</v>
      </c>
      <c r="M2105" t="s">
        <v>434</v>
      </c>
      <c r="N2105" t="s">
        <v>68</v>
      </c>
      <c r="O2105" t="s">
        <v>21</v>
      </c>
      <c r="P2105" t="s">
        <v>439</v>
      </c>
      <c r="Q2105">
        <v>681000</v>
      </c>
      <c r="R2105" t="s">
        <v>237</v>
      </c>
    </row>
    <row r="2106" spans="1:18" x14ac:dyDescent="0.25">
      <c r="A2106" t="s">
        <v>850</v>
      </c>
      <c r="B2106">
        <v>412</v>
      </c>
      <c r="C2106" t="s">
        <v>487</v>
      </c>
      <c r="D2106" t="s">
        <v>229</v>
      </c>
      <c r="E2106" t="s">
        <v>531</v>
      </c>
      <c r="F2106" t="s">
        <v>532</v>
      </c>
      <c r="G2106" s="25">
        <v>44215</v>
      </c>
      <c r="H2106">
        <v>4</v>
      </c>
      <c r="I2106">
        <v>19</v>
      </c>
      <c r="J2106" t="s">
        <v>432</v>
      </c>
      <c r="K2106" t="s">
        <v>495</v>
      </c>
      <c r="L2106" t="s">
        <v>135</v>
      </c>
      <c r="M2106" t="s">
        <v>434</v>
      </c>
      <c r="N2106" t="s">
        <v>70</v>
      </c>
      <c r="O2106" t="s">
        <v>21</v>
      </c>
      <c r="P2106" t="s">
        <v>440</v>
      </c>
      <c r="Q2106">
        <v>24000</v>
      </c>
      <c r="R2106" t="s">
        <v>237</v>
      </c>
    </row>
    <row r="2107" spans="1:18" x14ac:dyDescent="0.25">
      <c r="A2107" t="s">
        <v>3888</v>
      </c>
      <c r="B2107">
        <v>2590</v>
      </c>
      <c r="C2107" t="s">
        <v>487</v>
      </c>
      <c r="D2107" t="s">
        <v>247</v>
      </c>
      <c r="E2107" t="s">
        <v>552</v>
      </c>
      <c r="F2107" t="s">
        <v>3170</v>
      </c>
      <c r="G2107" s="25">
        <v>44314</v>
      </c>
      <c r="H2107">
        <v>24</v>
      </c>
      <c r="I2107">
        <v>118</v>
      </c>
      <c r="J2107" t="s">
        <v>432</v>
      </c>
      <c r="K2107" t="s">
        <v>495</v>
      </c>
      <c r="L2107" t="s">
        <v>135</v>
      </c>
      <c r="M2107" t="s">
        <v>434</v>
      </c>
      <c r="N2107" t="s">
        <v>70</v>
      </c>
      <c r="O2107" t="s">
        <v>21</v>
      </c>
      <c r="P2107" t="s">
        <v>440</v>
      </c>
      <c r="Q2107">
        <v>384000</v>
      </c>
      <c r="R2107" t="s">
        <v>237</v>
      </c>
    </row>
    <row r="2108" spans="1:18" x14ac:dyDescent="0.25">
      <c r="A2108" t="s">
        <v>3889</v>
      </c>
      <c r="B2108">
        <v>2326</v>
      </c>
      <c r="C2108" t="s">
        <v>487</v>
      </c>
      <c r="D2108" t="s">
        <v>247</v>
      </c>
      <c r="E2108" t="s">
        <v>247</v>
      </c>
      <c r="F2108" t="s">
        <v>3085</v>
      </c>
      <c r="G2108" s="25">
        <v>44302</v>
      </c>
      <c r="H2108">
        <v>22</v>
      </c>
      <c r="I2108">
        <v>106</v>
      </c>
      <c r="J2108" t="s">
        <v>432</v>
      </c>
      <c r="K2108" t="s">
        <v>495</v>
      </c>
      <c r="L2108" t="s">
        <v>135</v>
      </c>
      <c r="M2108" t="s">
        <v>434</v>
      </c>
      <c r="N2108" t="s">
        <v>70</v>
      </c>
      <c r="O2108" t="s">
        <v>21</v>
      </c>
      <c r="P2108" t="s">
        <v>440</v>
      </c>
      <c r="Q2108">
        <v>507250</v>
      </c>
      <c r="R2108" t="s">
        <v>237</v>
      </c>
    </row>
    <row r="2109" spans="1:18" x14ac:dyDescent="0.25">
      <c r="A2109" t="s">
        <v>1948</v>
      </c>
      <c r="B2109">
        <v>1622</v>
      </c>
      <c r="C2109" t="s">
        <v>487</v>
      </c>
      <c r="D2109" t="s">
        <v>261</v>
      </c>
      <c r="E2109" t="s">
        <v>537</v>
      </c>
      <c r="F2109" t="s">
        <v>1530</v>
      </c>
      <c r="G2109" s="25">
        <v>44270</v>
      </c>
      <c r="H2109">
        <v>15</v>
      </c>
      <c r="I2109">
        <v>74</v>
      </c>
      <c r="J2109" t="s">
        <v>432</v>
      </c>
      <c r="K2109" t="s">
        <v>495</v>
      </c>
      <c r="L2109" t="s">
        <v>135</v>
      </c>
      <c r="M2109" t="s">
        <v>434</v>
      </c>
      <c r="N2109" t="s">
        <v>70</v>
      </c>
      <c r="O2109" t="s">
        <v>21</v>
      </c>
      <c r="P2109" t="s">
        <v>440</v>
      </c>
      <c r="Q2109">
        <v>60500</v>
      </c>
      <c r="R2109" t="s">
        <v>237</v>
      </c>
    </row>
    <row r="2110" spans="1:18" x14ac:dyDescent="0.25">
      <c r="A2110" t="s">
        <v>863</v>
      </c>
      <c r="B2110">
        <v>174</v>
      </c>
      <c r="C2110" t="s">
        <v>487</v>
      </c>
      <c r="D2110" t="s">
        <v>229</v>
      </c>
      <c r="E2110" t="s">
        <v>381</v>
      </c>
      <c r="F2110" t="s">
        <v>518</v>
      </c>
      <c r="G2110" s="25">
        <v>44204</v>
      </c>
      <c r="H2110">
        <v>2</v>
      </c>
      <c r="I2110">
        <v>8</v>
      </c>
      <c r="J2110" t="s">
        <v>432</v>
      </c>
      <c r="K2110" t="s">
        <v>494</v>
      </c>
      <c r="L2110" t="s">
        <v>25</v>
      </c>
      <c r="M2110" t="s">
        <v>434</v>
      </c>
      <c r="N2110" t="s">
        <v>76</v>
      </c>
      <c r="O2110" t="s">
        <v>435</v>
      </c>
      <c r="P2110" t="s">
        <v>25</v>
      </c>
      <c r="Q2110">
        <v>10800</v>
      </c>
      <c r="R2110" t="s">
        <v>436</v>
      </c>
    </row>
    <row r="2111" spans="1:18" x14ac:dyDescent="0.25">
      <c r="A2111" t="s">
        <v>3890</v>
      </c>
      <c r="B2111">
        <v>2616</v>
      </c>
      <c r="C2111" t="s">
        <v>487</v>
      </c>
      <c r="D2111" t="s">
        <v>247</v>
      </c>
      <c r="E2111" t="s">
        <v>531</v>
      </c>
      <c r="F2111" t="s">
        <v>3173</v>
      </c>
      <c r="G2111" s="25">
        <v>44315</v>
      </c>
      <c r="H2111">
        <v>24</v>
      </c>
      <c r="I2111">
        <v>119</v>
      </c>
      <c r="J2111" t="s">
        <v>432</v>
      </c>
      <c r="K2111" t="s">
        <v>494</v>
      </c>
      <c r="L2111" t="s">
        <v>25</v>
      </c>
      <c r="M2111" t="s">
        <v>434</v>
      </c>
      <c r="N2111" t="s">
        <v>76</v>
      </c>
      <c r="O2111" t="s">
        <v>435</v>
      </c>
      <c r="P2111" t="s">
        <v>25</v>
      </c>
      <c r="Q2111">
        <v>20250</v>
      </c>
      <c r="R2111" t="s">
        <v>436</v>
      </c>
    </row>
    <row r="2112" spans="1:18" x14ac:dyDescent="0.25">
      <c r="A2112" t="s">
        <v>3891</v>
      </c>
      <c r="B2112">
        <v>2000</v>
      </c>
      <c r="C2112" t="s">
        <v>487</v>
      </c>
      <c r="D2112" t="s">
        <v>322</v>
      </c>
      <c r="E2112" t="s">
        <v>515</v>
      </c>
      <c r="F2112" t="s">
        <v>2983</v>
      </c>
      <c r="G2112" s="25">
        <v>44287</v>
      </c>
      <c r="H2112">
        <v>19</v>
      </c>
      <c r="I2112">
        <v>91</v>
      </c>
      <c r="J2112" t="s">
        <v>432</v>
      </c>
      <c r="K2112" t="s">
        <v>494</v>
      </c>
      <c r="L2112" t="s">
        <v>25</v>
      </c>
      <c r="M2112" t="s">
        <v>434</v>
      </c>
      <c r="N2112" t="s">
        <v>76</v>
      </c>
      <c r="O2112" t="s">
        <v>435</v>
      </c>
      <c r="P2112" t="s">
        <v>25</v>
      </c>
      <c r="Q2112">
        <v>60000</v>
      </c>
      <c r="R2112" t="s">
        <v>436</v>
      </c>
    </row>
    <row r="2113" spans="1:18" x14ac:dyDescent="0.25">
      <c r="A2113" t="s">
        <v>2480</v>
      </c>
      <c r="B2113">
        <v>1714</v>
      </c>
      <c r="C2113" t="s">
        <v>487</v>
      </c>
      <c r="D2113" t="s">
        <v>261</v>
      </c>
      <c r="E2113" t="s">
        <v>552</v>
      </c>
      <c r="F2113" t="s">
        <v>1585</v>
      </c>
      <c r="G2113" s="25">
        <v>44274</v>
      </c>
      <c r="H2113">
        <v>16</v>
      </c>
      <c r="I2113">
        <v>78</v>
      </c>
      <c r="J2113" t="s">
        <v>432</v>
      </c>
      <c r="K2113" t="s">
        <v>494</v>
      </c>
      <c r="L2113" t="s">
        <v>25</v>
      </c>
      <c r="M2113" t="s">
        <v>434</v>
      </c>
      <c r="N2113" t="s">
        <v>76</v>
      </c>
      <c r="O2113" t="s">
        <v>435</v>
      </c>
      <c r="P2113" t="s">
        <v>25</v>
      </c>
      <c r="Q2113">
        <v>28837.5</v>
      </c>
      <c r="R2113" t="s">
        <v>436</v>
      </c>
    </row>
    <row r="2114" spans="1:18" x14ac:dyDescent="0.25">
      <c r="A2114" t="s">
        <v>1690</v>
      </c>
      <c r="B2114">
        <v>1384</v>
      </c>
      <c r="C2114" t="s">
        <v>487</v>
      </c>
      <c r="D2114" t="s">
        <v>261</v>
      </c>
      <c r="E2114" t="s">
        <v>256</v>
      </c>
      <c r="F2114" t="s">
        <v>1402</v>
      </c>
      <c r="G2114" s="25">
        <v>44259</v>
      </c>
      <c r="H2114">
        <v>13</v>
      </c>
      <c r="I2114">
        <v>63</v>
      </c>
      <c r="J2114" t="s">
        <v>432</v>
      </c>
      <c r="K2114" t="s">
        <v>494</v>
      </c>
      <c r="L2114" t="s">
        <v>25</v>
      </c>
      <c r="M2114" t="s">
        <v>434</v>
      </c>
      <c r="N2114" t="s">
        <v>76</v>
      </c>
      <c r="O2114" t="s">
        <v>435</v>
      </c>
      <c r="P2114" t="s">
        <v>25</v>
      </c>
      <c r="Q2114">
        <v>38100</v>
      </c>
      <c r="R2114" t="s">
        <v>436</v>
      </c>
    </row>
    <row r="2115" spans="1:18" x14ac:dyDescent="0.25">
      <c r="A2115" t="s">
        <v>2574</v>
      </c>
      <c r="B2115">
        <v>790</v>
      </c>
      <c r="C2115" t="s">
        <v>487</v>
      </c>
      <c r="D2115" t="s">
        <v>231</v>
      </c>
      <c r="E2115" t="s">
        <v>620</v>
      </c>
      <c r="F2115" t="s">
        <v>1215</v>
      </c>
      <c r="G2115" s="25">
        <v>44232</v>
      </c>
      <c r="H2115">
        <v>8</v>
      </c>
      <c r="I2115">
        <v>36</v>
      </c>
      <c r="J2115" t="s">
        <v>432</v>
      </c>
      <c r="K2115" t="s">
        <v>494</v>
      </c>
      <c r="L2115" t="s">
        <v>25</v>
      </c>
      <c r="M2115" t="s">
        <v>434</v>
      </c>
      <c r="N2115" t="s">
        <v>76</v>
      </c>
      <c r="O2115" t="s">
        <v>435</v>
      </c>
      <c r="P2115" t="s">
        <v>25</v>
      </c>
      <c r="Q2115">
        <v>28800</v>
      </c>
      <c r="R2115" t="s">
        <v>436</v>
      </c>
    </row>
    <row r="2116" spans="1:18" x14ac:dyDescent="0.25">
      <c r="A2116" t="s">
        <v>1594</v>
      </c>
      <c r="B2116">
        <v>482</v>
      </c>
      <c r="C2116" t="s">
        <v>487</v>
      </c>
      <c r="D2116" t="s">
        <v>231</v>
      </c>
      <c r="E2116" t="s">
        <v>231</v>
      </c>
      <c r="F2116" t="s">
        <v>1080</v>
      </c>
      <c r="G2116" s="25">
        <v>44218</v>
      </c>
      <c r="H2116">
        <v>5</v>
      </c>
      <c r="I2116">
        <v>22</v>
      </c>
      <c r="J2116" t="s">
        <v>432</v>
      </c>
      <c r="K2116" t="s">
        <v>494</v>
      </c>
      <c r="L2116" t="s">
        <v>25</v>
      </c>
      <c r="M2116" t="s">
        <v>434</v>
      </c>
      <c r="N2116" t="s">
        <v>76</v>
      </c>
      <c r="O2116" t="s">
        <v>435</v>
      </c>
      <c r="P2116" t="s">
        <v>25</v>
      </c>
      <c r="Q2116">
        <v>7200</v>
      </c>
      <c r="R2116" t="s">
        <v>436</v>
      </c>
    </row>
    <row r="2117" spans="1:18" x14ac:dyDescent="0.25">
      <c r="A2117" t="s">
        <v>3892</v>
      </c>
      <c r="B2117">
        <v>2002</v>
      </c>
      <c r="C2117" t="s">
        <v>487</v>
      </c>
      <c r="D2117" t="s">
        <v>322</v>
      </c>
      <c r="E2117" t="s">
        <v>515</v>
      </c>
      <c r="F2117" t="s">
        <v>2983</v>
      </c>
      <c r="G2117" s="25">
        <v>44287</v>
      </c>
      <c r="H2117">
        <v>19</v>
      </c>
      <c r="I2117">
        <v>91</v>
      </c>
      <c r="J2117" t="s">
        <v>432</v>
      </c>
      <c r="K2117" t="s">
        <v>493</v>
      </c>
      <c r="L2117" t="s">
        <v>441</v>
      </c>
      <c r="M2117" t="s">
        <v>434</v>
      </c>
      <c r="N2117" t="s">
        <v>78</v>
      </c>
      <c r="O2117" t="s">
        <v>435</v>
      </c>
      <c r="P2117" t="s">
        <v>441</v>
      </c>
      <c r="Q2117">
        <v>285605</v>
      </c>
      <c r="R2117" t="s">
        <v>436</v>
      </c>
    </row>
    <row r="2118" spans="1:18" x14ac:dyDescent="0.25">
      <c r="A2118" t="s">
        <v>280</v>
      </c>
      <c r="B2118">
        <v>22</v>
      </c>
      <c r="C2118" t="s">
        <v>487</v>
      </c>
      <c r="D2118" t="s">
        <v>229</v>
      </c>
      <c r="E2118" t="s">
        <v>229</v>
      </c>
      <c r="F2118" t="s">
        <v>230</v>
      </c>
      <c r="G2118" s="25">
        <v>44197</v>
      </c>
      <c r="H2118">
        <v>1</v>
      </c>
      <c r="I2118">
        <v>1</v>
      </c>
      <c r="J2118" t="s">
        <v>432</v>
      </c>
      <c r="K2118" t="s">
        <v>493</v>
      </c>
      <c r="L2118" t="s">
        <v>441</v>
      </c>
      <c r="M2118" t="s">
        <v>434</v>
      </c>
      <c r="N2118" t="s">
        <v>78</v>
      </c>
      <c r="O2118" t="s">
        <v>435</v>
      </c>
      <c r="P2118" t="s">
        <v>441</v>
      </c>
      <c r="Q2118">
        <v>0</v>
      </c>
      <c r="R2118" t="s">
        <v>436</v>
      </c>
    </row>
    <row r="2119" spans="1:18" x14ac:dyDescent="0.25">
      <c r="A2119" t="s">
        <v>2911</v>
      </c>
      <c r="B2119">
        <v>1447</v>
      </c>
      <c r="C2119" t="s">
        <v>487</v>
      </c>
      <c r="D2119" t="s">
        <v>261</v>
      </c>
      <c r="E2119" t="s">
        <v>247</v>
      </c>
      <c r="F2119" t="s">
        <v>1425</v>
      </c>
      <c r="G2119" s="25">
        <v>44262</v>
      </c>
      <c r="H2119">
        <v>14</v>
      </c>
      <c r="I2119">
        <v>66</v>
      </c>
      <c r="J2119" t="s">
        <v>432</v>
      </c>
      <c r="K2119" t="s">
        <v>492</v>
      </c>
      <c r="L2119" t="s">
        <v>24</v>
      </c>
      <c r="M2119" t="s">
        <v>434</v>
      </c>
      <c r="N2119" t="s">
        <v>71</v>
      </c>
      <c r="O2119" t="s">
        <v>435</v>
      </c>
      <c r="P2119" t="s">
        <v>24</v>
      </c>
      <c r="Q2119">
        <v>31500</v>
      </c>
      <c r="R2119" t="s">
        <v>436</v>
      </c>
    </row>
    <row r="2120" spans="1:18" x14ac:dyDescent="0.25">
      <c r="A2120" t="s">
        <v>1958</v>
      </c>
      <c r="B2120">
        <v>919</v>
      </c>
      <c r="C2120" t="s">
        <v>487</v>
      </c>
      <c r="D2120" t="s">
        <v>256</v>
      </c>
      <c r="E2120" t="s">
        <v>231</v>
      </c>
      <c r="F2120" t="s">
        <v>1249</v>
      </c>
      <c r="G2120" s="25">
        <v>44238</v>
      </c>
      <c r="H2120">
        <v>9</v>
      </c>
      <c r="I2120">
        <v>42</v>
      </c>
      <c r="J2120" t="s">
        <v>432</v>
      </c>
      <c r="K2120" t="s">
        <v>492</v>
      </c>
      <c r="L2120" t="s">
        <v>24</v>
      </c>
      <c r="M2120" t="s">
        <v>434</v>
      </c>
      <c r="N2120" t="s">
        <v>71</v>
      </c>
      <c r="O2120" t="s">
        <v>435</v>
      </c>
      <c r="P2120" t="s">
        <v>24</v>
      </c>
      <c r="Q2120">
        <v>28800</v>
      </c>
      <c r="R2120" t="s">
        <v>436</v>
      </c>
    </row>
    <row r="2121" spans="1:18" x14ac:dyDescent="0.25">
      <c r="A2121" t="s">
        <v>2140</v>
      </c>
      <c r="B2121">
        <v>1460</v>
      </c>
      <c r="C2121" t="s">
        <v>487</v>
      </c>
      <c r="D2121" t="s">
        <v>261</v>
      </c>
      <c r="E2121" t="s">
        <v>326</v>
      </c>
      <c r="F2121" t="s">
        <v>1440</v>
      </c>
      <c r="G2121" s="25">
        <v>44263</v>
      </c>
      <c r="H2121">
        <v>14</v>
      </c>
      <c r="I2121">
        <v>67</v>
      </c>
      <c r="J2121" t="s">
        <v>231</v>
      </c>
      <c r="K2121" t="s">
        <v>491</v>
      </c>
      <c r="L2121" t="s">
        <v>233</v>
      </c>
      <c r="M2121" t="s">
        <v>234</v>
      </c>
      <c r="N2121" t="s">
        <v>54</v>
      </c>
      <c r="O2121" t="s">
        <v>235</v>
      </c>
      <c r="P2121" t="s">
        <v>236</v>
      </c>
      <c r="Q2121">
        <v>0</v>
      </c>
      <c r="R2121" t="s">
        <v>237</v>
      </c>
    </row>
    <row r="2122" spans="1:18" x14ac:dyDescent="0.25">
      <c r="A2122" t="s">
        <v>2855</v>
      </c>
      <c r="B2122">
        <v>558</v>
      </c>
      <c r="C2122" t="s">
        <v>487</v>
      </c>
      <c r="D2122" t="s">
        <v>231</v>
      </c>
      <c r="E2122" t="s">
        <v>247</v>
      </c>
      <c r="F2122" t="s">
        <v>1088</v>
      </c>
      <c r="G2122" s="25">
        <v>44222</v>
      </c>
      <c r="H2122">
        <v>6</v>
      </c>
      <c r="I2122">
        <v>26</v>
      </c>
      <c r="J2122" t="s">
        <v>231</v>
      </c>
      <c r="K2122" t="s">
        <v>491</v>
      </c>
      <c r="L2122" t="s">
        <v>233</v>
      </c>
      <c r="M2122" t="s">
        <v>234</v>
      </c>
      <c r="N2122" t="s">
        <v>54</v>
      </c>
      <c r="O2122" t="s">
        <v>235</v>
      </c>
      <c r="P2122" t="s">
        <v>236</v>
      </c>
      <c r="Q2122">
        <v>0</v>
      </c>
      <c r="R2122" t="s">
        <v>237</v>
      </c>
    </row>
    <row r="2123" spans="1:18" x14ac:dyDescent="0.25">
      <c r="A2123" t="s">
        <v>2485</v>
      </c>
      <c r="B2123">
        <v>1768</v>
      </c>
      <c r="C2123" t="s">
        <v>487</v>
      </c>
      <c r="D2123" t="s">
        <v>322</v>
      </c>
      <c r="E2123" t="s">
        <v>229</v>
      </c>
      <c r="F2123" t="s">
        <v>1643</v>
      </c>
      <c r="G2123" s="25">
        <v>44277</v>
      </c>
      <c r="H2123">
        <v>17</v>
      </c>
      <c r="I2123">
        <v>81</v>
      </c>
      <c r="J2123" t="s">
        <v>231</v>
      </c>
      <c r="K2123" t="s">
        <v>491</v>
      </c>
      <c r="L2123" t="s">
        <v>233</v>
      </c>
      <c r="M2123" t="s">
        <v>234</v>
      </c>
      <c r="N2123" t="s">
        <v>54</v>
      </c>
      <c r="O2123" t="s">
        <v>235</v>
      </c>
      <c r="P2123" t="s">
        <v>236</v>
      </c>
      <c r="Q2123">
        <v>0</v>
      </c>
      <c r="R2123" t="s">
        <v>237</v>
      </c>
    </row>
    <row r="2124" spans="1:18" x14ac:dyDescent="0.25">
      <c r="A2124" t="s">
        <v>1850</v>
      </c>
      <c r="B2124">
        <v>832</v>
      </c>
      <c r="C2124" t="s">
        <v>487</v>
      </c>
      <c r="D2124" t="s">
        <v>231</v>
      </c>
      <c r="E2124" t="s">
        <v>552</v>
      </c>
      <c r="F2124" t="s">
        <v>1222</v>
      </c>
      <c r="G2124" s="25">
        <v>44234</v>
      </c>
      <c r="H2124">
        <v>8</v>
      </c>
      <c r="I2124">
        <v>38</v>
      </c>
      <c r="J2124" t="s">
        <v>432</v>
      </c>
      <c r="K2124" t="s">
        <v>488</v>
      </c>
      <c r="L2124" t="s">
        <v>433</v>
      </c>
      <c r="M2124" t="s">
        <v>434</v>
      </c>
      <c r="N2124" t="s">
        <v>74</v>
      </c>
      <c r="O2124" t="s">
        <v>435</v>
      </c>
      <c r="P2124" t="s">
        <v>433</v>
      </c>
      <c r="Q2124">
        <v>24450</v>
      </c>
      <c r="R2124" t="s">
        <v>436</v>
      </c>
    </row>
    <row r="2125" spans="1:18" x14ac:dyDescent="0.25">
      <c r="A2125" t="s">
        <v>769</v>
      </c>
      <c r="B2125">
        <v>436</v>
      </c>
      <c r="C2125" t="s">
        <v>487</v>
      </c>
      <c r="D2125" t="s">
        <v>229</v>
      </c>
      <c r="E2125" t="s">
        <v>408</v>
      </c>
      <c r="F2125" t="s">
        <v>527</v>
      </c>
      <c r="G2125" s="25">
        <v>44216</v>
      </c>
      <c r="H2125">
        <v>4</v>
      </c>
      <c r="I2125">
        <v>20</v>
      </c>
      <c r="J2125" t="s">
        <v>432</v>
      </c>
      <c r="K2125" t="s">
        <v>488</v>
      </c>
      <c r="L2125" t="s">
        <v>433</v>
      </c>
      <c r="M2125" t="s">
        <v>434</v>
      </c>
      <c r="N2125" t="s">
        <v>74</v>
      </c>
      <c r="O2125" t="s">
        <v>435</v>
      </c>
      <c r="P2125" t="s">
        <v>433</v>
      </c>
      <c r="Q2125">
        <v>7200</v>
      </c>
      <c r="R2125" t="s">
        <v>436</v>
      </c>
    </row>
    <row r="2126" spans="1:18" x14ac:dyDescent="0.25">
      <c r="A2126" t="s">
        <v>3893</v>
      </c>
      <c r="B2126">
        <v>1862</v>
      </c>
      <c r="C2126" t="s">
        <v>487</v>
      </c>
      <c r="D2126" t="s">
        <v>322</v>
      </c>
      <c r="E2126" t="s">
        <v>322</v>
      </c>
      <c r="F2126" t="s">
        <v>2960</v>
      </c>
      <c r="G2126" s="25">
        <v>44281</v>
      </c>
      <c r="H2126">
        <v>17</v>
      </c>
      <c r="I2126">
        <v>85</v>
      </c>
      <c r="J2126" t="s">
        <v>432</v>
      </c>
      <c r="K2126" t="s">
        <v>489</v>
      </c>
      <c r="L2126" t="s">
        <v>134</v>
      </c>
      <c r="M2126" t="s">
        <v>434</v>
      </c>
      <c r="N2126" t="s">
        <v>67</v>
      </c>
      <c r="O2126" t="s">
        <v>235</v>
      </c>
      <c r="P2126" t="s">
        <v>437</v>
      </c>
      <c r="Q2126">
        <v>611750</v>
      </c>
      <c r="R2126" t="s">
        <v>237</v>
      </c>
    </row>
    <row r="2127" spans="1:18" x14ac:dyDescent="0.25">
      <c r="A2127" t="s">
        <v>2150</v>
      </c>
      <c r="B2127">
        <v>1114</v>
      </c>
      <c r="C2127" t="s">
        <v>487</v>
      </c>
      <c r="D2127" t="s">
        <v>256</v>
      </c>
      <c r="E2127" t="s">
        <v>515</v>
      </c>
      <c r="F2127" t="s">
        <v>1329</v>
      </c>
      <c r="G2127" s="25">
        <v>44247</v>
      </c>
      <c r="H2127">
        <v>11</v>
      </c>
      <c r="I2127">
        <v>51</v>
      </c>
      <c r="J2127" t="s">
        <v>432</v>
      </c>
      <c r="K2127" t="s">
        <v>489</v>
      </c>
      <c r="L2127" t="s">
        <v>134</v>
      </c>
      <c r="M2127" t="s">
        <v>434</v>
      </c>
      <c r="N2127" t="s">
        <v>67</v>
      </c>
      <c r="O2127" t="s">
        <v>235</v>
      </c>
      <c r="P2127" t="s">
        <v>437</v>
      </c>
      <c r="Q2127">
        <v>394125</v>
      </c>
      <c r="R2127" t="s">
        <v>237</v>
      </c>
    </row>
    <row r="2128" spans="1:18" x14ac:dyDescent="0.25">
      <c r="A2128" t="s">
        <v>2327</v>
      </c>
      <c r="B2128">
        <v>1004</v>
      </c>
      <c r="C2128" t="s">
        <v>487</v>
      </c>
      <c r="D2128" t="s">
        <v>256</v>
      </c>
      <c r="E2128" t="s">
        <v>247</v>
      </c>
      <c r="F2128" t="s">
        <v>1299</v>
      </c>
      <c r="G2128" s="25">
        <v>44242</v>
      </c>
      <c r="H2128">
        <v>10</v>
      </c>
      <c r="I2128">
        <v>46</v>
      </c>
      <c r="J2128" t="s">
        <v>432</v>
      </c>
      <c r="K2128" t="s">
        <v>489</v>
      </c>
      <c r="L2128" t="s">
        <v>134</v>
      </c>
      <c r="M2128" t="s">
        <v>434</v>
      </c>
      <c r="N2128" t="s">
        <v>67</v>
      </c>
      <c r="O2128" t="s">
        <v>235</v>
      </c>
      <c r="P2128" t="s">
        <v>437</v>
      </c>
      <c r="Q2128">
        <v>160000</v>
      </c>
      <c r="R2128" t="s">
        <v>237</v>
      </c>
    </row>
    <row r="2129" spans="1:18" x14ac:dyDescent="0.25">
      <c r="A2129" t="s">
        <v>298</v>
      </c>
      <c r="B2129">
        <v>36</v>
      </c>
      <c r="C2129" t="s">
        <v>487</v>
      </c>
      <c r="D2129" t="s">
        <v>229</v>
      </c>
      <c r="E2129" t="s">
        <v>231</v>
      </c>
      <c r="F2129" t="s">
        <v>568</v>
      </c>
      <c r="G2129" s="25">
        <v>44198</v>
      </c>
      <c r="H2129">
        <v>1</v>
      </c>
      <c r="I2129">
        <v>2</v>
      </c>
      <c r="J2129" t="s">
        <v>432</v>
      </c>
      <c r="K2129" t="s">
        <v>489</v>
      </c>
      <c r="L2129" t="s">
        <v>134</v>
      </c>
      <c r="M2129" t="s">
        <v>434</v>
      </c>
      <c r="N2129" t="s">
        <v>67</v>
      </c>
      <c r="O2129" t="s">
        <v>235</v>
      </c>
      <c r="P2129" t="s">
        <v>437</v>
      </c>
      <c r="Q2129">
        <v>0</v>
      </c>
      <c r="R2129" t="s">
        <v>237</v>
      </c>
    </row>
    <row r="2130" spans="1:18" x14ac:dyDescent="0.25">
      <c r="A2130" t="s">
        <v>3894</v>
      </c>
      <c r="B2130">
        <v>1785</v>
      </c>
      <c r="C2130" t="s">
        <v>487</v>
      </c>
      <c r="D2130" t="s">
        <v>322</v>
      </c>
      <c r="E2130" t="s">
        <v>231</v>
      </c>
      <c r="F2130" t="s">
        <v>2945</v>
      </c>
      <c r="G2130" s="25">
        <v>44278</v>
      </c>
      <c r="H2130">
        <v>17</v>
      </c>
      <c r="I2130">
        <v>82</v>
      </c>
      <c r="J2130" t="s">
        <v>231</v>
      </c>
      <c r="K2130" t="s">
        <v>509</v>
      </c>
      <c r="L2130" t="s">
        <v>45</v>
      </c>
      <c r="M2130" t="s">
        <v>234</v>
      </c>
      <c r="N2130" t="s">
        <v>44</v>
      </c>
      <c r="O2130" t="s">
        <v>21</v>
      </c>
      <c r="P2130" t="s">
        <v>304</v>
      </c>
      <c r="Q2130">
        <v>167</v>
      </c>
      <c r="R2130" t="s">
        <v>237</v>
      </c>
    </row>
    <row r="2131" spans="1:18" x14ac:dyDescent="0.25">
      <c r="A2131" t="s">
        <v>1758</v>
      </c>
      <c r="B2131">
        <v>1499</v>
      </c>
      <c r="C2131" t="s">
        <v>487</v>
      </c>
      <c r="D2131" t="s">
        <v>261</v>
      </c>
      <c r="E2131" t="s">
        <v>371</v>
      </c>
      <c r="F2131" t="s">
        <v>1478</v>
      </c>
      <c r="G2131" s="25">
        <v>44265</v>
      </c>
      <c r="H2131">
        <v>14</v>
      </c>
      <c r="I2131">
        <v>69</v>
      </c>
      <c r="J2131" t="s">
        <v>231</v>
      </c>
      <c r="K2131" t="s">
        <v>509</v>
      </c>
      <c r="L2131" t="s">
        <v>45</v>
      </c>
      <c r="M2131" t="s">
        <v>234</v>
      </c>
      <c r="N2131" t="s">
        <v>44</v>
      </c>
      <c r="O2131" t="s">
        <v>21</v>
      </c>
      <c r="P2131" t="s">
        <v>304</v>
      </c>
      <c r="Q2131">
        <v>0</v>
      </c>
      <c r="R2131" t="s">
        <v>237</v>
      </c>
    </row>
    <row r="2132" spans="1:18" x14ac:dyDescent="0.25">
      <c r="A2132" t="s">
        <v>1637</v>
      </c>
      <c r="B2132">
        <v>1477</v>
      </c>
      <c r="C2132" t="s">
        <v>487</v>
      </c>
      <c r="D2132" t="s">
        <v>261</v>
      </c>
      <c r="E2132" t="s">
        <v>381</v>
      </c>
      <c r="F2132" t="s">
        <v>1458</v>
      </c>
      <c r="G2132" s="25">
        <v>44264</v>
      </c>
      <c r="H2132">
        <v>14</v>
      </c>
      <c r="I2132">
        <v>68</v>
      </c>
      <c r="J2132" t="s">
        <v>231</v>
      </c>
      <c r="K2132" t="s">
        <v>509</v>
      </c>
      <c r="L2132" t="s">
        <v>45</v>
      </c>
      <c r="M2132" t="s">
        <v>234</v>
      </c>
      <c r="N2132" t="s">
        <v>44</v>
      </c>
      <c r="O2132" t="s">
        <v>21</v>
      </c>
      <c r="P2132" t="s">
        <v>304</v>
      </c>
      <c r="Q2132">
        <v>4475</v>
      </c>
      <c r="R2132" t="s">
        <v>237</v>
      </c>
    </row>
    <row r="2133" spans="1:18" x14ac:dyDescent="0.25">
      <c r="A2133" t="s">
        <v>2499</v>
      </c>
      <c r="B2133">
        <v>1323</v>
      </c>
      <c r="C2133" t="s">
        <v>487</v>
      </c>
      <c r="D2133" t="s">
        <v>261</v>
      </c>
      <c r="E2133" t="s">
        <v>229</v>
      </c>
      <c r="F2133" t="s">
        <v>1388</v>
      </c>
      <c r="G2133" s="25">
        <v>44257</v>
      </c>
      <c r="H2133">
        <v>13</v>
      </c>
      <c r="I2133">
        <v>61</v>
      </c>
      <c r="J2133" t="s">
        <v>231</v>
      </c>
      <c r="K2133" t="s">
        <v>509</v>
      </c>
      <c r="L2133" t="s">
        <v>45</v>
      </c>
      <c r="M2133" t="s">
        <v>234</v>
      </c>
      <c r="N2133" t="s">
        <v>44</v>
      </c>
      <c r="O2133" t="s">
        <v>21</v>
      </c>
      <c r="P2133" t="s">
        <v>304</v>
      </c>
      <c r="Q2133">
        <v>24750</v>
      </c>
      <c r="R2133" t="s">
        <v>237</v>
      </c>
    </row>
    <row r="2134" spans="1:18" x14ac:dyDescent="0.25">
      <c r="A2134" t="s">
        <v>2433</v>
      </c>
      <c r="B2134">
        <v>949</v>
      </c>
      <c r="C2134" t="s">
        <v>487</v>
      </c>
      <c r="D2134" t="s">
        <v>256</v>
      </c>
      <c r="E2134" t="s">
        <v>261</v>
      </c>
      <c r="F2134" t="s">
        <v>1276</v>
      </c>
      <c r="G2134" s="25">
        <v>44240</v>
      </c>
      <c r="H2134">
        <v>9</v>
      </c>
      <c r="I2134">
        <v>44</v>
      </c>
      <c r="J2134" t="s">
        <v>231</v>
      </c>
      <c r="K2134" t="s">
        <v>509</v>
      </c>
      <c r="L2134" t="s">
        <v>45</v>
      </c>
      <c r="M2134" t="s">
        <v>234</v>
      </c>
      <c r="N2134" t="s">
        <v>44</v>
      </c>
      <c r="O2134" t="s">
        <v>21</v>
      </c>
      <c r="P2134" t="s">
        <v>304</v>
      </c>
      <c r="Q2134">
        <v>8075</v>
      </c>
      <c r="R2134" t="s">
        <v>237</v>
      </c>
    </row>
    <row r="2135" spans="1:18" x14ac:dyDescent="0.25">
      <c r="A2135" t="s">
        <v>1912</v>
      </c>
      <c r="B2135">
        <v>751</v>
      </c>
      <c r="C2135" t="s">
        <v>487</v>
      </c>
      <c r="D2135" t="s">
        <v>231</v>
      </c>
      <c r="E2135" t="s">
        <v>575</v>
      </c>
      <c r="F2135" t="s">
        <v>1210</v>
      </c>
      <c r="G2135" s="25">
        <v>44231</v>
      </c>
      <c r="H2135">
        <v>7</v>
      </c>
      <c r="I2135">
        <v>35</v>
      </c>
      <c r="J2135" t="s">
        <v>231</v>
      </c>
      <c r="K2135" t="s">
        <v>509</v>
      </c>
      <c r="L2135" t="s">
        <v>45</v>
      </c>
      <c r="M2135" t="s">
        <v>234</v>
      </c>
      <c r="N2135" t="s">
        <v>44</v>
      </c>
      <c r="O2135" t="s">
        <v>21</v>
      </c>
      <c r="P2135" t="s">
        <v>304</v>
      </c>
      <c r="Q2135">
        <v>0</v>
      </c>
      <c r="R2135" t="s">
        <v>237</v>
      </c>
    </row>
    <row r="2136" spans="1:18" x14ac:dyDescent="0.25">
      <c r="A2136" t="s">
        <v>3895</v>
      </c>
      <c r="B2136">
        <v>2555</v>
      </c>
      <c r="C2136" t="s">
        <v>487</v>
      </c>
      <c r="D2136" t="s">
        <v>247</v>
      </c>
      <c r="E2136" t="s">
        <v>534</v>
      </c>
      <c r="F2136" t="s">
        <v>3166</v>
      </c>
      <c r="G2136" s="25">
        <v>44313</v>
      </c>
      <c r="H2136">
        <v>24</v>
      </c>
      <c r="I2136">
        <v>117</v>
      </c>
      <c r="J2136" t="s">
        <v>231</v>
      </c>
      <c r="K2136" t="s">
        <v>509</v>
      </c>
      <c r="L2136" t="s">
        <v>45</v>
      </c>
      <c r="M2136" t="s">
        <v>234</v>
      </c>
      <c r="N2136" t="s">
        <v>44</v>
      </c>
      <c r="O2136" t="s">
        <v>21</v>
      </c>
      <c r="P2136" t="s">
        <v>304</v>
      </c>
      <c r="Q2136">
        <v>0</v>
      </c>
      <c r="R2136" t="s">
        <v>237</v>
      </c>
    </row>
    <row r="2137" spans="1:18" x14ac:dyDescent="0.25">
      <c r="A2137" t="s">
        <v>1975</v>
      </c>
      <c r="B2137">
        <v>554</v>
      </c>
      <c r="C2137" t="s">
        <v>487</v>
      </c>
      <c r="D2137" t="s">
        <v>231</v>
      </c>
      <c r="E2137" t="s">
        <v>247</v>
      </c>
      <c r="F2137" t="s">
        <v>1088</v>
      </c>
      <c r="G2137" s="25">
        <v>44222</v>
      </c>
      <c r="H2137">
        <v>6</v>
      </c>
      <c r="I2137">
        <v>26</v>
      </c>
      <c r="J2137" t="s">
        <v>231</v>
      </c>
      <c r="K2137" t="s">
        <v>508</v>
      </c>
      <c r="L2137" t="s">
        <v>47</v>
      </c>
      <c r="M2137" t="s">
        <v>234</v>
      </c>
      <c r="N2137" t="s">
        <v>46</v>
      </c>
      <c r="O2137" t="s">
        <v>21</v>
      </c>
      <c r="P2137" t="s">
        <v>288</v>
      </c>
      <c r="Q2137">
        <v>0</v>
      </c>
      <c r="R2137" t="s">
        <v>237</v>
      </c>
    </row>
    <row r="2138" spans="1:18" x14ac:dyDescent="0.25">
      <c r="A2138" t="s">
        <v>2221</v>
      </c>
      <c r="B2138">
        <v>1764</v>
      </c>
      <c r="C2138" t="s">
        <v>487</v>
      </c>
      <c r="D2138" t="s">
        <v>322</v>
      </c>
      <c r="E2138" t="s">
        <v>229</v>
      </c>
      <c r="F2138" t="s">
        <v>1643</v>
      </c>
      <c r="G2138" s="25">
        <v>44277</v>
      </c>
      <c r="H2138">
        <v>17</v>
      </c>
      <c r="I2138">
        <v>81</v>
      </c>
      <c r="J2138" t="s">
        <v>231</v>
      </c>
      <c r="K2138" t="s">
        <v>508</v>
      </c>
      <c r="L2138" t="s">
        <v>47</v>
      </c>
      <c r="M2138" t="s">
        <v>234</v>
      </c>
      <c r="N2138" t="s">
        <v>46</v>
      </c>
      <c r="O2138" t="s">
        <v>21</v>
      </c>
      <c r="P2138" t="s">
        <v>288</v>
      </c>
      <c r="Q2138">
        <v>23556</v>
      </c>
      <c r="R2138" t="s">
        <v>237</v>
      </c>
    </row>
    <row r="2139" spans="1:18" x14ac:dyDescent="0.25">
      <c r="A2139" t="s">
        <v>2543</v>
      </c>
      <c r="B2139">
        <v>1237</v>
      </c>
      <c r="C2139" t="s">
        <v>487</v>
      </c>
      <c r="D2139" t="s">
        <v>256</v>
      </c>
      <c r="E2139" t="s">
        <v>534</v>
      </c>
      <c r="F2139" t="s">
        <v>1357</v>
      </c>
      <c r="G2139" s="25">
        <v>44253</v>
      </c>
      <c r="H2139">
        <v>12</v>
      </c>
      <c r="I2139">
        <v>57</v>
      </c>
      <c r="J2139" t="s">
        <v>231</v>
      </c>
      <c r="K2139" t="s">
        <v>507</v>
      </c>
      <c r="L2139" t="s">
        <v>49</v>
      </c>
      <c r="M2139" t="s">
        <v>234</v>
      </c>
      <c r="N2139" t="s">
        <v>48</v>
      </c>
      <c r="O2139" t="s">
        <v>21</v>
      </c>
      <c r="P2139" t="s">
        <v>413</v>
      </c>
      <c r="Q2139">
        <v>0</v>
      </c>
      <c r="R2139" t="s">
        <v>237</v>
      </c>
    </row>
    <row r="2140" spans="1:18" x14ac:dyDescent="0.25">
      <c r="A2140" t="s">
        <v>2156</v>
      </c>
      <c r="B2140">
        <v>1083</v>
      </c>
      <c r="C2140" t="s">
        <v>487</v>
      </c>
      <c r="D2140" t="s">
        <v>256</v>
      </c>
      <c r="E2140" t="s">
        <v>239</v>
      </c>
      <c r="F2140" t="s">
        <v>1322</v>
      </c>
      <c r="G2140" s="25">
        <v>44246</v>
      </c>
      <c r="H2140">
        <v>10</v>
      </c>
      <c r="I2140">
        <v>50</v>
      </c>
      <c r="J2140" t="s">
        <v>231</v>
      </c>
      <c r="K2140" t="s">
        <v>507</v>
      </c>
      <c r="L2140" t="s">
        <v>49</v>
      </c>
      <c r="M2140" t="s">
        <v>234</v>
      </c>
      <c r="N2140" t="s">
        <v>48</v>
      </c>
      <c r="O2140" t="s">
        <v>21</v>
      </c>
      <c r="P2140" t="s">
        <v>413</v>
      </c>
      <c r="Q2140">
        <v>0</v>
      </c>
      <c r="R2140" t="s">
        <v>237</v>
      </c>
    </row>
    <row r="2141" spans="1:18" x14ac:dyDescent="0.25">
      <c r="A2141" t="s">
        <v>1725</v>
      </c>
      <c r="B2141">
        <v>621</v>
      </c>
      <c r="C2141" t="s">
        <v>487</v>
      </c>
      <c r="D2141" t="s">
        <v>231</v>
      </c>
      <c r="E2141" t="s">
        <v>371</v>
      </c>
      <c r="F2141" t="s">
        <v>1124</v>
      </c>
      <c r="G2141" s="25">
        <v>44225</v>
      </c>
      <c r="H2141">
        <v>6</v>
      </c>
      <c r="I2141">
        <v>29</v>
      </c>
      <c r="J2141" t="s">
        <v>231</v>
      </c>
      <c r="K2141" t="s">
        <v>507</v>
      </c>
      <c r="L2141" t="s">
        <v>49</v>
      </c>
      <c r="M2141" t="s">
        <v>234</v>
      </c>
      <c r="N2141" t="s">
        <v>48</v>
      </c>
      <c r="O2141" t="s">
        <v>21</v>
      </c>
      <c r="P2141" t="s">
        <v>413</v>
      </c>
      <c r="Q2141">
        <v>0</v>
      </c>
      <c r="R2141" t="s">
        <v>237</v>
      </c>
    </row>
    <row r="2142" spans="1:18" x14ac:dyDescent="0.25">
      <c r="A2142" t="s">
        <v>544</v>
      </c>
      <c r="B2142">
        <v>269</v>
      </c>
      <c r="C2142" t="s">
        <v>487</v>
      </c>
      <c r="D2142" t="s">
        <v>229</v>
      </c>
      <c r="E2142" t="s">
        <v>512</v>
      </c>
      <c r="F2142" t="s">
        <v>513</v>
      </c>
      <c r="G2142" s="25">
        <v>44209</v>
      </c>
      <c r="H2142">
        <v>3</v>
      </c>
      <c r="I2142">
        <v>13</v>
      </c>
      <c r="J2142" t="s">
        <v>231</v>
      </c>
      <c r="K2142" t="s">
        <v>507</v>
      </c>
      <c r="L2142" t="s">
        <v>49</v>
      </c>
      <c r="M2142" t="s">
        <v>234</v>
      </c>
      <c r="N2142" t="s">
        <v>48</v>
      </c>
      <c r="O2142" t="s">
        <v>21</v>
      </c>
      <c r="P2142" t="s">
        <v>413</v>
      </c>
      <c r="Q2142">
        <v>0</v>
      </c>
      <c r="R2142" t="s">
        <v>237</v>
      </c>
    </row>
    <row r="2143" spans="1:18" x14ac:dyDescent="0.25">
      <c r="A2143" t="s">
        <v>3896</v>
      </c>
      <c r="B2143">
        <v>2447</v>
      </c>
      <c r="C2143" t="s">
        <v>487</v>
      </c>
      <c r="D2143" t="s">
        <v>247</v>
      </c>
      <c r="E2143" t="s">
        <v>232</v>
      </c>
      <c r="F2143" t="s">
        <v>3140</v>
      </c>
      <c r="G2143" s="25">
        <v>44308</v>
      </c>
      <c r="H2143">
        <v>23</v>
      </c>
      <c r="I2143">
        <v>112</v>
      </c>
      <c r="J2143" t="s">
        <v>231</v>
      </c>
      <c r="K2143" t="s">
        <v>507</v>
      </c>
      <c r="L2143" t="s">
        <v>49</v>
      </c>
      <c r="M2143" t="s">
        <v>234</v>
      </c>
      <c r="N2143" t="s">
        <v>48</v>
      </c>
      <c r="O2143" t="s">
        <v>21</v>
      </c>
      <c r="P2143" t="s">
        <v>413</v>
      </c>
      <c r="Q2143">
        <v>0</v>
      </c>
      <c r="R2143" t="s">
        <v>237</v>
      </c>
    </row>
    <row r="2144" spans="1:18" x14ac:dyDescent="0.25">
      <c r="A2144" t="s">
        <v>3897</v>
      </c>
      <c r="B2144">
        <v>2139</v>
      </c>
      <c r="C2144" t="s">
        <v>487</v>
      </c>
      <c r="D2144" t="s">
        <v>322</v>
      </c>
      <c r="E2144" t="s">
        <v>552</v>
      </c>
      <c r="F2144" t="s">
        <v>3045</v>
      </c>
      <c r="G2144" s="25">
        <v>44294</v>
      </c>
      <c r="H2144">
        <v>20</v>
      </c>
      <c r="I2144">
        <v>98</v>
      </c>
      <c r="J2144" t="s">
        <v>231</v>
      </c>
      <c r="K2144" t="s">
        <v>507</v>
      </c>
      <c r="L2144" t="s">
        <v>49</v>
      </c>
      <c r="M2144" t="s">
        <v>234</v>
      </c>
      <c r="N2144" t="s">
        <v>48</v>
      </c>
      <c r="O2144" t="s">
        <v>21</v>
      </c>
      <c r="P2144" t="s">
        <v>413</v>
      </c>
      <c r="Q2144">
        <v>0</v>
      </c>
      <c r="R2144" t="s">
        <v>237</v>
      </c>
    </row>
    <row r="2145" spans="1:18" x14ac:dyDescent="0.25">
      <c r="A2145" t="s">
        <v>3898</v>
      </c>
      <c r="B2145">
        <v>1831</v>
      </c>
      <c r="C2145" t="s">
        <v>487</v>
      </c>
      <c r="D2145" t="s">
        <v>322</v>
      </c>
      <c r="E2145" t="s">
        <v>261</v>
      </c>
      <c r="F2145" t="s">
        <v>2956</v>
      </c>
      <c r="G2145" s="25">
        <v>44280</v>
      </c>
      <c r="H2145">
        <v>17</v>
      </c>
      <c r="I2145">
        <v>84</v>
      </c>
      <c r="J2145" t="s">
        <v>231</v>
      </c>
      <c r="K2145" t="s">
        <v>507</v>
      </c>
      <c r="L2145" t="s">
        <v>49</v>
      </c>
      <c r="M2145" t="s">
        <v>234</v>
      </c>
      <c r="N2145" t="s">
        <v>48</v>
      </c>
      <c r="O2145" t="s">
        <v>21</v>
      </c>
      <c r="P2145" t="s">
        <v>413</v>
      </c>
      <c r="Q2145">
        <v>0</v>
      </c>
      <c r="R2145" t="s">
        <v>237</v>
      </c>
    </row>
    <row r="2146" spans="1:18" x14ac:dyDescent="0.25">
      <c r="A2146" t="s">
        <v>3899</v>
      </c>
      <c r="B2146">
        <v>2399</v>
      </c>
      <c r="C2146" t="s">
        <v>487</v>
      </c>
      <c r="D2146" t="s">
        <v>247</v>
      </c>
      <c r="E2146" t="s">
        <v>239</v>
      </c>
      <c r="F2146" t="s">
        <v>3118</v>
      </c>
      <c r="G2146" s="25">
        <v>44306</v>
      </c>
      <c r="H2146">
        <v>22</v>
      </c>
      <c r="I2146">
        <v>110</v>
      </c>
      <c r="J2146" t="s">
        <v>231</v>
      </c>
      <c r="K2146" t="s">
        <v>505</v>
      </c>
      <c r="L2146" t="s">
        <v>41</v>
      </c>
      <c r="M2146" t="s">
        <v>234</v>
      </c>
      <c r="N2146" t="s">
        <v>40</v>
      </c>
      <c r="O2146" t="s">
        <v>21</v>
      </c>
      <c r="P2146" t="s">
        <v>266</v>
      </c>
      <c r="Q2146">
        <v>0</v>
      </c>
      <c r="R2146" t="s">
        <v>237</v>
      </c>
    </row>
    <row r="2147" spans="1:18" x14ac:dyDescent="0.25">
      <c r="A2147" t="s">
        <v>3900</v>
      </c>
      <c r="B2147">
        <v>1937</v>
      </c>
      <c r="C2147" t="s">
        <v>487</v>
      </c>
      <c r="D2147" t="s">
        <v>322</v>
      </c>
      <c r="E2147" t="s">
        <v>371</v>
      </c>
      <c r="F2147" t="s">
        <v>2976</v>
      </c>
      <c r="G2147" s="25">
        <v>44285</v>
      </c>
      <c r="H2147">
        <v>18</v>
      </c>
      <c r="I2147">
        <v>89</v>
      </c>
      <c r="J2147" t="s">
        <v>231</v>
      </c>
      <c r="K2147" t="s">
        <v>505</v>
      </c>
      <c r="L2147" t="s">
        <v>41</v>
      </c>
      <c r="M2147" t="s">
        <v>234</v>
      </c>
      <c r="N2147" t="s">
        <v>40</v>
      </c>
      <c r="O2147" t="s">
        <v>21</v>
      </c>
      <c r="P2147" t="s">
        <v>266</v>
      </c>
      <c r="Q2147">
        <v>0</v>
      </c>
      <c r="R2147" t="s">
        <v>237</v>
      </c>
    </row>
    <row r="2148" spans="1:18" x14ac:dyDescent="0.25">
      <c r="A2148" t="s">
        <v>2340</v>
      </c>
      <c r="B2148">
        <v>1761</v>
      </c>
      <c r="C2148" t="s">
        <v>487</v>
      </c>
      <c r="D2148" t="s">
        <v>322</v>
      </c>
      <c r="E2148" t="s">
        <v>229</v>
      </c>
      <c r="F2148" t="s">
        <v>1643</v>
      </c>
      <c r="G2148" s="25">
        <v>44277</v>
      </c>
      <c r="H2148">
        <v>17</v>
      </c>
      <c r="I2148">
        <v>81</v>
      </c>
      <c r="J2148" t="s">
        <v>231</v>
      </c>
      <c r="K2148" t="s">
        <v>505</v>
      </c>
      <c r="L2148" t="s">
        <v>41</v>
      </c>
      <c r="M2148" t="s">
        <v>234</v>
      </c>
      <c r="N2148" t="s">
        <v>40</v>
      </c>
      <c r="O2148" t="s">
        <v>21</v>
      </c>
      <c r="P2148" t="s">
        <v>266</v>
      </c>
      <c r="Q2148">
        <v>16274</v>
      </c>
      <c r="R2148" t="s">
        <v>237</v>
      </c>
    </row>
    <row r="2149" spans="1:18" x14ac:dyDescent="0.25">
      <c r="A2149" t="s">
        <v>2091</v>
      </c>
      <c r="B2149">
        <v>661</v>
      </c>
      <c r="C2149" t="s">
        <v>487</v>
      </c>
      <c r="D2149" t="s">
        <v>231</v>
      </c>
      <c r="E2149" t="s">
        <v>515</v>
      </c>
      <c r="F2149" t="s">
        <v>1150</v>
      </c>
      <c r="G2149" s="25">
        <v>44227</v>
      </c>
      <c r="H2149">
        <v>7</v>
      </c>
      <c r="I2149">
        <v>31</v>
      </c>
      <c r="J2149" t="s">
        <v>231</v>
      </c>
      <c r="K2149" t="s">
        <v>505</v>
      </c>
      <c r="L2149" t="s">
        <v>41</v>
      </c>
      <c r="M2149" t="s">
        <v>234</v>
      </c>
      <c r="N2149" t="s">
        <v>40</v>
      </c>
      <c r="O2149" t="s">
        <v>21</v>
      </c>
      <c r="P2149" t="s">
        <v>266</v>
      </c>
      <c r="Q2149">
        <v>3707</v>
      </c>
      <c r="R2149" t="s">
        <v>237</v>
      </c>
    </row>
    <row r="2150" spans="1:18" x14ac:dyDescent="0.25">
      <c r="A2150" t="s">
        <v>3901</v>
      </c>
      <c r="B2150">
        <v>2356</v>
      </c>
      <c r="C2150" t="s">
        <v>487</v>
      </c>
      <c r="D2150" t="s">
        <v>247</v>
      </c>
      <c r="E2150" t="s">
        <v>381</v>
      </c>
      <c r="F2150" t="s">
        <v>3107</v>
      </c>
      <c r="G2150" s="25">
        <v>44304</v>
      </c>
      <c r="H2150">
        <v>22</v>
      </c>
      <c r="I2150">
        <v>108</v>
      </c>
      <c r="J2150" t="s">
        <v>231</v>
      </c>
      <c r="K2150" t="s">
        <v>504</v>
      </c>
      <c r="L2150" t="s">
        <v>43</v>
      </c>
      <c r="M2150" t="s">
        <v>234</v>
      </c>
      <c r="N2150" t="s">
        <v>42</v>
      </c>
      <c r="O2150" t="s">
        <v>21</v>
      </c>
      <c r="P2150" t="s">
        <v>236</v>
      </c>
      <c r="Q2150">
        <v>5875</v>
      </c>
      <c r="R2150" t="s">
        <v>237</v>
      </c>
    </row>
    <row r="2151" spans="1:18" x14ac:dyDescent="0.25">
      <c r="A2151" t="s">
        <v>3902</v>
      </c>
      <c r="B2151">
        <v>1850</v>
      </c>
      <c r="C2151" t="s">
        <v>487</v>
      </c>
      <c r="D2151" t="s">
        <v>322</v>
      </c>
      <c r="E2151" t="s">
        <v>322</v>
      </c>
      <c r="F2151" t="s">
        <v>2960</v>
      </c>
      <c r="G2151" s="25">
        <v>44281</v>
      </c>
      <c r="H2151">
        <v>17</v>
      </c>
      <c r="I2151">
        <v>85</v>
      </c>
      <c r="J2151" t="s">
        <v>231</v>
      </c>
      <c r="K2151" t="s">
        <v>504</v>
      </c>
      <c r="L2151" t="s">
        <v>43</v>
      </c>
      <c r="M2151" t="s">
        <v>234</v>
      </c>
      <c r="N2151" t="s">
        <v>42</v>
      </c>
      <c r="O2151" t="s">
        <v>21</v>
      </c>
      <c r="P2151" t="s">
        <v>236</v>
      </c>
      <c r="Q2151">
        <v>0</v>
      </c>
      <c r="R2151" t="s">
        <v>237</v>
      </c>
    </row>
    <row r="2152" spans="1:18" x14ac:dyDescent="0.25">
      <c r="A2152" t="s">
        <v>2873</v>
      </c>
      <c r="B2152">
        <v>1256</v>
      </c>
      <c r="C2152" t="s">
        <v>487</v>
      </c>
      <c r="D2152" t="s">
        <v>256</v>
      </c>
      <c r="E2152" t="s">
        <v>552</v>
      </c>
      <c r="F2152" t="s">
        <v>1365</v>
      </c>
      <c r="G2152" s="25">
        <v>44254</v>
      </c>
      <c r="H2152">
        <v>12</v>
      </c>
      <c r="I2152">
        <v>58</v>
      </c>
      <c r="J2152" t="s">
        <v>231</v>
      </c>
      <c r="K2152" t="s">
        <v>504</v>
      </c>
      <c r="L2152" t="s">
        <v>43</v>
      </c>
      <c r="M2152" t="s">
        <v>234</v>
      </c>
      <c r="N2152" t="s">
        <v>42</v>
      </c>
      <c r="O2152" t="s">
        <v>21</v>
      </c>
      <c r="P2152" t="s">
        <v>236</v>
      </c>
      <c r="Q2152">
        <v>14500</v>
      </c>
      <c r="R2152" t="s">
        <v>237</v>
      </c>
    </row>
    <row r="2153" spans="1:18" x14ac:dyDescent="0.25">
      <c r="A2153" t="s">
        <v>682</v>
      </c>
      <c r="B2153">
        <v>288</v>
      </c>
      <c r="C2153" t="s">
        <v>487</v>
      </c>
      <c r="D2153" t="s">
        <v>229</v>
      </c>
      <c r="E2153" t="s">
        <v>537</v>
      </c>
      <c r="F2153" t="s">
        <v>538</v>
      </c>
      <c r="G2153" s="25">
        <v>44210</v>
      </c>
      <c r="H2153">
        <v>3</v>
      </c>
      <c r="I2153">
        <v>14</v>
      </c>
      <c r="J2153" t="s">
        <v>231</v>
      </c>
      <c r="K2153" t="s">
        <v>504</v>
      </c>
      <c r="L2153" t="s">
        <v>43</v>
      </c>
      <c r="M2153" t="s">
        <v>234</v>
      </c>
      <c r="N2153" t="s">
        <v>42</v>
      </c>
      <c r="O2153" t="s">
        <v>21</v>
      </c>
      <c r="P2153" t="s">
        <v>236</v>
      </c>
      <c r="Q2153">
        <v>0</v>
      </c>
      <c r="R2153" t="s">
        <v>237</v>
      </c>
    </row>
    <row r="2154" spans="1:18" x14ac:dyDescent="0.25">
      <c r="A2154" t="s">
        <v>3903</v>
      </c>
      <c r="B2154">
        <v>2466</v>
      </c>
      <c r="C2154" t="s">
        <v>487</v>
      </c>
      <c r="D2154" t="s">
        <v>247</v>
      </c>
      <c r="E2154" t="s">
        <v>512</v>
      </c>
      <c r="F2154" t="s">
        <v>3146</v>
      </c>
      <c r="G2154" s="25">
        <v>44309</v>
      </c>
      <c r="H2154">
        <v>23</v>
      </c>
      <c r="I2154">
        <v>113</v>
      </c>
      <c r="J2154" t="s">
        <v>231</v>
      </c>
      <c r="K2154" t="s">
        <v>504</v>
      </c>
      <c r="L2154" t="s">
        <v>43</v>
      </c>
      <c r="M2154" t="s">
        <v>234</v>
      </c>
      <c r="N2154" t="s">
        <v>42</v>
      </c>
      <c r="O2154" t="s">
        <v>21</v>
      </c>
      <c r="P2154" t="s">
        <v>236</v>
      </c>
      <c r="Q2154">
        <v>0</v>
      </c>
      <c r="R2154" t="s">
        <v>237</v>
      </c>
    </row>
    <row r="2155" spans="1:18" x14ac:dyDescent="0.25">
      <c r="A2155" t="s">
        <v>2719</v>
      </c>
      <c r="B2155">
        <v>1352</v>
      </c>
      <c r="C2155" t="s">
        <v>487</v>
      </c>
      <c r="D2155" t="s">
        <v>261</v>
      </c>
      <c r="E2155" t="s">
        <v>231</v>
      </c>
      <c r="F2155" t="s">
        <v>1400</v>
      </c>
      <c r="G2155" s="25">
        <v>44258</v>
      </c>
      <c r="H2155">
        <v>13</v>
      </c>
      <c r="I2155">
        <v>62</v>
      </c>
      <c r="J2155" t="s">
        <v>231</v>
      </c>
      <c r="K2155" t="s">
        <v>502</v>
      </c>
      <c r="L2155" t="s">
        <v>287</v>
      </c>
      <c r="M2155" t="s">
        <v>234</v>
      </c>
      <c r="N2155" t="s">
        <v>58</v>
      </c>
      <c r="O2155" t="s">
        <v>235</v>
      </c>
      <c r="P2155" t="s">
        <v>288</v>
      </c>
      <c r="Q2155">
        <v>0</v>
      </c>
      <c r="R2155" t="s">
        <v>237</v>
      </c>
    </row>
    <row r="2156" spans="1:18" x14ac:dyDescent="0.25">
      <c r="A2156" t="s">
        <v>571</v>
      </c>
      <c r="B2156">
        <v>450</v>
      </c>
      <c r="C2156" t="s">
        <v>487</v>
      </c>
      <c r="D2156" t="s">
        <v>231</v>
      </c>
      <c r="E2156" t="s">
        <v>229</v>
      </c>
      <c r="F2156" t="s">
        <v>541</v>
      </c>
      <c r="G2156" s="25">
        <v>44217</v>
      </c>
      <c r="H2156">
        <v>5</v>
      </c>
      <c r="I2156">
        <v>21</v>
      </c>
      <c r="J2156" t="s">
        <v>231</v>
      </c>
      <c r="K2156" t="s">
        <v>502</v>
      </c>
      <c r="L2156" t="s">
        <v>287</v>
      </c>
      <c r="M2156" t="s">
        <v>234</v>
      </c>
      <c r="N2156" t="s">
        <v>58</v>
      </c>
      <c r="O2156" t="s">
        <v>235</v>
      </c>
      <c r="P2156" t="s">
        <v>288</v>
      </c>
      <c r="Q2156">
        <v>0</v>
      </c>
      <c r="R2156" t="s">
        <v>237</v>
      </c>
    </row>
    <row r="2157" spans="1:18" x14ac:dyDescent="0.25">
      <c r="A2157" t="s">
        <v>573</v>
      </c>
      <c r="B2157">
        <v>142</v>
      </c>
      <c r="C2157" t="s">
        <v>487</v>
      </c>
      <c r="D2157" t="s">
        <v>229</v>
      </c>
      <c r="E2157" t="s">
        <v>326</v>
      </c>
      <c r="F2157" t="s">
        <v>522</v>
      </c>
      <c r="G2157" s="25">
        <v>44203</v>
      </c>
      <c r="H2157">
        <v>2</v>
      </c>
      <c r="I2157">
        <v>7</v>
      </c>
      <c r="J2157" t="s">
        <v>231</v>
      </c>
      <c r="K2157" t="s">
        <v>502</v>
      </c>
      <c r="L2157" t="s">
        <v>287</v>
      </c>
      <c r="M2157" t="s">
        <v>234</v>
      </c>
      <c r="N2157" t="s">
        <v>58</v>
      </c>
      <c r="O2157" t="s">
        <v>235</v>
      </c>
      <c r="P2157" t="s">
        <v>288</v>
      </c>
      <c r="Q2157">
        <v>0</v>
      </c>
      <c r="R2157" t="s">
        <v>237</v>
      </c>
    </row>
    <row r="2158" spans="1:18" x14ac:dyDescent="0.25">
      <c r="A2158" t="s">
        <v>3904</v>
      </c>
      <c r="B2158">
        <v>2320</v>
      </c>
      <c r="C2158" t="s">
        <v>487</v>
      </c>
      <c r="D2158" t="s">
        <v>247</v>
      </c>
      <c r="E2158" t="s">
        <v>247</v>
      </c>
      <c r="F2158" t="s">
        <v>3085</v>
      </c>
      <c r="G2158" s="25">
        <v>44302</v>
      </c>
      <c r="H2158">
        <v>22</v>
      </c>
      <c r="I2158">
        <v>106</v>
      </c>
      <c r="J2158" t="s">
        <v>231</v>
      </c>
      <c r="K2158" t="s">
        <v>502</v>
      </c>
      <c r="L2158" t="s">
        <v>287</v>
      </c>
      <c r="M2158" t="s">
        <v>234</v>
      </c>
      <c r="N2158" t="s">
        <v>58</v>
      </c>
      <c r="O2158" t="s">
        <v>235</v>
      </c>
      <c r="P2158" t="s">
        <v>288</v>
      </c>
      <c r="Q2158">
        <v>0</v>
      </c>
      <c r="R2158" t="s">
        <v>237</v>
      </c>
    </row>
    <row r="2159" spans="1:18" x14ac:dyDescent="0.25">
      <c r="A2159" t="s">
        <v>2353</v>
      </c>
      <c r="B2159">
        <v>979</v>
      </c>
      <c r="C2159" t="s">
        <v>487</v>
      </c>
      <c r="D2159" t="s">
        <v>256</v>
      </c>
      <c r="E2159" t="s">
        <v>322</v>
      </c>
      <c r="F2159" t="s">
        <v>1288</v>
      </c>
      <c r="G2159" s="25">
        <v>44241</v>
      </c>
      <c r="H2159">
        <v>9</v>
      </c>
      <c r="I2159">
        <v>45</v>
      </c>
      <c r="J2159" t="s">
        <v>231</v>
      </c>
      <c r="K2159" t="s">
        <v>501</v>
      </c>
      <c r="L2159" t="s">
        <v>412</v>
      </c>
      <c r="M2159" t="s">
        <v>234</v>
      </c>
      <c r="N2159" t="s">
        <v>60</v>
      </c>
      <c r="O2159" t="s">
        <v>235</v>
      </c>
      <c r="P2159" t="s">
        <v>413</v>
      </c>
      <c r="Q2159">
        <v>0</v>
      </c>
      <c r="R2159" t="s">
        <v>237</v>
      </c>
    </row>
    <row r="2160" spans="1:18" x14ac:dyDescent="0.25">
      <c r="A2160" t="s">
        <v>2887</v>
      </c>
      <c r="B2160">
        <v>605</v>
      </c>
      <c r="C2160" t="s">
        <v>487</v>
      </c>
      <c r="D2160" t="s">
        <v>231</v>
      </c>
      <c r="E2160" t="s">
        <v>381</v>
      </c>
      <c r="F2160" t="s">
        <v>1099</v>
      </c>
      <c r="G2160" s="25">
        <v>44224</v>
      </c>
      <c r="H2160">
        <v>6</v>
      </c>
      <c r="I2160">
        <v>28</v>
      </c>
      <c r="J2160" t="s">
        <v>231</v>
      </c>
      <c r="K2160" t="s">
        <v>501</v>
      </c>
      <c r="L2160" t="s">
        <v>412</v>
      </c>
      <c r="M2160" t="s">
        <v>234</v>
      </c>
      <c r="N2160" t="s">
        <v>60</v>
      </c>
      <c r="O2160" t="s">
        <v>235</v>
      </c>
      <c r="P2160" t="s">
        <v>413</v>
      </c>
      <c r="Q2160">
        <v>0</v>
      </c>
      <c r="R2160" t="s">
        <v>237</v>
      </c>
    </row>
    <row r="2161" spans="1:18" x14ac:dyDescent="0.25">
      <c r="A2161" t="s">
        <v>804</v>
      </c>
      <c r="B2161">
        <v>253</v>
      </c>
      <c r="C2161" t="s">
        <v>487</v>
      </c>
      <c r="D2161" t="s">
        <v>229</v>
      </c>
      <c r="E2161" t="s">
        <v>232</v>
      </c>
      <c r="F2161" t="s">
        <v>520</v>
      </c>
      <c r="G2161" s="25">
        <v>44208</v>
      </c>
      <c r="H2161">
        <v>3</v>
      </c>
      <c r="I2161">
        <v>12</v>
      </c>
      <c r="J2161" t="s">
        <v>231</v>
      </c>
      <c r="K2161" t="s">
        <v>501</v>
      </c>
      <c r="L2161" t="s">
        <v>412</v>
      </c>
      <c r="M2161" t="s">
        <v>234</v>
      </c>
      <c r="N2161" t="s">
        <v>60</v>
      </c>
      <c r="O2161" t="s">
        <v>235</v>
      </c>
      <c r="P2161" t="s">
        <v>413</v>
      </c>
      <c r="Q2161">
        <v>0</v>
      </c>
      <c r="R2161" t="s">
        <v>237</v>
      </c>
    </row>
    <row r="2162" spans="1:18" x14ac:dyDescent="0.25">
      <c r="A2162" t="s">
        <v>3905</v>
      </c>
      <c r="B2162">
        <v>2431</v>
      </c>
      <c r="C2162" t="s">
        <v>487</v>
      </c>
      <c r="D2162" t="s">
        <v>247</v>
      </c>
      <c r="E2162" t="s">
        <v>515</v>
      </c>
      <c r="F2162" t="s">
        <v>3134</v>
      </c>
      <c r="G2162" s="25">
        <v>44307</v>
      </c>
      <c r="H2162">
        <v>23</v>
      </c>
      <c r="I2162">
        <v>111</v>
      </c>
      <c r="J2162" t="s">
        <v>231</v>
      </c>
      <c r="K2162" t="s">
        <v>501</v>
      </c>
      <c r="L2162" t="s">
        <v>412</v>
      </c>
      <c r="M2162" t="s">
        <v>234</v>
      </c>
      <c r="N2162" t="s">
        <v>60</v>
      </c>
      <c r="O2162" t="s">
        <v>235</v>
      </c>
      <c r="P2162" t="s">
        <v>413</v>
      </c>
      <c r="Q2162">
        <v>0</v>
      </c>
      <c r="R2162" t="s">
        <v>237</v>
      </c>
    </row>
    <row r="2163" spans="1:18" x14ac:dyDescent="0.25">
      <c r="A2163" t="s">
        <v>3906</v>
      </c>
      <c r="B2163">
        <v>2123</v>
      </c>
      <c r="C2163" t="s">
        <v>487</v>
      </c>
      <c r="D2163" t="s">
        <v>322</v>
      </c>
      <c r="E2163" t="s">
        <v>534</v>
      </c>
      <c r="F2163" t="s">
        <v>3031</v>
      </c>
      <c r="G2163" s="25">
        <v>44293</v>
      </c>
      <c r="H2163">
        <v>20</v>
      </c>
      <c r="I2163">
        <v>97</v>
      </c>
      <c r="J2163" t="s">
        <v>231</v>
      </c>
      <c r="K2163" t="s">
        <v>501</v>
      </c>
      <c r="L2163" t="s">
        <v>412</v>
      </c>
      <c r="M2163" t="s">
        <v>234</v>
      </c>
      <c r="N2163" t="s">
        <v>60</v>
      </c>
      <c r="O2163" t="s">
        <v>235</v>
      </c>
      <c r="P2163" t="s">
        <v>413</v>
      </c>
      <c r="Q2163">
        <v>0</v>
      </c>
      <c r="R2163" t="s">
        <v>237</v>
      </c>
    </row>
    <row r="2164" spans="1:18" x14ac:dyDescent="0.25">
      <c r="A2164" t="s">
        <v>3907</v>
      </c>
      <c r="B2164">
        <v>1815</v>
      </c>
      <c r="C2164" t="s">
        <v>487</v>
      </c>
      <c r="D2164" t="s">
        <v>322</v>
      </c>
      <c r="E2164" t="s">
        <v>256</v>
      </c>
      <c r="F2164" t="s">
        <v>2952</v>
      </c>
      <c r="G2164" s="25">
        <v>44279</v>
      </c>
      <c r="H2164">
        <v>17</v>
      </c>
      <c r="I2164">
        <v>83</v>
      </c>
      <c r="J2164" t="s">
        <v>231</v>
      </c>
      <c r="K2164" t="s">
        <v>501</v>
      </c>
      <c r="L2164" t="s">
        <v>412</v>
      </c>
      <c r="M2164" t="s">
        <v>234</v>
      </c>
      <c r="N2164" t="s">
        <v>60</v>
      </c>
      <c r="O2164" t="s">
        <v>235</v>
      </c>
      <c r="P2164" t="s">
        <v>413</v>
      </c>
      <c r="Q2164">
        <v>0</v>
      </c>
      <c r="R2164" t="s">
        <v>237</v>
      </c>
    </row>
    <row r="2165" spans="1:18" x14ac:dyDescent="0.25">
      <c r="A2165" t="s">
        <v>2453</v>
      </c>
      <c r="B2165">
        <v>1221</v>
      </c>
      <c r="C2165" t="s">
        <v>487</v>
      </c>
      <c r="D2165" t="s">
        <v>256</v>
      </c>
      <c r="E2165" t="s">
        <v>620</v>
      </c>
      <c r="F2165" t="s">
        <v>1350</v>
      </c>
      <c r="G2165" s="25">
        <v>44252</v>
      </c>
      <c r="H2165">
        <v>12</v>
      </c>
      <c r="I2165">
        <v>56</v>
      </c>
      <c r="J2165" t="s">
        <v>231</v>
      </c>
      <c r="K2165" t="s">
        <v>501</v>
      </c>
      <c r="L2165" t="s">
        <v>412</v>
      </c>
      <c r="M2165" t="s">
        <v>234</v>
      </c>
      <c r="N2165" t="s">
        <v>60</v>
      </c>
      <c r="O2165" t="s">
        <v>235</v>
      </c>
      <c r="P2165" t="s">
        <v>413</v>
      </c>
      <c r="Q2165">
        <v>0</v>
      </c>
      <c r="R2165" t="s">
        <v>237</v>
      </c>
    </row>
    <row r="2166" spans="1:18" x14ac:dyDescent="0.25">
      <c r="A2166" t="s">
        <v>2113</v>
      </c>
      <c r="B2166">
        <v>1772</v>
      </c>
      <c r="C2166" t="s">
        <v>487</v>
      </c>
      <c r="D2166" t="s">
        <v>322</v>
      </c>
      <c r="E2166" t="s">
        <v>229</v>
      </c>
      <c r="F2166" t="s">
        <v>1643</v>
      </c>
      <c r="G2166" s="25">
        <v>44277</v>
      </c>
      <c r="H2166">
        <v>17</v>
      </c>
      <c r="I2166">
        <v>81</v>
      </c>
      <c r="J2166" t="s">
        <v>231</v>
      </c>
      <c r="K2166" t="s">
        <v>499</v>
      </c>
      <c r="L2166" t="s">
        <v>410</v>
      </c>
      <c r="M2166" t="s">
        <v>234</v>
      </c>
      <c r="N2166" t="s">
        <v>62</v>
      </c>
      <c r="O2166" t="s">
        <v>235</v>
      </c>
      <c r="P2166" t="s">
        <v>411</v>
      </c>
      <c r="Q2166">
        <v>0</v>
      </c>
      <c r="R2166" t="s">
        <v>237</v>
      </c>
    </row>
    <row r="2167" spans="1:18" x14ac:dyDescent="0.25">
      <c r="A2167" t="s">
        <v>1782</v>
      </c>
      <c r="B2167">
        <v>1464</v>
      </c>
      <c r="C2167" t="s">
        <v>487</v>
      </c>
      <c r="D2167" t="s">
        <v>261</v>
      </c>
      <c r="E2167" t="s">
        <v>326</v>
      </c>
      <c r="F2167" t="s">
        <v>1440</v>
      </c>
      <c r="G2167" s="25">
        <v>44263</v>
      </c>
      <c r="H2167">
        <v>14</v>
      </c>
      <c r="I2167">
        <v>67</v>
      </c>
      <c r="J2167" t="s">
        <v>231</v>
      </c>
      <c r="K2167" t="s">
        <v>499</v>
      </c>
      <c r="L2167" t="s">
        <v>410</v>
      </c>
      <c r="M2167" t="s">
        <v>234</v>
      </c>
      <c r="N2167" t="s">
        <v>62</v>
      </c>
      <c r="O2167" t="s">
        <v>235</v>
      </c>
      <c r="P2167" t="s">
        <v>411</v>
      </c>
      <c r="Q2167">
        <v>0</v>
      </c>
      <c r="R2167" t="s">
        <v>237</v>
      </c>
    </row>
    <row r="2168" spans="1:18" x14ac:dyDescent="0.25">
      <c r="A2168" t="s">
        <v>1936</v>
      </c>
      <c r="B2168">
        <v>936</v>
      </c>
      <c r="C2168" t="s">
        <v>487</v>
      </c>
      <c r="D2168" t="s">
        <v>256</v>
      </c>
      <c r="E2168" t="s">
        <v>256</v>
      </c>
      <c r="F2168" t="s">
        <v>1263</v>
      </c>
      <c r="G2168" s="25">
        <v>44239</v>
      </c>
      <c r="H2168">
        <v>9</v>
      </c>
      <c r="I2168">
        <v>43</v>
      </c>
      <c r="J2168" t="s">
        <v>231</v>
      </c>
      <c r="K2168" t="s">
        <v>499</v>
      </c>
      <c r="L2168" t="s">
        <v>410</v>
      </c>
      <c r="M2168" t="s">
        <v>234</v>
      </c>
      <c r="N2168" t="s">
        <v>62</v>
      </c>
      <c r="O2168" t="s">
        <v>235</v>
      </c>
      <c r="P2168" t="s">
        <v>411</v>
      </c>
      <c r="Q2168">
        <v>0</v>
      </c>
      <c r="R2168" t="s">
        <v>237</v>
      </c>
    </row>
    <row r="2169" spans="1:18" x14ac:dyDescent="0.25">
      <c r="A2169" t="s">
        <v>2520</v>
      </c>
      <c r="B2169">
        <v>562</v>
      </c>
      <c r="C2169" t="s">
        <v>487</v>
      </c>
      <c r="D2169" t="s">
        <v>231</v>
      </c>
      <c r="E2169" t="s">
        <v>247</v>
      </c>
      <c r="F2169" t="s">
        <v>1088</v>
      </c>
      <c r="G2169" s="25">
        <v>44222</v>
      </c>
      <c r="H2169">
        <v>6</v>
      </c>
      <c r="I2169">
        <v>26</v>
      </c>
      <c r="J2169" t="s">
        <v>231</v>
      </c>
      <c r="K2169" t="s">
        <v>499</v>
      </c>
      <c r="L2169" t="s">
        <v>410</v>
      </c>
      <c r="M2169" t="s">
        <v>234</v>
      </c>
      <c r="N2169" t="s">
        <v>62</v>
      </c>
      <c r="O2169" t="s">
        <v>235</v>
      </c>
      <c r="P2169" t="s">
        <v>411</v>
      </c>
      <c r="Q2169">
        <v>0</v>
      </c>
      <c r="R2169" t="s">
        <v>237</v>
      </c>
    </row>
    <row r="2170" spans="1:18" x14ac:dyDescent="0.25">
      <c r="A2170" t="s">
        <v>1830</v>
      </c>
      <c r="B2170">
        <v>1781</v>
      </c>
      <c r="C2170" t="s">
        <v>487</v>
      </c>
      <c r="D2170" t="s">
        <v>322</v>
      </c>
      <c r="E2170" t="s">
        <v>229</v>
      </c>
      <c r="F2170" t="s">
        <v>1643</v>
      </c>
      <c r="G2170" s="25">
        <v>44277</v>
      </c>
      <c r="H2170">
        <v>17</v>
      </c>
      <c r="I2170">
        <v>81</v>
      </c>
      <c r="J2170" t="s">
        <v>432</v>
      </c>
      <c r="K2170" t="s">
        <v>498</v>
      </c>
      <c r="L2170" t="s">
        <v>26</v>
      </c>
      <c r="M2170" t="s">
        <v>434</v>
      </c>
      <c r="N2170" t="s">
        <v>77</v>
      </c>
      <c r="O2170" t="s">
        <v>435</v>
      </c>
      <c r="P2170" t="s">
        <v>26</v>
      </c>
      <c r="Q2170">
        <v>88200</v>
      </c>
      <c r="R2170" t="s">
        <v>436</v>
      </c>
    </row>
    <row r="2171" spans="1:18" x14ac:dyDescent="0.25">
      <c r="A2171" t="s">
        <v>1998</v>
      </c>
      <c r="B2171">
        <v>945</v>
      </c>
      <c r="C2171" t="s">
        <v>487</v>
      </c>
      <c r="D2171" t="s">
        <v>256</v>
      </c>
      <c r="E2171" t="s">
        <v>256</v>
      </c>
      <c r="F2171" t="s">
        <v>1263</v>
      </c>
      <c r="G2171" s="25">
        <v>44239</v>
      </c>
      <c r="H2171">
        <v>9</v>
      </c>
      <c r="I2171">
        <v>43</v>
      </c>
      <c r="J2171" t="s">
        <v>432</v>
      </c>
      <c r="K2171" t="s">
        <v>498</v>
      </c>
      <c r="L2171" t="s">
        <v>26</v>
      </c>
      <c r="M2171" t="s">
        <v>434</v>
      </c>
      <c r="N2171" t="s">
        <v>77</v>
      </c>
      <c r="O2171" t="s">
        <v>435</v>
      </c>
      <c r="P2171" t="s">
        <v>26</v>
      </c>
      <c r="Q2171">
        <v>90300</v>
      </c>
      <c r="R2171" t="s">
        <v>436</v>
      </c>
    </row>
    <row r="2172" spans="1:18" x14ac:dyDescent="0.25">
      <c r="A2172" t="s">
        <v>1671</v>
      </c>
      <c r="B2172">
        <v>571</v>
      </c>
      <c r="C2172" t="s">
        <v>487</v>
      </c>
      <c r="D2172" t="s">
        <v>231</v>
      </c>
      <c r="E2172" t="s">
        <v>247</v>
      </c>
      <c r="F2172" t="s">
        <v>1088</v>
      </c>
      <c r="G2172" s="25">
        <v>44222</v>
      </c>
      <c r="H2172">
        <v>6</v>
      </c>
      <c r="I2172">
        <v>26</v>
      </c>
      <c r="J2172" t="s">
        <v>432</v>
      </c>
      <c r="K2172" t="s">
        <v>498</v>
      </c>
      <c r="L2172" t="s">
        <v>26</v>
      </c>
      <c r="M2172" t="s">
        <v>434</v>
      </c>
      <c r="N2172" t="s">
        <v>77</v>
      </c>
      <c r="O2172" t="s">
        <v>435</v>
      </c>
      <c r="P2172" t="s">
        <v>26</v>
      </c>
      <c r="Q2172">
        <v>148400</v>
      </c>
      <c r="R2172" t="s">
        <v>436</v>
      </c>
    </row>
    <row r="2173" spans="1:18" x14ac:dyDescent="0.25">
      <c r="A2173" t="s">
        <v>3908</v>
      </c>
      <c r="B2173">
        <v>2419</v>
      </c>
      <c r="C2173" t="s">
        <v>487</v>
      </c>
      <c r="D2173" t="s">
        <v>247</v>
      </c>
      <c r="E2173" t="s">
        <v>239</v>
      </c>
      <c r="F2173" t="s">
        <v>3118</v>
      </c>
      <c r="G2173" s="25">
        <v>44306</v>
      </c>
      <c r="H2173">
        <v>22</v>
      </c>
      <c r="I2173">
        <v>110</v>
      </c>
      <c r="J2173" t="s">
        <v>432</v>
      </c>
      <c r="K2173" t="s">
        <v>498</v>
      </c>
      <c r="L2173" t="s">
        <v>26</v>
      </c>
      <c r="M2173" t="s">
        <v>434</v>
      </c>
      <c r="N2173" t="s">
        <v>77</v>
      </c>
      <c r="O2173" t="s">
        <v>435</v>
      </c>
      <c r="P2173" t="s">
        <v>26</v>
      </c>
      <c r="Q2173">
        <v>188130</v>
      </c>
      <c r="R2173" t="s">
        <v>436</v>
      </c>
    </row>
    <row r="2174" spans="1:18" x14ac:dyDescent="0.25">
      <c r="A2174" t="s">
        <v>1743</v>
      </c>
      <c r="B2174">
        <v>1471</v>
      </c>
      <c r="C2174" t="s">
        <v>487</v>
      </c>
      <c r="D2174" t="s">
        <v>261</v>
      </c>
      <c r="E2174" t="s">
        <v>326</v>
      </c>
      <c r="F2174" t="s">
        <v>1440</v>
      </c>
      <c r="G2174" s="25">
        <v>44263</v>
      </c>
      <c r="H2174">
        <v>14</v>
      </c>
      <c r="I2174">
        <v>67</v>
      </c>
      <c r="J2174" t="s">
        <v>432</v>
      </c>
      <c r="K2174" t="s">
        <v>497</v>
      </c>
      <c r="L2174" t="s">
        <v>438</v>
      </c>
      <c r="M2174" t="s">
        <v>434</v>
      </c>
      <c r="N2174" t="s">
        <v>75</v>
      </c>
      <c r="O2174" t="s">
        <v>435</v>
      </c>
      <c r="P2174" t="s">
        <v>438</v>
      </c>
      <c r="Q2174">
        <v>32100</v>
      </c>
      <c r="R2174" t="s">
        <v>436</v>
      </c>
    </row>
    <row r="2175" spans="1:18" x14ac:dyDescent="0.25">
      <c r="A2175" t="s">
        <v>2250</v>
      </c>
      <c r="B2175">
        <v>943</v>
      </c>
      <c r="C2175" t="s">
        <v>487</v>
      </c>
      <c r="D2175" t="s">
        <v>256</v>
      </c>
      <c r="E2175" t="s">
        <v>256</v>
      </c>
      <c r="F2175" t="s">
        <v>1263</v>
      </c>
      <c r="G2175" s="25">
        <v>44239</v>
      </c>
      <c r="H2175">
        <v>9</v>
      </c>
      <c r="I2175">
        <v>43</v>
      </c>
      <c r="J2175" t="s">
        <v>432</v>
      </c>
      <c r="K2175" t="s">
        <v>497</v>
      </c>
      <c r="L2175" t="s">
        <v>438</v>
      </c>
      <c r="M2175" t="s">
        <v>434</v>
      </c>
      <c r="N2175" t="s">
        <v>75</v>
      </c>
      <c r="O2175" t="s">
        <v>435</v>
      </c>
      <c r="P2175" t="s">
        <v>438</v>
      </c>
      <c r="Q2175">
        <v>19200</v>
      </c>
      <c r="R2175" t="s">
        <v>436</v>
      </c>
    </row>
    <row r="2176" spans="1:18" x14ac:dyDescent="0.25">
      <c r="A2176" t="s">
        <v>2308</v>
      </c>
      <c r="B2176">
        <v>569</v>
      </c>
      <c r="C2176" t="s">
        <v>487</v>
      </c>
      <c r="D2176" t="s">
        <v>231</v>
      </c>
      <c r="E2176" t="s">
        <v>247</v>
      </c>
      <c r="F2176" t="s">
        <v>1088</v>
      </c>
      <c r="G2176" s="25">
        <v>44222</v>
      </c>
      <c r="H2176">
        <v>6</v>
      </c>
      <c r="I2176">
        <v>26</v>
      </c>
      <c r="J2176" t="s">
        <v>432</v>
      </c>
      <c r="K2176" t="s">
        <v>497</v>
      </c>
      <c r="L2176" t="s">
        <v>438</v>
      </c>
      <c r="M2176" t="s">
        <v>434</v>
      </c>
      <c r="N2176" t="s">
        <v>75</v>
      </c>
      <c r="O2176" t="s">
        <v>435</v>
      </c>
      <c r="P2176" t="s">
        <v>438</v>
      </c>
      <c r="Q2176">
        <v>31200</v>
      </c>
      <c r="R2176" t="s">
        <v>436</v>
      </c>
    </row>
    <row r="2177" spans="1:18" x14ac:dyDescent="0.25">
      <c r="A2177" t="s">
        <v>1943</v>
      </c>
      <c r="B2177">
        <v>1779</v>
      </c>
      <c r="C2177" t="s">
        <v>487</v>
      </c>
      <c r="D2177" t="s">
        <v>322</v>
      </c>
      <c r="E2177" t="s">
        <v>229</v>
      </c>
      <c r="F2177" t="s">
        <v>1643</v>
      </c>
      <c r="G2177" s="25">
        <v>44277</v>
      </c>
      <c r="H2177">
        <v>17</v>
      </c>
      <c r="I2177">
        <v>81</v>
      </c>
      <c r="J2177" t="s">
        <v>432</v>
      </c>
      <c r="K2177" t="s">
        <v>497</v>
      </c>
      <c r="L2177" t="s">
        <v>438</v>
      </c>
      <c r="M2177" t="s">
        <v>434</v>
      </c>
      <c r="N2177" t="s">
        <v>75</v>
      </c>
      <c r="O2177" t="s">
        <v>435</v>
      </c>
      <c r="P2177" t="s">
        <v>438</v>
      </c>
      <c r="Q2177">
        <v>24000</v>
      </c>
      <c r="R2177" t="s">
        <v>436</v>
      </c>
    </row>
    <row r="2178" spans="1:18" x14ac:dyDescent="0.25">
      <c r="A2178" t="s">
        <v>2528</v>
      </c>
      <c r="B2178">
        <v>1401</v>
      </c>
      <c r="C2178" t="s">
        <v>487</v>
      </c>
      <c r="D2178" t="s">
        <v>261</v>
      </c>
      <c r="E2178" t="s">
        <v>261</v>
      </c>
      <c r="F2178" t="s">
        <v>1410</v>
      </c>
      <c r="G2178" s="25">
        <v>44260</v>
      </c>
      <c r="H2178">
        <v>13</v>
      </c>
      <c r="I2178">
        <v>64</v>
      </c>
      <c r="J2178" t="s">
        <v>432</v>
      </c>
      <c r="K2178" t="s">
        <v>496</v>
      </c>
      <c r="L2178" t="s">
        <v>69</v>
      </c>
      <c r="M2178" t="s">
        <v>434</v>
      </c>
      <c r="N2178" t="s">
        <v>68</v>
      </c>
      <c r="O2178" t="s">
        <v>21</v>
      </c>
      <c r="P2178" t="s">
        <v>439</v>
      </c>
      <c r="Q2178">
        <v>285000</v>
      </c>
      <c r="R2178" t="s">
        <v>237</v>
      </c>
    </row>
    <row r="2179" spans="1:18" x14ac:dyDescent="0.25">
      <c r="A2179" t="s">
        <v>1832</v>
      </c>
      <c r="B2179">
        <v>1313</v>
      </c>
      <c r="C2179" t="s">
        <v>487</v>
      </c>
      <c r="D2179" t="s">
        <v>256</v>
      </c>
      <c r="E2179" t="s">
        <v>408</v>
      </c>
      <c r="F2179" t="s">
        <v>1383</v>
      </c>
      <c r="G2179" s="25">
        <v>44256</v>
      </c>
      <c r="H2179">
        <v>12</v>
      </c>
      <c r="I2179">
        <v>60</v>
      </c>
      <c r="J2179" t="s">
        <v>432</v>
      </c>
      <c r="K2179" t="s">
        <v>496</v>
      </c>
      <c r="L2179" t="s">
        <v>69</v>
      </c>
      <c r="M2179" t="s">
        <v>434</v>
      </c>
      <c r="N2179" t="s">
        <v>68</v>
      </c>
      <c r="O2179" t="s">
        <v>21</v>
      </c>
      <c r="P2179" t="s">
        <v>439</v>
      </c>
      <c r="Q2179">
        <v>373250</v>
      </c>
      <c r="R2179" t="s">
        <v>237</v>
      </c>
    </row>
    <row r="2180" spans="1:18" x14ac:dyDescent="0.25">
      <c r="A2180" t="s">
        <v>2742</v>
      </c>
      <c r="B2180">
        <v>1115</v>
      </c>
      <c r="C2180" t="s">
        <v>487</v>
      </c>
      <c r="D2180" t="s">
        <v>256</v>
      </c>
      <c r="E2180" t="s">
        <v>515</v>
      </c>
      <c r="F2180" t="s">
        <v>1329</v>
      </c>
      <c r="G2180" s="25">
        <v>44247</v>
      </c>
      <c r="H2180">
        <v>11</v>
      </c>
      <c r="I2180">
        <v>51</v>
      </c>
      <c r="J2180" t="s">
        <v>432</v>
      </c>
      <c r="K2180" t="s">
        <v>496</v>
      </c>
      <c r="L2180" t="s">
        <v>69</v>
      </c>
      <c r="M2180" t="s">
        <v>434</v>
      </c>
      <c r="N2180" t="s">
        <v>68</v>
      </c>
      <c r="O2180" t="s">
        <v>21</v>
      </c>
      <c r="P2180" t="s">
        <v>439</v>
      </c>
      <c r="Q2180">
        <v>512000</v>
      </c>
      <c r="R2180" t="s">
        <v>237</v>
      </c>
    </row>
    <row r="2181" spans="1:18" x14ac:dyDescent="0.25">
      <c r="A2181" t="s">
        <v>1620</v>
      </c>
      <c r="B2181">
        <v>499</v>
      </c>
      <c r="C2181" t="s">
        <v>487</v>
      </c>
      <c r="D2181" t="s">
        <v>231</v>
      </c>
      <c r="E2181" t="s">
        <v>256</v>
      </c>
      <c r="F2181" t="s">
        <v>1064</v>
      </c>
      <c r="G2181" s="25">
        <v>44219</v>
      </c>
      <c r="H2181">
        <v>5</v>
      </c>
      <c r="I2181">
        <v>23</v>
      </c>
      <c r="J2181" t="s">
        <v>432</v>
      </c>
      <c r="K2181" t="s">
        <v>496</v>
      </c>
      <c r="L2181" t="s">
        <v>69</v>
      </c>
      <c r="M2181" t="s">
        <v>434</v>
      </c>
      <c r="N2181" t="s">
        <v>68</v>
      </c>
      <c r="O2181" t="s">
        <v>21</v>
      </c>
      <c r="P2181" t="s">
        <v>439</v>
      </c>
      <c r="Q2181">
        <v>0</v>
      </c>
      <c r="R2181" t="s">
        <v>237</v>
      </c>
    </row>
    <row r="2182" spans="1:18" x14ac:dyDescent="0.25">
      <c r="A2182" t="s">
        <v>581</v>
      </c>
      <c r="B2182">
        <v>191</v>
      </c>
      <c r="C2182" t="s">
        <v>487</v>
      </c>
      <c r="D2182" t="s">
        <v>229</v>
      </c>
      <c r="E2182" t="s">
        <v>371</v>
      </c>
      <c r="F2182" t="s">
        <v>557</v>
      </c>
      <c r="G2182" s="25">
        <v>44205</v>
      </c>
      <c r="H2182">
        <v>2</v>
      </c>
      <c r="I2182">
        <v>9</v>
      </c>
      <c r="J2182" t="s">
        <v>432</v>
      </c>
      <c r="K2182" t="s">
        <v>496</v>
      </c>
      <c r="L2182" t="s">
        <v>69</v>
      </c>
      <c r="M2182" t="s">
        <v>434</v>
      </c>
      <c r="N2182" t="s">
        <v>68</v>
      </c>
      <c r="O2182" t="s">
        <v>21</v>
      </c>
      <c r="P2182" t="s">
        <v>439</v>
      </c>
      <c r="Q2182">
        <v>24000</v>
      </c>
      <c r="R2182" t="s">
        <v>237</v>
      </c>
    </row>
    <row r="2183" spans="1:18" x14ac:dyDescent="0.25">
      <c r="A2183" t="s">
        <v>3909</v>
      </c>
      <c r="B2183">
        <v>2017</v>
      </c>
      <c r="C2183" t="s">
        <v>487</v>
      </c>
      <c r="D2183" t="s">
        <v>322</v>
      </c>
      <c r="E2183" t="s">
        <v>232</v>
      </c>
      <c r="F2183" t="s">
        <v>2987</v>
      </c>
      <c r="G2183" s="25">
        <v>44288</v>
      </c>
      <c r="H2183">
        <v>19</v>
      </c>
      <c r="I2183">
        <v>92</v>
      </c>
      <c r="J2183" t="s">
        <v>432</v>
      </c>
      <c r="K2183" t="s">
        <v>496</v>
      </c>
      <c r="L2183" t="s">
        <v>69</v>
      </c>
      <c r="M2183" t="s">
        <v>434</v>
      </c>
      <c r="N2183" t="s">
        <v>68</v>
      </c>
      <c r="O2183" t="s">
        <v>21</v>
      </c>
      <c r="P2183" t="s">
        <v>439</v>
      </c>
      <c r="Q2183">
        <v>681000</v>
      </c>
      <c r="R2183" t="s">
        <v>237</v>
      </c>
    </row>
    <row r="2184" spans="1:18" x14ac:dyDescent="0.25">
      <c r="A2184" t="s">
        <v>3910</v>
      </c>
      <c r="B2184">
        <v>2612</v>
      </c>
      <c r="C2184" t="s">
        <v>487</v>
      </c>
      <c r="D2184" t="s">
        <v>247</v>
      </c>
      <c r="E2184" t="s">
        <v>531</v>
      </c>
      <c r="F2184" t="s">
        <v>3173</v>
      </c>
      <c r="G2184" s="25">
        <v>44315</v>
      </c>
      <c r="H2184">
        <v>24</v>
      </c>
      <c r="I2184">
        <v>119</v>
      </c>
      <c r="J2184" t="s">
        <v>432</v>
      </c>
      <c r="K2184" t="s">
        <v>495</v>
      </c>
      <c r="L2184" t="s">
        <v>135</v>
      </c>
      <c r="M2184" t="s">
        <v>434</v>
      </c>
      <c r="N2184" t="s">
        <v>70</v>
      </c>
      <c r="O2184" t="s">
        <v>21</v>
      </c>
      <c r="P2184" t="s">
        <v>440</v>
      </c>
      <c r="Q2184">
        <v>384000</v>
      </c>
      <c r="R2184" t="s">
        <v>237</v>
      </c>
    </row>
    <row r="2185" spans="1:18" x14ac:dyDescent="0.25">
      <c r="A2185" t="s">
        <v>3911</v>
      </c>
      <c r="B2185">
        <v>2348</v>
      </c>
      <c r="C2185" t="s">
        <v>487</v>
      </c>
      <c r="D2185" t="s">
        <v>247</v>
      </c>
      <c r="E2185" t="s">
        <v>326</v>
      </c>
      <c r="F2185" t="s">
        <v>3091</v>
      </c>
      <c r="G2185" s="25">
        <v>44303</v>
      </c>
      <c r="H2185">
        <v>22</v>
      </c>
      <c r="I2185">
        <v>107</v>
      </c>
      <c r="J2185" t="s">
        <v>432</v>
      </c>
      <c r="K2185" t="s">
        <v>495</v>
      </c>
      <c r="L2185" t="s">
        <v>135</v>
      </c>
      <c r="M2185" t="s">
        <v>434</v>
      </c>
      <c r="N2185" t="s">
        <v>70</v>
      </c>
      <c r="O2185" t="s">
        <v>21</v>
      </c>
      <c r="P2185" t="s">
        <v>440</v>
      </c>
      <c r="Q2185">
        <v>483250</v>
      </c>
      <c r="R2185" t="s">
        <v>237</v>
      </c>
    </row>
    <row r="2186" spans="1:18" x14ac:dyDescent="0.25">
      <c r="A2186" t="s">
        <v>2256</v>
      </c>
      <c r="B2186">
        <v>1644</v>
      </c>
      <c r="C2186" t="s">
        <v>487</v>
      </c>
      <c r="D2186" t="s">
        <v>261</v>
      </c>
      <c r="E2186" t="s">
        <v>575</v>
      </c>
      <c r="F2186" t="s">
        <v>1537</v>
      </c>
      <c r="G2186" s="25">
        <v>44271</v>
      </c>
      <c r="H2186">
        <v>15</v>
      </c>
      <c r="I2186">
        <v>75</v>
      </c>
      <c r="J2186" t="s">
        <v>432</v>
      </c>
      <c r="K2186" t="s">
        <v>495</v>
      </c>
      <c r="L2186" t="s">
        <v>135</v>
      </c>
      <c r="M2186" t="s">
        <v>434</v>
      </c>
      <c r="N2186" t="s">
        <v>70</v>
      </c>
      <c r="O2186" t="s">
        <v>21</v>
      </c>
      <c r="P2186" t="s">
        <v>440</v>
      </c>
      <c r="Q2186">
        <v>48000</v>
      </c>
      <c r="R2186" t="s">
        <v>237</v>
      </c>
    </row>
    <row r="2187" spans="1:18" x14ac:dyDescent="0.25">
      <c r="A2187" t="s">
        <v>592</v>
      </c>
      <c r="B2187">
        <v>196</v>
      </c>
      <c r="C2187" t="s">
        <v>487</v>
      </c>
      <c r="D2187" t="s">
        <v>229</v>
      </c>
      <c r="E2187" t="s">
        <v>371</v>
      </c>
      <c r="F2187" t="s">
        <v>557</v>
      </c>
      <c r="G2187" s="25">
        <v>44205</v>
      </c>
      <c r="H2187">
        <v>2</v>
      </c>
      <c r="I2187">
        <v>9</v>
      </c>
      <c r="J2187" t="s">
        <v>432</v>
      </c>
      <c r="K2187" t="s">
        <v>494</v>
      </c>
      <c r="L2187" t="s">
        <v>25</v>
      </c>
      <c r="M2187" t="s">
        <v>434</v>
      </c>
      <c r="N2187" t="s">
        <v>76</v>
      </c>
      <c r="O2187" t="s">
        <v>435</v>
      </c>
      <c r="P2187" t="s">
        <v>25</v>
      </c>
      <c r="Q2187">
        <v>10800</v>
      </c>
      <c r="R2187" t="s">
        <v>436</v>
      </c>
    </row>
    <row r="2188" spans="1:18" x14ac:dyDescent="0.25">
      <c r="A2188" t="s">
        <v>3912</v>
      </c>
      <c r="B2188">
        <v>2022</v>
      </c>
      <c r="C2188" t="s">
        <v>487</v>
      </c>
      <c r="D2188" t="s">
        <v>322</v>
      </c>
      <c r="E2188" t="s">
        <v>232</v>
      </c>
      <c r="F2188" t="s">
        <v>2987</v>
      </c>
      <c r="G2188" s="25">
        <v>44288</v>
      </c>
      <c r="H2188">
        <v>19</v>
      </c>
      <c r="I2188">
        <v>92</v>
      </c>
      <c r="J2188" t="s">
        <v>432</v>
      </c>
      <c r="K2188" t="s">
        <v>494</v>
      </c>
      <c r="L2188" t="s">
        <v>25</v>
      </c>
      <c r="M2188" t="s">
        <v>434</v>
      </c>
      <c r="N2188" t="s">
        <v>76</v>
      </c>
      <c r="O2188" t="s">
        <v>435</v>
      </c>
      <c r="P2188" t="s">
        <v>25</v>
      </c>
      <c r="Q2188">
        <v>52800</v>
      </c>
      <c r="R2188" t="s">
        <v>436</v>
      </c>
    </row>
    <row r="2189" spans="1:18" x14ac:dyDescent="0.25">
      <c r="A2189" t="s">
        <v>2192</v>
      </c>
      <c r="B2189">
        <v>1406</v>
      </c>
      <c r="C2189" t="s">
        <v>487</v>
      </c>
      <c r="D2189" t="s">
        <v>261</v>
      </c>
      <c r="E2189" t="s">
        <v>261</v>
      </c>
      <c r="F2189" t="s">
        <v>1410</v>
      </c>
      <c r="G2189" s="25">
        <v>44260</v>
      </c>
      <c r="H2189">
        <v>13</v>
      </c>
      <c r="I2189">
        <v>64</v>
      </c>
      <c r="J2189" t="s">
        <v>432</v>
      </c>
      <c r="K2189" t="s">
        <v>494</v>
      </c>
      <c r="L2189" t="s">
        <v>25</v>
      </c>
      <c r="M2189" t="s">
        <v>434</v>
      </c>
      <c r="N2189" t="s">
        <v>76</v>
      </c>
      <c r="O2189" t="s">
        <v>435</v>
      </c>
      <c r="P2189" t="s">
        <v>25</v>
      </c>
      <c r="Q2189">
        <v>38100</v>
      </c>
      <c r="R2189" t="s">
        <v>436</v>
      </c>
    </row>
    <row r="2190" spans="1:18" x14ac:dyDescent="0.25">
      <c r="A2190" t="s">
        <v>2412</v>
      </c>
      <c r="B2190">
        <v>1120</v>
      </c>
      <c r="C2190" t="s">
        <v>487</v>
      </c>
      <c r="D2190" t="s">
        <v>256</v>
      </c>
      <c r="E2190" t="s">
        <v>515</v>
      </c>
      <c r="F2190" t="s">
        <v>1329</v>
      </c>
      <c r="G2190" s="25">
        <v>44247</v>
      </c>
      <c r="H2190">
        <v>11</v>
      </c>
      <c r="I2190">
        <v>51</v>
      </c>
      <c r="J2190" t="s">
        <v>432</v>
      </c>
      <c r="K2190" t="s">
        <v>494</v>
      </c>
      <c r="L2190" t="s">
        <v>25</v>
      </c>
      <c r="M2190" t="s">
        <v>434</v>
      </c>
      <c r="N2190" t="s">
        <v>76</v>
      </c>
      <c r="O2190" t="s">
        <v>435</v>
      </c>
      <c r="P2190" t="s">
        <v>25</v>
      </c>
      <c r="Q2190">
        <v>45300</v>
      </c>
      <c r="R2190" t="s">
        <v>436</v>
      </c>
    </row>
    <row r="2191" spans="1:18" x14ac:dyDescent="0.25">
      <c r="A2191" t="s">
        <v>1790</v>
      </c>
      <c r="B2191">
        <v>812</v>
      </c>
      <c r="C2191" t="s">
        <v>487</v>
      </c>
      <c r="D2191" t="s">
        <v>231</v>
      </c>
      <c r="E2191" t="s">
        <v>534</v>
      </c>
      <c r="F2191" t="s">
        <v>1731</v>
      </c>
      <c r="G2191" s="25">
        <v>44233</v>
      </c>
      <c r="H2191">
        <v>8</v>
      </c>
      <c r="I2191">
        <v>37</v>
      </c>
      <c r="J2191" t="s">
        <v>432</v>
      </c>
      <c r="K2191" t="s">
        <v>494</v>
      </c>
      <c r="L2191" t="s">
        <v>25</v>
      </c>
      <c r="M2191" t="s">
        <v>434</v>
      </c>
      <c r="N2191" t="s">
        <v>76</v>
      </c>
      <c r="O2191" t="s">
        <v>435</v>
      </c>
      <c r="P2191" t="s">
        <v>25</v>
      </c>
      <c r="Q2191">
        <v>28800</v>
      </c>
      <c r="R2191" t="s">
        <v>436</v>
      </c>
    </row>
    <row r="2192" spans="1:18" x14ac:dyDescent="0.25">
      <c r="A2192" t="s">
        <v>2008</v>
      </c>
      <c r="B2192">
        <v>680</v>
      </c>
      <c r="C2192" t="s">
        <v>487</v>
      </c>
      <c r="D2192" t="s">
        <v>231</v>
      </c>
      <c r="E2192" t="s">
        <v>515</v>
      </c>
      <c r="F2192" t="s">
        <v>1150</v>
      </c>
      <c r="G2192" s="25">
        <v>44227</v>
      </c>
      <c r="H2192">
        <v>7</v>
      </c>
      <c r="I2192">
        <v>31</v>
      </c>
      <c r="J2192" t="s">
        <v>432</v>
      </c>
      <c r="K2192" t="s">
        <v>494</v>
      </c>
      <c r="L2192" t="s">
        <v>25</v>
      </c>
      <c r="M2192" t="s">
        <v>434</v>
      </c>
      <c r="N2192" t="s">
        <v>76</v>
      </c>
      <c r="O2192" t="s">
        <v>435</v>
      </c>
      <c r="P2192" t="s">
        <v>25</v>
      </c>
      <c r="Q2192">
        <v>34612.5</v>
      </c>
      <c r="R2192" t="s">
        <v>436</v>
      </c>
    </row>
    <row r="2193" spans="1:18" x14ac:dyDescent="0.25">
      <c r="A2193" t="s">
        <v>2062</v>
      </c>
      <c r="B2193">
        <v>504</v>
      </c>
      <c r="C2193" t="s">
        <v>487</v>
      </c>
      <c r="D2193" t="s">
        <v>231</v>
      </c>
      <c r="E2193" t="s">
        <v>256</v>
      </c>
      <c r="F2193" t="s">
        <v>1064</v>
      </c>
      <c r="G2193" s="25">
        <v>44219</v>
      </c>
      <c r="H2193">
        <v>5</v>
      </c>
      <c r="I2193">
        <v>23</v>
      </c>
      <c r="J2193" t="s">
        <v>432</v>
      </c>
      <c r="K2193" t="s">
        <v>494</v>
      </c>
      <c r="L2193" t="s">
        <v>25</v>
      </c>
      <c r="M2193" t="s">
        <v>434</v>
      </c>
      <c r="N2193" t="s">
        <v>76</v>
      </c>
      <c r="O2193" t="s">
        <v>435</v>
      </c>
      <c r="P2193" t="s">
        <v>25</v>
      </c>
      <c r="Q2193">
        <v>7200</v>
      </c>
      <c r="R2193" t="s">
        <v>436</v>
      </c>
    </row>
    <row r="2194" spans="1:18" x14ac:dyDescent="0.25">
      <c r="A2194" t="s">
        <v>3913</v>
      </c>
      <c r="B2194">
        <v>2024</v>
      </c>
      <c r="C2194" t="s">
        <v>487</v>
      </c>
      <c r="D2194" t="s">
        <v>322</v>
      </c>
      <c r="E2194" t="s">
        <v>232</v>
      </c>
      <c r="F2194" t="s">
        <v>2987</v>
      </c>
      <c r="G2194" s="25">
        <v>44288</v>
      </c>
      <c r="H2194">
        <v>19</v>
      </c>
      <c r="I2194">
        <v>92</v>
      </c>
      <c r="J2194" t="s">
        <v>432</v>
      </c>
      <c r="K2194" t="s">
        <v>493</v>
      </c>
      <c r="L2194" t="s">
        <v>441</v>
      </c>
      <c r="M2194" t="s">
        <v>434</v>
      </c>
      <c r="N2194" t="s">
        <v>78</v>
      </c>
      <c r="O2194" t="s">
        <v>435</v>
      </c>
      <c r="P2194" t="s">
        <v>441</v>
      </c>
      <c r="Q2194">
        <v>277205</v>
      </c>
      <c r="R2194" t="s">
        <v>436</v>
      </c>
    </row>
    <row r="2195" spans="1:18" x14ac:dyDescent="0.25">
      <c r="A2195" t="s">
        <v>1955</v>
      </c>
      <c r="B2195">
        <v>1012</v>
      </c>
      <c r="C2195" t="s">
        <v>487</v>
      </c>
      <c r="D2195" t="s">
        <v>256</v>
      </c>
      <c r="E2195" t="s">
        <v>247</v>
      </c>
      <c r="F2195" t="s">
        <v>1299</v>
      </c>
      <c r="G2195" s="25">
        <v>44242</v>
      </c>
      <c r="H2195">
        <v>10</v>
      </c>
      <c r="I2195">
        <v>46</v>
      </c>
      <c r="J2195" t="s">
        <v>432</v>
      </c>
      <c r="K2195" t="s">
        <v>493</v>
      </c>
      <c r="L2195" t="s">
        <v>441</v>
      </c>
      <c r="M2195" t="s">
        <v>434</v>
      </c>
      <c r="N2195" t="s">
        <v>78</v>
      </c>
      <c r="O2195" t="s">
        <v>435</v>
      </c>
      <c r="P2195" t="s">
        <v>441</v>
      </c>
      <c r="Q2195">
        <v>266000</v>
      </c>
      <c r="R2195" t="s">
        <v>436</v>
      </c>
    </row>
    <row r="2196" spans="1:18" x14ac:dyDescent="0.25">
      <c r="A2196" t="s">
        <v>2130</v>
      </c>
      <c r="B2196">
        <v>704</v>
      </c>
      <c r="C2196" t="s">
        <v>487</v>
      </c>
      <c r="D2196" t="s">
        <v>231</v>
      </c>
      <c r="E2196" t="s">
        <v>232</v>
      </c>
      <c r="F2196" t="s">
        <v>1162</v>
      </c>
      <c r="G2196" s="25">
        <v>44228</v>
      </c>
      <c r="H2196">
        <v>7</v>
      </c>
      <c r="I2196">
        <v>32</v>
      </c>
      <c r="J2196" t="s">
        <v>432</v>
      </c>
      <c r="K2196" t="s">
        <v>493</v>
      </c>
      <c r="L2196" t="s">
        <v>441</v>
      </c>
      <c r="M2196" t="s">
        <v>434</v>
      </c>
      <c r="N2196" t="s">
        <v>78</v>
      </c>
      <c r="O2196" t="s">
        <v>435</v>
      </c>
      <c r="P2196" t="s">
        <v>441</v>
      </c>
      <c r="Q2196">
        <v>121668.75</v>
      </c>
      <c r="R2196" t="s">
        <v>436</v>
      </c>
    </row>
    <row r="2197" spans="1:18" x14ac:dyDescent="0.25">
      <c r="A2197" t="s">
        <v>706</v>
      </c>
      <c r="B2197">
        <v>308</v>
      </c>
      <c r="C2197" t="s">
        <v>487</v>
      </c>
      <c r="D2197" t="s">
        <v>229</v>
      </c>
      <c r="E2197" t="s">
        <v>537</v>
      </c>
      <c r="F2197" t="s">
        <v>538</v>
      </c>
      <c r="G2197" s="25">
        <v>44210</v>
      </c>
      <c r="H2197">
        <v>3</v>
      </c>
      <c r="I2197">
        <v>14</v>
      </c>
      <c r="J2197" t="s">
        <v>432</v>
      </c>
      <c r="K2197" t="s">
        <v>493</v>
      </c>
      <c r="L2197" t="s">
        <v>441</v>
      </c>
      <c r="M2197" t="s">
        <v>434</v>
      </c>
      <c r="N2197" t="s">
        <v>78</v>
      </c>
      <c r="O2197" t="s">
        <v>435</v>
      </c>
      <c r="P2197" t="s">
        <v>441</v>
      </c>
      <c r="Q2197">
        <v>22750</v>
      </c>
      <c r="R2197" t="s">
        <v>436</v>
      </c>
    </row>
    <row r="2198" spans="1:18" x14ac:dyDescent="0.25">
      <c r="A2198" t="s">
        <v>305</v>
      </c>
      <c r="B2198">
        <v>44</v>
      </c>
      <c r="C2198" t="s">
        <v>487</v>
      </c>
      <c r="D2198" t="s">
        <v>229</v>
      </c>
      <c r="E2198" t="s">
        <v>231</v>
      </c>
      <c r="F2198" t="s">
        <v>568</v>
      </c>
      <c r="G2198" s="25">
        <v>44198</v>
      </c>
      <c r="H2198">
        <v>1</v>
      </c>
      <c r="I2198">
        <v>2</v>
      </c>
      <c r="J2198" t="s">
        <v>432</v>
      </c>
      <c r="K2198" t="s">
        <v>493</v>
      </c>
      <c r="L2198" t="s">
        <v>441</v>
      </c>
      <c r="M2198" t="s">
        <v>434</v>
      </c>
      <c r="N2198" t="s">
        <v>78</v>
      </c>
      <c r="O2198" t="s">
        <v>435</v>
      </c>
      <c r="P2198" t="s">
        <v>441</v>
      </c>
      <c r="Q2198">
        <v>0</v>
      </c>
      <c r="R2198" t="s">
        <v>436</v>
      </c>
    </row>
    <row r="2199" spans="1:18" x14ac:dyDescent="0.25">
      <c r="A2199" t="s">
        <v>2200</v>
      </c>
      <c r="B2199">
        <v>1777</v>
      </c>
      <c r="C2199" t="s">
        <v>487</v>
      </c>
      <c r="D2199" t="s">
        <v>322</v>
      </c>
      <c r="E2199" t="s">
        <v>229</v>
      </c>
      <c r="F2199" t="s">
        <v>1643</v>
      </c>
      <c r="G2199" s="25">
        <v>44277</v>
      </c>
      <c r="H2199">
        <v>17</v>
      </c>
      <c r="I2199">
        <v>81</v>
      </c>
      <c r="J2199" t="s">
        <v>432</v>
      </c>
      <c r="K2199" t="s">
        <v>492</v>
      </c>
      <c r="L2199" t="s">
        <v>24</v>
      </c>
      <c r="M2199" t="s">
        <v>434</v>
      </c>
      <c r="N2199" t="s">
        <v>71</v>
      </c>
      <c r="O2199" t="s">
        <v>435</v>
      </c>
      <c r="P2199" t="s">
        <v>24</v>
      </c>
      <c r="Q2199">
        <v>0</v>
      </c>
      <c r="R2199" t="s">
        <v>436</v>
      </c>
    </row>
    <row r="2200" spans="1:18" x14ac:dyDescent="0.25">
      <c r="A2200" t="s">
        <v>2809</v>
      </c>
      <c r="B2200">
        <v>1469</v>
      </c>
      <c r="C2200" t="s">
        <v>487</v>
      </c>
      <c r="D2200" t="s">
        <v>261</v>
      </c>
      <c r="E2200" t="s">
        <v>326</v>
      </c>
      <c r="F2200" t="s">
        <v>1440</v>
      </c>
      <c r="G2200" s="25">
        <v>44263</v>
      </c>
      <c r="H2200">
        <v>14</v>
      </c>
      <c r="I2200">
        <v>67</v>
      </c>
      <c r="J2200" t="s">
        <v>432</v>
      </c>
      <c r="K2200" t="s">
        <v>492</v>
      </c>
      <c r="L2200" t="s">
        <v>24</v>
      </c>
      <c r="M2200" t="s">
        <v>434</v>
      </c>
      <c r="N2200" t="s">
        <v>71</v>
      </c>
      <c r="O2200" t="s">
        <v>435</v>
      </c>
      <c r="P2200" t="s">
        <v>24</v>
      </c>
      <c r="Q2200">
        <v>31500</v>
      </c>
      <c r="R2200" t="s">
        <v>436</v>
      </c>
    </row>
    <row r="2201" spans="1:18" x14ac:dyDescent="0.25">
      <c r="A2201" t="s">
        <v>2852</v>
      </c>
      <c r="B2201">
        <v>1161</v>
      </c>
      <c r="C2201" t="s">
        <v>487</v>
      </c>
      <c r="D2201" t="s">
        <v>256</v>
      </c>
      <c r="E2201" t="s">
        <v>512</v>
      </c>
      <c r="F2201" t="s">
        <v>1342</v>
      </c>
      <c r="G2201" s="25">
        <v>44249</v>
      </c>
      <c r="H2201">
        <v>11</v>
      </c>
      <c r="I2201">
        <v>53</v>
      </c>
      <c r="J2201" t="s">
        <v>432</v>
      </c>
      <c r="K2201" t="s">
        <v>492</v>
      </c>
      <c r="L2201" t="s">
        <v>24</v>
      </c>
      <c r="M2201" t="s">
        <v>434</v>
      </c>
      <c r="N2201" t="s">
        <v>71</v>
      </c>
      <c r="O2201" t="s">
        <v>435</v>
      </c>
      <c r="P2201" t="s">
        <v>24</v>
      </c>
      <c r="Q2201">
        <v>52181.25</v>
      </c>
      <c r="R2201" t="s">
        <v>436</v>
      </c>
    </row>
    <row r="2202" spans="1:18" x14ac:dyDescent="0.25">
      <c r="A2202" t="s">
        <v>1840</v>
      </c>
      <c r="B2202">
        <v>941</v>
      </c>
      <c r="C2202" t="s">
        <v>487</v>
      </c>
      <c r="D2202" t="s">
        <v>256</v>
      </c>
      <c r="E2202" t="s">
        <v>256</v>
      </c>
      <c r="F2202" t="s">
        <v>1263</v>
      </c>
      <c r="G2202" s="25">
        <v>44239</v>
      </c>
      <c r="H2202">
        <v>9</v>
      </c>
      <c r="I2202">
        <v>43</v>
      </c>
      <c r="J2202" t="s">
        <v>432</v>
      </c>
      <c r="K2202" t="s">
        <v>492</v>
      </c>
      <c r="L2202" t="s">
        <v>24</v>
      </c>
      <c r="M2202" t="s">
        <v>434</v>
      </c>
      <c r="N2202" t="s">
        <v>71</v>
      </c>
      <c r="O2202" t="s">
        <v>435</v>
      </c>
      <c r="P2202" t="s">
        <v>24</v>
      </c>
      <c r="Q2202">
        <v>28800</v>
      </c>
      <c r="R2202" t="s">
        <v>436</v>
      </c>
    </row>
    <row r="2203" spans="1:18" x14ac:dyDescent="0.25">
      <c r="A2203" t="s">
        <v>2199</v>
      </c>
      <c r="B2203">
        <v>567</v>
      </c>
      <c r="C2203" t="s">
        <v>487</v>
      </c>
      <c r="D2203" t="s">
        <v>231</v>
      </c>
      <c r="E2203" t="s">
        <v>247</v>
      </c>
      <c r="F2203" t="s">
        <v>1088</v>
      </c>
      <c r="G2203" s="25">
        <v>44222</v>
      </c>
      <c r="H2203">
        <v>6</v>
      </c>
      <c r="I2203">
        <v>26</v>
      </c>
      <c r="J2203" t="s">
        <v>432</v>
      </c>
      <c r="K2203" t="s">
        <v>492</v>
      </c>
      <c r="L2203" t="s">
        <v>24</v>
      </c>
      <c r="M2203" t="s">
        <v>434</v>
      </c>
      <c r="N2203" t="s">
        <v>71</v>
      </c>
      <c r="O2203" t="s">
        <v>435</v>
      </c>
      <c r="P2203" t="s">
        <v>24</v>
      </c>
      <c r="Q2203">
        <v>27600</v>
      </c>
      <c r="R2203" t="s">
        <v>436</v>
      </c>
    </row>
    <row r="2204" spans="1:18" x14ac:dyDescent="0.25">
      <c r="A2204" t="s">
        <v>2636</v>
      </c>
      <c r="B2204">
        <v>1482</v>
      </c>
      <c r="C2204" t="s">
        <v>487</v>
      </c>
      <c r="D2204" t="s">
        <v>261</v>
      </c>
      <c r="E2204" t="s">
        <v>381</v>
      </c>
      <c r="F2204" t="s">
        <v>1458</v>
      </c>
      <c r="G2204" s="25">
        <v>44264</v>
      </c>
      <c r="H2204">
        <v>14</v>
      </c>
      <c r="I2204">
        <v>68</v>
      </c>
      <c r="J2204" t="s">
        <v>231</v>
      </c>
      <c r="K2204" t="s">
        <v>491</v>
      </c>
      <c r="L2204" t="s">
        <v>233</v>
      </c>
      <c r="M2204" t="s">
        <v>234</v>
      </c>
      <c r="N2204" t="s">
        <v>54</v>
      </c>
      <c r="O2204" t="s">
        <v>235</v>
      </c>
      <c r="P2204" t="s">
        <v>236</v>
      </c>
      <c r="Q2204">
        <v>0</v>
      </c>
      <c r="R2204" t="s">
        <v>237</v>
      </c>
    </row>
    <row r="2205" spans="1:18" x14ac:dyDescent="0.25">
      <c r="A2205" t="s">
        <v>2068</v>
      </c>
      <c r="B2205">
        <v>580</v>
      </c>
      <c r="C2205" t="s">
        <v>487</v>
      </c>
      <c r="D2205" t="s">
        <v>231</v>
      </c>
      <c r="E2205" t="s">
        <v>326</v>
      </c>
      <c r="F2205" t="s">
        <v>1095</v>
      </c>
      <c r="G2205" s="25">
        <v>44223</v>
      </c>
      <c r="H2205">
        <v>6</v>
      </c>
      <c r="I2205">
        <v>27</v>
      </c>
      <c r="J2205" t="s">
        <v>231</v>
      </c>
      <c r="K2205" t="s">
        <v>491</v>
      </c>
      <c r="L2205" t="s">
        <v>233</v>
      </c>
      <c r="M2205" t="s">
        <v>234</v>
      </c>
      <c r="N2205" t="s">
        <v>54</v>
      </c>
      <c r="O2205" t="s">
        <v>235</v>
      </c>
      <c r="P2205" t="s">
        <v>236</v>
      </c>
      <c r="Q2205">
        <v>0</v>
      </c>
      <c r="R2205" t="s">
        <v>237</v>
      </c>
    </row>
    <row r="2206" spans="1:18" x14ac:dyDescent="0.25">
      <c r="A2206" t="s">
        <v>670</v>
      </c>
      <c r="B2206">
        <v>228</v>
      </c>
      <c r="C2206" t="s">
        <v>487</v>
      </c>
      <c r="D2206" t="s">
        <v>229</v>
      </c>
      <c r="E2206" t="s">
        <v>515</v>
      </c>
      <c r="F2206" t="s">
        <v>516</v>
      </c>
      <c r="G2206" s="25">
        <v>44207</v>
      </c>
      <c r="H2206">
        <v>3</v>
      </c>
      <c r="I2206">
        <v>11</v>
      </c>
      <c r="J2206" t="s">
        <v>231</v>
      </c>
      <c r="K2206" t="s">
        <v>491</v>
      </c>
      <c r="L2206" t="s">
        <v>233</v>
      </c>
      <c r="M2206" t="s">
        <v>234</v>
      </c>
      <c r="N2206" t="s">
        <v>54</v>
      </c>
      <c r="O2206" t="s">
        <v>235</v>
      </c>
      <c r="P2206" t="s">
        <v>236</v>
      </c>
      <c r="Q2206">
        <v>9000</v>
      </c>
      <c r="R2206" t="s">
        <v>237</v>
      </c>
    </row>
    <row r="2207" spans="1:18" x14ac:dyDescent="0.25">
      <c r="A2207" t="s">
        <v>3914</v>
      </c>
      <c r="B2207">
        <v>2098</v>
      </c>
      <c r="C2207" t="s">
        <v>487</v>
      </c>
      <c r="D2207" t="s">
        <v>322</v>
      </c>
      <c r="E2207" t="s">
        <v>620</v>
      </c>
      <c r="F2207" t="s">
        <v>3025</v>
      </c>
      <c r="G2207" s="25">
        <v>44292</v>
      </c>
      <c r="H2207">
        <v>20</v>
      </c>
      <c r="I2207">
        <v>96</v>
      </c>
      <c r="J2207" t="s">
        <v>231</v>
      </c>
      <c r="K2207" t="s">
        <v>491</v>
      </c>
      <c r="L2207" t="s">
        <v>233</v>
      </c>
      <c r="M2207" t="s">
        <v>234</v>
      </c>
      <c r="N2207" t="s">
        <v>54</v>
      </c>
      <c r="O2207" t="s">
        <v>235</v>
      </c>
      <c r="P2207" t="s">
        <v>236</v>
      </c>
      <c r="Q2207">
        <v>0</v>
      </c>
      <c r="R2207" t="s">
        <v>237</v>
      </c>
    </row>
    <row r="2208" spans="1:18" x14ac:dyDescent="0.25">
      <c r="A2208" t="s">
        <v>3915</v>
      </c>
      <c r="B2208">
        <v>1790</v>
      </c>
      <c r="C2208" t="s">
        <v>487</v>
      </c>
      <c r="D2208" t="s">
        <v>322</v>
      </c>
      <c r="E2208" t="s">
        <v>231</v>
      </c>
      <c r="F2208" t="s">
        <v>2945</v>
      </c>
      <c r="G2208" s="25">
        <v>44278</v>
      </c>
      <c r="H2208">
        <v>17</v>
      </c>
      <c r="I2208">
        <v>82</v>
      </c>
      <c r="J2208" t="s">
        <v>231</v>
      </c>
      <c r="K2208" t="s">
        <v>491</v>
      </c>
      <c r="L2208" t="s">
        <v>233</v>
      </c>
      <c r="M2208" t="s">
        <v>234</v>
      </c>
      <c r="N2208" t="s">
        <v>54</v>
      </c>
      <c r="O2208" t="s">
        <v>235</v>
      </c>
      <c r="P2208" t="s">
        <v>236</v>
      </c>
      <c r="Q2208">
        <v>0</v>
      </c>
      <c r="R2208" t="s">
        <v>237</v>
      </c>
    </row>
    <row r="2209" spans="1:18" x14ac:dyDescent="0.25">
      <c r="A2209" t="s">
        <v>1797</v>
      </c>
      <c r="B2209">
        <v>959</v>
      </c>
      <c r="C2209" t="s">
        <v>487</v>
      </c>
      <c r="D2209" t="s">
        <v>256</v>
      </c>
      <c r="E2209" t="s">
        <v>261</v>
      </c>
      <c r="F2209" t="s">
        <v>1276</v>
      </c>
      <c r="G2209" s="25">
        <v>44240</v>
      </c>
      <c r="H2209">
        <v>9</v>
      </c>
      <c r="I2209">
        <v>44</v>
      </c>
      <c r="J2209" t="s">
        <v>432</v>
      </c>
      <c r="K2209" t="s">
        <v>490</v>
      </c>
      <c r="L2209" t="s">
        <v>65</v>
      </c>
      <c r="M2209" t="s">
        <v>434</v>
      </c>
      <c r="N2209" t="s">
        <v>64</v>
      </c>
      <c r="O2209" t="s">
        <v>235</v>
      </c>
      <c r="P2209" t="s">
        <v>442</v>
      </c>
      <c r="Q2209">
        <v>186625</v>
      </c>
      <c r="R2209" t="s">
        <v>237</v>
      </c>
    </row>
    <row r="2210" spans="1:18" x14ac:dyDescent="0.25">
      <c r="A2210" t="s">
        <v>257</v>
      </c>
      <c r="B2210">
        <v>123</v>
      </c>
      <c r="C2210" t="s">
        <v>487</v>
      </c>
      <c r="D2210" t="s">
        <v>229</v>
      </c>
      <c r="E2210" t="s">
        <v>247</v>
      </c>
      <c r="F2210" t="s">
        <v>524</v>
      </c>
      <c r="G2210" s="25">
        <v>44202</v>
      </c>
      <c r="H2210">
        <v>2</v>
      </c>
      <c r="I2210">
        <v>6</v>
      </c>
      <c r="J2210" t="s">
        <v>432</v>
      </c>
      <c r="K2210" t="s">
        <v>490</v>
      </c>
      <c r="L2210" t="s">
        <v>65</v>
      </c>
      <c r="M2210" t="s">
        <v>434</v>
      </c>
      <c r="N2210" t="s">
        <v>64</v>
      </c>
      <c r="O2210" t="s">
        <v>235</v>
      </c>
      <c r="P2210" t="s">
        <v>442</v>
      </c>
      <c r="Q2210">
        <v>96000</v>
      </c>
      <c r="R2210" t="s">
        <v>237</v>
      </c>
    </row>
    <row r="2211" spans="1:18" x14ac:dyDescent="0.25">
      <c r="A2211" t="s">
        <v>1709</v>
      </c>
      <c r="B2211">
        <v>1333</v>
      </c>
      <c r="C2211" t="s">
        <v>487</v>
      </c>
      <c r="D2211" t="s">
        <v>261</v>
      </c>
      <c r="E2211" t="s">
        <v>229</v>
      </c>
      <c r="F2211" t="s">
        <v>1388</v>
      </c>
      <c r="G2211" s="25">
        <v>44257</v>
      </c>
      <c r="H2211">
        <v>13</v>
      </c>
      <c r="I2211">
        <v>61</v>
      </c>
      <c r="J2211" t="s">
        <v>432</v>
      </c>
      <c r="K2211" t="s">
        <v>490</v>
      </c>
      <c r="L2211" t="s">
        <v>65</v>
      </c>
      <c r="M2211" t="s">
        <v>434</v>
      </c>
      <c r="N2211" t="s">
        <v>64</v>
      </c>
      <c r="O2211" t="s">
        <v>235</v>
      </c>
      <c r="P2211" t="s">
        <v>442</v>
      </c>
      <c r="Q2211">
        <v>344000</v>
      </c>
      <c r="R2211" t="s">
        <v>237</v>
      </c>
    </row>
    <row r="2212" spans="1:18" x14ac:dyDescent="0.25">
      <c r="A2212" t="s">
        <v>3916</v>
      </c>
      <c r="B2212">
        <v>2500</v>
      </c>
      <c r="C2212" t="s">
        <v>487</v>
      </c>
      <c r="D2212" t="s">
        <v>247</v>
      </c>
      <c r="E2212" t="s">
        <v>537</v>
      </c>
      <c r="F2212" t="s">
        <v>3153</v>
      </c>
      <c r="G2212" s="25">
        <v>44310</v>
      </c>
      <c r="H2212">
        <v>23</v>
      </c>
      <c r="I2212">
        <v>114</v>
      </c>
      <c r="J2212" t="s">
        <v>432</v>
      </c>
      <c r="K2212" t="s">
        <v>489</v>
      </c>
      <c r="L2212" t="s">
        <v>134</v>
      </c>
      <c r="M2212" t="s">
        <v>434</v>
      </c>
      <c r="N2212" t="s">
        <v>67</v>
      </c>
      <c r="O2212" t="s">
        <v>235</v>
      </c>
      <c r="P2212" t="s">
        <v>437</v>
      </c>
      <c r="Q2212">
        <v>274750</v>
      </c>
      <c r="R2212" t="s">
        <v>237</v>
      </c>
    </row>
    <row r="2213" spans="1:18" x14ac:dyDescent="0.25">
      <c r="A2213" t="s">
        <v>307</v>
      </c>
      <c r="B2213">
        <v>58</v>
      </c>
      <c r="C2213" t="s">
        <v>487</v>
      </c>
      <c r="D2213" t="s">
        <v>229</v>
      </c>
      <c r="E2213" t="s">
        <v>256</v>
      </c>
      <c r="F2213" t="s">
        <v>525</v>
      </c>
      <c r="G2213" s="25">
        <v>44199</v>
      </c>
      <c r="H2213">
        <v>1</v>
      </c>
      <c r="I2213">
        <v>3</v>
      </c>
      <c r="J2213" t="s">
        <v>432</v>
      </c>
      <c r="K2213" t="s">
        <v>489</v>
      </c>
      <c r="L2213" t="s">
        <v>134</v>
      </c>
      <c r="M2213" t="s">
        <v>434</v>
      </c>
      <c r="N2213" t="s">
        <v>67</v>
      </c>
      <c r="O2213" t="s">
        <v>235</v>
      </c>
      <c r="P2213" t="s">
        <v>437</v>
      </c>
      <c r="Q2213">
        <v>0</v>
      </c>
      <c r="R2213" t="s">
        <v>237</v>
      </c>
    </row>
    <row r="2214" spans="1:18" x14ac:dyDescent="0.25">
      <c r="A2214" t="s">
        <v>3917</v>
      </c>
      <c r="B2214">
        <v>2313</v>
      </c>
      <c r="C2214" t="s">
        <v>487</v>
      </c>
      <c r="D2214" t="s">
        <v>247</v>
      </c>
      <c r="E2214" t="s">
        <v>247</v>
      </c>
      <c r="F2214" t="s">
        <v>3085</v>
      </c>
      <c r="G2214" s="25">
        <v>44302</v>
      </c>
      <c r="H2214">
        <v>22</v>
      </c>
      <c r="I2214">
        <v>106</v>
      </c>
      <c r="J2214" t="s">
        <v>231</v>
      </c>
      <c r="K2214" t="s">
        <v>509</v>
      </c>
      <c r="L2214" t="s">
        <v>45</v>
      </c>
      <c r="M2214" t="s">
        <v>234</v>
      </c>
      <c r="N2214" t="s">
        <v>44</v>
      </c>
      <c r="O2214" t="s">
        <v>21</v>
      </c>
      <c r="P2214" t="s">
        <v>304</v>
      </c>
      <c r="Q2214">
        <v>9750</v>
      </c>
      <c r="R2214" t="s">
        <v>237</v>
      </c>
    </row>
    <row r="2215" spans="1:18" x14ac:dyDescent="0.25">
      <c r="A2215" t="s">
        <v>612</v>
      </c>
      <c r="B2215">
        <v>399</v>
      </c>
      <c r="C2215" t="s">
        <v>487</v>
      </c>
      <c r="D2215" t="s">
        <v>229</v>
      </c>
      <c r="E2215" t="s">
        <v>531</v>
      </c>
      <c r="F2215" t="s">
        <v>532</v>
      </c>
      <c r="G2215" s="25">
        <v>44215</v>
      </c>
      <c r="H2215">
        <v>4</v>
      </c>
      <c r="I2215">
        <v>19</v>
      </c>
      <c r="J2215" t="s">
        <v>231</v>
      </c>
      <c r="K2215" t="s">
        <v>509</v>
      </c>
      <c r="L2215" t="s">
        <v>45</v>
      </c>
      <c r="M2215" t="s">
        <v>234</v>
      </c>
      <c r="N2215" t="s">
        <v>44</v>
      </c>
      <c r="O2215" t="s">
        <v>21</v>
      </c>
      <c r="P2215" t="s">
        <v>304</v>
      </c>
      <c r="Q2215">
        <v>0</v>
      </c>
      <c r="R2215" t="s">
        <v>237</v>
      </c>
    </row>
    <row r="2216" spans="1:18" x14ac:dyDescent="0.25">
      <c r="A2216" t="s">
        <v>3918</v>
      </c>
      <c r="B2216">
        <v>2577</v>
      </c>
      <c r="C2216" t="s">
        <v>487</v>
      </c>
      <c r="D2216" t="s">
        <v>247</v>
      </c>
      <c r="E2216" t="s">
        <v>552</v>
      </c>
      <c r="F2216" t="s">
        <v>3170</v>
      </c>
      <c r="G2216" s="25">
        <v>44314</v>
      </c>
      <c r="H2216">
        <v>24</v>
      </c>
      <c r="I2216">
        <v>118</v>
      </c>
      <c r="J2216" t="s">
        <v>231</v>
      </c>
      <c r="K2216" t="s">
        <v>509</v>
      </c>
      <c r="L2216" t="s">
        <v>45</v>
      </c>
      <c r="M2216" t="s">
        <v>234</v>
      </c>
      <c r="N2216" t="s">
        <v>44</v>
      </c>
      <c r="O2216" t="s">
        <v>21</v>
      </c>
      <c r="P2216" t="s">
        <v>304</v>
      </c>
      <c r="Q2216">
        <v>0</v>
      </c>
      <c r="R2216" t="s">
        <v>237</v>
      </c>
    </row>
    <row r="2217" spans="1:18" x14ac:dyDescent="0.25">
      <c r="A2217" t="s">
        <v>2504</v>
      </c>
      <c r="B2217">
        <v>576</v>
      </c>
      <c r="C2217" t="s">
        <v>487</v>
      </c>
      <c r="D2217" t="s">
        <v>231</v>
      </c>
      <c r="E2217" t="s">
        <v>326</v>
      </c>
      <c r="F2217" t="s">
        <v>1095</v>
      </c>
      <c r="G2217" s="25">
        <v>44223</v>
      </c>
      <c r="H2217">
        <v>6</v>
      </c>
      <c r="I2217">
        <v>27</v>
      </c>
      <c r="J2217" t="s">
        <v>231</v>
      </c>
      <c r="K2217" t="s">
        <v>508</v>
      </c>
      <c r="L2217" t="s">
        <v>47</v>
      </c>
      <c r="M2217" t="s">
        <v>234</v>
      </c>
      <c r="N2217" t="s">
        <v>46</v>
      </c>
      <c r="O2217" t="s">
        <v>21</v>
      </c>
      <c r="P2217" t="s">
        <v>288</v>
      </c>
      <c r="Q2217">
        <v>0</v>
      </c>
      <c r="R2217" t="s">
        <v>237</v>
      </c>
    </row>
    <row r="2218" spans="1:18" x14ac:dyDescent="0.25">
      <c r="A2218" t="s">
        <v>835</v>
      </c>
      <c r="B2218">
        <v>224</v>
      </c>
      <c r="C2218" t="s">
        <v>487</v>
      </c>
      <c r="D2218" t="s">
        <v>229</v>
      </c>
      <c r="E2218" t="s">
        <v>515</v>
      </c>
      <c r="F2218" t="s">
        <v>516</v>
      </c>
      <c r="G2218" s="25">
        <v>44207</v>
      </c>
      <c r="H2218">
        <v>3</v>
      </c>
      <c r="I2218">
        <v>11</v>
      </c>
      <c r="J2218" t="s">
        <v>231</v>
      </c>
      <c r="K2218" t="s">
        <v>508</v>
      </c>
      <c r="L2218" t="s">
        <v>47</v>
      </c>
      <c r="M2218" t="s">
        <v>234</v>
      </c>
      <c r="N2218" t="s">
        <v>46</v>
      </c>
      <c r="O2218" t="s">
        <v>21</v>
      </c>
      <c r="P2218" t="s">
        <v>288</v>
      </c>
      <c r="Q2218">
        <v>19572</v>
      </c>
      <c r="R2218" t="s">
        <v>237</v>
      </c>
    </row>
    <row r="2219" spans="1:18" x14ac:dyDescent="0.25">
      <c r="A2219" t="s">
        <v>3919</v>
      </c>
      <c r="B2219">
        <v>1786</v>
      </c>
      <c r="C2219" t="s">
        <v>487</v>
      </c>
      <c r="D2219" t="s">
        <v>322</v>
      </c>
      <c r="E2219" t="s">
        <v>231</v>
      </c>
      <c r="F2219" t="s">
        <v>2945</v>
      </c>
      <c r="G2219" s="25">
        <v>44278</v>
      </c>
      <c r="H2219">
        <v>17</v>
      </c>
      <c r="I2219">
        <v>82</v>
      </c>
      <c r="J2219" t="s">
        <v>231</v>
      </c>
      <c r="K2219" t="s">
        <v>508</v>
      </c>
      <c r="L2219" t="s">
        <v>47</v>
      </c>
      <c r="M2219" t="s">
        <v>234</v>
      </c>
      <c r="N2219" t="s">
        <v>46</v>
      </c>
      <c r="O2219" t="s">
        <v>21</v>
      </c>
      <c r="P2219" t="s">
        <v>288</v>
      </c>
      <c r="Q2219">
        <v>16200</v>
      </c>
      <c r="R2219" t="s">
        <v>237</v>
      </c>
    </row>
    <row r="2220" spans="1:18" x14ac:dyDescent="0.25">
      <c r="A2220" t="s">
        <v>1767</v>
      </c>
      <c r="B2220">
        <v>1259</v>
      </c>
      <c r="C2220" t="s">
        <v>487</v>
      </c>
      <c r="D2220" t="s">
        <v>256</v>
      </c>
      <c r="E2220" t="s">
        <v>552</v>
      </c>
      <c r="F2220" t="s">
        <v>1365</v>
      </c>
      <c r="G2220" s="25">
        <v>44254</v>
      </c>
      <c r="H2220">
        <v>12</v>
      </c>
      <c r="I2220">
        <v>58</v>
      </c>
      <c r="J2220" t="s">
        <v>231</v>
      </c>
      <c r="K2220" t="s">
        <v>507</v>
      </c>
      <c r="L2220" t="s">
        <v>49</v>
      </c>
      <c r="M2220" t="s">
        <v>234</v>
      </c>
      <c r="N2220" t="s">
        <v>48</v>
      </c>
      <c r="O2220" t="s">
        <v>21</v>
      </c>
      <c r="P2220" t="s">
        <v>413</v>
      </c>
      <c r="Q2220">
        <v>0</v>
      </c>
      <c r="R2220" t="s">
        <v>237</v>
      </c>
    </row>
    <row r="2221" spans="1:18" x14ac:dyDescent="0.25">
      <c r="A2221" t="s">
        <v>607</v>
      </c>
      <c r="B2221">
        <v>291</v>
      </c>
      <c r="C2221" t="s">
        <v>487</v>
      </c>
      <c r="D2221" t="s">
        <v>229</v>
      </c>
      <c r="E2221" t="s">
        <v>537</v>
      </c>
      <c r="F2221" t="s">
        <v>538</v>
      </c>
      <c r="G2221" s="25">
        <v>44210</v>
      </c>
      <c r="H2221">
        <v>3</v>
      </c>
      <c r="I2221">
        <v>14</v>
      </c>
      <c r="J2221" t="s">
        <v>231</v>
      </c>
      <c r="K2221" t="s">
        <v>507</v>
      </c>
      <c r="L2221" t="s">
        <v>49</v>
      </c>
      <c r="M2221" t="s">
        <v>234</v>
      </c>
      <c r="N2221" t="s">
        <v>48</v>
      </c>
      <c r="O2221" t="s">
        <v>21</v>
      </c>
      <c r="P2221" t="s">
        <v>413</v>
      </c>
      <c r="Q2221">
        <v>0</v>
      </c>
      <c r="R2221" t="s">
        <v>237</v>
      </c>
    </row>
    <row r="2222" spans="1:18" x14ac:dyDescent="0.25">
      <c r="A2222" t="s">
        <v>3920</v>
      </c>
      <c r="B2222">
        <v>2469</v>
      </c>
      <c r="C2222" t="s">
        <v>487</v>
      </c>
      <c r="D2222" t="s">
        <v>247</v>
      </c>
      <c r="E2222" t="s">
        <v>512</v>
      </c>
      <c r="F2222" t="s">
        <v>3146</v>
      </c>
      <c r="G2222" s="25">
        <v>44309</v>
      </c>
      <c r="H2222">
        <v>23</v>
      </c>
      <c r="I2222">
        <v>113</v>
      </c>
      <c r="J2222" t="s">
        <v>231</v>
      </c>
      <c r="K2222" t="s">
        <v>507</v>
      </c>
      <c r="L2222" t="s">
        <v>49</v>
      </c>
      <c r="M2222" t="s">
        <v>234</v>
      </c>
      <c r="N2222" t="s">
        <v>48</v>
      </c>
      <c r="O2222" t="s">
        <v>21</v>
      </c>
      <c r="P2222" t="s">
        <v>413</v>
      </c>
      <c r="Q2222">
        <v>0</v>
      </c>
      <c r="R2222" t="s">
        <v>237</v>
      </c>
    </row>
    <row r="2223" spans="1:18" x14ac:dyDescent="0.25">
      <c r="A2223" t="s">
        <v>3921</v>
      </c>
      <c r="B2223">
        <v>2161</v>
      </c>
      <c r="C2223" t="s">
        <v>487</v>
      </c>
      <c r="D2223" t="s">
        <v>322</v>
      </c>
      <c r="E2223" t="s">
        <v>531</v>
      </c>
      <c r="F2223" t="s">
        <v>3056</v>
      </c>
      <c r="G2223" s="25">
        <v>44295</v>
      </c>
      <c r="H2223">
        <v>20</v>
      </c>
      <c r="I2223">
        <v>99</v>
      </c>
      <c r="J2223" t="s">
        <v>231</v>
      </c>
      <c r="K2223" t="s">
        <v>507</v>
      </c>
      <c r="L2223" t="s">
        <v>49</v>
      </c>
      <c r="M2223" t="s">
        <v>234</v>
      </c>
      <c r="N2223" t="s">
        <v>48</v>
      </c>
      <c r="O2223" t="s">
        <v>21</v>
      </c>
      <c r="P2223" t="s">
        <v>413</v>
      </c>
      <c r="Q2223">
        <v>0</v>
      </c>
      <c r="R2223" t="s">
        <v>237</v>
      </c>
    </row>
    <row r="2224" spans="1:18" x14ac:dyDescent="0.25">
      <c r="A2224" t="s">
        <v>3922</v>
      </c>
      <c r="B2224">
        <v>1853</v>
      </c>
      <c r="C2224" t="s">
        <v>487</v>
      </c>
      <c r="D2224" t="s">
        <v>322</v>
      </c>
      <c r="E2224" t="s">
        <v>322</v>
      </c>
      <c r="F2224" t="s">
        <v>2960</v>
      </c>
      <c r="G2224" s="25">
        <v>44281</v>
      </c>
      <c r="H2224">
        <v>17</v>
      </c>
      <c r="I2224">
        <v>85</v>
      </c>
      <c r="J2224" t="s">
        <v>231</v>
      </c>
      <c r="K2224" t="s">
        <v>507</v>
      </c>
      <c r="L2224" t="s">
        <v>49</v>
      </c>
      <c r="M2224" t="s">
        <v>234</v>
      </c>
      <c r="N2224" t="s">
        <v>48</v>
      </c>
      <c r="O2224" t="s">
        <v>21</v>
      </c>
      <c r="P2224" t="s">
        <v>413</v>
      </c>
      <c r="Q2224">
        <v>0</v>
      </c>
      <c r="R2224" t="s">
        <v>237</v>
      </c>
    </row>
    <row r="2225" spans="1:18" x14ac:dyDescent="0.25">
      <c r="A2225" t="s">
        <v>366</v>
      </c>
      <c r="B2225">
        <v>6</v>
      </c>
      <c r="C2225" t="s">
        <v>487</v>
      </c>
      <c r="D2225" t="s">
        <v>229</v>
      </c>
      <c r="E2225" t="s">
        <v>229</v>
      </c>
      <c r="F2225" t="s">
        <v>230</v>
      </c>
      <c r="G2225" s="25">
        <v>44197</v>
      </c>
      <c r="H2225">
        <v>1</v>
      </c>
      <c r="I2225">
        <v>1</v>
      </c>
      <c r="J2225" t="s">
        <v>231</v>
      </c>
      <c r="K2225" t="s">
        <v>506</v>
      </c>
      <c r="L2225" t="s">
        <v>414</v>
      </c>
      <c r="M2225" t="s">
        <v>234</v>
      </c>
      <c r="N2225" t="s">
        <v>50</v>
      </c>
      <c r="O2225" t="s">
        <v>21</v>
      </c>
      <c r="P2225" t="s">
        <v>411</v>
      </c>
      <c r="Q2225">
        <v>0</v>
      </c>
      <c r="R2225" t="s">
        <v>237</v>
      </c>
    </row>
    <row r="2226" spans="1:18" x14ac:dyDescent="0.25">
      <c r="A2226" t="s">
        <v>2386</v>
      </c>
      <c r="B2226">
        <v>1744</v>
      </c>
      <c r="C2226" t="s">
        <v>487</v>
      </c>
      <c r="D2226" t="s">
        <v>261</v>
      </c>
      <c r="E2226" t="s">
        <v>408</v>
      </c>
      <c r="F2226" t="s">
        <v>1595</v>
      </c>
      <c r="G2226" s="25">
        <v>44276</v>
      </c>
      <c r="H2226">
        <v>16</v>
      </c>
      <c r="I2226">
        <v>80</v>
      </c>
      <c r="J2226" t="s">
        <v>231</v>
      </c>
      <c r="K2226" t="s">
        <v>506</v>
      </c>
      <c r="L2226" t="s">
        <v>414</v>
      </c>
      <c r="M2226" t="s">
        <v>234</v>
      </c>
      <c r="N2226" t="s">
        <v>50</v>
      </c>
      <c r="O2226" t="s">
        <v>21</v>
      </c>
      <c r="P2226" t="s">
        <v>411</v>
      </c>
      <c r="Q2226">
        <v>0</v>
      </c>
      <c r="R2226" t="s">
        <v>237</v>
      </c>
    </row>
    <row r="2227" spans="1:18" x14ac:dyDescent="0.25">
      <c r="A2227" t="s">
        <v>2510</v>
      </c>
      <c r="B2227">
        <v>1585</v>
      </c>
      <c r="C2227" t="s">
        <v>487</v>
      </c>
      <c r="D2227" t="s">
        <v>261</v>
      </c>
      <c r="E2227" t="s">
        <v>512</v>
      </c>
      <c r="F2227" t="s">
        <v>1518</v>
      </c>
      <c r="G2227" s="25">
        <v>44269</v>
      </c>
      <c r="H2227">
        <v>15</v>
      </c>
      <c r="I2227">
        <v>73</v>
      </c>
      <c r="J2227" t="s">
        <v>231</v>
      </c>
      <c r="K2227" t="s">
        <v>505</v>
      </c>
      <c r="L2227" t="s">
        <v>41</v>
      </c>
      <c r="M2227" t="s">
        <v>234</v>
      </c>
      <c r="N2227" t="s">
        <v>40</v>
      </c>
      <c r="O2227" t="s">
        <v>21</v>
      </c>
      <c r="P2227" t="s">
        <v>266</v>
      </c>
      <c r="Q2227">
        <v>55891</v>
      </c>
      <c r="R2227" t="s">
        <v>237</v>
      </c>
    </row>
    <row r="2228" spans="1:18" x14ac:dyDescent="0.25">
      <c r="A2228" t="s">
        <v>2779</v>
      </c>
      <c r="B2228">
        <v>1278</v>
      </c>
      <c r="C2228" t="s">
        <v>487</v>
      </c>
      <c r="D2228" t="s">
        <v>256</v>
      </c>
      <c r="E2228" t="s">
        <v>531</v>
      </c>
      <c r="F2228" t="s">
        <v>1373</v>
      </c>
      <c r="G2228" s="25">
        <v>44255</v>
      </c>
      <c r="H2228">
        <v>12</v>
      </c>
      <c r="I2228">
        <v>59</v>
      </c>
      <c r="J2228" t="s">
        <v>231</v>
      </c>
      <c r="K2228" t="s">
        <v>504</v>
      </c>
      <c r="L2228" t="s">
        <v>43</v>
      </c>
      <c r="M2228" t="s">
        <v>234</v>
      </c>
      <c r="N2228" t="s">
        <v>42</v>
      </c>
      <c r="O2228" t="s">
        <v>21</v>
      </c>
      <c r="P2228" t="s">
        <v>236</v>
      </c>
      <c r="Q2228">
        <v>23640</v>
      </c>
      <c r="R2228" t="s">
        <v>237</v>
      </c>
    </row>
    <row r="2229" spans="1:18" x14ac:dyDescent="0.25">
      <c r="A2229" t="s">
        <v>740</v>
      </c>
      <c r="B2229">
        <v>310</v>
      </c>
      <c r="C2229" t="s">
        <v>487</v>
      </c>
      <c r="D2229" t="s">
        <v>229</v>
      </c>
      <c r="E2229" t="s">
        <v>575</v>
      </c>
      <c r="F2229" t="s">
        <v>576</v>
      </c>
      <c r="G2229" s="25">
        <v>44211</v>
      </c>
      <c r="H2229">
        <v>3</v>
      </c>
      <c r="I2229">
        <v>15</v>
      </c>
      <c r="J2229" t="s">
        <v>231</v>
      </c>
      <c r="K2229" t="s">
        <v>504</v>
      </c>
      <c r="L2229" t="s">
        <v>43</v>
      </c>
      <c r="M2229" t="s">
        <v>234</v>
      </c>
      <c r="N2229" t="s">
        <v>42</v>
      </c>
      <c r="O2229" t="s">
        <v>21</v>
      </c>
      <c r="P2229" t="s">
        <v>236</v>
      </c>
      <c r="Q2229">
        <v>0</v>
      </c>
      <c r="R2229" t="s">
        <v>237</v>
      </c>
    </row>
    <row r="2230" spans="1:18" x14ac:dyDescent="0.25">
      <c r="A2230" t="s">
        <v>3923</v>
      </c>
      <c r="B2230">
        <v>2488</v>
      </c>
      <c r="C2230" t="s">
        <v>487</v>
      </c>
      <c r="D2230" t="s">
        <v>247</v>
      </c>
      <c r="E2230" t="s">
        <v>537</v>
      </c>
      <c r="F2230" t="s">
        <v>3153</v>
      </c>
      <c r="G2230" s="25">
        <v>44310</v>
      </c>
      <c r="H2230">
        <v>23</v>
      </c>
      <c r="I2230">
        <v>114</v>
      </c>
      <c r="J2230" t="s">
        <v>231</v>
      </c>
      <c r="K2230" t="s">
        <v>504</v>
      </c>
      <c r="L2230" t="s">
        <v>43</v>
      </c>
      <c r="M2230" t="s">
        <v>234</v>
      </c>
      <c r="N2230" t="s">
        <v>42</v>
      </c>
      <c r="O2230" t="s">
        <v>21</v>
      </c>
      <c r="P2230" t="s">
        <v>236</v>
      </c>
      <c r="Q2230">
        <v>0</v>
      </c>
      <c r="R2230" t="s">
        <v>237</v>
      </c>
    </row>
    <row r="2231" spans="1:18" x14ac:dyDescent="0.25">
      <c r="A2231" t="s">
        <v>2660</v>
      </c>
      <c r="B2231">
        <v>1747</v>
      </c>
      <c r="C2231" t="s">
        <v>487</v>
      </c>
      <c r="D2231" t="s">
        <v>261</v>
      </c>
      <c r="E2231" t="s">
        <v>408</v>
      </c>
      <c r="F2231" t="s">
        <v>1595</v>
      </c>
      <c r="G2231" s="25">
        <v>44276</v>
      </c>
      <c r="H2231">
        <v>16</v>
      </c>
      <c r="I2231">
        <v>80</v>
      </c>
      <c r="J2231" t="s">
        <v>231</v>
      </c>
      <c r="K2231" t="s">
        <v>503</v>
      </c>
      <c r="L2231" t="s">
        <v>303</v>
      </c>
      <c r="M2231" t="s">
        <v>234</v>
      </c>
      <c r="N2231" t="s">
        <v>56</v>
      </c>
      <c r="O2231" t="s">
        <v>235</v>
      </c>
      <c r="P2231" t="s">
        <v>304</v>
      </c>
      <c r="Q2231">
        <v>0</v>
      </c>
      <c r="R2231" t="s">
        <v>237</v>
      </c>
    </row>
    <row r="2232" spans="1:18" x14ac:dyDescent="0.25">
      <c r="A2232" t="s">
        <v>242</v>
      </c>
      <c r="B2232">
        <v>9</v>
      </c>
      <c r="C2232" t="s">
        <v>487</v>
      </c>
      <c r="D2232" t="s">
        <v>229</v>
      </c>
      <c r="E2232" t="s">
        <v>229</v>
      </c>
      <c r="F2232" t="s">
        <v>230</v>
      </c>
      <c r="G2232" s="25">
        <v>44197</v>
      </c>
      <c r="H2232">
        <v>1</v>
      </c>
      <c r="I2232">
        <v>1</v>
      </c>
      <c r="J2232" t="s">
        <v>231</v>
      </c>
      <c r="K2232" t="s">
        <v>503</v>
      </c>
      <c r="L2232" t="s">
        <v>303</v>
      </c>
      <c r="M2232" t="s">
        <v>234</v>
      </c>
      <c r="N2232" t="s">
        <v>56</v>
      </c>
      <c r="O2232" t="s">
        <v>235</v>
      </c>
      <c r="P2232" t="s">
        <v>304</v>
      </c>
      <c r="Q2232">
        <v>0</v>
      </c>
      <c r="R2232" t="s">
        <v>237</v>
      </c>
    </row>
    <row r="2233" spans="1:18" x14ac:dyDescent="0.25">
      <c r="A2233" t="s">
        <v>1931</v>
      </c>
      <c r="B2233">
        <v>1374</v>
      </c>
      <c r="C2233" t="s">
        <v>487</v>
      </c>
      <c r="D2233" t="s">
        <v>261</v>
      </c>
      <c r="E2233" t="s">
        <v>256</v>
      </c>
      <c r="F2233" t="s">
        <v>1402</v>
      </c>
      <c r="G2233" s="25">
        <v>44259</v>
      </c>
      <c r="H2233">
        <v>13</v>
      </c>
      <c r="I2233">
        <v>63</v>
      </c>
      <c r="J2233" t="s">
        <v>231</v>
      </c>
      <c r="K2233" t="s">
        <v>502</v>
      </c>
      <c r="L2233" t="s">
        <v>287</v>
      </c>
      <c r="M2233" t="s">
        <v>234</v>
      </c>
      <c r="N2233" t="s">
        <v>58</v>
      </c>
      <c r="O2233" t="s">
        <v>235</v>
      </c>
      <c r="P2233" t="s">
        <v>288</v>
      </c>
      <c r="Q2233">
        <v>0</v>
      </c>
      <c r="R2233" t="s">
        <v>237</v>
      </c>
    </row>
    <row r="2234" spans="1:18" x14ac:dyDescent="0.25">
      <c r="A2234" t="s">
        <v>1868</v>
      </c>
      <c r="B2234">
        <v>780</v>
      </c>
      <c r="C2234" t="s">
        <v>487</v>
      </c>
      <c r="D2234" t="s">
        <v>231</v>
      </c>
      <c r="E2234" t="s">
        <v>620</v>
      </c>
      <c r="F2234" t="s">
        <v>1215</v>
      </c>
      <c r="G2234" s="25">
        <v>44232</v>
      </c>
      <c r="H2234">
        <v>8</v>
      </c>
      <c r="I2234">
        <v>36</v>
      </c>
      <c r="J2234" t="s">
        <v>231</v>
      </c>
      <c r="K2234" t="s">
        <v>502</v>
      </c>
      <c r="L2234" t="s">
        <v>287</v>
      </c>
      <c r="M2234" t="s">
        <v>234</v>
      </c>
      <c r="N2234" t="s">
        <v>58</v>
      </c>
      <c r="O2234" t="s">
        <v>235</v>
      </c>
      <c r="P2234" t="s">
        <v>288</v>
      </c>
      <c r="Q2234">
        <v>0</v>
      </c>
      <c r="R2234" t="s">
        <v>237</v>
      </c>
    </row>
    <row r="2235" spans="1:18" x14ac:dyDescent="0.25">
      <c r="A2235" t="s">
        <v>1569</v>
      </c>
      <c r="B2235">
        <v>472</v>
      </c>
      <c r="C2235" t="s">
        <v>487</v>
      </c>
      <c r="D2235" t="s">
        <v>231</v>
      </c>
      <c r="E2235" t="s">
        <v>231</v>
      </c>
      <c r="F2235" t="s">
        <v>1080</v>
      </c>
      <c r="G2235" s="25">
        <v>44218</v>
      </c>
      <c r="H2235">
        <v>5</v>
      </c>
      <c r="I2235">
        <v>22</v>
      </c>
      <c r="J2235" t="s">
        <v>231</v>
      </c>
      <c r="K2235" t="s">
        <v>502</v>
      </c>
      <c r="L2235" t="s">
        <v>287</v>
      </c>
      <c r="M2235" t="s">
        <v>234</v>
      </c>
      <c r="N2235" t="s">
        <v>58</v>
      </c>
      <c r="O2235" t="s">
        <v>235</v>
      </c>
      <c r="P2235" t="s">
        <v>288</v>
      </c>
      <c r="Q2235">
        <v>0</v>
      </c>
      <c r="R2235" t="s">
        <v>237</v>
      </c>
    </row>
    <row r="2236" spans="1:18" x14ac:dyDescent="0.25">
      <c r="A2236" t="s">
        <v>640</v>
      </c>
      <c r="B2236">
        <v>164</v>
      </c>
      <c r="C2236" t="s">
        <v>487</v>
      </c>
      <c r="D2236" t="s">
        <v>229</v>
      </c>
      <c r="E2236" t="s">
        <v>381</v>
      </c>
      <c r="F2236" t="s">
        <v>518</v>
      </c>
      <c r="G2236" s="25">
        <v>44204</v>
      </c>
      <c r="H2236">
        <v>2</v>
      </c>
      <c r="I2236">
        <v>8</v>
      </c>
      <c r="J2236" t="s">
        <v>231</v>
      </c>
      <c r="K2236" t="s">
        <v>502</v>
      </c>
      <c r="L2236" t="s">
        <v>287</v>
      </c>
      <c r="M2236" t="s">
        <v>234</v>
      </c>
      <c r="N2236" t="s">
        <v>58</v>
      </c>
      <c r="O2236" t="s">
        <v>235</v>
      </c>
      <c r="P2236" t="s">
        <v>288</v>
      </c>
      <c r="Q2236">
        <v>0</v>
      </c>
      <c r="R2236" t="s">
        <v>237</v>
      </c>
    </row>
    <row r="2237" spans="1:18" x14ac:dyDescent="0.25">
      <c r="A2237" t="s">
        <v>3924</v>
      </c>
      <c r="B2237">
        <v>2342</v>
      </c>
      <c r="C2237" t="s">
        <v>487</v>
      </c>
      <c r="D2237" t="s">
        <v>247</v>
      </c>
      <c r="E2237" t="s">
        <v>326</v>
      </c>
      <c r="F2237" t="s">
        <v>3091</v>
      </c>
      <c r="G2237" s="25">
        <v>44303</v>
      </c>
      <c r="H2237">
        <v>22</v>
      </c>
      <c r="I2237">
        <v>107</v>
      </c>
      <c r="J2237" t="s">
        <v>231</v>
      </c>
      <c r="K2237" t="s">
        <v>502</v>
      </c>
      <c r="L2237" t="s">
        <v>287</v>
      </c>
      <c r="M2237" t="s">
        <v>234</v>
      </c>
      <c r="N2237" t="s">
        <v>58</v>
      </c>
      <c r="O2237" t="s">
        <v>235</v>
      </c>
      <c r="P2237" t="s">
        <v>288</v>
      </c>
      <c r="Q2237">
        <v>0</v>
      </c>
      <c r="R2237" t="s">
        <v>237</v>
      </c>
    </row>
    <row r="2238" spans="1:18" x14ac:dyDescent="0.25">
      <c r="A2238" t="s">
        <v>3925</v>
      </c>
      <c r="B2238">
        <v>1990</v>
      </c>
      <c r="C2238" t="s">
        <v>487</v>
      </c>
      <c r="D2238" t="s">
        <v>322</v>
      </c>
      <c r="E2238" t="s">
        <v>515</v>
      </c>
      <c r="F2238" t="s">
        <v>2983</v>
      </c>
      <c r="G2238" s="25">
        <v>44287</v>
      </c>
      <c r="H2238">
        <v>19</v>
      </c>
      <c r="I2238">
        <v>91</v>
      </c>
      <c r="J2238" t="s">
        <v>231</v>
      </c>
      <c r="K2238" t="s">
        <v>502</v>
      </c>
      <c r="L2238" t="s">
        <v>287</v>
      </c>
      <c r="M2238" t="s">
        <v>234</v>
      </c>
      <c r="N2238" t="s">
        <v>58</v>
      </c>
      <c r="O2238" t="s">
        <v>235</v>
      </c>
      <c r="P2238" t="s">
        <v>288</v>
      </c>
      <c r="Q2238">
        <v>24808</v>
      </c>
      <c r="R2238" t="s">
        <v>237</v>
      </c>
    </row>
    <row r="2239" spans="1:18" x14ac:dyDescent="0.25">
      <c r="A2239" t="s">
        <v>2109</v>
      </c>
      <c r="B2239">
        <v>627</v>
      </c>
      <c r="C2239" t="s">
        <v>487</v>
      </c>
      <c r="D2239" t="s">
        <v>231</v>
      </c>
      <c r="E2239" t="s">
        <v>371</v>
      </c>
      <c r="F2239" t="s">
        <v>1124</v>
      </c>
      <c r="G2239" s="25">
        <v>44225</v>
      </c>
      <c r="H2239">
        <v>6</v>
      </c>
      <c r="I2239">
        <v>29</v>
      </c>
      <c r="J2239" t="s">
        <v>231</v>
      </c>
      <c r="K2239" t="s">
        <v>501</v>
      </c>
      <c r="L2239" t="s">
        <v>412</v>
      </c>
      <c r="M2239" t="s">
        <v>234</v>
      </c>
      <c r="N2239" t="s">
        <v>60</v>
      </c>
      <c r="O2239" t="s">
        <v>235</v>
      </c>
      <c r="P2239" t="s">
        <v>413</v>
      </c>
      <c r="Q2239">
        <v>0</v>
      </c>
      <c r="R2239" t="s">
        <v>237</v>
      </c>
    </row>
    <row r="2240" spans="1:18" x14ac:dyDescent="0.25">
      <c r="A2240" t="s">
        <v>751</v>
      </c>
      <c r="B2240">
        <v>275</v>
      </c>
      <c r="C2240" t="s">
        <v>487</v>
      </c>
      <c r="D2240" t="s">
        <v>229</v>
      </c>
      <c r="E2240" t="s">
        <v>512</v>
      </c>
      <c r="F2240" t="s">
        <v>513</v>
      </c>
      <c r="G2240" s="25">
        <v>44209</v>
      </c>
      <c r="H2240">
        <v>3</v>
      </c>
      <c r="I2240">
        <v>13</v>
      </c>
      <c r="J2240" t="s">
        <v>231</v>
      </c>
      <c r="K2240" t="s">
        <v>501</v>
      </c>
      <c r="L2240" t="s">
        <v>412</v>
      </c>
      <c r="M2240" t="s">
        <v>234</v>
      </c>
      <c r="N2240" t="s">
        <v>60</v>
      </c>
      <c r="O2240" t="s">
        <v>235</v>
      </c>
      <c r="P2240" t="s">
        <v>413</v>
      </c>
      <c r="Q2240">
        <v>0</v>
      </c>
      <c r="R2240" t="s">
        <v>237</v>
      </c>
    </row>
    <row r="2241" spans="1:18" x14ac:dyDescent="0.25">
      <c r="A2241" t="s">
        <v>3926</v>
      </c>
      <c r="B2241">
        <v>2453</v>
      </c>
      <c r="C2241" t="s">
        <v>487</v>
      </c>
      <c r="D2241" t="s">
        <v>247</v>
      </c>
      <c r="E2241" t="s">
        <v>232</v>
      </c>
      <c r="F2241" t="s">
        <v>3140</v>
      </c>
      <c r="G2241" s="25">
        <v>44308</v>
      </c>
      <c r="H2241">
        <v>23</v>
      </c>
      <c r="I2241">
        <v>112</v>
      </c>
      <c r="J2241" t="s">
        <v>231</v>
      </c>
      <c r="K2241" t="s">
        <v>501</v>
      </c>
      <c r="L2241" t="s">
        <v>412</v>
      </c>
      <c r="M2241" t="s">
        <v>234</v>
      </c>
      <c r="N2241" t="s">
        <v>60</v>
      </c>
      <c r="O2241" t="s">
        <v>235</v>
      </c>
      <c r="P2241" t="s">
        <v>413</v>
      </c>
      <c r="Q2241">
        <v>0</v>
      </c>
      <c r="R2241" t="s">
        <v>237</v>
      </c>
    </row>
    <row r="2242" spans="1:18" x14ac:dyDescent="0.25">
      <c r="A2242" t="s">
        <v>3927</v>
      </c>
      <c r="B2242">
        <v>2145</v>
      </c>
      <c r="C2242" t="s">
        <v>487</v>
      </c>
      <c r="D2242" t="s">
        <v>322</v>
      </c>
      <c r="E2242" t="s">
        <v>552</v>
      </c>
      <c r="F2242" t="s">
        <v>3045</v>
      </c>
      <c r="G2242" s="25">
        <v>44294</v>
      </c>
      <c r="H2242">
        <v>20</v>
      </c>
      <c r="I2242">
        <v>98</v>
      </c>
      <c r="J2242" t="s">
        <v>231</v>
      </c>
      <c r="K2242" t="s">
        <v>501</v>
      </c>
      <c r="L2242" t="s">
        <v>412</v>
      </c>
      <c r="M2242" t="s">
        <v>234</v>
      </c>
      <c r="N2242" t="s">
        <v>60</v>
      </c>
      <c r="O2242" t="s">
        <v>235</v>
      </c>
      <c r="P2242" t="s">
        <v>413</v>
      </c>
      <c r="Q2242">
        <v>0</v>
      </c>
      <c r="R2242" t="s">
        <v>237</v>
      </c>
    </row>
    <row r="2243" spans="1:18" x14ac:dyDescent="0.25">
      <c r="A2243" t="s">
        <v>3928</v>
      </c>
      <c r="B2243">
        <v>1837</v>
      </c>
      <c r="C2243" t="s">
        <v>487</v>
      </c>
      <c r="D2243" t="s">
        <v>322</v>
      </c>
      <c r="E2243" t="s">
        <v>261</v>
      </c>
      <c r="F2243" t="s">
        <v>2956</v>
      </c>
      <c r="G2243" s="25">
        <v>44280</v>
      </c>
      <c r="H2243">
        <v>17</v>
      </c>
      <c r="I2243">
        <v>84</v>
      </c>
      <c r="J2243" t="s">
        <v>231</v>
      </c>
      <c r="K2243" t="s">
        <v>501</v>
      </c>
      <c r="L2243" t="s">
        <v>412</v>
      </c>
      <c r="M2243" t="s">
        <v>234</v>
      </c>
      <c r="N2243" t="s">
        <v>60</v>
      </c>
      <c r="O2243" t="s">
        <v>235</v>
      </c>
      <c r="P2243" t="s">
        <v>413</v>
      </c>
      <c r="Q2243">
        <v>0</v>
      </c>
      <c r="R2243" t="s">
        <v>237</v>
      </c>
    </row>
    <row r="2244" spans="1:18" x14ac:dyDescent="0.25">
      <c r="A2244" t="s">
        <v>1657</v>
      </c>
      <c r="B2244">
        <v>1243</v>
      </c>
      <c r="C2244" t="s">
        <v>487</v>
      </c>
      <c r="D2244" t="s">
        <v>256</v>
      </c>
      <c r="E2244" t="s">
        <v>534</v>
      </c>
      <c r="F2244" t="s">
        <v>1357</v>
      </c>
      <c r="G2244" s="25">
        <v>44253</v>
      </c>
      <c r="H2244">
        <v>12</v>
      </c>
      <c r="I2244">
        <v>57</v>
      </c>
      <c r="J2244" t="s">
        <v>231</v>
      </c>
      <c r="K2244" t="s">
        <v>501</v>
      </c>
      <c r="L2244" t="s">
        <v>412</v>
      </c>
      <c r="M2244" t="s">
        <v>234</v>
      </c>
      <c r="N2244" t="s">
        <v>60</v>
      </c>
      <c r="O2244" t="s">
        <v>235</v>
      </c>
      <c r="P2244" t="s">
        <v>413</v>
      </c>
      <c r="Q2244">
        <v>0</v>
      </c>
      <c r="R2244" t="s">
        <v>237</v>
      </c>
    </row>
    <row r="2245" spans="1:18" x14ac:dyDescent="0.25">
      <c r="A2245" t="s">
        <v>2556</v>
      </c>
      <c r="B2245">
        <v>1089</v>
      </c>
      <c r="C2245" t="s">
        <v>487</v>
      </c>
      <c r="D2245" t="s">
        <v>256</v>
      </c>
      <c r="E2245" t="s">
        <v>239</v>
      </c>
      <c r="F2245" t="s">
        <v>1322</v>
      </c>
      <c r="G2245" s="25">
        <v>44246</v>
      </c>
      <c r="H2245">
        <v>10</v>
      </c>
      <c r="I2245">
        <v>50</v>
      </c>
      <c r="J2245" t="s">
        <v>231</v>
      </c>
      <c r="K2245" t="s">
        <v>501</v>
      </c>
      <c r="L2245" t="s">
        <v>412</v>
      </c>
      <c r="M2245" t="s">
        <v>234</v>
      </c>
      <c r="N2245" t="s">
        <v>60</v>
      </c>
      <c r="O2245" t="s">
        <v>235</v>
      </c>
      <c r="P2245" t="s">
        <v>413</v>
      </c>
      <c r="Q2245">
        <v>0</v>
      </c>
      <c r="R2245" t="s">
        <v>237</v>
      </c>
    </row>
    <row r="2246" spans="1:18" x14ac:dyDescent="0.25">
      <c r="A2246" t="s">
        <v>275</v>
      </c>
      <c r="B2246">
        <v>7</v>
      </c>
      <c r="C2246" t="s">
        <v>487</v>
      </c>
      <c r="D2246" t="s">
        <v>229</v>
      </c>
      <c r="E2246" t="s">
        <v>229</v>
      </c>
      <c r="F2246" t="s">
        <v>230</v>
      </c>
      <c r="G2246" s="25">
        <v>44197</v>
      </c>
      <c r="H2246">
        <v>1</v>
      </c>
      <c r="I2246">
        <v>1</v>
      </c>
      <c r="J2246" t="s">
        <v>231</v>
      </c>
      <c r="K2246" t="s">
        <v>500</v>
      </c>
      <c r="L2246" t="s">
        <v>265</v>
      </c>
      <c r="M2246" t="s">
        <v>234</v>
      </c>
      <c r="N2246" t="s">
        <v>52</v>
      </c>
      <c r="O2246" t="s">
        <v>235</v>
      </c>
      <c r="P2246" t="s">
        <v>266</v>
      </c>
      <c r="Q2246">
        <v>0</v>
      </c>
      <c r="R2246" t="s">
        <v>237</v>
      </c>
    </row>
    <row r="2247" spans="1:18" x14ac:dyDescent="0.25">
      <c r="A2247" t="s">
        <v>3929</v>
      </c>
      <c r="B2247">
        <v>2102</v>
      </c>
      <c r="C2247" t="s">
        <v>487</v>
      </c>
      <c r="D2247" t="s">
        <v>322</v>
      </c>
      <c r="E2247" t="s">
        <v>620</v>
      </c>
      <c r="F2247" t="s">
        <v>3025</v>
      </c>
      <c r="G2247" s="25">
        <v>44292</v>
      </c>
      <c r="H2247">
        <v>20</v>
      </c>
      <c r="I2247">
        <v>96</v>
      </c>
      <c r="J2247" t="s">
        <v>231</v>
      </c>
      <c r="K2247" t="s">
        <v>499</v>
      </c>
      <c r="L2247" t="s">
        <v>410</v>
      </c>
      <c r="M2247" t="s">
        <v>234</v>
      </c>
      <c r="N2247" t="s">
        <v>62</v>
      </c>
      <c r="O2247" t="s">
        <v>235</v>
      </c>
      <c r="P2247" t="s">
        <v>411</v>
      </c>
      <c r="Q2247">
        <v>0</v>
      </c>
      <c r="R2247" t="s">
        <v>237</v>
      </c>
    </row>
    <row r="2248" spans="1:18" x14ac:dyDescent="0.25">
      <c r="A2248" t="s">
        <v>3930</v>
      </c>
      <c r="B2248">
        <v>1794</v>
      </c>
      <c r="C2248" t="s">
        <v>487</v>
      </c>
      <c r="D2248" t="s">
        <v>322</v>
      </c>
      <c r="E2248" t="s">
        <v>231</v>
      </c>
      <c r="F2248" t="s">
        <v>2945</v>
      </c>
      <c r="G2248" s="25">
        <v>44278</v>
      </c>
      <c r="H2248">
        <v>17</v>
      </c>
      <c r="I2248">
        <v>82</v>
      </c>
      <c r="J2248" t="s">
        <v>231</v>
      </c>
      <c r="K2248" t="s">
        <v>499</v>
      </c>
      <c r="L2248" t="s">
        <v>410</v>
      </c>
      <c r="M2248" t="s">
        <v>234</v>
      </c>
      <c r="N2248" t="s">
        <v>62</v>
      </c>
      <c r="O2248" t="s">
        <v>235</v>
      </c>
      <c r="P2248" t="s">
        <v>411</v>
      </c>
      <c r="Q2248">
        <v>0</v>
      </c>
      <c r="R2248" t="s">
        <v>237</v>
      </c>
    </row>
    <row r="2249" spans="1:18" x14ac:dyDescent="0.25">
      <c r="A2249" t="s">
        <v>1665</v>
      </c>
      <c r="B2249">
        <v>1486</v>
      </c>
      <c r="C2249" t="s">
        <v>487</v>
      </c>
      <c r="D2249" t="s">
        <v>261</v>
      </c>
      <c r="E2249" t="s">
        <v>381</v>
      </c>
      <c r="F2249" t="s">
        <v>1458</v>
      </c>
      <c r="G2249" s="25">
        <v>44264</v>
      </c>
      <c r="H2249">
        <v>14</v>
      </c>
      <c r="I2249">
        <v>68</v>
      </c>
      <c r="J2249" t="s">
        <v>231</v>
      </c>
      <c r="K2249" t="s">
        <v>499</v>
      </c>
      <c r="L2249" t="s">
        <v>410</v>
      </c>
      <c r="M2249" t="s">
        <v>234</v>
      </c>
      <c r="N2249" t="s">
        <v>62</v>
      </c>
      <c r="O2249" t="s">
        <v>235</v>
      </c>
      <c r="P2249" t="s">
        <v>411</v>
      </c>
      <c r="Q2249">
        <v>0</v>
      </c>
      <c r="R2249" t="s">
        <v>237</v>
      </c>
    </row>
    <row r="2250" spans="1:18" x14ac:dyDescent="0.25">
      <c r="A2250" t="s">
        <v>2464</v>
      </c>
      <c r="B2250">
        <v>958</v>
      </c>
      <c r="C2250" t="s">
        <v>487</v>
      </c>
      <c r="D2250" t="s">
        <v>256</v>
      </c>
      <c r="E2250" t="s">
        <v>261</v>
      </c>
      <c r="F2250" t="s">
        <v>1276</v>
      </c>
      <c r="G2250" s="25">
        <v>44240</v>
      </c>
      <c r="H2250">
        <v>9</v>
      </c>
      <c r="I2250">
        <v>44</v>
      </c>
      <c r="J2250" t="s">
        <v>231</v>
      </c>
      <c r="K2250" t="s">
        <v>499</v>
      </c>
      <c r="L2250" t="s">
        <v>410</v>
      </c>
      <c r="M2250" t="s">
        <v>234</v>
      </c>
      <c r="N2250" t="s">
        <v>62</v>
      </c>
      <c r="O2250" t="s">
        <v>235</v>
      </c>
      <c r="P2250" t="s">
        <v>411</v>
      </c>
      <c r="Q2250">
        <v>0</v>
      </c>
      <c r="R2250" t="s">
        <v>237</v>
      </c>
    </row>
    <row r="2251" spans="1:18" x14ac:dyDescent="0.25">
      <c r="A2251" t="s">
        <v>1739</v>
      </c>
      <c r="B2251">
        <v>584</v>
      </c>
      <c r="C2251" t="s">
        <v>487</v>
      </c>
      <c r="D2251" t="s">
        <v>231</v>
      </c>
      <c r="E2251" t="s">
        <v>326</v>
      </c>
      <c r="F2251" t="s">
        <v>1095</v>
      </c>
      <c r="G2251" s="25">
        <v>44223</v>
      </c>
      <c r="H2251">
        <v>6</v>
      </c>
      <c r="I2251">
        <v>27</v>
      </c>
      <c r="J2251" t="s">
        <v>231</v>
      </c>
      <c r="K2251" t="s">
        <v>499</v>
      </c>
      <c r="L2251" t="s">
        <v>410</v>
      </c>
      <c r="M2251" t="s">
        <v>234</v>
      </c>
      <c r="N2251" t="s">
        <v>62</v>
      </c>
      <c r="O2251" t="s">
        <v>235</v>
      </c>
      <c r="P2251" t="s">
        <v>411</v>
      </c>
      <c r="Q2251">
        <v>0</v>
      </c>
      <c r="R2251" t="s">
        <v>237</v>
      </c>
    </row>
    <row r="2252" spans="1:18" x14ac:dyDescent="0.25">
      <c r="A2252" t="s">
        <v>746</v>
      </c>
      <c r="B2252">
        <v>232</v>
      </c>
      <c r="C2252" t="s">
        <v>487</v>
      </c>
      <c r="D2252" t="s">
        <v>229</v>
      </c>
      <c r="E2252" t="s">
        <v>515</v>
      </c>
      <c r="F2252" t="s">
        <v>516</v>
      </c>
      <c r="G2252" s="25">
        <v>44207</v>
      </c>
      <c r="H2252">
        <v>3</v>
      </c>
      <c r="I2252">
        <v>11</v>
      </c>
      <c r="J2252" t="s">
        <v>231</v>
      </c>
      <c r="K2252" t="s">
        <v>499</v>
      </c>
      <c r="L2252" t="s">
        <v>410</v>
      </c>
      <c r="M2252" t="s">
        <v>234</v>
      </c>
      <c r="N2252" t="s">
        <v>62</v>
      </c>
      <c r="O2252" t="s">
        <v>235</v>
      </c>
      <c r="P2252" t="s">
        <v>411</v>
      </c>
      <c r="Q2252">
        <v>0</v>
      </c>
      <c r="R2252" t="s">
        <v>237</v>
      </c>
    </row>
    <row r="2253" spans="1:18" x14ac:dyDescent="0.25">
      <c r="A2253" t="s">
        <v>3931</v>
      </c>
      <c r="B2253">
        <v>1803</v>
      </c>
      <c r="C2253" t="s">
        <v>487</v>
      </c>
      <c r="D2253" t="s">
        <v>322</v>
      </c>
      <c r="E2253" t="s">
        <v>231</v>
      </c>
      <c r="F2253" t="s">
        <v>2945</v>
      </c>
      <c r="G2253" s="25">
        <v>44278</v>
      </c>
      <c r="H2253">
        <v>17</v>
      </c>
      <c r="I2253">
        <v>82</v>
      </c>
      <c r="J2253" t="s">
        <v>432</v>
      </c>
      <c r="K2253" t="s">
        <v>498</v>
      </c>
      <c r="L2253" t="s">
        <v>26</v>
      </c>
      <c r="M2253" t="s">
        <v>434</v>
      </c>
      <c r="N2253" t="s">
        <v>77</v>
      </c>
      <c r="O2253" t="s">
        <v>435</v>
      </c>
      <c r="P2253" t="s">
        <v>26</v>
      </c>
      <c r="Q2253">
        <v>79800</v>
      </c>
      <c r="R2253" t="s">
        <v>436</v>
      </c>
    </row>
    <row r="2254" spans="1:18" x14ac:dyDescent="0.25">
      <c r="A2254" t="s">
        <v>1674</v>
      </c>
      <c r="B2254">
        <v>1253</v>
      </c>
      <c r="C2254" t="s">
        <v>487</v>
      </c>
      <c r="D2254" t="s">
        <v>256</v>
      </c>
      <c r="E2254" t="s">
        <v>534</v>
      </c>
      <c r="F2254" t="s">
        <v>1357</v>
      </c>
      <c r="G2254" s="25">
        <v>44253</v>
      </c>
      <c r="H2254">
        <v>12</v>
      </c>
      <c r="I2254">
        <v>57</v>
      </c>
      <c r="J2254" t="s">
        <v>432</v>
      </c>
      <c r="K2254" t="s">
        <v>498</v>
      </c>
      <c r="L2254" t="s">
        <v>26</v>
      </c>
      <c r="M2254" t="s">
        <v>434</v>
      </c>
      <c r="N2254" t="s">
        <v>77</v>
      </c>
      <c r="O2254" t="s">
        <v>435</v>
      </c>
      <c r="P2254" t="s">
        <v>26</v>
      </c>
      <c r="Q2254">
        <v>197268.75</v>
      </c>
      <c r="R2254" t="s">
        <v>436</v>
      </c>
    </row>
    <row r="2255" spans="1:18" x14ac:dyDescent="0.25">
      <c r="A2255" t="s">
        <v>1941</v>
      </c>
      <c r="B2255">
        <v>1033</v>
      </c>
      <c r="C2255" t="s">
        <v>487</v>
      </c>
      <c r="D2255" t="s">
        <v>256</v>
      </c>
      <c r="E2255" t="s">
        <v>326</v>
      </c>
      <c r="F2255" t="s">
        <v>1305</v>
      </c>
      <c r="G2255" s="25">
        <v>44243</v>
      </c>
      <c r="H2255">
        <v>10</v>
      </c>
      <c r="I2255">
        <v>47</v>
      </c>
      <c r="J2255" t="s">
        <v>432</v>
      </c>
      <c r="K2255" t="s">
        <v>498</v>
      </c>
      <c r="L2255" t="s">
        <v>26</v>
      </c>
      <c r="M2255" t="s">
        <v>434</v>
      </c>
      <c r="N2255" t="s">
        <v>77</v>
      </c>
      <c r="O2255" t="s">
        <v>435</v>
      </c>
      <c r="P2255" t="s">
        <v>26</v>
      </c>
      <c r="Q2255">
        <v>259787.5</v>
      </c>
      <c r="R2255" t="s">
        <v>436</v>
      </c>
    </row>
    <row r="2256" spans="1:18" x14ac:dyDescent="0.25">
      <c r="A2256" t="s">
        <v>2248</v>
      </c>
      <c r="B2256">
        <v>1493</v>
      </c>
      <c r="C2256" t="s">
        <v>487</v>
      </c>
      <c r="D2256" t="s">
        <v>261</v>
      </c>
      <c r="E2256" t="s">
        <v>381</v>
      </c>
      <c r="F2256" t="s">
        <v>1458</v>
      </c>
      <c r="G2256" s="25">
        <v>44264</v>
      </c>
      <c r="H2256">
        <v>14</v>
      </c>
      <c r="I2256">
        <v>68</v>
      </c>
      <c r="J2256" t="s">
        <v>432</v>
      </c>
      <c r="K2256" t="s">
        <v>497</v>
      </c>
      <c r="L2256" t="s">
        <v>438</v>
      </c>
      <c r="M2256" t="s">
        <v>434</v>
      </c>
      <c r="N2256" t="s">
        <v>75</v>
      </c>
      <c r="O2256" t="s">
        <v>435</v>
      </c>
      <c r="P2256" t="s">
        <v>438</v>
      </c>
      <c r="Q2256">
        <v>32100</v>
      </c>
      <c r="R2256" t="s">
        <v>436</v>
      </c>
    </row>
    <row r="2257" spans="1:18" x14ac:dyDescent="0.25">
      <c r="A2257" t="s">
        <v>2738</v>
      </c>
      <c r="B2257">
        <v>965</v>
      </c>
      <c r="C2257" t="s">
        <v>487</v>
      </c>
      <c r="D2257" t="s">
        <v>256</v>
      </c>
      <c r="E2257" t="s">
        <v>261</v>
      </c>
      <c r="F2257" t="s">
        <v>1276</v>
      </c>
      <c r="G2257" s="25">
        <v>44240</v>
      </c>
      <c r="H2257">
        <v>9</v>
      </c>
      <c r="I2257">
        <v>44</v>
      </c>
      <c r="J2257" t="s">
        <v>432</v>
      </c>
      <c r="K2257" t="s">
        <v>497</v>
      </c>
      <c r="L2257" t="s">
        <v>438</v>
      </c>
      <c r="M2257" t="s">
        <v>434</v>
      </c>
      <c r="N2257" t="s">
        <v>75</v>
      </c>
      <c r="O2257" t="s">
        <v>435</v>
      </c>
      <c r="P2257" t="s">
        <v>438</v>
      </c>
      <c r="Q2257">
        <v>19200</v>
      </c>
      <c r="R2257" t="s">
        <v>436</v>
      </c>
    </row>
    <row r="2258" spans="1:18" x14ac:dyDescent="0.25">
      <c r="A2258" t="s">
        <v>2186</v>
      </c>
      <c r="B2258">
        <v>591</v>
      </c>
      <c r="C2258" t="s">
        <v>487</v>
      </c>
      <c r="D2258" t="s">
        <v>231</v>
      </c>
      <c r="E2258" t="s">
        <v>326</v>
      </c>
      <c r="F2258" t="s">
        <v>1095</v>
      </c>
      <c r="G2258" s="25">
        <v>44223</v>
      </c>
      <c r="H2258">
        <v>6</v>
      </c>
      <c r="I2258">
        <v>27</v>
      </c>
      <c r="J2258" t="s">
        <v>432</v>
      </c>
      <c r="K2258" t="s">
        <v>497</v>
      </c>
      <c r="L2258" t="s">
        <v>438</v>
      </c>
      <c r="M2258" t="s">
        <v>434</v>
      </c>
      <c r="N2258" t="s">
        <v>75</v>
      </c>
      <c r="O2258" t="s">
        <v>435</v>
      </c>
      <c r="P2258" t="s">
        <v>438</v>
      </c>
      <c r="Q2258">
        <v>31200</v>
      </c>
      <c r="R2258" t="s">
        <v>436</v>
      </c>
    </row>
    <row r="2259" spans="1:18" x14ac:dyDescent="0.25">
      <c r="A2259" t="s">
        <v>763</v>
      </c>
      <c r="B2259">
        <v>239</v>
      </c>
      <c r="C2259" t="s">
        <v>487</v>
      </c>
      <c r="D2259" t="s">
        <v>229</v>
      </c>
      <c r="E2259" t="s">
        <v>515</v>
      </c>
      <c r="F2259" t="s">
        <v>516</v>
      </c>
      <c r="G2259" s="25">
        <v>44207</v>
      </c>
      <c r="H2259">
        <v>3</v>
      </c>
      <c r="I2259">
        <v>11</v>
      </c>
      <c r="J2259" t="s">
        <v>432</v>
      </c>
      <c r="K2259" t="s">
        <v>497</v>
      </c>
      <c r="L2259" t="s">
        <v>438</v>
      </c>
      <c r="M2259" t="s">
        <v>434</v>
      </c>
      <c r="N2259" t="s">
        <v>75</v>
      </c>
      <c r="O2259" t="s">
        <v>435</v>
      </c>
      <c r="P2259" t="s">
        <v>438</v>
      </c>
      <c r="Q2259">
        <v>7200</v>
      </c>
      <c r="R2259" t="s">
        <v>436</v>
      </c>
    </row>
    <row r="2260" spans="1:18" x14ac:dyDescent="0.25">
      <c r="A2260" t="s">
        <v>3932</v>
      </c>
      <c r="B2260">
        <v>2109</v>
      </c>
      <c r="C2260" t="s">
        <v>487</v>
      </c>
      <c r="D2260" t="s">
        <v>322</v>
      </c>
      <c r="E2260" t="s">
        <v>620</v>
      </c>
      <c r="F2260" t="s">
        <v>3025</v>
      </c>
      <c r="G2260" s="25">
        <v>44292</v>
      </c>
      <c r="H2260">
        <v>20</v>
      </c>
      <c r="I2260">
        <v>96</v>
      </c>
      <c r="J2260" t="s">
        <v>432</v>
      </c>
      <c r="K2260" t="s">
        <v>497</v>
      </c>
      <c r="L2260" t="s">
        <v>438</v>
      </c>
      <c r="M2260" t="s">
        <v>434</v>
      </c>
      <c r="N2260" t="s">
        <v>75</v>
      </c>
      <c r="O2260" t="s">
        <v>435</v>
      </c>
      <c r="P2260" t="s">
        <v>438</v>
      </c>
      <c r="Q2260">
        <v>55200</v>
      </c>
      <c r="R2260" t="s">
        <v>436</v>
      </c>
    </row>
    <row r="2261" spans="1:18" x14ac:dyDescent="0.25">
      <c r="A2261" t="s">
        <v>3933</v>
      </c>
      <c r="B2261">
        <v>1801</v>
      </c>
      <c r="C2261" t="s">
        <v>487</v>
      </c>
      <c r="D2261" t="s">
        <v>322</v>
      </c>
      <c r="E2261" t="s">
        <v>231</v>
      </c>
      <c r="F2261" t="s">
        <v>2945</v>
      </c>
      <c r="G2261" s="25">
        <v>44278</v>
      </c>
      <c r="H2261">
        <v>17</v>
      </c>
      <c r="I2261">
        <v>82</v>
      </c>
      <c r="J2261" t="s">
        <v>432</v>
      </c>
      <c r="K2261" t="s">
        <v>497</v>
      </c>
      <c r="L2261" t="s">
        <v>438</v>
      </c>
      <c r="M2261" t="s">
        <v>434</v>
      </c>
      <c r="N2261" t="s">
        <v>75</v>
      </c>
      <c r="O2261" t="s">
        <v>435</v>
      </c>
      <c r="P2261" t="s">
        <v>438</v>
      </c>
      <c r="Q2261">
        <v>16800</v>
      </c>
      <c r="R2261" t="s">
        <v>436</v>
      </c>
    </row>
    <row r="2262" spans="1:18" x14ac:dyDescent="0.25">
      <c r="A2262" t="s">
        <v>1947</v>
      </c>
      <c r="B2262">
        <v>1137</v>
      </c>
      <c r="C2262" t="s">
        <v>487</v>
      </c>
      <c r="D2262" t="s">
        <v>256</v>
      </c>
      <c r="E2262" t="s">
        <v>232</v>
      </c>
      <c r="F2262" t="s">
        <v>1337</v>
      </c>
      <c r="G2262" s="25">
        <v>44248</v>
      </c>
      <c r="H2262">
        <v>11</v>
      </c>
      <c r="I2262">
        <v>52</v>
      </c>
      <c r="J2262" t="s">
        <v>432</v>
      </c>
      <c r="K2262" t="s">
        <v>496</v>
      </c>
      <c r="L2262" t="s">
        <v>69</v>
      </c>
      <c r="M2262" t="s">
        <v>434</v>
      </c>
      <c r="N2262" t="s">
        <v>68</v>
      </c>
      <c r="O2262" t="s">
        <v>21</v>
      </c>
      <c r="P2262" t="s">
        <v>439</v>
      </c>
      <c r="Q2262">
        <v>512000</v>
      </c>
      <c r="R2262" t="s">
        <v>237</v>
      </c>
    </row>
    <row r="2263" spans="1:18" x14ac:dyDescent="0.25">
      <c r="A2263" t="s">
        <v>2797</v>
      </c>
      <c r="B2263">
        <v>829</v>
      </c>
      <c r="C2263" t="s">
        <v>487</v>
      </c>
      <c r="D2263" t="s">
        <v>231</v>
      </c>
      <c r="E2263" t="s">
        <v>552</v>
      </c>
      <c r="F2263" t="s">
        <v>1222</v>
      </c>
      <c r="G2263" s="25">
        <v>44234</v>
      </c>
      <c r="H2263">
        <v>8</v>
      </c>
      <c r="I2263">
        <v>38</v>
      </c>
      <c r="J2263" t="s">
        <v>432</v>
      </c>
      <c r="K2263" t="s">
        <v>496</v>
      </c>
      <c r="L2263" t="s">
        <v>69</v>
      </c>
      <c r="M2263" t="s">
        <v>434</v>
      </c>
      <c r="N2263" t="s">
        <v>68</v>
      </c>
      <c r="O2263" t="s">
        <v>21</v>
      </c>
      <c r="P2263" t="s">
        <v>439</v>
      </c>
      <c r="Q2263">
        <v>79000</v>
      </c>
      <c r="R2263" t="s">
        <v>237</v>
      </c>
    </row>
    <row r="2264" spans="1:18" x14ac:dyDescent="0.25">
      <c r="A2264" t="s">
        <v>2798</v>
      </c>
      <c r="B2264">
        <v>521</v>
      </c>
      <c r="C2264" t="s">
        <v>487</v>
      </c>
      <c r="D2264" t="s">
        <v>231</v>
      </c>
      <c r="E2264" t="s">
        <v>261</v>
      </c>
      <c r="F2264" t="s">
        <v>1065</v>
      </c>
      <c r="G2264" s="25">
        <v>44220</v>
      </c>
      <c r="H2264">
        <v>5</v>
      </c>
      <c r="I2264">
        <v>24</v>
      </c>
      <c r="J2264" t="s">
        <v>432</v>
      </c>
      <c r="K2264" t="s">
        <v>496</v>
      </c>
      <c r="L2264" t="s">
        <v>69</v>
      </c>
      <c r="M2264" t="s">
        <v>434</v>
      </c>
      <c r="N2264" t="s">
        <v>68</v>
      </c>
      <c r="O2264" t="s">
        <v>21</v>
      </c>
      <c r="P2264" t="s">
        <v>439</v>
      </c>
      <c r="Q2264">
        <v>0</v>
      </c>
      <c r="R2264" t="s">
        <v>237</v>
      </c>
    </row>
    <row r="2265" spans="1:18" x14ac:dyDescent="0.25">
      <c r="A2265" t="s">
        <v>2120</v>
      </c>
      <c r="B2265">
        <v>1665</v>
      </c>
      <c r="C2265" t="s">
        <v>487</v>
      </c>
      <c r="D2265" t="s">
        <v>261</v>
      </c>
      <c r="E2265" t="s">
        <v>620</v>
      </c>
      <c r="F2265" t="s">
        <v>1545</v>
      </c>
      <c r="G2265" s="25">
        <v>44272</v>
      </c>
      <c r="H2265">
        <v>16</v>
      </c>
      <c r="I2265">
        <v>76</v>
      </c>
      <c r="J2265" t="s">
        <v>432</v>
      </c>
      <c r="K2265" t="s">
        <v>496</v>
      </c>
      <c r="L2265" t="s">
        <v>69</v>
      </c>
      <c r="M2265" t="s">
        <v>434</v>
      </c>
      <c r="N2265" t="s">
        <v>68</v>
      </c>
      <c r="O2265" t="s">
        <v>21</v>
      </c>
      <c r="P2265" t="s">
        <v>439</v>
      </c>
      <c r="Q2265">
        <v>48000</v>
      </c>
      <c r="R2265" t="s">
        <v>237</v>
      </c>
    </row>
    <row r="2266" spans="1:18" x14ac:dyDescent="0.25">
      <c r="A2266" t="s">
        <v>2739</v>
      </c>
      <c r="B2266">
        <v>1423</v>
      </c>
      <c r="C2266" t="s">
        <v>487</v>
      </c>
      <c r="D2266" t="s">
        <v>261</v>
      </c>
      <c r="E2266" t="s">
        <v>322</v>
      </c>
      <c r="F2266" t="s">
        <v>1417</v>
      </c>
      <c r="G2266" s="25">
        <v>44261</v>
      </c>
      <c r="H2266">
        <v>13</v>
      </c>
      <c r="I2266">
        <v>65</v>
      </c>
      <c r="J2266" t="s">
        <v>432</v>
      </c>
      <c r="K2266" t="s">
        <v>496</v>
      </c>
      <c r="L2266" t="s">
        <v>69</v>
      </c>
      <c r="M2266" t="s">
        <v>434</v>
      </c>
      <c r="N2266" t="s">
        <v>68</v>
      </c>
      <c r="O2266" t="s">
        <v>21</v>
      </c>
      <c r="P2266" t="s">
        <v>439</v>
      </c>
      <c r="Q2266">
        <v>261000</v>
      </c>
      <c r="R2266" t="s">
        <v>237</v>
      </c>
    </row>
    <row r="2267" spans="1:18" x14ac:dyDescent="0.25">
      <c r="A2267" t="s">
        <v>3934</v>
      </c>
      <c r="B2267">
        <v>1974</v>
      </c>
      <c r="C2267" t="s">
        <v>487</v>
      </c>
      <c r="D2267" t="s">
        <v>322</v>
      </c>
      <c r="E2267" t="s">
        <v>239</v>
      </c>
      <c r="F2267" t="s">
        <v>2979</v>
      </c>
      <c r="G2267" s="25">
        <v>44286</v>
      </c>
      <c r="H2267">
        <v>18</v>
      </c>
      <c r="I2267">
        <v>90</v>
      </c>
      <c r="J2267" t="s">
        <v>432</v>
      </c>
      <c r="K2267" t="s">
        <v>495</v>
      </c>
      <c r="L2267" t="s">
        <v>135</v>
      </c>
      <c r="M2267" t="s">
        <v>434</v>
      </c>
      <c r="N2267" t="s">
        <v>70</v>
      </c>
      <c r="O2267" t="s">
        <v>21</v>
      </c>
      <c r="P2267" t="s">
        <v>440</v>
      </c>
      <c r="Q2267">
        <v>681000</v>
      </c>
      <c r="R2267" t="s">
        <v>237</v>
      </c>
    </row>
    <row r="2268" spans="1:18" x14ac:dyDescent="0.25">
      <c r="A2268" t="s">
        <v>2576</v>
      </c>
      <c r="B2268">
        <v>1670</v>
      </c>
      <c r="C2268" t="s">
        <v>487</v>
      </c>
      <c r="D2268" t="s">
        <v>261</v>
      </c>
      <c r="E2268" t="s">
        <v>620</v>
      </c>
      <c r="F2268" t="s">
        <v>1545</v>
      </c>
      <c r="G2268" s="25">
        <v>44272</v>
      </c>
      <c r="H2268">
        <v>16</v>
      </c>
      <c r="I2268">
        <v>76</v>
      </c>
      <c r="J2268" t="s">
        <v>432</v>
      </c>
      <c r="K2268" t="s">
        <v>494</v>
      </c>
      <c r="L2268" t="s">
        <v>25</v>
      </c>
      <c r="M2268" t="s">
        <v>434</v>
      </c>
      <c r="N2268" t="s">
        <v>76</v>
      </c>
      <c r="O2268" t="s">
        <v>435</v>
      </c>
      <c r="P2268" t="s">
        <v>25</v>
      </c>
      <c r="Q2268">
        <v>33000</v>
      </c>
      <c r="R2268" t="s">
        <v>436</v>
      </c>
    </row>
    <row r="2269" spans="1:18" x14ac:dyDescent="0.25">
      <c r="A2269" t="s">
        <v>2684</v>
      </c>
      <c r="B2269">
        <v>1428</v>
      </c>
      <c r="C2269" t="s">
        <v>487</v>
      </c>
      <c r="D2269" t="s">
        <v>261</v>
      </c>
      <c r="E2269" t="s">
        <v>322</v>
      </c>
      <c r="F2269" t="s">
        <v>1417</v>
      </c>
      <c r="G2269" s="25">
        <v>44261</v>
      </c>
      <c r="H2269">
        <v>13</v>
      </c>
      <c r="I2269">
        <v>65</v>
      </c>
      <c r="J2269" t="s">
        <v>432</v>
      </c>
      <c r="K2269" t="s">
        <v>494</v>
      </c>
      <c r="L2269" t="s">
        <v>25</v>
      </c>
      <c r="M2269" t="s">
        <v>434</v>
      </c>
      <c r="N2269" t="s">
        <v>76</v>
      </c>
      <c r="O2269" t="s">
        <v>435</v>
      </c>
      <c r="P2269" t="s">
        <v>25</v>
      </c>
      <c r="Q2269">
        <v>38100</v>
      </c>
      <c r="R2269" t="s">
        <v>436</v>
      </c>
    </row>
    <row r="2270" spans="1:18" x14ac:dyDescent="0.25">
      <c r="A2270" t="s">
        <v>2194</v>
      </c>
      <c r="B2270">
        <v>1142</v>
      </c>
      <c r="C2270" t="s">
        <v>487</v>
      </c>
      <c r="D2270" t="s">
        <v>256</v>
      </c>
      <c r="E2270" t="s">
        <v>232</v>
      </c>
      <c r="F2270" t="s">
        <v>1337</v>
      </c>
      <c r="G2270" s="25">
        <v>44248</v>
      </c>
      <c r="H2270">
        <v>11</v>
      </c>
      <c r="I2270">
        <v>52</v>
      </c>
      <c r="J2270" t="s">
        <v>432</v>
      </c>
      <c r="K2270" t="s">
        <v>494</v>
      </c>
      <c r="L2270" t="s">
        <v>25</v>
      </c>
      <c r="M2270" t="s">
        <v>434</v>
      </c>
      <c r="N2270" t="s">
        <v>76</v>
      </c>
      <c r="O2270" t="s">
        <v>435</v>
      </c>
      <c r="P2270" t="s">
        <v>25</v>
      </c>
      <c r="Q2270">
        <v>44700</v>
      </c>
      <c r="R2270" t="s">
        <v>436</v>
      </c>
    </row>
    <row r="2271" spans="1:18" x14ac:dyDescent="0.25">
      <c r="A2271" t="s">
        <v>2800</v>
      </c>
      <c r="B2271">
        <v>1032</v>
      </c>
      <c r="C2271" t="s">
        <v>487</v>
      </c>
      <c r="D2271" t="s">
        <v>256</v>
      </c>
      <c r="E2271" t="s">
        <v>326</v>
      </c>
      <c r="F2271" t="s">
        <v>1305</v>
      </c>
      <c r="G2271" s="25">
        <v>44243</v>
      </c>
      <c r="H2271">
        <v>10</v>
      </c>
      <c r="I2271">
        <v>47</v>
      </c>
      <c r="J2271" t="s">
        <v>432</v>
      </c>
      <c r="K2271" t="s">
        <v>494</v>
      </c>
      <c r="L2271" t="s">
        <v>25</v>
      </c>
      <c r="M2271" t="s">
        <v>434</v>
      </c>
      <c r="N2271" t="s">
        <v>76</v>
      </c>
      <c r="O2271" t="s">
        <v>435</v>
      </c>
      <c r="P2271" t="s">
        <v>25</v>
      </c>
      <c r="Q2271">
        <v>59175</v>
      </c>
      <c r="R2271" t="s">
        <v>436</v>
      </c>
    </row>
    <row r="2272" spans="1:18" x14ac:dyDescent="0.25">
      <c r="A2272" t="s">
        <v>1693</v>
      </c>
      <c r="B2272">
        <v>834</v>
      </c>
      <c r="C2272" t="s">
        <v>487</v>
      </c>
      <c r="D2272" t="s">
        <v>231</v>
      </c>
      <c r="E2272" t="s">
        <v>552</v>
      </c>
      <c r="F2272" t="s">
        <v>1222</v>
      </c>
      <c r="G2272" s="25">
        <v>44234</v>
      </c>
      <c r="H2272">
        <v>8</v>
      </c>
      <c r="I2272">
        <v>38</v>
      </c>
      <c r="J2272" t="s">
        <v>432</v>
      </c>
      <c r="K2272" t="s">
        <v>494</v>
      </c>
      <c r="L2272" t="s">
        <v>25</v>
      </c>
      <c r="M2272" t="s">
        <v>434</v>
      </c>
      <c r="N2272" t="s">
        <v>76</v>
      </c>
      <c r="O2272" t="s">
        <v>435</v>
      </c>
      <c r="P2272" t="s">
        <v>25</v>
      </c>
      <c r="Q2272">
        <v>28800</v>
      </c>
      <c r="R2272" t="s">
        <v>436</v>
      </c>
    </row>
    <row r="2273" spans="1:18" x14ac:dyDescent="0.25">
      <c r="A2273" t="s">
        <v>2414</v>
      </c>
      <c r="B2273">
        <v>526</v>
      </c>
      <c r="C2273" t="s">
        <v>487</v>
      </c>
      <c r="D2273" t="s">
        <v>231</v>
      </c>
      <c r="E2273" t="s">
        <v>261</v>
      </c>
      <c r="F2273" t="s">
        <v>1065</v>
      </c>
      <c r="G2273" s="25">
        <v>44220</v>
      </c>
      <c r="H2273">
        <v>5</v>
      </c>
      <c r="I2273">
        <v>24</v>
      </c>
      <c r="J2273" t="s">
        <v>432</v>
      </c>
      <c r="K2273" t="s">
        <v>494</v>
      </c>
      <c r="L2273" t="s">
        <v>25</v>
      </c>
      <c r="M2273" t="s">
        <v>434</v>
      </c>
      <c r="N2273" t="s">
        <v>76</v>
      </c>
      <c r="O2273" t="s">
        <v>435</v>
      </c>
      <c r="P2273" t="s">
        <v>25</v>
      </c>
      <c r="Q2273">
        <v>36000</v>
      </c>
      <c r="R2273" t="s">
        <v>436</v>
      </c>
    </row>
    <row r="2274" spans="1:18" x14ac:dyDescent="0.25">
      <c r="A2274" t="s">
        <v>3935</v>
      </c>
      <c r="B2274">
        <v>1914</v>
      </c>
      <c r="C2274" t="s">
        <v>487</v>
      </c>
      <c r="D2274" t="s">
        <v>322</v>
      </c>
      <c r="E2274" t="s">
        <v>326</v>
      </c>
      <c r="F2274" t="s">
        <v>2967</v>
      </c>
      <c r="G2274" s="25">
        <v>44283</v>
      </c>
      <c r="H2274">
        <v>18</v>
      </c>
      <c r="I2274">
        <v>87</v>
      </c>
      <c r="J2274" t="s">
        <v>432</v>
      </c>
      <c r="K2274" t="s">
        <v>493</v>
      </c>
      <c r="L2274" t="s">
        <v>441</v>
      </c>
      <c r="M2274" t="s">
        <v>434</v>
      </c>
      <c r="N2274" t="s">
        <v>78</v>
      </c>
      <c r="O2274" t="s">
        <v>435</v>
      </c>
      <c r="P2274" t="s">
        <v>441</v>
      </c>
      <c r="Q2274">
        <v>317848.75</v>
      </c>
      <c r="R2274" t="s">
        <v>436</v>
      </c>
    </row>
    <row r="2275" spans="1:18" x14ac:dyDescent="0.25">
      <c r="A2275" t="s">
        <v>2689</v>
      </c>
      <c r="B2275">
        <v>1298</v>
      </c>
      <c r="C2275" t="s">
        <v>487</v>
      </c>
      <c r="D2275" t="s">
        <v>256</v>
      </c>
      <c r="E2275" t="s">
        <v>531</v>
      </c>
      <c r="F2275" t="s">
        <v>1373</v>
      </c>
      <c r="G2275" s="25">
        <v>44255</v>
      </c>
      <c r="H2275">
        <v>12</v>
      </c>
      <c r="I2275">
        <v>59</v>
      </c>
      <c r="J2275" t="s">
        <v>432</v>
      </c>
      <c r="K2275" t="s">
        <v>493</v>
      </c>
      <c r="L2275" t="s">
        <v>441</v>
      </c>
      <c r="M2275" t="s">
        <v>434</v>
      </c>
      <c r="N2275" t="s">
        <v>78</v>
      </c>
      <c r="O2275" t="s">
        <v>435</v>
      </c>
      <c r="P2275" t="s">
        <v>441</v>
      </c>
      <c r="Q2275">
        <v>188650</v>
      </c>
      <c r="R2275" t="s">
        <v>436</v>
      </c>
    </row>
    <row r="2276" spans="1:18" x14ac:dyDescent="0.25">
      <c r="A2276" t="s">
        <v>2313</v>
      </c>
      <c r="B2276">
        <v>836</v>
      </c>
      <c r="C2276" t="s">
        <v>487</v>
      </c>
      <c r="D2276" t="s">
        <v>231</v>
      </c>
      <c r="E2276" t="s">
        <v>552</v>
      </c>
      <c r="F2276" t="s">
        <v>1222</v>
      </c>
      <c r="G2276" s="25">
        <v>44234</v>
      </c>
      <c r="H2276">
        <v>8</v>
      </c>
      <c r="I2276">
        <v>38</v>
      </c>
      <c r="J2276" t="s">
        <v>432</v>
      </c>
      <c r="K2276" t="s">
        <v>493</v>
      </c>
      <c r="L2276" t="s">
        <v>441</v>
      </c>
      <c r="M2276" t="s">
        <v>434</v>
      </c>
      <c r="N2276" t="s">
        <v>78</v>
      </c>
      <c r="O2276" t="s">
        <v>435</v>
      </c>
      <c r="P2276" t="s">
        <v>441</v>
      </c>
      <c r="Q2276">
        <v>118125</v>
      </c>
      <c r="R2276" t="s">
        <v>436</v>
      </c>
    </row>
    <row r="2277" spans="1:18" x14ac:dyDescent="0.25">
      <c r="A2277" t="s">
        <v>1888</v>
      </c>
      <c r="B2277">
        <v>726</v>
      </c>
      <c r="C2277" t="s">
        <v>487</v>
      </c>
      <c r="D2277" t="s">
        <v>231</v>
      </c>
      <c r="E2277" t="s">
        <v>512</v>
      </c>
      <c r="F2277" t="s">
        <v>1174</v>
      </c>
      <c r="G2277" s="25">
        <v>44229</v>
      </c>
      <c r="H2277">
        <v>7</v>
      </c>
      <c r="I2277">
        <v>33</v>
      </c>
      <c r="J2277" t="s">
        <v>432</v>
      </c>
      <c r="K2277" t="s">
        <v>493</v>
      </c>
      <c r="L2277" t="s">
        <v>441</v>
      </c>
      <c r="M2277" t="s">
        <v>434</v>
      </c>
      <c r="N2277" t="s">
        <v>78</v>
      </c>
      <c r="O2277" t="s">
        <v>435</v>
      </c>
      <c r="P2277" t="s">
        <v>441</v>
      </c>
      <c r="Q2277">
        <v>117468.75</v>
      </c>
      <c r="R2277" t="s">
        <v>436</v>
      </c>
    </row>
    <row r="2278" spans="1:18" x14ac:dyDescent="0.25">
      <c r="A2278" t="s">
        <v>346</v>
      </c>
      <c r="B2278">
        <v>66</v>
      </c>
      <c r="C2278" t="s">
        <v>487</v>
      </c>
      <c r="D2278" t="s">
        <v>229</v>
      </c>
      <c r="E2278" t="s">
        <v>256</v>
      </c>
      <c r="F2278" t="s">
        <v>525</v>
      </c>
      <c r="G2278" s="25">
        <v>44199</v>
      </c>
      <c r="H2278">
        <v>1</v>
      </c>
      <c r="I2278">
        <v>3</v>
      </c>
      <c r="J2278" t="s">
        <v>432</v>
      </c>
      <c r="K2278" t="s">
        <v>493</v>
      </c>
      <c r="L2278" t="s">
        <v>441</v>
      </c>
      <c r="M2278" t="s">
        <v>434</v>
      </c>
      <c r="N2278" t="s">
        <v>78</v>
      </c>
      <c r="O2278" t="s">
        <v>435</v>
      </c>
      <c r="P2278" t="s">
        <v>441</v>
      </c>
      <c r="Q2278">
        <v>0</v>
      </c>
      <c r="R2278" t="s">
        <v>436</v>
      </c>
    </row>
    <row r="2279" spans="1:18" x14ac:dyDescent="0.25">
      <c r="A2279" t="s">
        <v>3936</v>
      </c>
      <c r="B2279">
        <v>1799</v>
      </c>
      <c r="C2279" t="s">
        <v>487</v>
      </c>
      <c r="D2279" t="s">
        <v>322</v>
      </c>
      <c r="E2279" t="s">
        <v>231</v>
      </c>
      <c r="F2279" t="s">
        <v>2945</v>
      </c>
      <c r="G2279" s="25">
        <v>44278</v>
      </c>
      <c r="H2279">
        <v>17</v>
      </c>
      <c r="I2279">
        <v>82</v>
      </c>
      <c r="J2279" t="s">
        <v>432</v>
      </c>
      <c r="K2279" t="s">
        <v>492</v>
      </c>
      <c r="L2279" t="s">
        <v>24</v>
      </c>
      <c r="M2279" t="s">
        <v>434</v>
      </c>
      <c r="N2279" t="s">
        <v>71</v>
      </c>
      <c r="O2279" t="s">
        <v>435</v>
      </c>
      <c r="P2279" t="s">
        <v>24</v>
      </c>
      <c r="Q2279">
        <v>0</v>
      </c>
      <c r="R2279" t="s">
        <v>436</v>
      </c>
    </row>
    <row r="2280" spans="1:18" x14ac:dyDescent="0.25">
      <c r="A2280" t="s">
        <v>2318</v>
      </c>
      <c r="B2280">
        <v>1667</v>
      </c>
      <c r="C2280" t="s">
        <v>487</v>
      </c>
      <c r="D2280" t="s">
        <v>261</v>
      </c>
      <c r="E2280" t="s">
        <v>620</v>
      </c>
      <c r="F2280" t="s">
        <v>1545</v>
      </c>
      <c r="G2280" s="25">
        <v>44272</v>
      </c>
      <c r="H2280">
        <v>16</v>
      </c>
      <c r="I2280">
        <v>76</v>
      </c>
      <c r="J2280" t="s">
        <v>432</v>
      </c>
      <c r="K2280" t="s">
        <v>492</v>
      </c>
      <c r="L2280" t="s">
        <v>24</v>
      </c>
      <c r="M2280" t="s">
        <v>434</v>
      </c>
      <c r="N2280" t="s">
        <v>71</v>
      </c>
      <c r="O2280" t="s">
        <v>435</v>
      </c>
      <c r="P2280" t="s">
        <v>24</v>
      </c>
      <c r="Q2280">
        <v>16312.5</v>
      </c>
      <c r="R2280" t="s">
        <v>436</v>
      </c>
    </row>
    <row r="2281" spans="1:18" x14ac:dyDescent="0.25">
      <c r="A2281" t="s">
        <v>2015</v>
      </c>
      <c r="B2281">
        <v>1491</v>
      </c>
      <c r="C2281" t="s">
        <v>487</v>
      </c>
      <c r="D2281" t="s">
        <v>261</v>
      </c>
      <c r="E2281" t="s">
        <v>381</v>
      </c>
      <c r="F2281" t="s">
        <v>1458</v>
      </c>
      <c r="G2281" s="25">
        <v>44264</v>
      </c>
      <c r="H2281">
        <v>14</v>
      </c>
      <c r="I2281">
        <v>68</v>
      </c>
      <c r="J2281" t="s">
        <v>432</v>
      </c>
      <c r="K2281" t="s">
        <v>492</v>
      </c>
      <c r="L2281" t="s">
        <v>24</v>
      </c>
      <c r="M2281" t="s">
        <v>434</v>
      </c>
      <c r="N2281" t="s">
        <v>71</v>
      </c>
      <c r="O2281" t="s">
        <v>435</v>
      </c>
      <c r="P2281" t="s">
        <v>24</v>
      </c>
      <c r="Q2281">
        <v>31500</v>
      </c>
      <c r="R2281" t="s">
        <v>436</v>
      </c>
    </row>
    <row r="2282" spans="1:18" x14ac:dyDescent="0.25">
      <c r="A2282" t="s">
        <v>2751</v>
      </c>
      <c r="B2282">
        <v>1183</v>
      </c>
      <c r="C2282" t="s">
        <v>487</v>
      </c>
      <c r="D2282" t="s">
        <v>256</v>
      </c>
      <c r="E2282" t="s">
        <v>537</v>
      </c>
      <c r="F2282" t="s">
        <v>1348</v>
      </c>
      <c r="G2282" s="25">
        <v>44250</v>
      </c>
      <c r="H2282">
        <v>11</v>
      </c>
      <c r="I2282">
        <v>54</v>
      </c>
      <c r="J2282" t="s">
        <v>432</v>
      </c>
      <c r="K2282" t="s">
        <v>492</v>
      </c>
      <c r="L2282" t="s">
        <v>24</v>
      </c>
      <c r="M2282" t="s">
        <v>434</v>
      </c>
      <c r="N2282" t="s">
        <v>71</v>
      </c>
      <c r="O2282" t="s">
        <v>435</v>
      </c>
      <c r="P2282" t="s">
        <v>24</v>
      </c>
      <c r="Q2282">
        <v>48581.25</v>
      </c>
      <c r="R2282" t="s">
        <v>436</v>
      </c>
    </row>
    <row r="2283" spans="1:18" x14ac:dyDescent="0.25">
      <c r="A2283" t="s">
        <v>724</v>
      </c>
      <c r="B2283">
        <v>237</v>
      </c>
      <c r="C2283" t="s">
        <v>487</v>
      </c>
      <c r="D2283" t="s">
        <v>229</v>
      </c>
      <c r="E2283" t="s">
        <v>515</v>
      </c>
      <c r="F2283" t="s">
        <v>516</v>
      </c>
      <c r="G2283" s="25">
        <v>44207</v>
      </c>
      <c r="H2283">
        <v>3</v>
      </c>
      <c r="I2283">
        <v>11</v>
      </c>
      <c r="J2283" t="s">
        <v>432</v>
      </c>
      <c r="K2283" t="s">
        <v>492</v>
      </c>
      <c r="L2283" t="s">
        <v>24</v>
      </c>
      <c r="M2283" t="s">
        <v>434</v>
      </c>
      <c r="N2283" t="s">
        <v>71</v>
      </c>
      <c r="O2283" t="s">
        <v>435</v>
      </c>
      <c r="P2283" t="s">
        <v>24</v>
      </c>
      <c r="Q2283">
        <v>3600</v>
      </c>
      <c r="R2283" t="s">
        <v>436</v>
      </c>
    </row>
    <row r="2284" spans="1:18" x14ac:dyDescent="0.25">
      <c r="A2284" t="s">
        <v>3937</v>
      </c>
      <c r="B2284">
        <v>2283</v>
      </c>
      <c r="C2284" t="s">
        <v>487</v>
      </c>
      <c r="D2284" t="s">
        <v>247</v>
      </c>
      <c r="E2284" t="s">
        <v>261</v>
      </c>
      <c r="F2284" t="s">
        <v>3078</v>
      </c>
      <c r="G2284" s="25">
        <v>44300</v>
      </c>
      <c r="H2284">
        <v>21</v>
      </c>
      <c r="I2284">
        <v>104</v>
      </c>
      <c r="J2284" t="s">
        <v>432</v>
      </c>
      <c r="K2284" t="s">
        <v>492</v>
      </c>
      <c r="L2284" t="s">
        <v>24</v>
      </c>
      <c r="M2284" t="s">
        <v>434</v>
      </c>
      <c r="N2284" t="s">
        <v>71</v>
      </c>
      <c r="O2284" t="s">
        <v>435</v>
      </c>
      <c r="P2284" t="s">
        <v>24</v>
      </c>
      <c r="Q2284">
        <v>59456.25</v>
      </c>
      <c r="R2284" t="s">
        <v>436</v>
      </c>
    </row>
    <row r="2285" spans="1:18" x14ac:dyDescent="0.25">
      <c r="A2285" t="s">
        <v>3938</v>
      </c>
      <c r="B2285">
        <v>2107</v>
      </c>
      <c r="C2285" t="s">
        <v>487</v>
      </c>
      <c r="D2285" t="s">
        <v>322</v>
      </c>
      <c r="E2285" t="s">
        <v>620</v>
      </c>
      <c r="F2285" t="s">
        <v>3025</v>
      </c>
      <c r="G2285" s="25">
        <v>44292</v>
      </c>
      <c r="H2285">
        <v>20</v>
      </c>
      <c r="I2285">
        <v>96</v>
      </c>
      <c r="J2285" t="s">
        <v>432</v>
      </c>
      <c r="K2285" t="s">
        <v>492</v>
      </c>
      <c r="L2285" t="s">
        <v>24</v>
      </c>
      <c r="M2285" t="s">
        <v>434</v>
      </c>
      <c r="N2285" t="s">
        <v>71</v>
      </c>
      <c r="O2285" t="s">
        <v>435</v>
      </c>
      <c r="P2285" t="s">
        <v>24</v>
      </c>
      <c r="Q2285">
        <v>69900</v>
      </c>
      <c r="R2285" t="s">
        <v>436</v>
      </c>
    </row>
    <row r="2286" spans="1:18" x14ac:dyDescent="0.25">
      <c r="A2286" t="s">
        <v>2143</v>
      </c>
      <c r="B2286">
        <v>1218</v>
      </c>
      <c r="C2286" t="s">
        <v>487</v>
      </c>
      <c r="D2286" t="s">
        <v>256</v>
      </c>
      <c r="E2286" t="s">
        <v>620</v>
      </c>
      <c r="F2286" t="s">
        <v>1350</v>
      </c>
      <c r="G2286" s="25">
        <v>44252</v>
      </c>
      <c r="H2286">
        <v>12</v>
      </c>
      <c r="I2286">
        <v>56</v>
      </c>
      <c r="J2286" t="s">
        <v>231</v>
      </c>
      <c r="K2286" t="s">
        <v>491</v>
      </c>
      <c r="L2286" t="s">
        <v>233</v>
      </c>
      <c r="M2286" t="s">
        <v>234</v>
      </c>
      <c r="N2286" t="s">
        <v>54</v>
      </c>
      <c r="O2286" t="s">
        <v>235</v>
      </c>
      <c r="P2286" t="s">
        <v>236</v>
      </c>
      <c r="Q2286">
        <v>0</v>
      </c>
      <c r="R2286" t="s">
        <v>237</v>
      </c>
    </row>
    <row r="2287" spans="1:18" x14ac:dyDescent="0.25">
      <c r="A2287" t="s">
        <v>2019</v>
      </c>
      <c r="B2287">
        <v>976</v>
      </c>
      <c r="C2287" t="s">
        <v>487</v>
      </c>
      <c r="D2287" t="s">
        <v>256</v>
      </c>
      <c r="E2287" t="s">
        <v>322</v>
      </c>
      <c r="F2287" t="s">
        <v>1288</v>
      </c>
      <c r="G2287" s="25">
        <v>44241</v>
      </c>
      <c r="H2287">
        <v>9</v>
      </c>
      <c r="I2287">
        <v>45</v>
      </c>
      <c r="J2287" t="s">
        <v>231</v>
      </c>
      <c r="K2287" t="s">
        <v>491</v>
      </c>
      <c r="L2287" t="s">
        <v>233</v>
      </c>
      <c r="M2287" t="s">
        <v>234</v>
      </c>
      <c r="N2287" t="s">
        <v>54</v>
      </c>
      <c r="O2287" t="s">
        <v>235</v>
      </c>
      <c r="P2287" t="s">
        <v>236</v>
      </c>
      <c r="Q2287">
        <v>0</v>
      </c>
      <c r="R2287" t="s">
        <v>237</v>
      </c>
    </row>
    <row r="2288" spans="1:18" x14ac:dyDescent="0.25">
      <c r="A2288" t="s">
        <v>2580</v>
      </c>
      <c r="B2288">
        <v>602</v>
      </c>
      <c r="C2288" t="s">
        <v>487</v>
      </c>
      <c r="D2288" t="s">
        <v>231</v>
      </c>
      <c r="E2288" t="s">
        <v>381</v>
      </c>
      <c r="F2288" t="s">
        <v>1099</v>
      </c>
      <c r="G2288" s="25">
        <v>44224</v>
      </c>
      <c r="H2288">
        <v>6</v>
      </c>
      <c r="I2288">
        <v>28</v>
      </c>
      <c r="J2288" t="s">
        <v>231</v>
      </c>
      <c r="K2288" t="s">
        <v>491</v>
      </c>
      <c r="L2288" t="s">
        <v>233</v>
      </c>
      <c r="M2288" t="s">
        <v>234</v>
      </c>
      <c r="N2288" t="s">
        <v>54</v>
      </c>
      <c r="O2288" t="s">
        <v>235</v>
      </c>
      <c r="P2288" t="s">
        <v>236</v>
      </c>
      <c r="Q2288">
        <v>0</v>
      </c>
      <c r="R2288" t="s">
        <v>237</v>
      </c>
    </row>
    <row r="2289" spans="1:18" x14ac:dyDescent="0.25">
      <c r="A2289" t="s">
        <v>601</v>
      </c>
      <c r="B2289">
        <v>250</v>
      </c>
      <c r="C2289" t="s">
        <v>487</v>
      </c>
      <c r="D2289" t="s">
        <v>229</v>
      </c>
      <c r="E2289" t="s">
        <v>232</v>
      </c>
      <c r="F2289" t="s">
        <v>520</v>
      </c>
      <c r="G2289" s="25">
        <v>44208</v>
      </c>
      <c r="H2289">
        <v>3</v>
      </c>
      <c r="I2289">
        <v>12</v>
      </c>
      <c r="J2289" t="s">
        <v>231</v>
      </c>
      <c r="K2289" t="s">
        <v>491</v>
      </c>
      <c r="L2289" t="s">
        <v>233</v>
      </c>
      <c r="M2289" t="s">
        <v>234</v>
      </c>
      <c r="N2289" t="s">
        <v>54</v>
      </c>
      <c r="O2289" t="s">
        <v>235</v>
      </c>
      <c r="P2289" t="s">
        <v>236</v>
      </c>
      <c r="Q2289">
        <v>15000</v>
      </c>
      <c r="R2289" t="s">
        <v>237</v>
      </c>
    </row>
    <row r="2290" spans="1:18" x14ac:dyDescent="0.25">
      <c r="A2290" t="s">
        <v>3939</v>
      </c>
      <c r="B2290">
        <v>2428</v>
      </c>
      <c r="C2290" t="s">
        <v>487</v>
      </c>
      <c r="D2290" t="s">
        <v>247</v>
      </c>
      <c r="E2290" t="s">
        <v>515</v>
      </c>
      <c r="F2290" t="s">
        <v>3134</v>
      </c>
      <c r="G2290" s="25">
        <v>44307</v>
      </c>
      <c r="H2290">
        <v>23</v>
      </c>
      <c r="I2290">
        <v>111</v>
      </c>
      <c r="J2290" t="s">
        <v>231</v>
      </c>
      <c r="K2290" t="s">
        <v>491</v>
      </c>
      <c r="L2290" t="s">
        <v>233</v>
      </c>
      <c r="M2290" t="s">
        <v>234</v>
      </c>
      <c r="N2290" t="s">
        <v>54</v>
      </c>
      <c r="O2290" t="s">
        <v>235</v>
      </c>
      <c r="P2290" t="s">
        <v>236</v>
      </c>
      <c r="Q2290">
        <v>0</v>
      </c>
      <c r="R2290" t="s">
        <v>237</v>
      </c>
    </row>
    <row r="2291" spans="1:18" x14ac:dyDescent="0.25">
      <c r="A2291" t="s">
        <v>3940</v>
      </c>
      <c r="B2291">
        <v>2120</v>
      </c>
      <c r="C2291" t="s">
        <v>487</v>
      </c>
      <c r="D2291" t="s">
        <v>322</v>
      </c>
      <c r="E2291" t="s">
        <v>534</v>
      </c>
      <c r="F2291" t="s">
        <v>3031</v>
      </c>
      <c r="G2291" s="25">
        <v>44293</v>
      </c>
      <c r="H2291">
        <v>20</v>
      </c>
      <c r="I2291">
        <v>97</v>
      </c>
      <c r="J2291" t="s">
        <v>231</v>
      </c>
      <c r="K2291" t="s">
        <v>491</v>
      </c>
      <c r="L2291" t="s">
        <v>233</v>
      </c>
      <c r="M2291" t="s">
        <v>234</v>
      </c>
      <c r="N2291" t="s">
        <v>54</v>
      </c>
      <c r="O2291" t="s">
        <v>235</v>
      </c>
      <c r="P2291" t="s">
        <v>236</v>
      </c>
      <c r="Q2291">
        <v>0</v>
      </c>
      <c r="R2291" t="s">
        <v>237</v>
      </c>
    </row>
    <row r="2292" spans="1:18" x14ac:dyDescent="0.25">
      <c r="A2292" t="s">
        <v>2020</v>
      </c>
      <c r="B2292">
        <v>981</v>
      </c>
      <c r="C2292" t="s">
        <v>487</v>
      </c>
      <c r="D2292" t="s">
        <v>256</v>
      </c>
      <c r="E2292" t="s">
        <v>322</v>
      </c>
      <c r="F2292" t="s">
        <v>1288</v>
      </c>
      <c r="G2292" s="25">
        <v>44241</v>
      </c>
      <c r="H2292">
        <v>9</v>
      </c>
      <c r="I2292">
        <v>45</v>
      </c>
      <c r="J2292" t="s">
        <v>432</v>
      </c>
      <c r="K2292" t="s">
        <v>490</v>
      </c>
      <c r="L2292" t="s">
        <v>65</v>
      </c>
      <c r="M2292" t="s">
        <v>434</v>
      </c>
      <c r="N2292" t="s">
        <v>64</v>
      </c>
      <c r="O2292" t="s">
        <v>235</v>
      </c>
      <c r="P2292" t="s">
        <v>442</v>
      </c>
      <c r="Q2292">
        <v>162625</v>
      </c>
      <c r="R2292" t="s">
        <v>237</v>
      </c>
    </row>
    <row r="2293" spans="1:18" x14ac:dyDescent="0.25">
      <c r="A2293" t="s">
        <v>599</v>
      </c>
      <c r="B2293">
        <v>145</v>
      </c>
      <c r="C2293" t="s">
        <v>487</v>
      </c>
      <c r="D2293" t="s">
        <v>229</v>
      </c>
      <c r="E2293" t="s">
        <v>326</v>
      </c>
      <c r="F2293" t="s">
        <v>522</v>
      </c>
      <c r="G2293" s="25">
        <v>44203</v>
      </c>
      <c r="H2293">
        <v>2</v>
      </c>
      <c r="I2293">
        <v>7</v>
      </c>
      <c r="J2293" t="s">
        <v>432</v>
      </c>
      <c r="K2293" t="s">
        <v>490</v>
      </c>
      <c r="L2293" t="s">
        <v>65</v>
      </c>
      <c r="M2293" t="s">
        <v>434</v>
      </c>
      <c r="N2293" t="s">
        <v>64</v>
      </c>
      <c r="O2293" t="s">
        <v>235</v>
      </c>
      <c r="P2293" t="s">
        <v>442</v>
      </c>
      <c r="Q2293">
        <v>96000</v>
      </c>
      <c r="R2293" t="s">
        <v>237</v>
      </c>
    </row>
    <row r="2294" spans="1:18" x14ac:dyDescent="0.25">
      <c r="A2294" t="s">
        <v>3941</v>
      </c>
      <c r="B2294">
        <v>2323</v>
      </c>
      <c r="C2294" t="s">
        <v>487</v>
      </c>
      <c r="D2294" t="s">
        <v>247</v>
      </c>
      <c r="E2294" t="s">
        <v>247</v>
      </c>
      <c r="F2294" t="s">
        <v>3085</v>
      </c>
      <c r="G2294" s="25">
        <v>44302</v>
      </c>
      <c r="H2294">
        <v>22</v>
      </c>
      <c r="I2294">
        <v>106</v>
      </c>
      <c r="J2294" t="s">
        <v>432</v>
      </c>
      <c r="K2294" t="s">
        <v>490</v>
      </c>
      <c r="L2294" t="s">
        <v>65</v>
      </c>
      <c r="M2294" t="s">
        <v>434</v>
      </c>
      <c r="N2294" t="s">
        <v>64</v>
      </c>
      <c r="O2294" t="s">
        <v>235</v>
      </c>
      <c r="P2294" t="s">
        <v>442</v>
      </c>
      <c r="Q2294">
        <v>328000</v>
      </c>
      <c r="R2294" t="s">
        <v>237</v>
      </c>
    </row>
    <row r="2295" spans="1:18" x14ac:dyDescent="0.25">
      <c r="A2295" t="s">
        <v>2206</v>
      </c>
      <c r="B2295">
        <v>1355</v>
      </c>
      <c r="C2295" t="s">
        <v>487</v>
      </c>
      <c r="D2295" t="s">
        <v>261</v>
      </c>
      <c r="E2295" t="s">
        <v>231</v>
      </c>
      <c r="F2295" t="s">
        <v>1400</v>
      </c>
      <c r="G2295" s="25">
        <v>44258</v>
      </c>
      <c r="H2295">
        <v>13</v>
      </c>
      <c r="I2295">
        <v>62</v>
      </c>
      <c r="J2295" t="s">
        <v>432</v>
      </c>
      <c r="K2295" t="s">
        <v>490</v>
      </c>
      <c r="L2295" t="s">
        <v>65</v>
      </c>
      <c r="M2295" t="s">
        <v>434</v>
      </c>
      <c r="N2295" t="s">
        <v>64</v>
      </c>
      <c r="O2295" t="s">
        <v>235</v>
      </c>
      <c r="P2295" t="s">
        <v>442</v>
      </c>
      <c r="Q2295">
        <v>344000</v>
      </c>
      <c r="R2295" t="s">
        <v>237</v>
      </c>
    </row>
    <row r="2296" spans="1:18" x14ac:dyDescent="0.25">
      <c r="A2296" t="s">
        <v>3942</v>
      </c>
      <c r="B2296">
        <v>2522</v>
      </c>
      <c r="C2296" t="s">
        <v>487</v>
      </c>
      <c r="D2296" t="s">
        <v>247</v>
      </c>
      <c r="E2296" t="s">
        <v>575</v>
      </c>
      <c r="F2296" t="s">
        <v>3158</v>
      </c>
      <c r="G2296" s="25">
        <v>44311</v>
      </c>
      <c r="H2296">
        <v>23</v>
      </c>
      <c r="I2296">
        <v>115</v>
      </c>
      <c r="J2296" t="s">
        <v>432</v>
      </c>
      <c r="K2296" t="s">
        <v>489</v>
      </c>
      <c r="L2296" t="s">
        <v>134</v>
      </c>
      <c r="M2296" t="s">
        <v>434</v>
      </c>
      <c r="N2296" t="s">
        <v>67</v>
      </c>
      <c r="O2296" t="s">
        <v>235</v>
      </c>
      <c r="P2296" t="s">
        <v>437</v>
      </c>
      <c r="Q2296">
        <v>250750</v>
      </c>
      <c r="R2296" t="s">
        <v>237</v>
      </c>
    </row>
    <row r="2297" spans="1:18" x14ac:dyDescent="0.25">
      <c r="A2297" t="s">
        <v>3943</v>
      </c>
      <c r="B2297">
        <v>2258</v>
      </c>
      <c r="C2297" t="s">
        <v>487</v>
      </c>
      <c r="D2297" t="s">
        <v>247</v>
      </c>
      <c r="E2297" t="s">
        <v>256</v>
      </c>
      <c r="F2297" t="s">
        <v>3073</v>
      </c>
      <c r="G2297" s="25">
        <v>44299</v>
      </c>
      <c r="H2297">
        <v>21</v>
      </c>
      <c r="I2297">
        <v>103</v>
      </c>
      <c r="J2297" t="s">
        <v>432</v>
      </c>
      <c r="K2297" t="s">
        <v>489</v>
      </c>
      <c r="L2297" t="s">
        <v>134</v>
      </c>
      <c r="M2297" t="s">
        <v>434</v>
      </c>
      <c r="N2297" t="s">
        <v>67</v>
      </c>
      <c r="O2297" t="s">
        <v>235</v>
      </c>
      <c r="P2297" t="s">
        <v>437</v>
      </c>
      <c r="Q2297">
        <v>338500</v>
      </c>
      <c r="R2297" t="s">
        <v>237</v>
      </c>
    </row>
    <row r="2298" spans="1:18" x14ac:dyDescent="0.25">
      <c r="A2298" t="s">
        <v>2497</v>
      </c>
      <c r="B2298">
        <v>696</v>
      </c>
      <c r="C2298" t="s">
        <v>487</v>
      </c>
      <c r="D2298" t="s">
        <v>231</v>
      </c>
      <c r="E2298" t="s">
        <v>232</v>
      </c>
      <c r="F2298" t="s">
        <v>1162</v>
      </c>
      <c r="G2298" s="25">
        <v>44228</v>
      </c>
      <c r="H2298">
        <v>7</v>
      </c>
      <c r="I2298">
        <v>32</v>
      </c>
      <c r="J2298" t="s">
        <v>432</v>
      </c>
      <c r="K2298" t="s">
        <v>489</v>
      </c>
      <c r="L2298" t="s">
        <v>134</v>
      </c>
      <c r="M2298" t="s">
        <v>434</v>
      </c>
      <c r="N2298" t="s">
        <v>67</v>
      </c>
      <c r="O2298" t="s">
        <v>235</v>
      </c>
      <c r="P2298" t="s">
        <v>437</v>
      </c>
      <c r="Q2298">
        <v>240000</v>
      </c>
      <c r="R2298" t="s">
        <v>237</v>
      </c>
    </row>
    <row r="2299" spans="1:18" x14ac:dyDescent="0.25">
      <c r="A2299" t="s">
        <v>340</v>
      </c>
      <c r="B2299">
        <v>80</v>
      </c>
      <c r="C2299" t="s">
        <v>487</v>
      </c>
      <c r="D2299" t="s">
        <v>229</v>
      </c>
      <c r="E2299" t="s">
        <v>261</v>
      </c>
      <c r="F2299" t="s">
        <v>549</v>
      </c>
      <c r="G2299" s="25">
        <v>44200</v>
      </c>
      <c r="H2299">
        <v>1</v>
      </c>
      <c r="I2299">
        <v>4</v>
      </c>
      <c r="J2299" t="s">
        <v>432</v>
      </c>
      <c r="K2299" t="s">
        <v>489</v>
      </c>
      <c r="L2299" t="s">
        <v>134</v>
      </c>
      <c r="M2299" t="s">
        <v>434</v>
      </c>
      <c r="N2299" t="s">
        <v>67</v>
      </c>
      <c r="O2299" t="s">
        <v>235</v>
      </c>
      <c r="P2299" t="s">
        <v>437</v>
      </c>
      <c r="Q2299">
        <v>96000</v>
      </c>
      <c r="R2299" t="s">
        <v>237</v>
      </c>
    </row>
    <row r="2300" spans="1:18" x14ac:dyDescent="0.25">
      <c r="A2300" t="s">
        <v>3944</v>
      </c>
      <c r="B2300">
        <v>2599</v>
      </c>
      <c r="C2300" t="s">
        <v>487</v>
      </c>
      <c r="D2300" t="s">
        <v>247</v>
      </c>
      <c r="E2300" t="s">
        <v>531</v>
      </c>
      <c r="F2300" t="s">
        <v>3173</v>
      </c>
      <c r="G2300" s="25">
        <v>44315</v>
      </c>
      <c r="H2300">
        <v>24</v>
      </c>
      <c r="I2300">
        <v>119</v>
      </c>
      <c r="J2300" t="s">
        <v>231</v>
      </c>
      <c r="K2300" t="s">
        <v>509</v>
      </c>
      <c r="L2300" t="s">
        <v>45</v>
      </c>
      <c r="M2300" t="s">
        <v>234</v>
      </c>
      <c r="N2300" t="s">
        <v>44</v>
      </c>
      <c r="O2300" t="s">
        <v>21</v>
      </c>
      <c r="P2300" t="s">
        <v>304</v>
      </c>
      <c r="Q2300">
        <v>0</v>
      </c>
      <c r="R2300" t="s">
        <v>237</v>
      </c>
    </row>
    <row r="2301" spans="1:18" x14ac:dyDescent="0.25">
      <c r="A2301" t="s">
        <v>2766</v>
      </c>
      <c r="B2301">
        <v>1346</v>
      </c>
      <c r="C2301" t="s">
        <v>487</v>
      </c>
      <c r="D2301" t="s">
        <v>261</v>
      </c>
      <c r="E2301" t="s">
        <v>231</v>
      </c>
      <c r="F2301" t="s">
        <v>1400</v>
      </c>
      <c r="G2301" s="25">
        <v>44258</v>
      </c>
      <c r="H2301">
        <v>13</v>
      </c>
      <c r="I2301">
        <v>62</v>
      </c>
      <c r="J2301" t="s">
        <v>231</v>
      </c>
      <c r="K2301" t="s">
        <v>508</v>
      </c>
      <c r="L2301" t="s">
        <v>47</v>
      </c>
      <c r="M2301" t="s">
        <v>234</v>
      </c>
      <c r="N2301" t="s">
        <v>46</v>
      </c>
      <c r="O2301" t="s">
        <v>21</v>
      </c>
      <c r="P2301" t="s">
        <v>288</v>
      </c>
      <c r="Q2301">
        <v>8531</v>
      </c>
      <c r="R2301" t="s">
        <v>237</v>
      </c>
    </row>
    <row r="2302" spans="1:18" x14ac:dyDescent="0.25">
      <c r="A2302" t="s">
        <v>2538</v>
      </c>
      <c r="B2302">
        <v>1214</v>
      </c>
      <c r="C2302" t="s">
        <v>487</v>
      </c>
      <c r="D2302" t="s">
        <v>256</v>
      </c>
      <c r="E2302" t="s">
        <v>620</v>
      </c>
      <c r="F2302" t="s">
        <v>1350</v>
      </c>
      <c r="G2302" s="25">
        <v>44252</v>
      </c>
      <c r="H2302">
        <v>12</v>
      </c>
      <c r="I2302">
        <v>56</v>
      </c>
      <c r="J2302" t="s">
        <v>231</v>
      </c>
      <c r="K2302" t="s">
        <v>508</v>
      </c>
      <c r="L2302" t="s">
        <v>47</v>
      </c>
      <c r="M2302" t="s">
        <v>234</v>
      </c>
      <c r="N2302" t="s">
        <v>46</v>
      </c>
      <c r="O2302" t="s">
        <v>21</v>
      </c>
      <c r="P2302" t="s">
        <v>288</v>
      </c>
      <c r="Q2302">
        <v>0</v>
      </c>
      <c r="R2302" t="s">
        <v>237</v>
      </c>
    </row>
    <row r="2303" spans="1:18" x14ac:dyDescent="0.25">
      <c r="A2303" t="s">
        <v>2280</v>
      </c>
      <c r="B2303">
        <v>862</v>
      </c>
      <c r="C2303" t="s">
        <v>487</v>
      </c>
      <c r="D2303" t="s">
        <v>231</v>
      </c>
      <c r="E2303" t="s">
        <v>408</v>
      </c>
      <c r="F2303" t="s">
        <v>1234</v>
      </c>
      <c r="G2303" s="25">
        <v>44236</v>
      </c>
      <c r="H2303">
        <v>8</v>
      </c>
      <c r="I2303">
        <v>40</v>
      </c>
      <c r="J2303" t="s">
        <v>231</v>
      </c>
      <c r="K2303" t="s">
        <v>508</v>
      </c>
      <c r="L2303" t="s">
        <v>47</v>
      </c>
      <c r="M2303" t="s">
        <v>234</v>
      </c>
      <c r="N2303" t="s">
        <v>46</v>
      </c>
      <c r="O2303" t="s">
        <v>21</v>
      </c>
      <c r="P2303" t="s">
        <v>288</v>
      </c>
      <c r="Q2303">
        <v>29125</v>
      </c>
      <c r="R2303" t="s">
        <v>237</v>
      </c>
    </row>
    <row r="2304" spans="1:18" x14ac:dyDescent="0.25">
      <c r="A2304" t="s">
        <v>1723</v>
      </c>
      <c r="B2304">
        <v>598</v>
      </c>
      <c r="C2304" t="s">
        <v>487</v>
      </c>
      <c r="D2304" t="s">
        <v>231</v>
      </c>
      <c r="E2304" t="s">
        <v>381</v>
      </c>
      <c r="F2304" t="s">
        <v>1099</v>
      </c>
      <c r="G2304" s="25">
        <v>44224</v>
      </c>
      <c r="H2304">
        <v>6</v>
      </c>
      <c r="I2304">
        <v>28</v>
      </c>
      <c r="J2304" t="s">
        <v>231</v>
      </c>
      <c r="K2304" t="s">
        <v>508</v>
      </c>
      <c r="L2304" t="s">
        <v>47</v>
      </c>
      <c r="M2304" t="s">
        <v>234</v>
      </c>
      <c r="N2304" t="s">
        <v>46</v>
      </c>
      <c r="O2304" t="s">
        <v>21</v>
      </c>
      <c r="P2304" t="s">
        <v>288</v>
      </c>
      <c r="Q2304">
        <v>0</v>
      </c>
      <c r="R2304" t="s">
        <v>237</v>
      </c>
    </row>
    <row r="2305" spans="1:18" x14ac:dyDescent="0.25">
      <c r="A2305" t="s">
        <v>546</v>
      </c>
      <c r="B2305">
        <v>444</v>
      </c>
      <c r="C2305" t="s">
        <v>487</v>
      </c>
      <c r="D2305" t="s">
        <v>231</v>
      </c>
      <c r="E2305" t="s">
        <v>229</v>
      </c>
      <c r="F2305" t="s">
        <v>541</v>
      </c>
      <c r="G2305" s="25">
        <v>44217</v>
      </c>
      <c r="H2305">
        <v>5</v>
      </c>
      <c r="I2305">
        <v>21</v>
      </c>
      <c r="J2305" t="s">
        <v>231</v>
      </c>
      <c r="K2305" t="s">
        <v>508</v>
      </c>
      <c r="L2305" t="s">
        <v>47</v>
      </c>
      <c r="M2305" t="s">
        <v>234</v>
      </c>
      <c r="N2305" t="s">
        <v>46</v>
      </c>
      <c r="O2305" t="s">
        <v>21</v>
      </c>
      <c r="P2305" t="s">
        <v>288</v>
      </c>
      <c r="Q2305">
        <v>8859</v>
      </c>
      <c r="R2305" t="s">
        <v>237</v>
      </c>
    </row>
    <row r="2306" spans="1:18" x14ac:dyDescent="0.25">
      <c r="A2306" t="s">
        <v>3945</v>
      </c>
      <c r="B2306">
        <v>2424</v>
      </c>
      <c r="C2306" t="s">
        <v>487</v>
      </c>
      <c r="D2306" t="s">
        <v>247</v>
      </c>
      <c r="E2306" t="s">
        <v>515</v>
      </c>
      <c r="F2306" t="s">
        <v>3134</v>
      </c>
      <c r="G2306" s="25">
        <v>44307</v>
      </c>
      <c r="H2306">
        <v>23</v>
      </c>
      <c r="I2306">
        <v>111</v>
      </c>
      <c r="J2306" t="s">
        <v>231</v>
      </c>
      <c r="K2306" t="s">
        <v>508</v>
      </c>
      <c r="L2306" t="s">
        <v>47</v>
      </c>
      <c r="M2306" t="s">
        <v>234</v>
      </c>
      <c r="N2306" t="s">
        <v>46</v>
      </c>
      <c r="O2306" t="s">
        <v>21</v>
      </c>
      <c r="P2306" t="s">
        <v>288</v>
      </c>
      <c r="Q2306">
        <v>26000</v>
      </c>
      <c r="R2306" t="s">
        <v>237</v>
      </c>
    </row>
    <row r="2307" spans="1:18" x14ac:dyDescent="0.25">
      <c r="A2307" t="s">
        <v>2286</v>
      </c>
      <c r="B2307">
        <v>1281</v>
      </c>
      <c r="C2307" t="s">
        <v>487</v>
      </c>
      <c r="D2307" t="s">
        <v>256</v>
      </c>
      <c r="E2307" t="s">
        <v>531</v>
      </c>
      <c r="F2307" t="s">
        <v>1373</v>
      </c>
      <c r="G2307" s="25">
        <v>44255</v>
      </c>
      <c r="H2307">
        <v>12</v>
      </c>
      <c r="I2307">
        <v>59</v>
      </c>
      <c r="J2307" t="s">
        <v>231</v>
      </c>
      <c r="K2307" t="s">
        <v>507</v>
      </c>
      <c r="L2307" t="s">
        <v>49</v>
      </c>
      <c r="M2307" t="s">
        <v>234</v>
      </c>
      <c r="N2307" t="s">
        <v>48</v>
      </c>
      <c r="O2307" t="s">
        <v>21</v>
      </c>
      <c r="P2307" t="s">
        <v>413</v>
      </c>
      <c r="Q2307">
        <v>0</v>
      </c>
      <c r="R2307" t="s">
        <v>237</v>
      </c>
    </row>
    <row r="2308" spans="1:18" x14ac:dyDescent="0.25">
      <c r="A2308" t="s">
        <v>675</v>
      </c>
      <c r="B2308">
        <v>313</v>
      </c>
      <c r="C2308" t="s">
        <v>487</v>
      </c>
      <c r="D2308" t="s">
        <v>229</v>
      </c>
      <c r="E2308" t="s">
        <v>575</v>
      </c>
      <c r="F2308" t="s">
        <v>576</v>
      </c>
      <c r="G2308" s="25">
        <v>44211</v>
      </c>
      <c r="H2308">
        <v>3</v>
      </c>
      <c r="I2308">
        <v>15</v>
      </c>
      <c r="J2308" t="s">
        <v>231</v>
      </c>
      <c r="K2308" t="s">
        <v>507</v>
      </c>
      <c r="L2308" t="s">
        <v>49</v>
      </c>
      <c r="M2308" t="s">
        <v>234</v>
      </c>
      <c r="N2308" t="s">
        <v>48</v>
      </c>
      <c r="O2308" t="s">
        <v>21</v>
      </c>
      <c r="P2308" t="s">
        <v>413</v>
      </c>
      <c r="Q2308">
        <v>0</v>
      </c>
      <c r="R2308" t="s">
        <v>237</v>
      </c>
    </row>
    <row r="2309" spans="1:18" x14ac:dyDescent="0.25">
      <c r="A2309" t="s">
        <v>3946</v>
      </c>
      <c r="B2309">
        <v>2645</v>
      </c>
      <c r="C2309" t="s">
        <v>487</v>
      </c>
      <c r="D2309" t="s">
        <v>326</v>
      </c>
      <c r="E2309" t="s">
        <v>229</v>
      </c>
      <c r="F2309" t="s">
        <v>3241</v>
      </c>
      <c r="G2309" s="25">
        <v>44317</v>
      </c>
      <c r="H2309">
        <v>25</v>
      </c>
      <c r="I2309">
        <v>121</v>
      </c>
      <c r="J2309" t="s">
        <v>231</v>
      </c>
      <c r="K2309" t="s">
        <v>507</v>
      </c>
      <c r="L2309" t="s">
        <v>49</v>
      </c>
      <c r="M2309" t="s">
        <v>234</v>
      </c>
      <c r="N2309" t="s">
        <v>48</v>
      </c>
      <c r="O2309" t="s">
        <v>21</v>
      </c>
      <c r="P2309" t="s">
        <v>413</v>
      </c>
      <c r="Q2309">
        <v>0</v>
      </c>
      <c r="R2309" t="s">
        <v>237</v>
      </c>
    </row>
    <row r="2310" spans="1:18" x14ac:dyDescent="0.25">
      <c r="A2310" t="s">
        <v>3947</v>
      </c>
      <c r="B2310">
        <v>2491</v>
      </c>
      <c r="C2310" t="s">
        <v>487</v>
      </c>
      <c r="D2310" t="s">
        <v>247</v>
      </c>
      <c r="E2310" t="s">
        <v>537</v>
      </c>
      <c r="F2310" t="s">
        <v>3153</v>
      </c>
      <c r="G2310" s="25">
        <v>44310</v>
      </c>
      <c r="H2310">
        <v>23</v>
      </c>
      <c r="I2310">
        <v>114</v>
      </c>
      <c r="J2310" t="s">
        <v>231</v>
      </c>
      <c r="K2310" t="s">
        <v>507</v>
      </c>
      <c r="L2310" t="s">
        <v>49</v>
      </c>
      <c r="M2310" t="s">
        <v>234</v>
      </c>
      <c r="N2310" t="s">
        <v>48</v>
      </c>
      <c r="O2310" t="s">
        <v>21</v>
      </c>
      <c r="P2310" t="s">
        <v>413</v>
      </c>
      <c r="Q2310">
        <v>0</v>
      </c>
      <c r="R2310" t="s">
        <v>237</v>
      </c>
    </row>
    <row r="2311" spans="1:18" x14ac:dyDescent="0.25">
      <c r="A2311" t="s">
        <v>1806</v>
      </c>
      <c r="B2311">
        <v>1523</v>
      </c>
      <c r="C2311" t="s">
        <v>487</v>
      </c>
      <c r="D2311" t="s">
        <v>261</v>
      </c>
      <c r="E2311" t="s">
        <v>239</v>
      </c>
      <c r="F2311" t="s">
        <v>1703</v>
      </c>
      <c r="G2311" s="25">
        <v>44266</v>
      </c>
      <c r="H2311">
        <v>14</v>
      </c>
      <c r="I2311">
        <v>70</v>
      </c>
      <c r="J2311" t="s">
        <v>231</v>
      </c>
      <c r="K2311" t="s">
        <v>507</v>
      </c>
      <c r="L2311" t="s">
        <v>49</v>
      </c>
      <c r="M2311" t="s">
        <v>234</v>
      </c>
      <c r="N2311" t="s">
        <v>48</v>
      </c>
      <c r="O2311" t="s">
        <v>21</v>
      </c>
      <c r="P2311" t="s">
        <v>413</v>
      </c>
      <c r="Q2311">
        <v>0</v>
      </c>
      <c r="R2311" t="s">
        <v>237</v>
      </c>
    </row>
    <row r="2312" spans="1:18" x14ac:dyDescent="0.25">
      <c r="A2312" t="s">
        <v>361</v>
      </c>
      <c r="B2312">
        <v>28</v>
      </c>
      <c r="C2312" t="s">
        <v>487</v>
      </c>
      <c r="D2312" t="s">
        <v>229</v>
      </c>
      <c r="E2312" t="s">
        <v>231</v>
      </c>
      <c r="F2312" t="s">
        <v>568</v>
      </c>
      <c r="G2312" s="25">
        <v>44198</v>
      </c>
      <c r="H2312">
        <v>1</v>
      </c>
      <c r="I2312">
        <v>2</v>
      </c>
      <c r="J2312" t="s">
        <v>231</v>
      </c>
      <c r="K2312" t="s">
        <v>506</v>
      </c>
      <c r="L2312" t="s">
        <v>414</v>
      </c>
      <c r="M2312" t="s">
        <v>234</v>
      </c>
      <c r="N2312" t="s">
        <v>50</v>
      </c>
      <c r="O2312" t="s">
        <v>21</v>
      </c>
      <c r="P2312" t="s">
        <v>411</v>
      </c>
      <c r="Q2312">
        <v>0</v>
      </c>
      <c r="R2312" t="s">
        <v>237</v>
      </c>
    </row>
    <row r="2313" spans="1:18" x14ac:dyDescent="0.25">
      <c r="A2313" t="s">
        <v>3948</v>
      </c>
      <c r="B2313">
        <v>2206</v>
      </c>
      <c r="C2313" t="s">
        <v>487</v>
      </c>
      <c r="D2313" t="s">
        <v>247</v>
      </c>
      <c r="E2313" t="s">
        <v>229</v>
      </c>
      <c r="F2313" t="s">
        <v>3063</v>
      </c>
      <c r="G2313" s="25">
        <v>44297</v>
      </c>
      <c r="H2313">
        <v>21</v>
      </c>
      <c r="I2313">
        <v>101</v>
      </c>
      <c r="J2313" t="s">
        <v>231</v>
      </c>
      <c r="K2313" t="s">
        <v>506</v>
      </c>
      <c r="L2313" t="s">
        <v>414</v>
      </c>
      <c r="M2313" t="s">
        <v>234</v>
      </c>
      <c r="N2313" t="s">
        <v>50</v>
      </c>
      <c r="O2313" t="s">
        <v>21</v>
      </c>
      <c r="P2313" t="s">
        <v>411</v>
      </c>
      <c r="Q2313">
        <v>0</v>
      </c>
      <c r="R2313" t="s">
        <v>237</v>
      </c>
    </row>
    <row r="2314" spans="1:18" x14ac:dyDescent="0.25">
      <c r="A2314" t="s">
        <v>2599</v>
      </c>
      <c r="B2314">
        <v>996</v>
      </c>
      <c r="C2314" t="s">
        <v>487</v>
      </c>
      <c r="D2314" t="s">
        <v>256</v>
      </c>
      <c r="E2314" t="s">
        <v>247</v>
      </c>
      <c r="F2314" t="s">
        <v>1299</v>
      </c>
      <c r="G2314" s="25">
        <v>44242</v>
      </c>
      <c r="H2314">
        <v>10</v>
      </c>
      <c r="I2314">
        <v>46</v>
      </c>
      <c r="J2314" t="s">
        <v>231</v>
      </c>
      <c r="K2314" t="s">
        <v>506</v>
      </c>
      <c r="L2314" t="s">
        <v>414</v>
      </c>
      <c r="M2314" t="s">
        <v>234</v>
      </c>
      <c r="N2314" t="s">
        <v>50</v>
      </c>
      <c r="O2314" t="s">
        <v>21</v>
      </c>
      <c r="P2314" t="s">
        <v>411</v>
      </c>
      <c r="Q2314">
        <v>0</v>
      </c>
      <c r="R2314" t="s">
        <v>237</v>
      </c>
    </row>
    <row r="2315" spans="1:18" x14ac:dyDescent="0.25">
      <c r="A2315" t="s">
        <v>3949</v>
      </c>
      <c r="B2315">
        <v>2311</v>
      </c>
      <c r="C2315" t="s">
        <v>487</v>
      </c>
      <c r="D2315" t="s">
        <v>247</v>
      </c>
      <c r="E2315" t="s">
        <v>247</v>
      </c>
      <c r="F2315" t="s">
        <v>3085</v>
      </c>
      <c r="G2315" s="25">
        <v>44302</v>
      </c>
      <c r="H2315">
        <v>22</v>
      </c>
      <c r="I2315">
        <v>106</v>
      </c>
      <c r="J2315" t="s">
        <v>231</v>
      </c>
      <c r="K2315" t="s">
        <v>505</v>
      </c>
      <c r="L2315" t="s">
        <v>41</v>
      </c>
      <c r="M2315" t="s">
        <v>234</v>
      </c>
      <c r="N2315" t="s">
        <v>40</v>
      </c>
      <c r="O2315" t="s">
        <v>21</v>
      </c>
      <c r="P2315" t="s">
        <v>266</v>
      </c>
      <c r="Q2315">
        <v>31561</v>
      </c>
      <c r="R2315" t="s">
        <v>237</v>
      </c>
    </row>
    <row r="2316" spans="1:18" x14ac:dyDescent="0.25">
      <c r="A2316" t="s">
        <v>2159</v>
      </c>
      <c r="B2316">
        <v>1607</v>
      </c>
      <c r="C2316" t="s">
        <v>487</v>
      </c>
      <c r="D2316" t="s">
        <v>261</v>
      </c>
      <c r="E2316" t="s">
        <v>537</v>
      </c>
      <c r="F2316" t="s">
        <v>1530</v>
      </c>
      <c r="G2316" s="25">
        <v>44270</v>
      </c>
      <c r="H2316">
        <v>15</v>
      </c>
      <c r="I2316">
        <v>74</v>
      </c>
      <c r="J2316" t="s">
        <v>231</v>
      </c>
      <c r="K2316" t="s">
        <v>505</v>
      </c>
      <c r="L2316" t="s">
        <v>41</v>
      </c>
      <c r="M2316" t="s">
        <v>234</v>
      </c>
      <c r="N2316" t="s">
        <v>40</v>
      </c>
      <c r="O2316" t="s">
        <v>21</v>
      </c>
      <c r="P2316" t="s">
        <v>266</v>
      </c>
      <c r="Q2316">
        <v>53151</v>
      </c>
      <c r="R2316" t="s">
        <v>237</v>
      </c>
    </row>
    <row r="2317" spans="1:18" x14ac:dyDescent="0.25">
      <c r="A2317" t="s">
        <v>2653</v>
      </c>
      <c r="B2317">
        <v>1211</v>
      </c>
      <c r="C2317" t="s">
        <v>487</v>
      </c>
      <c r="D2317" t="s">
        <v>256</v>
      </c>
      <c r="E2317" t="s">
        <v>620</v>
      </c>
      <c r="F2317" t="s">
        <v>1350</v>
      </c>
      <c r="G2317" s="25">
        <v>44252</v>
      </c>
      <c r="H2317">
        <v>12</v>
      </c>
      <c r="I2317">
        <v>56</v>
      </c>
      <c r="J2317" t="s">
        <v>231</v>
      </c>
      <c r="K2317" t="s">
        <v>505</v>
      </c>
      <c r="L2317" t="s">
        <v>41</v>
      </c>
      <c r="M2317" t="s">
        <v>234</v>
      </c>
      <c r="N2317" t="s">
        <v>40</v>
      </c>
      <c r="O2317" t="s">
        <v>21</v>
      </c>
      <c r="P2317" t="s">
        <v>266</v>
      </c>
      <c r="Q2317">
        <v>54394</v>
      </c>
      <c r="R2317" t="s">
        <v>237</v>
      </c>
    </row>
    <row r="2318" spans="1:18" x14ac:dyDescent="0.25">
      <c r="A2318" t="s">
        <v>1862</v>
      </c>
      <c r="B2318">
        <v>882</v>
      </c>
      <c r="C2318" t="s">
        <v>487</v>
      </c>
      <c r="D2318" t="s">
        <v>256</v>
      </c>
      <c r="E2318" t="s">
        <v>229</v>
      </c>
      <c r="F2318" t="s">
        <v>1241</v>
      </c>
      <c r="G2318" s="25">
        <v>44237</v>
      </c>
      <c r="H2318">
        <v>9</v>
      </c>
      <c r="I2318">
        <v>41</v>
      </c>
      <c r="J2318" t="s">
        <v>231</v>
      </c>
      <c r="K2318" t="s">
        <v>504</v>
      </c>
      <c r="L2318" t="s">
        <v>43</v>
      </c>
      <c r="M2318" t="s">
        <v>234</v>
      </c>
      <c r="N2318" t="s">
        <v>42</v>
      </c>
      <c r="O2318" t="s">
        <v>21</v>
      </c>
      <c r="P2318" t="s">
        <v>236</v>
      </c>
      <c r="Q2318">
        <v>4997</v>
      </c>
      <c r="R2318" t="s">
        <v>237</v>
      </c>
    </row>
    <row r="2319" spans="1:18" x14ac:dyDescent="0.25">
      <c r="A2319" t="s">
        <v>2874</v>
      </c>
      <c r="B2319">
        <v>684</v>
      </c>
      <c r="C2319" t="s">
        <v>487</v>
      </c>
      <c r="D2319" t="s">
        <v>231</v>
      </c>
      <c r="E2319" t="s">
        <v>232</v>
      </c>
      <c r="F2319" t="s">
        <v>1162</v>
      </c>
      <c r="G2319" s="25">
        <v>44228</v>
      </c>
      <c r="H2319">
        <v>7</v>
      </c>
      <c r="I2319">
        <v>32</v>
      </c>
      <c r="J2319" t="s">
        <v>231</v>
      </c>
      <c r="K2319" t="s">
        <v>504</v>
      </c>
      <c r="L2319" t="s">
        <v>43</v>
      </c>
      <c r="M2319" t="s">
        <v>234</v>
      </c>
      <c r="N2319" t="s">
        <v>42</v>
      </c>
      <c r="O2319" t="s">
        <v>21</v>
      </c>
      <c r="P2319" t="s">
        <v>236</v>
      </c>
      <c r="Q2319">
        <v>750</v>
      </c>
      <c r="R2319" t="s">
        <v>237</v>
      </c>
    </row>
    <row r="2320" spans="1:18" x14ac:dyDescent="0.25">
      <c r="A2320" t="s">
        <v>1647</v>
      </c>
      <c r="B2320">
        <v>640</v>
      </c>
      <c r="C2320" t="s">
        <v>487</v>
      </c>
      <c r="D2320" t="s">
        <v>231</v>
      </c>
      <c r="E2320" t="s">
        <v>239</v>
      </c>
      <c r="F2320" t="s">
        <v>1139</v>
      </c>
      <c r="G2320" s="25">
        <v>44226</v>
      </c>
      <c r="H2320">
        <v>6</v>
      </c>
      <c r="I2320">
        <v>30</v>
      </c>
      <c r="J2320" t="s">
        <v>231</v>
      </c>
      <c r="K2320" t="s">
        <v>504</v>
      </c>
      <c r="L2320" t="s">
        <v>43</v>
      </c>
      <c r="M2320" t="s">
        <v>234</v>
      </c>
      <c r="N2320" t="s">
        <v>42</v>
      </c>
      <c r="O2320" t="s">
        <v>21</v>
      </c>
      <c r="P2320" t="s">
        <v>236</v>
      </c>
      <c r="Q2320">
        <v>0</v>
      </c>
      <c r="R2320" t="s">
        <v>237</v>
      </c>
    </row>
    <row r="2321" spans="1:18" x14ac:dyDescent="0.25">
      <c r="A2321" t="s">
        <v>3950</v>
      </c>
      <c r="B2321">
        <v>2620</v>
      </c>
      <c r="C2321" t="s">
        <v>487</v>
      </c>
      <c r="D2321" t="s">
        <v>247</v>
      </c>
      <c r="E2321" t="s">
        <v>408</v>
      </c>
      <c r="F2321" t="s">
        <v>3178</v>
      </c>
      <c r="G2321" s="25">
        <v>44316</v>
      </c>
      <c r="H2321">
        <v>24</v>
      </c>
      <c r="I2321">
        <v>120</v>
      </c>
      <c r="J2321" t="s">
        <v>231</v>
      </c>
      <c r="K2321" t="s">
        <v>504</v>
      </c>
      <c r="L2321" t="s">
        <v>43</v>
      </c>
      <c r="M2321" t="s">
        <v>234</v>
      </c>
      <c r="N2321" t="s">
        <v>42</v>
      </c>
      <c r="O2321" t="s">
        <v>21</v>
      </c>
      <c r="P2321" t="s">
        <v>236</v>
      </c>
      <c r="Q2321">
        <v>13625</v>
      </c>
      <c r="R2321" t="s">
        <v>237</v>
      </c>
    </row>
    <row r="2322" spans="1:18" x14ac:dyDescent="0.25">
      <c r="A2322" t="s">
        <v>3951</v>
      </c>
      <c r="B2322">
        <v>2510</v>
      </c>
      <c r="C2322" t="s">
        <v>487</v>
      </c>
      <c r="D2322" t="s">
        <v>247</v>
      </c>
      <c r="E2322" t="s">
        <v>575</v>
      </c>
      <c r="F2322" t="s">
        <v>3158</v>
      </c>
      <c r="G2322" s="25">
        <v>44311</v>
      </c>
      <c r="H2322">
        <v>23</v>
      </c>
      <c r="I2322">
        <v>115</v>
      </c>
      <c r="J2322" t="s">
        <v>231</v>
      </c>
      <c r="K2322" t="s">
        <v>504</v>
      </c>
      <c r="L2322" t="s">
        <v>43</v>
      </c>
      <c r="M2322" t="s">
        <v>234</v>
      </c>
      <c r="N2322" t="s">
        <v>42</v>
      </c>
      <c r="O2322" t="s">
        <v>21</v>
      </c>
      <c r="P2322" t="s">
        <v>236</v>
      </c>
      <c r="Q2322">
        <v>0</v>
      </c>
      <c r="R2322" t="s">
        <v>237</v>
      </c>
    </row>
    <row r="2323" spans="1:18" x14ac:dyDescent="0.25">
      <c r="A2323" t="s">
        <v>3952</v>
      </c>
      <c r="B2323">
        <v>1857</v>
      </c>
      <c r="C2323" t="s">
        <v>487</v>
      </c>
      <c r="D2323" t="s">
        <v>322</v>
      </c>
      <c r="E2323" t="s">
        <v>322</v>
      </c>
      <c r="F2323" t="s">
        <v>2960</v>
      </c>
      <c r="G2323" s="25">
        <v>44281</v>
      </c>
      <c r="H2323">
        <v>17</v>
      </c>
      <c r="I2323">
        <v>85</v>
      </c>
      <c r="J2323" t="s">
        <v>231</v>
      </c>
      <c r="K2323" t="s">
        <v>503</v>
      </c>
      <c r="L2323" t="s">
        <v>303</v>
      </c>
      <c r="M2323" t="s">
        <v>234</v>
      </c>
      <c r="N2323" t="s">
        <v>56</v>
      </c>
      <c r="O2323" t="s">
        <v>235</v>
      </c>
      <c r="P2323" t="s">
        <v>304</v>
      </c>
      <c r="Q2323">
        <v>18250</v>
      </c>
      <c r="R2323" t="s">
        <v>237</v>
      </c>
    </row>
    <row r="2324" spans="1:18" x14ac:dyDescent="0.25">
      <c r="A2324" t="s">
        <v>2881</v>
      </c>
      <c r="B2324">
        <v>999</v>
      </c>
      <c r="C2324" t="s">
        <v>487</v>
      </c>
      <c r="D2324" t="s">
        <v>256</v>
      </c>
      <c r="E2324" t="s">
        <v>247</v>
      </c>
      <c r="F2324" t="s">
        <v>1299</v>
      </c>
      <c r="G2324" s="25">
        <v>44242</v>
      </c>
      <c r="H2324">
        <v>10</v>
      </c>
      <c r="I2324">
        <v>46</v>
      </c>
      <c r="J2324" t="s">
        <v>231</v>
      </c>
      <c r="K2324" t="s">
        <v>503</v>
      </c>
      <c r="L2324" t="s">
        <v>303</v>
      </c>
      <c r="M2324" t="s">
        <v>234</v>
      </c>
      <c r="N2324" t="s">
        <v>56</v>
      </c>
      <c r="O2324" t="s">
        <v>235</v>
      </c>
      <c r="P2324" t="s">
        <v>304</v>
      </c>
      <c r="Q2324">
        <v>0</v>
      </c>
      <c r="R2324" t="s">
        <v>237</v>
      </c>
    </row>
    <row r="2325" spans="1:18" x14ac:dyDescent="0.25">
      <c r="A2325" t="s">
        <v>282</v>
      </c>
      <c r="B2325">
        <v>31</v>
      </c>
      <c r="C2325" t="s">
        <v>487</v>
      </c>
      <c r="D2325" t="s">
        <v>229</v>
      </c>
      <c r="E2325" t="s">
        <v>231</v>
      </c>
      <c r="F2325" t="s">
        <v>568</v>
      </c>
      <c r="G2325" s="25">
        <v>44198</v>
      </c>
      <c r="H2325">
        <v>1</v>
      </c>
      <c r="I2325">
        <v>2</v>
      </c>
      <c r="J2325" t="s">
        <v>231</v>
      </c>
      <c r="K2325" t="s">
        <v>503</v>
      </c>
      <c r="L2325" t="s">
        <v>303</v>
      </c>
      <c r="M2325" t="s">
        <v>234</v>
      </c>
      <c r="N2325" t="s">
        <v>56</v>
      </c>
      <c r="O2325" t="s">
        <v>235</v>
      </c>
      <c r="P2325" t="s">
        <v>304</v>
      </c>
      <c r="Q2325">
        <v>0</v>
      </c>
      <c r="R2325" t="s">
        <v>237</v>
      </c>
    </row>
    <row r="2326" spans="1:18" x14ac:dyDescent="0.25">
      <c r="A2326" t="s">
        <v>1825</v>
      </c>
      <c r="B2326">
        <v>1396</v>
      </c>
      <c r="C2326" t="s">
        <v>487</v>
      </c>
      <c r="D2326" t="s">
        <v>261</v>
      </c>
      <c r="E2326" t="s">
        <v>261</v>
      </c>
      <c r="F2326" t="s">
        <v>1410</v>
      </c>
      <c r="G2326" s="25">
        <v>44260</v>
      </c>
      <c r="H2326">
        <v>13</v>
      </c>
      <c r="I2326">
        <v>64</v>
      </c>
      <c r="J2326" t="s">
        <v>231</v>
      </c>
      <c r="K2326" t="s">
        <v>502</v>
      </c>
      <c r="L2326" t="s">
        <v>287</v>
      </c>
      <c r="M2326" t="s">
        <v>234</v>
      </c>
      <c r="N2326" t="s">
        <v>58</v>
      </c>
      <c r="O2326" t="s">
        <v>235</v>
      </c>
      <c r="P2326" t="s">
        <v>288</v>
      </c>
      <c r="Q2326">
        <v>0</v>
      </c>
      <c r="R2326" t="s">
        <v>237</v>
      </c>
    </row>
    <row r="2327" spans="1:18" x14ac:dyDescent="0.25">
      <c r="A2327" t="s">
        <v>2720</v>
      </c>
      <c r="B2327">
        <v>1110</v>
      </c>
      <c r="C2327" t="s">
        <v>487</v>
      </c>
      <c r="D2327" t="s">
        <v>256</v>
      </c>
      <c r="E2327" t="s">
        <v>515</v>
      </c>
      <c r="F2327" t="s">
        <v>1329</v>
      </c>
      <c r="G2327" s="25">
        <v>44247</v>
      </c>
      <c r="H2327">
        <v>11</v>
      </c>
      <c r="I2327">
        <v>51</v>
      </c>
      <c r="J2327" t="s">
        <v>231</v>
      </c>
      <c r="K2327" t="s">
        <v>502</v>
      </c>
      <c r="L2327" t="s">
        <v>287</v>
      </c>
      <c r="M2327" t="s">
        <v>234</v>
      </c>
      <c r="N2327" t="s">
        <v>58</v>
      </c>
      <c r="O2327" t="s">
        <v>235</v>
      </c>
      <c r="P2327" t="s">
        <v>288</v>
      </c>
      <c r="Q2327">
        <v>0</v>
      </c>
      <c r="R2327" t="s">
        <v>237</v>
      </c>
    </row>
    <row r="2328" spans="1:18" x14ac:dyDescent="0.25">
      <c r="A2328" t="s">
        <v>2396</v>
      </c>
      <c r="B2328">
        <v>802</v>
      </c>
      <c r="C2328" t="s">
        <v>487</v>
      </c>
      <c r="D2328" t="s">
        <v>231</v>
      </c>
      <c r="E2328" t="s">
        <v>534</v>
      </c>
      <c r="F2328" t="s">
        <v>1731</v>
      </c>
      <c r="G2328" s="25">
        <v>44233</v>
      </c>
      <c r="H2328">
        <v>8</v>
      </c>
      <c r="I2328">
        <v>37</v>
      </c>
      <c r="J2328" t="s">
        <v>231</v>
      </c>
      <c r="K2328" t="s">
        <v>502</v>
      </c>
      <c r="L2328" t="s">
        <v>287</v>
      </c>
      <c r="M2328" t="s">
        <v>234</v>
      </c>
      <c r="N2328" t="s">
        <v>58</v>
      </c>
      <c r="O2328" t="s">
        <v>235</v>
      </c>
      <c r="P2328" t="s">
        <v>288</v>
      </c>
      <c r="Q2328">
        <v>0</v>
      </c>
      <c r="R2328" t="s">
        <v>237</v>
      </c>
    </row>
    <row r="2329" spans="1:18" x14ac:dyDescent="0.25">
      <c r="A2329" t="s">
        <v>1613</v>
      </c>
      <c r="B2329">
        <v>494</v>
      </c>
      <c r="C2329" t="s">
        <v>487</v>
      </c>
      <c r="D2329" t="s">
        <v>231</v>
      </c>
      <c r="E2329" t="s">
        <v>256</v>
      </c>
      <c r="F2329" t="s">
        <v>1064</v>
      </c>
      <c r="G2329" s="25">
        <v>44219</v>
      </c>
      <c r="H2329">
        <v>5</v>
      </c>
      <c r="I2329">
        <v>23</v>
      </c>
      <c r="J2329" t="s">
        <v>231</v>
      </c>
      <c r="K2329" t="s">
        <v>502</v>
      </c>
      <c r="L2329" t="s">
        <v>287</v>
      </c>
      <c r="M2329" t="s">
        <v>234</v>
      </c>
      <c r="N2329" t="s">
        <v>58</v>
      </c>
      <c r="O2329" t="s">
        <v>235</v>
      </c>
      <c r="P2329" t="s">
        <v>288</v>
      </c>
      <c r="Q2329">
        <v>0</v>
      </c>
      <c r="R2329" t="s">
        <v>237</v>
      </c>
    </row>
    <row r="2330" spans="1:18" x14ac:dyDescent="0.25">
      <c r="A2330" t="s">
        <v>695</v>
      </c>
      <c r="B2330">
        <v>186</v>
      </c>
      <c r="C2330" t="s">
        <v>487</v>
      </c>
      <c r="D2330" t="s">
        <v>229</v>
      </c>
      <c r="E2330" t="s">
        <v>371</v>
      </c>
      <c r="F2330" t="s">
        <v>557</v>
      </c>
      <c r="G2330" s="25">
        <v>44205</v>
      </c>
      <c r="H2330">
        <v>2</v>
      </c>
      <c r="I2330">
        <v>9</v>
      </c>
      <c r="J2330" t="s">
        <v>231</v>
      </c>
      <c r="K2330" t="s">
        <v>502</v>
      </c>
      <c r="L2330" t="s">
        <v>287</v>
      </c>
      <c r="M2330" t="s">
        <v>234</v>
      </c>
      <c r="N2330" t="s">
        <v>58</v>
      </c>
      <c r="O2330" t="s">
        <v>235</v>
      </c>
      <c r="P2330" t="s">
        <v>288</v>
      </c>
      <c r="Q2330">
        <v>0</v>
      </c>
      <c r="R2330" t="s">
        <v>237</v>
      </c>
    </row>
    <row r="2331" spans="1:18" x14ac:dyDescent="0.25">
      <c r="A2331" t="s">
        <v>3953</v>
      </c>
      <c r="B2331">
        <v>2364</v>
      </c>
      <c r="C2331" t="s">
        <v>487</v>
      </c>
      <c r="D2331" t="s">
        <v>247</v>
      </c>
      <c r="E2331" t="s">
        <v>381</v>
      </c>
      <c r="F2331" t="s">
        <v>3107</v>
      </c>
      <c r="G2331" s="25">
        <v>44304</v>
      </c>
      <c r="H2331">
        <v>22</v>
      </c>
      <c r="I2331">
        <v>108</v>
      </c>
      <c r="J2331" t="s">
        <v>231</v>
      </c>
      <c r="K2331" t="s">
        <v>502</v>
      </c>
      <c r="L2331" t="s">
        <v>287</v>
      </c>
      <c r="M2331" t="s">
        <v>234</v>
      </c>
      <c r="N2331" t="s">
        <v>58</v>
      </c>
      <c r="O2331" t="s">
        <v>235</v>
      </c>
      <c r="P2331" t="s">
        <v>288</v>
      </c>
      <c r="Q2331">
        <v>0</v>
      </c>
      <c r="R2331" t="s">
        <v>237</v>
      </c>
    </row>
    <row r="2332" spans="1:18" x14ac:dyDescent="0.25">
      <c r="A2332" t="s">
        <v>3954</v>
      </c>
      <c r="B2332">
        <v>2012</v>
      </c>
      <c r="C2332" t="s">
        <v>487</v>
      </c>
      <c r="D2332" t="s">
        <v>322</v>
      </c>
      <c r="E2332" t="s">
        <v>232</v>
      </c>
      <c r="F2332" t="s">
        <v>2987</v>
      </c>
      <c r="G2332" s="25">
        <v>44288</v>
      </c>
      <c r="H2332">
        <v>19</v>
      </c>
      <c r="I2332">
        <v>92</v>
      </c>
      <c r="J2332" t="s">
        <v>231</v>
      </c>
      <c r="K2332" t="s">
        <v>502</v>
      </c>
      <c r="L2332" t="s">
        <v>287</v>
      </c>
      <c r="M2332" t="s">
        <v>234</v>
      </c>
      <c r="N2332" t="s">
        <v>58</v>
      </c>
      <c r="O2332" t="s">
        <v>235</v>
      </c>
      <c r="P2332" t="s">
        <v>288</v>
      </c>
      <c r="Q2332">
        <v>24000</v>
      </c>
      <c r="R2332" t="s">
        <v>237</v>
      </c>
    </row>
    <row r="2333" spans="1:18" x14ac:dyDescent="0.25">
      <c r="A2333" t="s">
        <v>803</v>
      </c>
      <c r="B2333">
        <v>297</v>
      </c>
      <c r="C2333" t="s">
        <v>487</v>
      </c>
      <c r="D2333" t="s">
        <v>229</v>
      </c>
      <c r="E2333" t="s">
        <v>537</v>
      </c>
      <c r="F2333" t="s">
        <v>538</v>
      </c>
      <c r="G2333" s="25">
        <v>44210</v>
      </c>
      <c r="H2333">
        <v>3</v>
      </c>
      <c r="I2333">
        <v>14</v>
      </c>
      <c r="J2333" t="s">
        <v>231</v>
      </c>
      <c r="K2333" t="s">
        <v>501</v>
      </c>
      <c r="L2333" t="s">
        <v>412</v>
      </c>
      <c r="M2333" t="s">
        <v>234</v>
      </c>
      <c r="N2333" t="s">
        <v>60</v>
      </c>
      <c r="O2333" t="s">
        <v>235</v>
      </c>
      <c r="P2333" t="s">
        <v>413</v>
      </c>
      <c r="Q2333">
        <v>0</v>
      </c>
      <c r="R2333" t="s">
        <v>237</v>
      </c>
    </row>
    <row r="2334" spans="1:18" x14ac:dyDescent="0.25">
      <c r="A2334" t="s">
        <v>3955</v>
      </c>
      <c r="B2334">
        <v>2475</v>
      </c>
      <c r="C2334" t="s">
        <v>487</v>
      </c>
      <c r="D2334" t="s">
        <v>247</v>
      </c>
      <c r="E2334" t="s">
        <v>512</v>
      </c>
      <c r="F2334" t="s">
        <v>3146</v>
      </c>
      <c r="G2334" s="25">
        <v>44309</v>
      </c>
      <c r="H2334">
        <v>23</v>
      </c>
      <c r="I2334">
        <v>113</v>
      </c>
      <c r="J2334" t="s">
        <v>231</v>
      </c>
      <c r="K2334" t="s">
        <v>501</v>
      </c>
      <c r="L2334" t="s">
        <v>412</v>
      </c>
      <c r="M2334" t="s">
        <v>234</v>
      </c>
      <c r="N2334" t="s">
        <v>60</v>
      </c>
      <c r="O2334" t="s">
        <v>235</v>
      </c>
      <c r="P2334" t="s">
        <v>413</v>
      </c>
      <c r="Q2334">
        <v>0</v>
      </c>
      <c r="R2334" t="s">
        <v>237</v>
      </c>
    </row>
    <row r="2335" spans="1:18" x14ac:dyDescent="0.25">
      <c r="A2335" t="s">
        <v>3956</v>
      </c>
      <c r="B2335">
        <v>2167</v>
      </c>
      <c r="C2335" t="s">
        <v>487</v>
      </c>
      <c r="D2335" t="s">
        <v>322</v>
      </c>
      <c r="E2335" t="s">
        <v>531</v>
      </c>
      <c r="F2335" t="s">
        <v>3056</v>
      </c>
      <c r="G2335" s="25">
        <v>44295</v>
      </c>
      <c r="H2335">
        <v>20</v>
      </c>
      <c r="I2335">
        <v>99</v>
      </c>
      <c r="J2335" t="s">
        <v>231</v>
      </c>
      <c r="K2335" t="s">
        <v>501</v>
      </c>
      <c r="L2335" t="s">
        <v>412</v>
      </c>
      <c r="M2335" t="s">
        <v>234</v>
      </c>
      <c r="N2335" t="s">
        <v>60</v>
      </c>
      <c r="O2335" t="s">
        <v>235</v>
      </c>
      <c r="P2335" t="s">
        <v>413</v>
      </c>
      <c r="Q2335">
        <v>0</v>
      </c>
      <c r="R2335" t="s">
        <v>237</v>
      </c>
    </row>
    <row r="2336" spans="1:18" x14ac:dyDescent="0.25">
      <c r="A2336" t="s">
        <v>3957</v>
      </c>
      <c r="B2336">
        <v>1859</v>
      </c>
      <c r="C2336" t="s">
        <v>487</v>
      </c>
      <c r="D2336" t="s">
        <v>322</v>
      </c>
      <c r="E2336" t="s">
        <v>322</v>
      </c>
      <c r="F2336" t="s">
        <v>2960</v>
      </c>
      <c r="G2336" s="25">
        <v>44281</v>
      </c>
      <c r="H2336">
        <v>17</v>
      </c>
      <c r="I2336">
        <v>85</v>
      </c>
      <c r="J2336" t="s">
        <v>231</v>
      </c>
      <c r="K2336" t="s">
        <v>501</v>
      </c>
      <c r="L2336" t="s">
        <v>412</v>
      </c>
      <c r="M2336" t="s">
        <v>234</v>
      </c>
      <c r="N2336" t="s">
        <v>60</v>
      </c>
      <c r="O2336" t="s">
        <v>235</v>
      </c>
      <c r="P2336" t="s">
        <v>413</v>
      </c>
      <c r="Q2336">
        <v>0</v>
      </c>
      <c r="R2336" t="s">
        <v>237</v>
      </c>
    </row>
    <row r="2337" spans="1:18" x14ac:dyDescent="0.25">
      <c r="A2337" t="s">
        <v>2171</v>
      </c>
      <c r="B2337">
        <v>1265</v>
      </c>
      <c r="C2337" t="s">
        <v>487</v>
      </c>
      <c r="D2337" t="s">
        <v>256</v>
      </c>
      <c r="E2337" t="s">
        <v>552</v>
      </c>
      <c r="F2337" t="s">
        <v>1365</v>
      </c>
      <c r="G2337" s="25">
        <v>44254</v>
      </c>
      <c r="H2337">
        <v>12</v>
      </c>
      <c r="I2337">
        <v>58</v>
      </c>
      <c r="J2337" t="s">
        <v>231</v>
      </c>
      <c r="K2337" t="s">
        <v>501</v>
      </c>
      <c r="L2337" t="s">
        <v>412</v>
      </c>
      <c r="M2337" t="s">
        <v>234</v>
      </c>
      <c r="N2337" t="s">
        <v>60</v>
      </c>
      <c r="O2337" t="s">
        <v>235</v>
      </c>
      <c r="P2337" t="s">
        <v>413</v>
      </c>
      <c r="Q2337">
        <v>0</v>
      </c>
      <c r="R2337" t="s">
        <v>237</v>
      </c>
    </row>
    <row r="2338" spans="1:18" x14ac:dyDescent="0.25">
      <c r="A2338" t="s">
        <v>360</v>
      </c>
      <c r="B2338">
        <v>29</v>
      </c>
      <c r="C2338" t="s">
        <v>487</v>
      </c>
      <c r="D2338" t="s">
        <v>229</v>
      </c>
      <c r="E2338" t="s">
        <v>231</v>
      </c>
      <c r="F2338" t="s">
        <v>568</v>
      </c>
      <c r="G2338" s="25">
        <v>44198</v>
      </c>
      <c r="H2338">
        <v>1</v>
      </c>
      <c r="I2338">
        <v>2</v>
      </c>
      <c r="J2338" t="s">
        <v>231</v>
      </c>
      <c r="K2338" t="s">
        <v>500</v>
      </c>
      <c r="L2338" t="s">
        <v>265</v>
      </c>
      <c r="M2338" t="s">
        <v>234</v>
      </c>
      <c r="N2338" t="s">
        <v>52</v>
      </c>
      <c r="O2338" t="s">
        <v>235</v>
      </c>
      <c r="P2338" t="s">
        <v>266</v>
      </c>
      <c r="Q2338">
        <v>0</v>
      </c>
      <c r="R2338" t="s">
        <v>237</v>
      </c>
    </row>
    <row r="2339" spans="1:18" x14ac:dyDescent="0.25">
      <c r="A2339" t="s">
        <v>3958</v>
      </c>
      <c r="B2339">
        <v>2432</v>
      </c>
      <c r="C2339" t="s">
        <v>487</v>
      </c>
      <c r="D2339" t="s">
        <v>247</v>
      </c>
      <c r="E2339" t="s">
        <v>515</v>
      </c>
      <c r="F2339" t="s">
        <v>3134</v>
      </c>
      <c r="G2339" s="25">
        <v>44307</v>
      </c>
      <c r="H2339">
        <v>23</v>
      </c>
      <c r="I2339">
        <v>111</v>
      </c>
      <c r="J2339" t="s">
        <v>231</v>
      </c>
      <c r="K2339" t="s">
        <v>499</v>
      </c>
      <c r="L2339" t="s">
        <v>410</v>
      </c>
      <c r="M2339" t="s">
        <v>234</v>
      </c>
      <c r="N2339" t="s">
        <v>62</v>
      </c>
      <c r="O2339" t="s">
        <v>235</v>
      </c>
      <c r="P2339" t="s">
        <v>411</v>
      </c>
      <c r="Q2339">
        <v>0</v>
      </c>
      <c r="R2339" t="s">
        <v>237</v>
      </c>
    </row>
    <row r="2340" spans="1:18" x14ac:dyDescent="0.25">
      <c r="A2340" t="s">
        <v>3959</v>
      </c>
      <c r="B2340">
        <v>2124</v>
      </c>
      <c r="C2340" t="s">
        <v>487</v>
      </c>
      <c r="D2340" t="s">
        <v>322</v>
      </c>
      <c r="E2340" t="s">
        <v>534</v>
      </c>
      <c r="F2340" t="s">
        <v>3031</v>
      </c>
      <c r="G2340" s="25">
        <v>44293</v>
      </c>
      <c r="H2340">
        <v>20</v>
      </c>
      <c r="I2340">
        <v>97</v>
      </c>
      <c r="J2340" t="s">
        <v>231</v>
      </c>
      <c r="K2340" t="s">
        <v>499</v>
      </c>
      <c r="L2340" t="s">
        <v>410</v>
      </c>
      <c r="M2340" t="s">
        <v>234</v>
      </c>
      <c r="N2340" t="s">
        <v>62</v>
      </c>
      <c r="O2340" t="s">
        <v>235</v>
      </c>
      <c r="P2340" t="s">
        <v>411</v>
      </c>
      <c r="Q2340">
        <v>0</v>
      </c>
      <c r="R2340" t="s">
        <v>237</v>
      </c>
    </row>
    <row r="2341" spans="1:18" x14ac:dyDescent="0.25">
      <c r="A2341" t="s">
        <v>3960</v>
      </c>
      <c r="B2341">
        <v>1816</v>
      </c>
      <c r="C2341" t="s">
        <v>487</v>
      </c>
      <c r="D2341" t="s">
        <v>322</v>
      </c>
      <c r="E2341" t="s">
        <v>256</v>
      </c>
      <c r="F2341" t="s">
        <v>2952</v>
      </c>
      <c r="G2341" s="25">
        <v>44279</v>
      </c>
      <c r="H2341">
        <v>17</v>
      </c>
      <c r="I2341">
        <v>83</v>
      </c>
      <c r="J2341" t="s">
        <v>231</v>
      </c>
      <c r="K2341" t="s">
        <v>499</v>
      </c>
      <c r="L2341" t="s">
        <v>410</v>
      </c>
      <c r="M2341" t="s">
        <v>234</v>
      </c>
      <c r="N2341" t="s">
        <v>62</v>
      </c>
      <c r="O2341" t="s">
        <v>235</v>
      </c>
      <c r="P2341" t="s">
        <v>411</v>
      </c>
      <c r="Q2341">
        <v>0</v>
      </c>
      <c r="R2341" t="s">
        <v>237</v>
      </c>
    </row>
    <row r="2342" spans="1:18" x14ac:dyDescent="0.25">
      <c r="A2342" t="s">
        <v>2461</v>
      </c>
      <c r="B2342">
        <v>1222</v>
      </c>
      <c r="C2342" t="s">
        <v>487</v>
      </c>
      <c r="D2342" t="s">
        <v>256</v>
      </c>
      <c r="E2342" t="s">
        <v>620</v>
      </c>
      <c r="F2342" t="s">
        <v>1350</v>
      </c>
      <c r="G2342" s="25">
        <v>44252</v>
      </c>
      <c r="H2342">
        <v>12</v>
      </c>
      <c r="I2342">
        <v>56</v>
      </c>
      <c r="J2342" t="s">
        <v>231</v>
      </c>
      <c r="K2342" t="s">
        <v>499</v>
      </c>
      <c r="L2342" t="s">
        <v>410</v>
      </c>
      <c r="M2342" t="s">
        <v>234</v>
      </c>
      <c r="N2342" t="s">
        <v>62</v>
      </c>
      <c r="O2342" t="s">
        <v>235</v>
      </c>
      <c r="P2342" t="s">
        <v>411</v>
      </c>
      <c r="Q2342">
        <v>0</v>
      </c>
      <c r="R2342" t="s">
        <v>237</v>
      </c>
    </row>
    <row r="2343" spans="1:18" x14ac:dyDescent="0.25">
      <c r="A2343" t="s">
        <v>1670</v>
      </c>
      <c r="B2343">
        <v>980</v>
      </c>
      <c r="C2343" t="s">
        <v>487</v>
      </c>
      <c r="D2343" t="s">
        <v>256</v>
      </c>
      <c r="E2343" t="s">
        <v>322</v>
      </c>
      <c r="F2343" t="s">
        <v>1288</v>
      </c>
      <c r="G2343" s="25">
        <v>44241</v>
      </c>
      <c r="H2343">
        <v>9</v>
      </c>
      <c r="I2343">
        <v>45</v>
      </c>
      <c r="J2343" t="s">
        <v>231</v>
      </c>
      <c r="K2343" t="s">
        <v>499</v>
      </c>
      <c r="L2343" t="s">
        <v>410</v>
      </c>
      <c r="M2343" t="s">
        <v>234</v>
      </c>
      <c r="N2343" t="s">
        <v>62</v>
      </c>
      <c r="O2343" t="s">
        <v>235</v>
      </c>
      <c r="P2343" t="s">
        <v>411</v>
      </c>
      <c r="Q2343">
        <v>0</v>
      </c>
      <c r="R2343" t="s">
        <v>237</v>
      </c>
    </row>
    <row r="2344" spans="1:18" x14ac:dyDescent="0.25">
      <c r="A2344" t="s">
        <v>2890</v>
      </c>
      <c r="B2344">
        <v>606</v>
      </c>
      <c r="C2344" t="s">
        <v>487</v>
      </c>
      <c r="D2344" t="s">
        <v>231</v>
      </c>
      <c r="E2344" t="s">
        <v>381</v>
      </c>
      <c r="F2344" t="s">
        <v>1099</v>
      </c>
      <c r="G2344" s="25">
        <v>44224</v>
      </c>
      <c r="H2344">
        <v>6</v>
      </c>
      <c r="I2344">
        <v>28</v>
      </c>
      <c r="J2344" t="s">
        <v>231</v>
      </c>
      <c r="K2344" t="s">
        <v>499</v>
      </c>
      <c r="L2344" t="s">
        <v>410</v>
      </c>
      <c r="M2344" t="s">
        <v>234</v>
      </c>
      <c r="N2344" t="s">
        <v>62</v>
      </c>
      <c r="O2344" t="s">
        <v>235</v>
      </c>
      <c r="P2344" t="s">
        <v>411</v>
      </c>
      <c r="Q2344">
        <v>0</v>
      </c>
      <c r="R2344" t="s">
        <v>237</v>
      </c>
    </row>
    <row r="2345" spans="1:18" x14ac:dyDescent="0.25">
      <c r="A2345" t="s">
        <v>799</v>
      </c>
      <c r="B2345">
        <v>254</v>
      </c>
      <c r="C2345" t="s">
        <v>487</v>
      </c>
      <c r="D2345" t="s">
        <v>229</v>
      </c>
      <c r="E2345" t="s">
        <v>232</v>
      </c>
      <c r="F2345" t="s">
        <v>520</v>
      </c>
      <c r="G2345" s="25">
        <v>44208</v>
      </c>
      <c r="H2345">
        <v>3</v>
      </c>
      <c r="I2345">
        <v>12</v>
      </c>
      <c r="J2345" t="s">
        <v>231</v>
      </c>
      <c r="K2345" t="s">
        <v>499</v>
      </c>
      <c r="L2345" t="s">
        <v>410</v>
      </c>
      <c r="M2345" t="s">
        <v>234</v>
      </c>
      <c r="N2345" t="s">
        <v>62</v>
      </c>
      <c r="O2345" t="s">
        <v>235</v>
      </c>
      <c r="P2345" t="s">
        <v>411</v>
      </c>
      <c r="Q2345">
        <v>0</v>
      </c>
      <c r="R2345" t="s">
        <v>237</v>
      </c>
    </row>
    <row r="2346" spans="1:18" x14ac:dyDescent="0.25">
      <c r="A2346" t="s">
        <v>3961</v>
      </c>
      <c r="B2346">
        <v>2221</v>
      </c>
      <c r="C2346" t="s">
        <v>487</v>
      </c>
      <c r="D2346" t="s">
        <v>247</v>
      </c>
      <c r="E2346" t="s">
        <v>229</v>
      </c>
      <c r="F2346" t="s">
        <v>3063</v>
      </c>
      <c r="G2346" s="25">
        <v>44297</v>
      </c>
      <c r="H2346">
        <v>21</v>
      </c>
      <c r="I2346">
        <v>101</v>
      </c>
      <c r="J2346" t="s">
        <v>432</v>
      </c>
      <c r="K2346" t="s">
        <v>498</v>
      </c>
      <c r="L2346" t="s">
        <v>26</v>
      </c>
      <c r="M2346" t="s">
        <v>434</v>
      </c>
      <c r="N2346" t="s">
        <v>77</v>
      </c>
      <c r="O2346" t="s">
        <v>435</v>
      </c>
      <c r="P2346" t="s">
        <v>26</v>
      </c>
      <c r="Q2346">
        <v>232098.75</v>
      </c>
      <c r="R2346" t="s">
        <v>436</v>
      </c>
    </row>
    <row r="2347" spans="1:18" x14ac:dyDescent="0.25">
      <c r="A2347" t="s">
        <v>2117</v>
      </c>
      <c r="B2347">
        <v>1121</v>
      </c>
      <c r="C2347" t="s">
        <v>487</v>
      </c>
      <c r="D2347" t="s">
        <v>256</v>
      </c>
      <c r="E2347" t="s">
        <v>515</v>
      </c>
      <c r="F2347" t="s">
        <v>1329</v>
      </c>
      <c r="G2347" s="25">
        <v>44247</v>
      </c>
      <c r="H2347">
        <v>11</v>
      </c>
      <c r="I2347">
        <v>51</v>
      </c>
      <c r="J2347" t="s">
        <v>432</v>
      </c>
      <c r="K2347" t="s">
        <v>498</v>
      </c>
      <c r="L2347" t="s">
        <v>26</v>
      </c>
      <c r="M2347" t="s">
        <v>434</v>
      </c>
      <c r="N2347" t="s">
        <v>77</v>
      </c>
      <c r="O2347" t="s">
        <v>435</v>
      </c>
      <c r="P2347" t="s">
        <v>26</v>
      </c>
      <c r="Q2347">
        <v>227543.75</v>
      </c>
      <c r="R2347" t="s">
        <v>436</v>
      </c>
    </row>
    <row r="2348" spans="1:18" x14ac:dyDescent="0.25">
      <c r="A2348" t="s">
        <v>1676</v>
      </c>
      <c r="B2348">
        <v>1055</v>
      </c>
      <c r="C2348" t="s">
        <v>487</v>
      </c>
      <c r="D2348" t="s">
        <v>256</v>
      </c>
      <c r="E2348" t="s">
        <v>381</v>
      </c>
      <c r="F2348" t="s">
        <v>1311</v>
      </c>
      <c r="G2348" s="25">
        <v>44244</v>
      </c>
      <c r="H2348">
        <v>10</v>
      </c>
      <c r="I2348">
        <v>48</v>
      </c>
      <c r="J2348" t="s">
        <v>432</v>
      </c>
      <c r="K2348" t="s">
        <v>498</v>
      </c>
      <c r="L2348" t="s">
        <v>26</v>
      </c>
      <c r="M2348" t="s">
        <v>434</v>
      </c>
      <c r="N2348" t="s">
        <v>77</v>
      </c>
      <c r="O2348" t="s">
        <v>435</v>
      </c>
      <c r="P2348" t="s">
        <v>26</v>
      </c>
      <c r="Q2348">
        <v>251387.5</v>
      </c>
      <c r="R2348" t="s">
        <v>436</v>
      </c>
    </row>
    <row r="2349" spans="1:18" x14ac:dyDescent="0.25">
      <c r="A2349" t="s">
        <v>2304</v>
      </c>
      <c r="B2349">
        <v>901</v>
      </c>
      <c r="C2349" t="s">
        <v>487</v>
      </c>
      <c r="D2349" t="s">
        <v>256</v>
      </c>
      <c r="E2349" t="s">
        <v>229</v>
      </c>
      <c r="F2349" t="s">
        <v>1241</v>
      </c>
      <c r="G2349" s="25">
        <v>44237</v>
      </c>
      <c r="H2349">
        <v>9</v>
      </c>
      <c r="I2349">
        <v>41</v>
      </c>
      <c r="J2349" t="s">
        <v>432</v>
      </c>
      <c r="K2349" t="s">
        <v>498</v>
      </c>
      <c r="L2349" t="s">
        <v>26</v>
      </c>
      <c r="M2349" t="s">
        <v>434</v>
      </c>
      <c r="N2349" t="s">
        <v>77</v>
      </c>
      <c r="O2349" t="s">
        <v>435</v>
      </c>
      <c r="P2349" t="s">
        <v>26</v>
      </c>
      <c r="Q2349">
        <v>106662.5</v>
      </c>
      <c r="R2349" t="s">
        <v>436</v>
      </c>
    </row>
    <row r="2350" spans="1:18" x14ac:dyDescent="0.25">
      <c r="A2350" t="s">
        <v>704</v>
      </c>
      <c r="B2350">
        <v>329</v>
      </c>
      <c r="C2350" t="s">
        <v>487</v>
      </c>
      <c r="D2350" t="s">
        <v>229</v>
      </c>
      <c r="E2350" t="s">
        <v>575</v>
      </c>
      <c r="F2350" t="s">
        <v>576</v>
      </c>
      <c r="G2350" s="25">
        <v>44211</v>
      </c>
      <c r="H2350">
        <v>3</v>
      </c>
      <c r="I2350">
        <v>15</v>
      </c>
      <c r="J2350" t="s">
        <v>432</v>
      </c>
      <c r="K2350" t="s">
        <v>498</v>
      </c>
      <c r="L2350" t="s">
        <v>26</v>
      </c>
      <c r="M2350" t="s">
        <v>434</v>
      </c>
      <c r="N2350" t="s">
        <v>77</v>
      </c>
      <c r="O2350" t="s">
        <v>435</v>
      </c>
      <c r="P2350" t="s">
        <v>26</v>
      </c>
      <c r="Q2350">
        <v>18353.125</v>
      </c>
      <c r="R2350" t="s">
        <v>436</v>
      </c>
    </row>
    <row r="2351" spans="1:18" x14ac:dyDescent="0.25">
      <c r="A2351" t="s">
        <v>705</v>
      </c>
      <c r="B2351">
        <v>263</v>
      </c>
      <c r="C2351" t="s">
        <v>487</v>
      </c>
      <c r="D2351" t="s">
        <v>229</v>
      </c>
      <c r="E2351" t="s">
        <v>232</v>
      </c>
      <c r="F2351" t="s">
        <v>520</v>
      </c>
      <c r="G2351" s="25">
        <v>44208</v>
      </c>
      <c r="H2351">
        <v>3</v>
      </c>
      <c r="I2351">
        <v>12</v>
      </c>
      <c r="J2351" t="s">
        <v>432</v>
      </c>
      <c r="K2351" t="s">
        <v>498</v>
      </c>
      <c r="L2351" t="s">
        <v>26</v>
      </c>
      <c r="M2351" t="s">
        <v>434</v>
      </c>
      <c r="N2351" t="s">
        <v>77</v>
      </c>
      <c r="O2351" t="s">
        <v>435</v>
      </c>
      <c r="P2351" t="s">
        <v>26</v>
      </c>
      <c r="Q2351">
        <v>28700</v>
      </c>
      <c r="R2351" t="s">
        <v>436</v>
      </c>
    </row>
    <row r="2352" spans="1:18" x14ac:dyDescent="0.25">
      <c r="A2352" t="s">
        <v>1744</v>
      </c>
      <c r="B2352">
        <v>1229</v>
      </c>
      <c r="C2352" t="s">
        <v>487</v>
      </c>
      <c r="D2352" t="s">
        <v>256</v>
      </c>
      <c r="E2352" t="s">
        <v>620</v>
      </c>
      <c r="F2352" t="s">
        <v>1350</v>
      </c>
      <c r="G2352" s="25">
        <v>44252</v>
      </c>
      <c r="H2352">
        <v>12</v>
      </c>
      <c r="I2352">
        <v>56</v>
      </c>
      <c r="J2352" t="s">
        <v>432</v>
      </c>
      <c r="K2352" t="s">
        <v>497</v>
      </c>
      <c r="L2352" t="s">
        <v>438</v>
      </c>
      <c r="M2352" t="s">
        <v>434</v>
      </c>
      <c r="N2352" t="s">
        <v>75</v>
      </c>
      <c r="O2352" t="s">
        <v>435</v>
      </c>
      <c r="P2352" t="s">
        <v>438</v>
      </c>
      <c r="Q2352">
        <v>43200</v>
      </c>
      <c r="R2352" t="s">
        <v>436</v>
      </c>
    </row>
    <row r="2353" spans="1:18" x14ac:dyDescent="0.25">
      <c r="A2353" t="s">
        <v>2361</v>
      </c>
      <c r="B2353">
        <v>987</v>
      </c>
      <c r="C2353" t="s">
        <v>487</v>
      </c>
      <c r="D2353" t="s">
        <v>256</v>
      </c>
      <c r="E2353" t="s">
        <v>322</v>
      </c>
      <c r="F2353" t="s">
        <v>1288</v>
      </c>
      <c r="G2353" s="25">
        <v>44241</v>
      </c>
      <c r="H2353">
        <v>9</v>
      </c>
      <c r="I2353">
        <v>45</v>
      </c>
      <c r="J2353" t="s">
        <v>432</v>
      </c>
      <c r="K2353" t="s">
        <v>497</v>
      </c>
      <c r="L2353" t="s">
        <v>438</v>
      </c>
      <c r="M2353" t="s">
        <v>434</v>
      </c>
      <c r="N2353" t="s">
        <v>75</v>
      </c>
      <c r="O2353" t="s">
        <v>435</v>
      </c>
      <c r="P2353" t="s">
        <v>438</v>
      </c>
      <c r="Q2353">
        <v>62400</v>
      </c>
      <c r="R2353" t="s">
        <v>436</v>
      </c>
    </row>
    <row r="2354" spans="1:18" x14ac:dyDescent="0.25">
      <c r="A2354" t="s">
        <v>2675</v>
      </c>
      <c r="B2354">
        <v>613</v>
      </c>
      <c r="C2354" t="s">
        <v>487</v>
      </c>
      <c r="D2354" t="s">
        <v>231</v>
      </c>
      <c r="E2354" t="s">
        <v>381</v>
      </c>
      <c r="F2354" t="s">
        <v>1099</v>
      </c>
      <c r="G2354" s="25">
        <v>44224</v>
      </c>
      <c r="H2354">
        <v>6</v>
      </c>
      <c r="I2354">
        <v>28</v>
      </c>
      <c r="J2354" t="s">
        <v>432</v>
      </c>
      <c r="K2354" t="s">
        <v>497</v>
      </c>
      <c r="L2354" t="s">
        <v>438</v>
      </c>
      <c r="M2354" t="s">
        <v>434</v>
      </c>
      <c r="N2354" t="s">
        <v>75</v>
      </c>
      <c r="O2354" t="s">
        <v>435</v>
      </c>
      <c r="P2354" t="s">
        <v>438</v>
      </c>
      <c r="Q2354">
        <v>31200</v>
      </c>
      <c r="R2354" t="s">
        <v>436</v>
      </c>
    </row>
    <row r="2355" spans="1:18" x14ac:dyDescent="0.25">
      <c r="A2355" t="s">
        <v>583</v>
      </c>
      <c r="B2355">
        <v>261</v>
      </c>
      <c r="C2355" t="s">
        <v>487</v>
      </c>
      <c r="D2355" t="s">
        <v>229</v>
      </c>
      <c r="E2355" t="s">
        <v>232</v>
      </c>
      <c r="F2355" t="s">
        <v>520</v>
      </c>
      <c r="G2355" s="25">
        <v>44208</v>
      </c>
      <c r="H2355">
        <v>3</v>
      </c>
      <c r="I2355">
        <v>12</v>
      </c>
      <c r="J2355" t="s">
        <v>432</v>
      </c>
      <c r="K2355" t="s">
        <v>497</v>
      </c>
      <c r="L2355" t="s">
        <v>438</v>
      </c>
      <c r="M2355" t="s">
        <v>434</v>
      </c>
      <c r="N2355" t="s">
        <v>75</v>
      </c>
      <c r="O2355" t="s">
        <v>435</v>
      </c>
      <c r="P2355" t="s">
        <v>438</v>
      </c>
      <c r="Q2355">
        <v>10800</v>
      </c>
      <c r="R2355" t="s">
        <v>436</v>
      </c>
    </row>
    <row r="2356" spans="1:18" x14ac:dyDescent="0.25">
      <c r="A2356" t="s">
        <v>3962</v>
      </c>
      <c r="B2356">
        <v>2439</v>
      </c>
      <c r="C2356" t="s">
        <v>487</v>
      </c>
      <c r="D2356" t="s">
        <v>247</v>
      </c>
      <c r="E2356" t="s">
        <v>515</v>
      </c>
      <c r="F2356" t="s">
        <v>3134</v>
      </c>
      <c r="G2356" s="25">
        <v>44307</v>
      </c>
      <c r="H2356">
        <v>23</v>
      </c>
      <c r="I2356">
        <v>111</v>
      </c>
      <c r="J2356" t="s">
        <v>432</v>
      </c>
      <c r="K2356" t="s">
        <v>497</v>
      </c>
      <c r="L2356" t="s">
        <v>438</v>
      </c>
      <c r="M2356" t="s">
        <v>434</v>
      </c>
      <c r="N2356" t="s">
        <v>75</v>
      </c>
      <c r="O2356" t="s">
        <v>435</v>
      </c>
      <c r="P2356" t="s">
        <v>438</v>
      </c>
      <c r="Q2356">
        <v>34500</v>
      </c>
      <c r="R2356" t="s">
        <v>436</v>
      </c>
    </row>
    <row r="2357" spans="1:18" x14ac:dyDescent="0.25">
      <c r="A2357" t="s">
        <v>3963</v>
      </c>
      <c r="B2357">
        <v>1823</v>
      </c>
      <c r="C2357" t="s">
        <v>487</v>
      </c>
      <c r="D2357" t="s">
        <v>322</v>
      </c>
      <c r="E2357" t="s">
        <v>256</v>
      </c>
      <c r="F2357" t="s">
        <v>2952</v>
      </c>
      <c r="G2357" s="25">
        <v>44279</v>
      </c>
      <c r="H2357">
        <v>17</v>
      </c>
      <c r="I2357">
        <v>83</v>
      </c>
      <c r="J2357" t="s">
        <v>432</v>
      </c>
      <c r="K2357" t="s">
        <v>497</v>
      </c>
      <c r="L2357" t="s">
        <v>438</v>
      </c>
      <c r="M2357" t="s">
        <v>434</v>
      </c>
      <c r="N2357" t="s">
        <v>75</v>
      </c>
      <c r="O2357" t="s">
        <v>435</v>
      </c>
      <c r="P2357" t="s">
        <v>438</v>
      </c>
      <c r="Q2357">
        <v>14400</v>
      </c>
      <c r="R2357" t="s">
        <v>436</v>
      </c>
    </row>
    <row r="2358" spans="1:18" x14ac:dyDescent="0.25">
      <c r="A2358" t="s">
        <v>2123</v>
      </c>
      <c r="B2358">
        <v>543</v>
      </c>
      <c r="C2358" t="s">
        <v>487</v>
      </c>
      <c r="D2358" t="s">
        <v>231</v>
      </c>
      <c r="E2358" t="s">
        <v>322</v>
      </c>
      <c r="F2358" t="s">
        <v>1085</v>
      </c>
      <c r="G2358" s="25">
        <v>44221</v>
      </c>
      <c r="H2358">
        <v>5</v>
      </c>
      <c r="I2358">
        <v>25</v>
      </c>
      <c r="J2358" t="s">
        <v>432</v>
      </c>
      <c r="K2358" t="s">
        <v>496</v>
      </c>
      <c r="L2358" t="s">
        <v>69</v>
      </c>
      <c r="M2358" t="s">
        <v>434</v>
      </c>
      <c r="N2358" t="s">
        <v>68</v>
      </c>
      <c r="O2358" t="s">
        <v>21</v>
      </c>
      <c r="P2358" t="s">
        <v>439</v>
      </c>
      <c r="Q2358">
        <v>64000</v>
      </c>
      <c r="R2358" t="s">
        <v>237</v>
      </c>
    </row>
    <row r="2359" spans="1:18" x14ac:dyDescent="0.25">
      <c r="A2359" t="s">
        <v>574</v>
      </c>
      <c r="B2359">
        <v>324</v>
      </c>
      <c r="C2359" t="s">
        <v>487</v>
      </c>
      <c r="D2359" t="s">
        <v>229</v>
      </c>
      <c r="E2359" t="s">
        <v>575</v>
      </c>
      <c r="F2359" t="s">
        <v>576</v>
      </c>
      <c r="G2359" s="25">
        <v>44211</v>
      </c>
      <c r="H2359">
        <v>3</v>
      </c>
      <c r="I2359">
        <v>15</v>
      </c>
      <c r="J2359" t="s">
        <v>432</v>
      </c>
      <c r="K2359" t="s">
        <v>495</v>
      </c>
      <c r="L2359" t="s">
        <v>135</v>
      </c>
      <c r="M2359" t="s">
        <v>434</v>
      </c>
      <c r="N2359" t="s">
        <v>70</v>
      </c>
      <c r="O2359" t="s">
        <v>21</v>
      </c>
      <c r="P2359" t="s">
        <v>440</v>
      </c>
      <c r="Q2359">
        <v>56875</v>
      </c>
      <c r="R2359" t="s">
        <v>237</v>
      </c>
    </row>
    <row r="2360" spans="1:18" x14ac:dyDescent="0.25">
      <c r="A2360" t="s">
        <v>1952</v>
      </c>
      <c r="B2360">
        <v>1164</v>
      </c>
      <c r="C2360" t="s">
        <v>487</v>
      </c>
      <c r="D2360" t="s">
        <v>256</v>
      </c>
      <c r="E2360" t="s">
        <v>512</v>
      </c>
      <c r="F2360" t="s">
        <v>1342</v>
      </c>
      <c r="G2360" s="25">
        <v>44249</v>
      </c>
      <c r="H2360">
        <v>11</v>
      </c>
      <c r="I2360">
        <v>53</v>
      </c>
      <c r="J2360" t="s">
        <v>432</v>
      </c>
      <c r="K2360" t="s">
        <v>494</v>
      </c>
      <c r="L2360" t="s">
        <v>25</v>
      </c>
      <c r="M2360" t="s">
        <v>434</v>
      </c>
      <c r="N2360" t="s">
        <v>76</v>
      </c>
      <c r="O2360" t="s">
        <v>435</v>
      </c>
      <c r="P2360" t="s">
        <v>25</v>
      </c>
      <c r="Q2360">
        <v>40500</v>
      </c>
      <c r="R2360" t="s">
        <v>436</v>
      </c>
    </row>
    <row r="2361" spans="1:18" x14ac:dyDescent="0.25">
      <c r="A2361" t="s">
        <v>2061</v>
      </c>
      <c r="B2361">
        <v>1054</v>
      </c>
      <c r="C2361" t="s">
        <v>487</v>
      </c>
      <c r="D2361" t="s">
        <v>256</v>
      </c>
      <c r="E2361" t="s">
        <v>381</v>
      </c>
      <c r="F2361" t="s">
        <v>1311</v>
      </c>
      <c r="G2361" s="25">
        <v>44244</v>
      </c>
      <c r="H2361">
        <v>10</v>
      </c>
      <c r="I2361">
        <v>48</v>
      </c>
      <c r="J2361" t="s">
        <v>432</v>
      </c>
      <c r="K2361" t="s">
        <v>494</v>
      </c>
      <c r="L2361" t="s">
        <v>25</v>
      </c>
      <c r="M2361" t="s">
        <v>434</v>
      </c>
      <c r="N2361" t="s">
        <v>76</v>
      </c>
      <c r="O2361" t="s">
        <v>435</v>
      </c>
      <c r="P2361" t="s">
        <v>25</v>
      </c>
      <c r="Q2361">
        <v>51975</v>
      </c>
      <c r="R2361" t="s">
        <v>436</v>
      </c>
    </row>
    <row r="2362" spans="1:18" x14ac:dyDescent="0.25">
      <c r="A2362" t="s">
        <v>2903</v>
      </c>
      <c r="B2362">
        <v>548</v>
      </c>
      <c r="C2362" t="s">
        <v>487</v>
      </c>
      <c r="D2362" t="s">
        <v>231</v>
      </c>
      <c r="E2362" t="s">
        <v>322</v>
      </c>
      <c r="F2362" t="s">
        <v>1085</v>
      </c>
      <c r="G2362" s="25">
        <v>44221</v>
      </c>
      <c r="H2362">
        <v>5</v>
      </c>
      <c r="I2362">
        <v>25</v>
      </c>
      <c r="J2362" t="s">
        <v>432</v>
      </c>
      <c r="K2362" t="s">
        <v>494</v>
      </c>
      <c r="L2362" t="s">
        <v>25</v>
      </c>
      <c r="M2362" t="s">
        <v>434</v>
      </c>
      <c r="N2362" t="s">
        <v>76</v>
      </c>
      <c r="O2362" t="s">
        <v>435</v>
      </c>
      <c r="P2362" t="s">
        <v>25</v>
      </c>
      <c r="Q2362">
        <v>36000</v>
      </c>
      <c r="R2362" t="s">
        <v>436</v>
      </c>
    </row>
    <row r="2363" spans="1:18" x14ac:dyDescent="0.25">
      <c r="A2363" t="s">
        <v>3964</v>
      </c>
      <c r="B2363">
        <v>1936</v>
      </c>
      <c r="C2363" t="s">
        <v>487</v>
      </c>
      <c r="D2363" t="s">
        <v>322</v>
      </c>
      <c r="E2363" t="s">
        <v>381</v>
      </c>
      <c r="F2363" t="s">
        <v>2971</v>
      </c>
      <c r="G2363" s="25">
        <v>44284</v>
      </c>
      <c r="H2363">
        <v>18</v>
      </c>
      <c r="I2363">
        <v>88</v>
      </c>
      <c r="J2363" t="s">
        <v>432</v>
      </c>
      <c r="K2363" t="s">
        <v>493</v>
      </c>
      <c r="L2363" t="s">
        <v>441</v>
      </c>
      <c r="M2363" t="s">
        <v>434</v>
      </c>
      <c r="N2363" t="s">
        <v>78</v>
      </c>
      <c r="O2363" t="s">
        <v>435</v>
      </c>
      <c r="P2363" t="s">
        <v>441</v>
      </c>
      <c r="Q2363">
        <v>309448.75</v>
      </c>
      <c r="R2363" t="s">
        <v>436</v>
      </c>
    </row>
    <row r="2364" spans="1:18" x14ac:dyDescent="0.25">
      <c r="A2364" t="s">
        <v>2316</v>
      </c>
      <c r="B2364">
        <v>1518</v>
      </c>
      <c r="C2364" t="s">
        <v>487</v>
      </c>
      <c r="D2364" t="s">
        <v>261</v>
      </c>
      <c r="E2364" t="s">
        <v>371</v>
      </c>
      <c r="F2364" t="s">
        <v>1478</v>
      </c>
      <c r="G2364" s="25">
        <v>44265</v>
      </c>
      <c r="H2364">
        <v>14</v>
      </c>
      <c r="I2364">
        <v>69</v>
      </c>
      <c r="J2364" t="s">
        <v>432</v>
      </c>
      <c r="K2364" t="s">
        <v>493</v>
      </c>
      <c r="L2364" t="s">
        <v>441</v>
      </c>
      <c r="M2364" t="s">
        <v>434</v>
      </c>
      <c r="N2364" t="s">
        <v>78</v>
      </c>
      <c r="O2364" t="s">
        <v>435</v>
      </c>
      <c r="P2364" t="s">
        <v>441</v>
      </c>
      <c r="Q2364">
        <v>149953.125</v>
      </c>
      <c r="R2364" t="s">
        <v>436</v>
      </c>
    </row>
    <row r="2365" spans="1:18" x14ac:dyDescent="0.25">
      <c r="A2365" t="s">
        <v>2370</v>
      </c>
      <c r="B2365">
        <v>748</v>
      </c>
      <c r="C2365" t="s">
        <v>487</v>
      </c>
      <c r="D2365" t="s">
        <v>231</v>
      </c>
      <c r="E2365" t="s">
        <v>537</v>
      </c>
      <c r="F2365" t="s">
        <v>1192</v>
      </c>
      <c r="G2365" s="25">
        <v>44230</v>
      </c>
      <c r="H2365">
        <v>7</v>
      </c>
      <c r="I2365">
        <v>34</v>
      </c>
      <c r="J2365" t="s">
        <v>432</v>
      </c>
      <c r="K2365" t="s">
        <v>493</v>
      </c>
      <c r="L2365" t="s">
        <v>441</v>
      </c>
      <c r="M2365" t="s">
        <v>434</v>
      </c>
      <c r="N2365" t="s">
        <v>78</v>
      </c>
      <c r="O2365" t="s">
        <v>435</v>
      </c>
      <c r="P2365" t="s">
        <v>441</v>
      </c>
      <c r="Q2365">
        <v>113268.75</v>
      </c>
      <c r="R2365" t="s">
        <v>436</v>
      </c>
    </row>
    <row r="2366" spans="1:18" x14ac:dyDescent="0.25">
      <c r="A2366" t="s">
        <v>587</v>
      </c>
      <c r="B2366">
        <v>462</v>
      </c>
      <c r="C2366" t="s">
        <v>487</v>
      </c>
      <c r="D2366" t="s">
        <v>231</v>
      </c>
      <c r="E2366" t="s">
        <v>229</v>
      </c>
      <c r="F2366" t="s">
        <v>541</v>
      </c>
      <c r="G2366" s="25">
        <v>44217</v>
      </c>
      <c r="H2366">
        <v>5</v>
      </c>
      <c r="I2366">
        <v>21</v>
      </c>
      <c r="J2366" t="s">
        <v>432</v>
      </c>
      <c r="K2366" t="s">
        <v>493</v>
      </c>
      <c r="L2366" t="s">
        <v>441</v>
      </c>
      <c r="M2366" t="s">
        <v>434</v>
      </c>
      <c r="N2366" t="s">
        <v>78</v>
      </c>
      <c r="O2366" t="s">
        <v>435</v>
      </c>
      <c r="P2366" t="s">
        <v>441</v>
      </c>
      <c r="Q2366">
        <v>9887.5</v>
      </c>
      <c r="R2366" t="s">
        <v>436</v>
      </c>
    </row>
    <row r="2367" spans="1:18" x14ac:dyDescent="0.25">
      <c r="A2367" t="s">
        <v>316</v>
      </c>
      <c r="B2367">
        <v>88</v>
      </c>
      <c r="C2367" t="s">
        <v>487</v>
      </c>
      <c r="D2367" t="s">
        <v>229</v>
      </c>
      <c r="E2367" t="s">
        <v>261</v>
      </c>
      <c r="F2367" t="s">
        <v>549</v>
      </c>
      <c r="G2367" s="25">
        <v>44200</v>
      </c>
      <c r="H2367">
        <v>1</v>
      </c>
      <c r="I2367">
        <v>4</v>
      </c>
      <c r="J2367" t="s">
        <v>432</v>
      </c>
      <c r="K2367" t="s">
        <v>493</v>
      </c>
      <c r="L2367" t="s">
        <v>441</v>
      </c>
      <c r="M2367" t="s">
        <v>434</v>
      </c>
      <c r="N2367" t="s">
        <v>78</v>
      </c>
      <c r="O2367" t="s">
        <v>435</v>
      </c>
      <c r="P2367" t="s">
        <v>441</v>
      </c>
      <c r="Q2367">
        <v>50400</v>
      </c>
      <c r="R2367" t="s">
        <v>436</v>
      </c>
    </row>
    <row r="2368" spans="1:18" x14ac:dyDescent="0.25">
      <c r="A2368" t="s">
        <v>3965</v>
      </c>
      <c r="B2368">
        <v>1821</v>
      </c>
      <c r="C2368" t="s">
        <v>487</v>
      </c>
      <c r="D2368" t="s">
        <v>322</v>
      </c>
      <c r="E2368" t="s">
        <v>256</v>
      </c>
      <c r="F2368" t="s">
        <v>2952</v>
      </c>
      <c r="G2368" s="25">
        <v>44279</v>
      </c>
      <c r="H2368">
        <v>17</v>
      </c>
      <c r="I2368">
        <v>83</v>
      </c>
      <c r="J2368" t="s">
        <v>432</v>
      </c>
      <c r="K2368" t="s">
        <v>492</v>
      </c>
      <c r="L2368" t="s">
        <v>24</v>
      </c>
      <c r="M2368" t="s">
        <v>434</v>
      </c>
      <c r="N2368" t="s">
        <v>71</v>
      </c>
      <c r="O2368" t="s">
        <v>435</v>
      </c>
      <c r="P2368" t="s">
        <v>24</v>
      </c>
      <c r="Q2368">
        <v>0</v>
      </c>
      <c r="R2368" t="s">
        <v>436</v>
      </c>
    </row>
    <row r="2369" spans="1:18" x14ac:dyDescent="0.25">
      <c r="A2369" t="s">
        <v>2320</v>
      </c>
      <c r="B2369">
        <v>1227</v>
      </c>
      <c r="C2369" t="s">
        <v>487</v>
      </c>
      <c r="D2369" t="s">
        <v>256</v>
      </c>
      <c r="E2369" t="s">
        <v>620</v>
      </c>
      <c r="F2369" t="s">
        <v>1350</v>
      </c>
      <c r="G2369" s="25">
        <v>44252</v>
      </c>
      <c r="H2369">
        <v>12</v>
      </c>
      <c r="I2369">
        <v>56</v>
      </c>
      <c r="J2369" t="s">
        <v>432</v>
      </c>
      <c r="K2369" t="s">
        <v>492</v>
      </c>
      <c r="L2369" t="s">
        <v>24</v>
      </c>
      <c r="M2369" t="s">
        <v>434</v>
      </c>
      <c r="N2369" t="s">
        <v>71</v>
      </c>
      <c r="O2369" t="s">
        <v>435</v>
      </c>
      <c r="P2369" t="s">
        <v>24</v>
      </c>
      <c r="Q2369">
        <v>43500</v>
      </c>
      <c r="R2369" t="s">
        <v>436</v>
      </c>
    </row>
    <row r="2370" spans="1:18" x14ac:dyDescent="0.25">
      <c r="A2370" t="s">
        <v>2632</v>
      </c>
      <c r="B2370">
        <v>1205</v>
      </c>
      <c r="C2370" t="s">
        <v>487</v>
      </c>
      <c r="D2370" t="s">
        <v>256</v>
      </c>
      <c r="E2370" t="s">
        <v>575</v>
      </c>
      <c r="F2370" t="s">
        <v>1668</v>
      </c>
      <c r="G2370" s="25">
        <v>44251</v>
      </c>
      <c r="H2370">
        <v>11</v>
      </c>
      <c r="I2370">
        <v>55</v>
      </c>
      <c r="J2370" t="s">
        <v>432</v>
      </c>
      <c r="K2370" t="s">
        <v>492</v>
      </c>
      <c r="L2370" t="s">
        <v>24</v>
      </c>
      <c r="M2370" t="s">
        <v>434</v>
      </c>
      <c r="N2370" t="s">
        <v>71</v>
      </c>
      <c r="O2370" t="s">
        <v>435</v>
      </c>
      <c r="P2370" t="s">
        <v>24</v>
      </c>
      <c r="Q2370">
        <v>44981.25</v>
      </c>
      <c r="R2370" t="s">
        <v>436</v>
      </c>
    </row>
    <row r="2371" spans="1:18" x14ac:dyDescent="0.25">
      <c r="A2371" t="s">
        <v>779</v>
      </c>
      <c r="B2371">
        <v>259</v>
      </c>
      <c r="C2371" t="s">
        <v>487</v>
      </c>
      <c r="D2371" t="s">
        <v>229</v>
      </c>
      <c r="E2371" t="s">
        <v>232</v>
      </c>
      <c r="F2371" t="s">
        <v>520</v>
      </c>
      <c r="G2371" s="25">
        <v>44208</v>
      </c>
      <c r="H2371">
        <v>3</v>
      </c>
      <c r="I2371">
        <v>12</v>
      </c>
      <c r="J2371" t="s">
        <v>432</v>
      </c>
      <c r="K2371" t="s">
        <v>492</v>
      </c>
      <c r="L2371" t="s">
        <v>24</v>
      </c>
      <c r="M2371" t="s">
        <v>434</v>
      </c>
      <c r="N2371" t="s">
        <v>71</v>
      </c>
      <c r="O2371" t="s">
        <v>435</v>
      </c>
      <c r="P2371" t="s">
        <v>24</v>
      </c>
      <c r="Q2371">
        <v>3600</v>
      </c>
      <c r="R2371" t="s">
        <v>436</v>
      </c>
    </row>
    <row r="2372" spans="1:18" x14ac:dyDescent="0.25">
      <c r="A2372" t="s">
        <v>3966</v>
      </c>
      <c r="B2372">
        <v>2437</v>
      </c>
      <c r="C2372" t="s">
        <v>487</v>
      </c>
      <c r="D2372" t="s">
        <v>247</v>
      </c>
      <c r="E2372" t="s">
        <v>515</v>
      </c>
      <c r="F2372" t="s">
        <v>3134</v>
      </c>
      <c r="G2372" s="25">
        <v>44307</v>
      </c>
      <c r="H2372">
        <v>23</v>
      </c>
      <c r="I2372">
        <v>111</v>
      </c>
      <c r="J2372" t="s">
        <v>432</v>
      </c>
      <c r="K2372" t="s">
        <v>492</v>
      </c>
      <c r="L2372" t="s">
        <v>24</v>
      </c>
      <c r="M2372" t="s">
        <v>434</v>
      </c>
      <c r="N2372" t="s">
        <v>71</v>
      </c>
      <c r="O2372" t="s">
        <v>435</v>
      </c>
      <c r="P2372" t="s">
        <v>24</v>
      </c>
      <c r="Q2372">
        <v>54300</v>
      </c>
      <c r="R2372" t="s">
        <v>436</v>
      </c>
    </row>
    <row r="2373" spans="1:18" x14ac:dyDescent="0.25">
      <c r="A2373" t="s">
        <v>3967</v>
      </c>
      <c r="B2373">
        <v>2305</v>
      </c>
      <c r="C2373" t="s">
        <v>487</v>
      </c>
      <c r="D2373" t="s">
        <v>247</v>
      </c>
      <c r="E2373" t="s">
        <v>322</v>
      </c>
      <c r="F2373" t="s">
        <v>3083</v>
      </c>
      <c r="G2373" s="25">
        <v>44301</v>
      </c>
      <c r="H2373">
        <v>21</v>
      </c>
      <c r="I2373">
        <v>105</v>
      </c>
      <c r="J2373" t="s">
        <v>432</v>
      </c>
      <c r="K2373" t="s">
        <v>492</v>
      </c>
      <c r="L2373" t="s">
        <v>24</v>
      </c>
      <c r="M2373" t="s">
        <v>434</v>
      </c>
      <c r="N2373" t="s">
        <v>71</v>
      </c>
      <c r="O2373" t="s">
        <v>435</v>
      </c>
      <c r="P2373" t="s">
        <v>24</v>
      </c>
      <c r="Q2373">
        <v>55856.25</v>
      </c>
      <c r="R2373" t="s">
        <v>436</v>
      </c>
    </row>
    <row r="2374" spans="1:18" x14ac:dyDescent="0.25">
      <c r="A2374" t="s">
        <v>3968</v>
      </c>
      <c r="B2374">
        <v>2129</v>
      </c>
      <c r="C2374" t="s">
        <v>487</v>
      </c>
      <c r="D2374" t="s">
        <v>322</v>
      </c>
      <c r="E2374" t="s">
        <v>534</v>
      </c>
      <c r="F2374" t="s">
        <v>3031</v>
      </c>
      <c r="G2374" s="25">
        <v>44293</v>
      </c>
      <c r="H2374">
        <v>20</v>
      </c>
      <c r="I2374">
        <v>97</v>
      </c>
      <c r="J2374" t="s">
        <v>432</v>
      </c>
      <c r="K2374" t="s">
        <v>492</v>
      </c>
      <c r="L2374" t="s">
        <v>24</v>
      </c>
      <c r="M2374" t="s">
        <v>434</v>
      </c>
      <c r="N2374" t="s">
        <v>71</v>
      </c>
      <c r="O2374" t="s">
        <v>435</v>
      </c>
      <c r="P2374" t="s">
        <v>24</v>
      </c>
      <c r="Q2374">
        <v>69900</v>
      </c>
      <c r="R2374" t="s">
        <v>436</v>
      </c>
    </row>
    <row r="2375" spans="1:18" x14ac:dyDescent="0.25">
      <c r="A2375" t="s">
        <v>2637</v>
      </c>
      <c r="B2375">
        <v>1240</v>
      </c>
      <c r="C2375" t="s">
        <v>487</v>
      </c>
      <c r="D2375" t="s">
        <v>256</v>
      </c>
      <c r="E2375" t="s">
        <v>534</v>
      </c>
      <c r="F2375" t="s">
        <v>1357</v>
      </c>
      <c r="G2375" s="25">
        <v>44253</v>
      </c>
      <c r="H2375">
        <v>12</v>
      </c>
      <c r="I2375">
        <v>57</v>
      </c>
      <c r="J2375" t="s">
        <v>231</v>
      </c>
      <c r="K2375" t="s">
        <v>491</v>
      </c>
      <c r="L2375" t="s">
        <v>233</v>
      </c>
      <c r="M2375" t="s">
        <v>234</v>
      </c>
      <c r="N2375" t="s">
        <v>54</v>
      </c>
      <c r="O2375" t="s">
        <v>235</v>
      </c>
      <c r="P2375" t="s">
        <v>236</v>
      </c>
      <c r="Q2375">
        <v>0</v>
      </c>
      <c r="R2375" t="s">
        <v>237</v>
      </c>
    </row>
    <row r="2376" spans="1:18" x14ac:dyDescent="0.25">
      <c r="A2376" t="s">
        <v>2265</v>
      </c>
      <c r="B2376">
        <v>1086</v>
      </c>
      <c r="C2376" t="s">
        <v>487</v>
      </c>
      <c r="D2376" t="s">
        <v>256</v>
      </c>
      <c r="E2376" t="s">
        <v>239</v>
      </c>
      <c r="F2376" t="s">
        <v>1322</v>
      </c>
      <c r="G2376" s="25">
        <v>44246</v>
      </c>
      <c r="H2376">
        <v>10</v>
      </c>
      <c r="I2376">
        <v>50</v>
      </c>
      <c r="J2376" t="s">
        <v>231</v>
      </c>
      <c r="K2376" t="s">
        <v>491</v>
      </c>
      <c r="L2376" t="s">
        <v>233</v>
      </c>
      <c r="M2376" t="s">
        <v>234</v>
      </c>
      <c r="N2376" t="s">
        <v>54</v>
      </c>
      <c r="O2376" t="s">
        <v>235</v>
      </c>
      <c r="P2376" t="s">
        <v>236</v>
      </c>
      <c r="Q2376">
        <v>0</v>
      </c>
      <c r="R2376" t="s">
        <v>237</v>
      </c>
    </row>
    <row r="2377" spans="1:18" x14ac:dyDescent="0.25">
      <c r="A2377" t="s">
        <v>1796</v>
      </c>
      <c r="B2377">
        <v>624</v>
      </c>
      <c r="C2377" t="s">
        <v>487</v>
      </c>
      <c r="D2377" t="s">
        <v>231</v>
      </c>
      <c r="E2377" t="s">
        <v>371</v>
      </c>
      <c r="F2377" t="s">
        <v>1124</v>
      </c>
      <c r="G2377" s="25">
        <v>44225</v>
      </c>
      <c r="H2377">
        <v>6</v>
      </c>
      <c r="I2377">
        <v>29</v>
      </c>
      <c r="J2377" t="s">
        <v>231</v>
      </c>
      <c r="K2377" t="s">
        <v>491</v>
      </c>
      <c r="L2377" t="s">
        <v>233</v>
      </c>
      <c r="M2377" t="s">
        <v>234</v>
      </c>
      <c r="N2377" t="s">
        <v>54</v>
      </c>
      <c r="O2377" t="s">
        <v>235</v>
      </c>
      <c r="P2377" t="s">
        <v>236</v>
      </c>
      <c r="Q2377">
        <v>0</v>
      </c>
      <c r="R2377" t="s">
        <v>237</v>
      </c>
    </row>
    <row r="2378" spans="1:18" x14ac:dyDescent="0.25">
      <c r="A2378" t="s">
        <v>528</v>
      </c>
      <c r="B2378">
        <v>272</v>
      </c>
      <c r="C2378" t="s">
        <v>487</v>
      </c>
      <c r="D2378" t="s">
        <v>229</v>
      </c>
      <c r="E2378" t="s">
        <v>512</v>
      </c>
      <c r="F2378" t="s">
        <v>513</v>
      </c>
      <c r="G2378" s="25">
        <v>44209</v>
      </c>
      <c r="H2378">
        <v>3</v>
      </c>
      <c r="I2378">
        <v>13</v>
      </c>
      <c r="J2378" t="s">
        <v>231</v>
      </c>
      <c r="K2378" t="s">
        <v>491</v>
      </c>
      <c r="L2378" t="s">
        <v>233</v>
      </c>
      <c r="M2378" t="s">
        <v>234</v>
      </c>
      <c r="N2378" t="s">
        <v>54</v>
      </c>
      <c r="O2378" t="s">
        <v>235</v>
      </c>
      <c r="P2378" t="s">
        <v>236</v>
      </c>
      <c r="Q2378">
        <v>0</v>
      </c>
      <c r="R2378" t="s">
        <v>237</v>
      </c>
    </row>
    <row r="2379" spans="1:18" x14ac:dyDescent="0.25">
      <c r="A2379" t="s">
        <v>3969</v>
      </c>
      <c r="B2379">
        <v>2142</v>
      </c>
      <c r="C2379" t="s">
        <v>487</v>
      </c>
      <c r="D2379" t="s">
        <v>322</v>
      </c>
      <c r="E2379" t="s">
        <v>552</v>
      </c>
      <c r="F2379" t="s">
        <v>3045</v>
      </c>
      <c r="G2379" s="25">
        <v>44294</v>
      </c>
      <c r="H2379">
        <v>20</v>
      </c>
      <c r="I2379">
        <v>98</v>
      </c>
      <c r="J2379" t="s">
        <v>231</v>
      </c>
      <c r="K2379" t="s">
        <v>491</v>
      </c>
      <c r="L2379" t="s">
        <v>233</v>
      </c>
      <c r="M2379" t="s">
        <v>234</v>
      </c>
      <c r="N2379" t="s">
        <v>54</v>
      </c>
      <c r="O2379" t="s">
        <v>235</v>
      </c>
      <c r="P2379" t="s">
        <v>236</v>
      </c>
      <c r="Q2379">
        <v>0</v>
      </c>
      <c r="R2379" t="s">
        <v>237</v>
      </c>
    </row>
    <row r="2380" spans="1:18" x14ac:dyDescent="0.25">
      <c r="A2380" t="s">
        <v>3970</v>
      </c>
      <c r="B2380">
        <v>1834</v>
      </c>
      <c r="C2380" t="s">
        <v>487</v>
      </c>
      <c r="D2380" t="s">
        <v>322</v>
      </c>
      <c r="E2380" t="s">
        <v>261</v>
      </c>
      <c r="F2380" t="s">
        <v>2956</v>
      </c>
      <c r="G2380" s="25">
        <v>44280</v>
      </c>
      <c r="H2380">
        <v>17</v>
      </c>
      <c r="I2380">
        <v>84</v>
      </c>
      <c r="J2380" t="s">
        <v>231</v>
      </c>
      <c r="K2380" t="s">
        <v>491</v>
      </c>
      <c r="L2380" t="s">
        <v>233</v>
      </c>
      <c r="M2380" t="s">
        <v>234</v>
      </c>
      <c r="N2380" t="s">
        <v>54</v>
      </c>
      <c r="O2380" t="s">
        <v>235</v>
      </c>
      <c r="P2380" t="s">
        <v>236</v>
      </c>
      <c r="Q2380">
        <v>24000</v>
      </c>
      <c r="R2380" t="s">
        <v>237</v>
      </c>
    </row>
    <row r="2381" spans="1:18" x14ac:dyDescent="0.25">
      <c r="A2381" t="s">
        <v>1964</v>
      </c>
      <c r="B2381">
        <v>1091</v>
      </c>
      <c r="C2381" t="s">
        <v>487</v>
      </c>
      <c r="D2381" t="s">
        <v>256</v>
      </c>
      <c r="E2381" t="s">
        <v>239</v>
      </c>
      <c r="F2381" t="s">
        <v>1322</v>
      </c>
      <c r="G2381" s="25">
        <v>44246</v>
      </c>
      <c r="H2381">
        <v>10</v>
      </c>
      <c r="I2381">
        <v>50</v>
      </c>
      <c r="J2381" t="s">
        <v>432</v>
      </c>
      <c r="K2381" t="s">
        <v>490</v>
      </c>
      <c r="L2381" t="s">
        <v>65</v>
      </c>
      <c r="M2381" t="s">
        <v>434</v>
      </c>
      <c r="N2381" t="s">
        <v>64</v>
      </c>
      <c r="O2381" t="s">
        <v>235</v>
      </c>
      <c r="P2381" t="s">
        <v>442</v>
      </c>
      <c r="Q2381">
        <v>418125</v>
      </c>
      <c r="R2381" t="s">
        <v>237</v>
      </c>
    </row>
    <row r="2382" spans="1:18" x14ac:dyDescent="0.25">
      <c r="A2382" t="s">
        <v>2700</v>
      </c>
      <c r="B2382">
        <v>783</v>
      </c>
      <c r="C2382" t="s">
        <v>487</v>
      </c>
      <c r="D2382" t="s">
        <v>231</v>
      </c>
      <c r="E2382" t="s">
        <v>620</v>
      </c>
      <c r="F2382" t="s">
        <v>1215</v>
      </c>
      <c r="G2382" s="25">
        <v>44232</v>
      </c>
      <c r="H2382">
        <v>8</v>
      </c>
      <c r="I2382">
        <v>36</v>
      </c>
      <c r="J2382" t="s">
        <v>432</v>
      </c>
      <c r="K2382" t="s">
        <v>490</v>
      </c>
      <c r="L2382" t="s">
        <v>65</v>
      </c>
      <c r="M2382" t="s">
        <v>434</v>
      </c>
      <c r="N2382" t="s">
        <v>64</v>
      </c>
      <c r="O2382" t="s">
        <v>235</v>
      </c>
      <c r="P2382" t="s">
        <v>442</v>
      </c>
      <c r="Q2382">
        <v>240000</v>
      </c>
      <c r="R2382" t="s">
        <v>237</v>
      </c>
    </row>
    <row r="2383" spans="1:18" x14ac:dyDescent="0.25">
      <c r="A2383" t="s">
        <v>1572</v>
      </c>
      <c r="B2383">
        <v>475</v>
      </c>
      <c r="C2383" t="s">
        <v>487</v>
      </c>
      <c r="D2383" t="s">
        <v>231</v>
      </c>
      <c r="E2383" t="s">
        <v>231</v>
      </c>
      <c r="F2383" t="s">
        <v>1080</v>
      </c>
      <c r="G2383" s="25">
        <v>44218</v>
      </c>
      <c r="H2383">
        <v>5</v>
      </c>
      <c r="I2383">
        <v>22</v>
      </c>
      <c r="J2383" t="s">
        <v>432</v>
      </c>
      <c r="K2383" t="s">
        <v>490</v>
      </c>
      <c r="L2383" t="s">
        <v>65</v>
      </c>
      <c r="M2383" t="s">
        <v>434</v>
      </c>
      <c r="N2383" t="s">
        <v>64</v>
      </c>
      <c r="O2383" t="s">
        <v>235</v>
      </c>
      <c r="P2383" t="s">
        <v>442</v>
      </c>
      <c r="Q2383">
        <v>24000</v>
      </c>
      <c r="R2383" t="s">
        <v>237</v>
      </c>
    </row>
    <row r="2384" spans="1:18" x14ac:dyDescent="0.25">
      <c r="A2384" t="s">
        <v>668</v>
      </c>
      <c r="B2384">
        <v>167</v>
      </c>
      <c r="C2384" t="s">
        <v>487</v>
      </c>
      <c r="D2384" t="s">
        <v>229</v>
      </c>
      <c r="E2384" t="s">
        <v>381</v>
      </c>
      <c r="F2384" t="s">
        <v>518</v>
      </c>
      <c r="G2384" s="25">
        <v>44204</v>
      </c>
      <c r="H2384">
        <v>2</v>
      </c>
      <c r="I2384">
        <v>8</v>
      </c>
      <c r="J2384" t="s">
        <v>432</v>
      </c>
      <c r="K2384" t="s">
        <v>490</v>
      </c>
      <c r="L2384" t="s">
        <v>65</v>
      </c>
      <c r="M2384" t="s">
        <v>434</v>
      </c>
      <c r="N2384" t="s">
        <v>64</v>
      </c>
      <c r="O2384" t="s">
        <v>235</v>
      </c>
      <c r="P2384" t="s">
        <v>442</v>
      </c>
      <c r="Q2384">
        <v>96000</v>
      </c>
      <c r="R2384" t="s">
        <v>237</v>
      </c>
    </row>
    <row r="2385" spans="1:18" x14ac:dyDescent="0.25">
      <c r="A2385" t="s">
        <v>3971</v>
      </c>
      <c r="B2385">
        <v>2345</v>
      </c>
      <c r="C2385" t="s">
        <v>487</v>
      </c>
      <c r="D2385" t="s">
        <v>247</v>
      </c>
      <c r="E2385" t="s">
        <v>326</v>
      </c>
      <c r="F2385" t="s">
        <v>3091</v>
      </c>
      <c r="G2385" s="25">
        <v>44303</v>
      </c>
      <c r="H2385">
        <v>22</v>
      </c>
      <c r="I2385">
        <v>107</v>
      </c>
      <c r="J2385" t="s">
        <v>432</v>
      </c>
      <c r="K2385" t="s">
        <v>490</v>
      </c>
      <c r="L2385" t="s">
        <v>65</v>
      </c>
      <c r="M2385" t="s">
        <v>434</v>
      </c>
      <c r="N2385" t="s">
        <v>64</v>
      </c>
      <c r="O2385" t="s">
        <v>235</v>
      </c>
      <c r="P2385" t="s">
        <v>442</v>
      </c>
      <c r="Q2385">
        <v>328000</v>
      </c>
      <c r="R2385" t="s">
        <v>237</v>
      </c>
    </row>
    <row r="2386" spans="1:18" x14ac:dyDescent="0.25">
      <c r="A2386" t="s">
        <v>3972</v>
      </c>
      <c r="B2386">
        <v>1993</v>
      </c>
      <c r="C2386" t="s">
        <v>487</v>
      </c>
      <c r="D2386" t="s">
        <v>322</v>
      </c>
      <c r="E2386" t="s">
        <v>515</v>
      </c>
      <c r="F2386" t="s">
        <v>2983</v>
      </c>
      <c r="G2386" s="25">
        <v>44287</v>
      </c>
      <c r="H2386">
        <v>19</v>
      </c>
      <c r="I2386">
        <v>91</v>
      </c>
      <c r="J2386" t="s">
        <v>432</v>
      </c>
      <c r="K2386" t="s">
        <v>490</v>
      </c>
      <c r="L2386" t="s">
        <v>65</v>
      </c>
      <c r="M2386" t="s">
        <v>434</v>
      </c>
      <c r="N2386" t="s">
        <v>64</v>
      </c>
      <c r="O2386" t="s">
        <v>235</v>
      </c>
      <c r="P2386" t="s">
        <v>442</v>
      </c>
      <c r="Q2386">
        <v>475500</v>
      </c>
      <c r="R2386" t="s">
        <v>237</v>
      </c>
    </row>
    <row r="2387" spans="1:18" x14ac:dyDescent="0.25">
      <c r="A2387" t="s">
        <v>2698</v>
      </c>
      <c r="B2387">
        <v>1377</v>
      </c>
      <c r="C2387" t="s">
        <v>487</v>
      </c>
      <c r="D2387" t="s">
        <v>261</v>
      </c>
      <c r="E2387" t="s">
        <v>256</v>
      </c>
      <c r="F2387" t="s">
        <v>1402</v>
      </c>
      <c r="G2387" s="25">
        <v>44259</v>
      </c>
      <c r="H2387">
        <v>13</v>
      </c>
      <c r="I2387">
        <v>63</v>
      </c>
      <c r="J2387" t="s">
        <v>432</v>
      </c>
      <c r="K2387" t="s">
        <v>490</v>
      </c>
      <c r="L2387" t="s">
        <v>65</v>
      </c>
      <c r="M2387" t="s">
        <v>434</v>
      </c>
      <c r="N2387" t="s">
        <v>64</v>
      </c>
      <c r="O2387" t="s">
        <v>235</v>
      </c>
      <c r="P2387" t="s">
        <v>442</v>
      </c>
      <c r="Q2387">
        <v>344000</v>
      </c>
      <c r="R2387" t="s">
        <v>237</v>
      </c>
    </row>
    <row r="2388" spans="1:18" x14ac:dyDescent="0.25">
      <c r="A2388" t="s">
        <v>2146</v>
      </c>
      <c r="B2388">
        <v>1245</v>
      </c>
      <c r="C2388" t="s">
        <v>487</v>
      </c>
      <c r="D2388" t="s">
        <v>256</v>
      </c>
      <c r="E2388" t="s">
        <v>534</v>
      </c>
      <c r="F2388" t="s">
        <v>1357</v>
      </c>
      <c r="G2388" s="25">
        <v>44253</v>
      </c>
      <c r="H2388">
        <v>12</v>
      </c>
      <c r="I2388">
        <v>57</v>
      </c>
      <c r="J2388" t="s">
        <v>432</v>
      </c>
      <c r="K2388" t="s">
        <v>490</v>
      </c>
      <c r="L2388" t="s">
        <v>65</v>
      </c>
      <c r="M2388" t="s">
        <v>434</v>
      </c>
      <c r="N2388" t="s">
        <v>64</v>
      </c>
      <c r="O2388" t="s">
        <v>235</v>
      </c>
      <c r="P2388" t="s">
        <v>442</v>
      </c>
      <c r="Q2388">
        <v>349625</v>
      </c>
      <c r="R2388" t="s">
        <v>237</v>
      </c>
    </row>
    <row r="2389" spans="1:18" x14ac:dyDescent="0.25">
      <c r="A2389" t="s">
        <v>3973</v>
      </c>
      <c r="B2389">
        <v>2218</v>
      </c>
      <c r="C2389" t="s">
        <v>487</v>
      </c>
      <c r="D2389" t="s">
        <v>247</v>
      </c>
      <c r="E2389" t="s">
        <v>229</v>
      </c>
      <c r="F2389" t="s">
        <v>3063</v>
      </c>
      <c r="G2389" s="25">
        <v>44297</v>
      </c>
      <c r="H2389">
        <v>21</v>
      </c>
      <c r="I2389">
        <v>101</v>
      </c>
      <c r="J2389" t="s">
        <v>432</v>
      </c>
      <c r="K2389" t="s">
        <v>488</v>
      </c>
      <c r="L2389" t="s">
        <v>433</v>
      </c>
      <c r="M2389" t="s">
        <v>434</v>
      </c>
      <c r="N2389" t="s">
        <v>74</v>
      </c>
      <c r="O2389" t="s">
        <v>435</v>
      </c>
      <c r="P2389" t="s">
        <v>433</v>
      </c>
      <c r="Q2389">
        <v>49087.5</v>
      </c>
      <c r="R2389" t="s">
        <v>436</v>
      </c>
    </row>
    <row r="2390" spans="1:18" x14ac:dyDescent="0.25">
      <c r="A2390" t="s">
        <v>2815</v>
      </c>
      <c r="B2390">
        <v>1778</v>
      </c>
      <c r="C2390" t="s">
        <v>487</v>
      </c>
      <c r="D2390" t="s">
        <v>322</v>
      </c>
      <c r="E2390" t="s">
        <v>229</v>
      </c>
      <c r="F2390" t="s">
        <v>1643</v>
      </c>
      <c r="G2390" s="25">
        <v>44277</v>
      </c>
      <c r="H2390">
        <v>17</v>
      </c>
      <c r="I2390">
        <v>81</v>
      </c>
      <c r="J2390" t="s">
        <v>432</v>
      </c>
      <c r="K2390" t="s">
        <v>488</v>
      </c>
      <c r="L2390" t="s">
        <v>433</v>
      </c>
      <c r="M2390" t="s">
        <v>434</v>
      </c>
      <c r="N2390" t="s">
        <v>74</v>
      </c>
      <c r="O2390" t="s">
        <v>435</v>
      </c>
      <c r="P2390" t="s">
        <v>433</v>
      </c>
      <c r="Q2390">
        <v>25800</v>
      </c>
      <c r="R2390" t="s">
        <v>436</v>
      </c>
    </row>
    <row r="2391" spans="1:18" x14ac:dyDescent="0.25">
      <c r="A2391" t="s">
        <v>2075</v>
      </c>
      <c r="B2391">
        <v>942</v>
      </c>
      <c r="C2391" t="s">
        <v>487</v>
      </c>
      <c r="D2391" t="s">
        <v>256</v>
      </c>
      <c r="E2391" t="s">
        <v>256</v>
      </c>
      <c r="F2391" t="s">
        <v>1263</v>
      </c>
      <c r="G2391" s="25">
        <v>44239</v>
      </c>
      <c r="H2391">
        <v>9</v>
      </c>
      <c r="I2391">
        <v>43</v>
      </c>
      <c r="J2391" t="s">
        <v>432</v>
      </c>
      <c r="K2391" t="s">
        <v>488</v>
      </c>
      <c r="L2391" t="s">
        <v>433</v>
      </c>
      <c r="M2391" t="s">
        <v>434</v>
      </c>
      <c r="N2391" t="s">
        <v>74</v>
      </c>
      <c r="O2391" t="s">
        <v>435</v>
      </c>
      <c r="P2391" t="s">
        <v>433</v>
      </c>
      <c r="Q2391">
        <v>7800</v>
      </c>
      <c r="R2391" t="s">
        <v>436</v>
      </c>
    </row>
    <row r="2392" spans="1:18" x14ac:dyDescent="0.25">
      <c r="A2392" t="s">
        <v>1755</v>
      </c>
      <c r="B2392">
        <v>568</v>
      </c>
      <c r="C2392" t="s">
        <v>487</v>
      </c>
      <c r="D2392" t="s">
        <v>231</v>
      </c>
      <c r="E2392" t="s">
        <v>247</v>
      </c>
      <c r="F2392" t="s">
        <v>1088</v>
      </c>
      <c r="G2392" s="25">
        <v>44222</v>
      </c>
      <c r="H2392">
        <v>6</v>
      </c>
      <c r="I2392">
        <v>26</v>
      </c>
      <c r="J2392" t="s">
        <v>432</v>
      </c>
      <c r="K2392" t="s">
        <v>488</v>
      </c>
      <c r="L2392" t="s">
        <v>433</v>
      </c>
      <c r="M2392" t="s">
        <v>434</v>
      </c>
      <c r="N2392" t="s">
        <v>74</v>
      </c>
      <c r="O2392" t="s">
        <v>435</v>
      </c>
      <c r="P2392" t="s">
        <v>433</v>
      </c>
      <c r="Q2392">
        <v>32400</v>
      </c>
      <c r="R2392" t="s">
        <v>436</v>
      </c>
    </row>
    <row r="2393" spans="1:18" x14ac:dyDescent="0.25">
      <c r="A2393" t="s">
        <v>3974</v>
      </c>
      <c r="B2393">
        <v>2280</v>
      </c>
      <c r="C2393" t="s">
        <v>487</v>
      </c>
      <c r="D2393" t="s">
        <v>247</v>
      </c>
      <c r="E2393" t="s">
        <v>261</v>
      </c>
      <c r="F2393" t="s">
        <v>3078</v>
      </c>
      <c r="G2393" s="25">
        <v>44300</v>
      </c>
      <c r="H2393">
        <v>21</v>
      </c>
      <c r="I2393">
        <v>104</v>
      </c>
      <c r="J2393" t="s">
        <v>432</v>
      </c>
      <c r="K2393" t="s">
        <v>489</v>
      </c>
      <c r="L2393" t="s">
        <v>134</v>
      </c>
      <c r="M2393" t="s">
        <v>434</v>
      </c>
      <c r="N2393" t="s">
        <v>67</v>
      </c>
      <c r="O2393" t="s">
        <v>235</v>
      </c>
      <c r="P2393" t="s">
        <v>437</v>
      </c>
      <c r="Q2393">
        <v>328000</v>
      </c>
      <c r="R2393" t="s">
        <v>237</v>
      </c>
    </row>
    <row r="2394" spans="1:18" x14ac:dyDescent="0.25">
      <c r="A2394" t="s">
        <v>3975</v>
      </c>
      <c r="B2394">
        <v>2192</v>
      </c>
      <c r="C2394" t="s">
        <v>487</v>
      </c>
      <c r="D2394" t="s">
        <v>322</v>
      </c>
      <c r="E2394" t="s">
        <v>408</v>
      </c>
      <c r="F2394" t="s">
        <v>3059</v>
      </c>
      <c r="G2394" s="25">
        <v>44296</v>
      </c>
      <c r="H2394">
        <v>20</v>
      </c>
      <c r="I2394">
        <v>100</v>
      </c>
      <c r="J2394" t="s">
        <v>432</v>
      </c>
      <c r="K2394" t="s">
        <v>489</v>
      </c>
      <c r="L2394" t="s">
        <v>134</v>
      </c>
      <c r="M2394" t="s">
        <v>434</v>
      </c>
      <c r="N2394" t="s">
        <v>67</v>
      </c>
      <c r="O2394" t="s">
        <v>235</v>
      </c>
      <c r="P2394" t="s">
        <v>437</v>
      </c>
      <c r="Q2394">
        <v>402750</v>
      </c>
      <c r="R2394" t="s">
        <v>237</v>
      </c>
    </row>
    <row r="2395" spans="1:18" x14ac:dyDescent="0.25">
      <c r="A2395" t="s">
        <v>1801</v>
      </c>
      <c r="B2395">
        <v>1554</v>
      </c>
      <c r="C2395" t="s">
        <v>487</v>
      </c>
      <c r="D2395" t="s">
        <v>261</v>
      </c>
      <c r="E2395" t="s">
        <v>515</v>
      </c>
      <c r="F2395" t="s">
        <v>1493</v>
      </c>
      <c r="G2395" s="25">
        <v>44267</v>
      </c>
      <c r="H2395">
        <v>15</v>
      </c>
      <c r="I2395">
        <v>71</v>
      </c>
      <c r="J2395" t="s">
        <v>432</v>
      </c>
      <c r="K2395" t="s">
        <v>489</v>
      </c>
      <c r="L2395" t="s">
        <v>134</v>
      </c>
      <c r="M2395" t="s">
        <v>434</v>
      </c>
      <c r="N2395" t="s">
        <v>67</v>
      </c>
      <c r="O2395" t="s">
        <v>235</v>
      </c>
      <c r="P2395" t="s">
        <v>437</v>
      </c>
      <c r="Q2395">
        <v>344000</v>
      </c>
      <c r="R2395" t="s">
        <v>237</v>
      </c>
    </row>
    <row r="2396" spans="1:18" x14ac:dyDescent="0.25">
      <c r="A2396" t="s">
        <v>2642</v>
      </c>
      <c r="B2396">
        <v>1070</v>
      </c>
      <c r="C2396" t="s">
        <v>487</v>
      </c>
      <c r="D2396" t="s">
        <v>256</v>
      </c>
      <c r="E2396" t="s">
        <v>371</v>
      </c>
      <c r="F2396" t="s">
        <v>1318</v>
      </c>
      <c r="G2396" s="25">
        <v>44245</v>
      </c>
      <c r="H2396">
        <v>10</v>
      </c>
      <c r="I2396">
        <v>49</v>
      </c>
      <c r="J2396" t="s">
        <v>432</v>
      </c>
      <c r="K2396" t="s">
        <v>489</v>
      </c>
      <c r="L2396" t="s">
        <v>134</v>
      </c>
      <c r="M2396" t="s">
        <v>434</v>
      </c>
      <c r="N2396" t="s">
        <v>67</v>
      </c>
      <c r="O2396" t="s">
        <v>235</v>
      </c>
      <c r="P2396" t="s">
        <v>437</v>
      </c>
      <c r="Q2396">
        <v>440000</v>
      </c>
      <c r="R2396" t="s">
        <v>237</v>
      </c>
    </row>
    <row r="2397" spans="1:18" x14ac:dyDescent="0.25">
      <c r="A2397" t="s">
        <v>1715</v>
      </c>
      <c r="B2397">
        <v>718</v>
      </c>
      <c r="C2397" t="s">
        <v>487</v>
      </c>
      <c r="D2397" t="s">
        <v>231</v>
      </c>
      <c r="E2397" t="s">
        <v>512</v>
      </c>
      <c r="F2397" t="s">
        <v>1174</v>
      </c>
      <c r="G2397" s="25">
        <v>44229</v>
      </c>
      <c r="H2397">
        <v>7</v>
      </c>
      <c r="I2397">
        <v>33</v>
      </c>
      <c r="J2397" t="s">
        <v>432</v>
      </c>
      <c r="K2397" t="s">
        <v>489</v>
      </c>
      <c r="L2397" t="s">
        <v>134</v>
      </c>
      <c r="M2397" t="s">
        <v>434</v>
      </c>
      <c r="N2397" t="s">
        <v>67</v>
      </c>
      <c r="O2397" t="s">
        <v>235</v>
      </c>
      <c r="P2397" t="s">
        <v>437</v>
      </c>
      <c r="Q2397">
        <v>240000</v>
      </c>
      <c r="R2397" t="s">
        <v>237</v>
      </c>
    </row>
    <row r="2398" spans="1:18" x14ac:dyDescent="0.25">
      <c r="A2398" t="s">
        <v>715</v>
      </c>
      <c r="B2398">
        <v>344</v>
      </c>
      <c r="C2398" t="s">
        <v>487</v>
      </c>
      <c r="D2398" t="s">
        <v>229</v>
      </c>
      <c r="E2398" t="s">
        <v>620</v>
      </c>
      <c r="F2398" t="s">
        <v>621</v>
      </c>
      <c r="G2398" s="25">
        <v>44212</v>
      </c>
      <c r="H2398">
        <v>4</v>
      </c>
      <c r="I2398">
        <v>16</v>
      </c>
      <c r="J2398" t="s">
        <v>432</v>
      </c>
      <c r="K2398" t="s">
        <v>489</v>
      </c>
      <c r="L2398" t="s">
        <v>134</v>
      </c>
      <c r="M2398" t="s">
        <v>434</v>
      </c>
      <c r="N2398" t="s">
        <v>67</v>
      </c>
      <c r="O2398" t="s">
        <v>235</v>
      </c>
      <c r="P2398" t="s">
        <v>437</v>
      </c>
      <c r="Q2398">
        <v>24000</v>
      </c>
      <c r="R2398" t="s">
        <v>237</v>
      </c>
    </row>
    <row r="2399" spans="1:18" x14ac:dyDescent="0.25">
      <c r="A2399" t="s">
        <v>252</v>
      </c>
      <c r="B2399">
        <v>102</v>
      </c>
      <c r="C2399" t="s">
        <v>487</v>
      </c>
      <c r="D2399" t="s">
        <v>229</v>
      </c>
      <c r="E2399" t="s">
        <v>322</v>
      </c>
      <c r="F2399" t="s">
        <v>529</v>
      </c>
      <c r="G2399" s="25">
        <v>44201</v>
      </c>
      <c r="H2399">
        <v>1</v>
      </c>
      <c r="I2399">
        <v>5</v>
      </c>
      <c r="J2399" t="s">
        <v>432</v>
      </c>
      <c r="K2399" t="s">
        <v>489</v>
      </c>
      <c r="L2399" t="s">
        <v>134</v>
      </c>
      <c r="M2399" t="s">
        <v>434</v>
      </c>
      <c r="N2399" t="s">
        <v>67</v>
      </c>
      <c r="O2399" t="s">
        <v>235</v>
      </c>
      <c r="P2399" t="s">
        <v>437</v>
      </c>
      <c r="Q2399">
        <v>96000</v>
      </c>
      <c r="R2399" t="s">
        <v>237</v>
      </c>
    </row>
    <row r="2400" spans="1:18" x14ac:dyDescent="0.25">
      <c r="A2400" t="s">
        <v>3976</v>
      </c>
      <c r="B2400">
        <v>1961</v>
      </c>
      <c r="C2400" t="s">
        <v>487</v>
      </c>
      <c r="D2400" t="s">
        <v>322</v>
      </c>
      <c r="E2400" t="s">
        <v>239</v>
      </c>
      <c r="F2400" t="s">
        <v>2979</v>
      </c>
      <c r="G2400" s="25">
        <v>44286</v>
      </c>
      <c r="H2400">
        <v>18</v>
      </c>
      <c r="I2400">
        <v>90</v>
      </c>
      <c r="J2400" t="s">
        <v>231</v>
      </c>
      <c r="K2400" t="s">
        <v>509</v>
      </c>
      <c r="L2400" t="s">
        <v>45</v>
      </c>
      <c r="M2400" t="s">
        <v>234</v>
      </c>
      <c r="N2400" t="s">
        <v>44</v>
      </c>
      <c r="O2400" t="s">
        <v>21</v>
      </c>
      <c r="P2400" t="s">
        <v>304</v>
      </c>
      <c r="Q2400">
        <v>0</v>
      </c>
      <c r="R2400" t="s">
        <v>237</v>
      </c>
    </row>
    <row r="2401" spans="1:18" x14ac:dyDescent="0.25">
      <c r="A2401" t="s">
        <v>2023</v>
      </c>
      <c r="B2401">
        <v>1389</v>
      </c>
      <c r="C2401" t="s">
        <v>487</v>
      </c>
      <c r="D2401" t="s">
        <v>261</v>
      </c>
      <c r="E2401" t="s">
        <v>261</v>
      </c>
      <c r="F2401" t="s">
        <v>1410</v>
      </c>
      <c r="G2401" s="25">
        <v>44260</v>
      </c>
      <c r="H2401">
        <v>13</v>
      </c>
      <c r="I2401">
        <v>64</v>
      </c>
      <c r="J2401" t="s">
        <v>231</v>
      </c>
      <c r="K2401" t="s">
        <v>509</v>
      </c>
      <c r="L2401" t="s">
        <v>45</v>
      </c>
      <c r="M2401" t="s">
        <v>234</v>
      </c>
      <c r="N2401" t="s">
        <v>44</v>
      </c>
      <c r="O2401" t="s">
        <v>21</v>
      </c>
      <c r="P2401" t="s">
        <v>304</v>
      </c>
      <c r="Q2401">
        <v>19678</v>
      </c>
      <c r="R2401" t="s">
        <v>237</v>
      </c>
    </row>
    <row r="2402" spans="1:18" x14ac:dyDescent="0.25">
      <c r="A2402" t="s">
        <v>1977</v>
      </c>
      <c r="B2402">
        <v>1368</v>
      </c>
      <c r="C2402" t="s">
        <v>487</v>
      </c>
      <c r="D2402" t="s">
        <v>261</v>
      </c>
      <c r="E2402" t="s">
        <v>256</v>
      </c>
      <c r="F2402" t="s">
        <v>1402</v>
      </c>
      <c r="G2402" s="25">
        <v>44259</v>
      </c>
      <c r="H2402">
        <v>13</v>
      </c>
      <c r="I2402">
        <v>63</v>
      </c>
      <c r="J2402" t="s">
        <v>231</v>
      </c>
      <c r="K2402" t="s">
        <v>508</v>
      </c>
      <c r="L2402" t="s">
        <v>47</v>
      </c>
      <c r="M2402" t="s">
        <v>234</v>
      </c>
      <c r="N2402" t="s">
        <v>46</v>
      </c>
      <c r="O2402" t="s">
        <v>21</v>
      </c>
      <c r="P2402" t="s">
        <v>288</v>
      </c>
      <c r="Q2402">
        <v>8531</v>
      </c>
      <c r="R2402" t="s">
        <v>237</v>
      </c>
    </row>
    <row r="2403" spans="1:18" x14ac:dyDescent="0.25">
      <c r="A2403" t="s">
        <v>1761</v>
      </c>
      <c r="B2403">
        <v>1236</v>
      </c>
      <c r="C2403" t="s">
        <v>487</v>
      </c>
      <c r="D2403" t="s">
        <v>256</v>
      </c>
      <c r="E2403" t="s">
        <v>534</v>
      </c>
      <c r="F2403" t="s">
        <v>1357</v>
      </c>
      <c r="G2403" s="25">
        <v>44253</v>
      </c>
      <c r="H2403">
        <v>12</v>
      </c>
      <c r="I2403">
        <v>57</v>
      </c>
      <c r="J2403" t="s">
        <v>231</v>
      </c>
      <c r="K2403" t="s">
        <v>508</v>
      </c>
      <c r="L2403" t="s">
        <v>47</v>
      </c>
      <c r="M2403" t="s">
        <v>234</v>
      </c>
      <c r="N2403" t="s">
        <v>46</v>
      </c>
      <c r="O2403" t="s">
        <v>21</v>
      </c>
      <c r="P2403" t="s">
        <v>288</v>
      </c>
      <c r="Q2403">
        <v>0</v>
      </c>
      <c r="R2403" t="s">
        <v>237</v>
      </c>
    </row>
    <row r="2404" spans="1:18" x14ac:dyDescent="0.25">
      <c r="A2404" t="s">
        <v>2645</v>
      </c>
      <c r="B2404">
        <v>1082</v>
      </c>
      <c r="C2404" t="s">
        <v>487</v>
      </c>
      <c r="D2404" t="s">
        <v>256</v>
      </c>
      <c r="E2404" t="s">
        <v>239</v>
      </c>
      <c r="F2404" t="s">
        <v>1322</v>
      </c>
      <c r="G2404" s="25">
        <v>44246</v>
      </c>
      <c r="H2404">
        <v>10</v>
      </c>
      <c r="I2404">
        <v>50</v>
      </c>
      <c r="J2404" t="s">
        <v>231</v>
      </c>
      <c r="K2404" t="s">
        <v>508</v>
      </c>
      <c r="L2404" t="s">
        <v>47</v>
      </c>
      <c r="M2404" t="s">
        <v>234</v>
      </c>
      <c r="N2404" t="s">
        <v>46</v>
      </c>
      <c r="O2404" t="s">
        <v>21</v>
      </c>
      <c r="P2404" t="s">
        <v>288</v>
      </c>
      <c r="Q2404">
        <v>0</v>
      </c>
      <c r="R2404" t="s">
        <v>237</v>
      </c>
    </row>
    <row r="2405" spans="1:18" x14ac:dyDescent="0.25">
      <c r="A2405" t="s">
        <v>2220</v>
      </c>
      <c r="B2405">
        <v>620</v>
      </c>
      <c r="C2405" t="s">
        <v>487</v>
      </c>
      <c r="D2405" t="s">
        <v>231</v>
      </c>
      <c r="E2405" t="s">
        <v>371</v>
      </c>
      <c r="F2405" t="s">
        <v>1124</v>
      </c>
      <c r="G2405" s="25">
        <v>44225</v>
      </c>
      <c r="H2405">
        <v>6</v>
      </c>
      <c r="I2405">
        <v>29</v>
      </c>
      <c r="J2405" t="s">
        <v>231</v>
      </c>
      <c r="K2405" t="s">
        <v>508</v>
      </c>
      <c r="L2405" t="s">
        <v>47</v>
      </c>
      <c r="M2405" t="s">
        <v>234</v>
      </c>
      <c r="N2405" t="s">
        <v>46</v>
      </c>
      <c r="O2405" t="s">
        <v>21</v>
      </c>
      <c r="P2405" t="s">
        <v>288</v>
      </c>
      <c r="Q2405">
        <v>0</v>
      </c>
      <c r="R2405" t="s">
        <v>237</v>
      </c>
    </row>
    <row r="2406" spans="1:18" x14ac:dyDescent="0.25">
      <c r="A2406" t="s">
        <v>610</v>
      </c>
      <c r="B2406">
        <v>268</v>
      </c>
      <c r="C2406" t="s">
        <v>487</v>
      </c>
      <c r="D2406" t="s">
        <v>229</v>
      </c>
      <c r="E2406" t="s">
        <v>512</v>
      </c>
      <c r="F2406" t="s">
        <v>513</v>
      </c>
      <c r="G2406" s="25">
        <v>44209</v>
      </c>
      <c r="H2406">
        <v>3</v>
      </c>
      <c r="I2406">
        <v>13</v>
      </c>
      <c r="J2406" t="s">
        <v>231</v>
      </c>
      <c r="K2406" t="s">
        <v>508</v>
      </c>
      <c r="L2406" t="s">
        <v>47</v>
      </c>
      <c r="M2406" t="s">
        <v>234</v>
      </c>
      <c r="N2406" t="s">
        <v>46</v>
      </c>
      <c r="O2406" t="s">
        <v>21</v>
      </c>
      <c r="P2406" t="s">
        <v>288</v>
      </c>
      <c r="Q2406">
        <v>0</v>
      </c>
      <c r="R2406" t="s">
        <v>237</v>
      </c>
    </row>
    <row r="2407" spans="1:18" x14ac:dyDescent="0.25">
      <c r="A2407" t="s">
        <v>3977</v>
      </c>
      <c r="B2407">
        <v>1830</v>
      </c>
      <c r="C2407" t="s">
        <v>487</v>
      </c>
      <c r="D2407" t="s">
        <v>322</v>
      </c>
      <c r="E2407" t="s">
        <v>261</v>
      </c>
      <c r="F2407" t="s">
        <v>2956</v>
      </c>
      <c r="G2407" s="25">
        <v>44280</v>
      </c>
      <c r="H2407">
        <v>17</v>
      </c>
      <c r="I2407">
        <v>84</v>
      </c>
      <c r="J2407" t="s">
        <v>231</v>
      </c>
      <c r="K2407" t="s">
        <v>508</v>
      </c>
      <c r="L2407" t="s">
        <v>47</v>
      </c>
      <c r="M2407" t="s">
        <v>234</v>
      </c>
      <c r="N2407" t="s">
        <v>46</v>
      </c>
      <c r="O2407" t="s">
        <v>21</v>
      </c>
      <c r="P2407" t="s">
        <v>288</v>
      </c>
      <c r="Q2407">
        <v>6412</v>
      </c>
      <c r="R2407" t="s">
        <v>237</v>
      </c>
    </row>
    <row r="2408" spans="1:18" x14ac:dyDescent="0.25">
      <c r="A2408" t="s">
        <v>1766</v>
      </c>
      <c r="B2408">
        <v>643</v>
      </c>
      <c r="C2408" t="s">
        <v>487</v>
      </c>
      <c r="D2408" t="s">
        <v>231</v>
      </c>
      <c r="E2408" t="s">
        <v>239</v>
      </c>
      <c r="F2408" t="s">
        <v>1139</v>
      </c>
      <c r="G2408" s="25">
        <v>44226</v>
      </c>
      <c r="H2408">
        <v>6</v>
      </c>
      <c r="I2408">
        <v>30</v>
      </c>
      <c r="J2408" t="s">
        <v>231</v>
      </c>
      <c r="K2408" t="s">
        <v>507</v>
      </c>
      <c r="L2408" t="s">
        <v>49</v>
      </c>
      <c r="M2408" t="s">
        <v>234</v>
      </c>
      <c r="N2408" t="s">
        <v>48</v>
      </c>
      <c r="O2408" t="s">
        <v>21</v>
      </c>
      <c r="P2408" t="s">
        <v>413</v>
      </c>
      <c r="Q2408">
        <v>0</v>
      </c>
      <c r="R2408" t="s">
        <v>237</v>
      </c>
    </row>
    <row r="2409" spans="1:18" x14ac:dyDescent="0.25">
      <c r="A2409" t="s">
        <v>3978</v>
      </c>
      <c r="B2409">
        <v>2513</v>
      </c>
      <c r="C2409" t="s">
        <v>487</v>
      </c>
      <c r="D2409" t="s">
        <v>247</v>
      </c>
      <c r="E2409" t="s">
        <v>575</v>
      </c>
      <c r="F2409" t="s">
        <v>3158</v>
      </c>
      <c r="G2409" s="25">
        <v>44311</v>
      </c>
      <c r="H2409">
        <v>23</v>
      </c>
      <c r="I2409">
        <v>115</v>
      </c>
      <c r="J2409" t="s">
        <v>231</v>
      </c>
      <c r="K2409" t="s">
        <v>507</v>
      </c>
      <c r="L2409" t="s">
        <v>49</v>
      </c>
      <c r="M2409" t="s">
        <v>234</v>
      </c>
      <c r="N2409" t="s">
        <v>48</v>
      </c>
      <c r="O2409" t="s">
        <v>21</v>
      </c>
      <c r="P2409" t="s">
        <v>413</v>
      </c>
      <c r="Q2409">
        <v>0</v>
      </c>
      <c r="R2409" t="s">
        <v>237</v>
      </c>
    </row>
    <row r="2410" spans="1:18" x14ac:dyDescent="0.25">
      <c r="A2410" t="s">
        <v>375</v>
      </c>
      <c r="B2410">
        <v>50</v>
      </c>
      <c r="C2410" t="s">
        <v>487</v>
      </c>
      <c r="D2410" t="s">
        <v>229</v>
      </c>
      <c r="E2410" t="s">
        <v>256</v>
      </c>
      <c r="F2410" t="s">
        <v>525</v>
      </c>
      <c r="G2410" s="25">
        <v>44199</v>
      </c>
      <c r="H2410">
        <v>1</v>
      </c>
      <c r="I2410">
        <v>3</v>
      </c>
      <c r="J2410" t="s">
        <v>231</v>
      </c>
      <c r="K2410" t="s">
        <v>506</v>
      </c>
      <c r="L2410" t="s">
        <v>414</v>
      </c>
      <c r="M2410" t="s">
        <v>234</v>
      </c>
      <c r="N2410" t="s">
        <v>50</v>
      </c>
      <c r="O2410" t="s">
        <v>21</v>
      </c>
      <c r="P2410" t="s">
        <v>411</v>
      </c>
      <c r="Q2410">
        <v>0</v>
      </c>
      <c r="R2410" t="s">
        <v>237</v>
      </c>
    </row>
    <row r="2411" spans="1:18" x14ac:dyDescent="0.25">
      <c r="A2411" t="s">
        <v>3979</v>
      </c>
      <c r="B2411">
        <v>2228</v>
      </c>
      <c r="C2411" t="s">
        <v>487</v>
      </c>
      <c r="D2411" t="s">
        <v>247</v>
      </c>
      <c r="E2411" t="s">
        <v>231</v>
      </c>
      <c r="F2411" t="s">
        <v>3070</v>
      </c>
      <c r="G2411" s="25">
        <v>44298</v>
      </c>
      <c r="H2411">
        <v>21</v>
      </c>
      <c r="I2411">
        <v>102</v>
      </c>
      <c r="J2411" t="s">
        <v>231</v>
      </c>
      <c r="K2411" t="s">
        <v>506</v>
      </c>
      <c r="L2411" t="s">
        <v>414</v>
      </c>
      <c r="M2411" t="s">
        <v>234</v>
      </c>
      <c r="N2411" t="s">
        <v>50</v>
      </c>
      <c r="O2411" t="s">
        <v>21</v>
      </c>
      <c r="P2411" t="s">
        <v>411</v>
      </c>
      <c r="Q2411">
        <v>0</v>
      </c>
      <c r="R2411" t="s">
        <v>237</v>
      </c>
    </row>
    <row r="2412" spans="1:18" x14ac:dyDescent="0.25">
      <c r="A2412" t="s">
        <v>1813</v>
      </c>
      <c r="B2412">
        <v>1018</v>
      </c>
      <c r="C2412" t="s">
        <v>487</v>
      </c>
      <c r="D2412" t="s">
        <v>256</v>
      </c>
      <c r="E2412" t="s">
        <v>326</v>
      </c>
      <c r="F2412" t="s">
        <v>1305</v>
      </c>
      <c r="G2412" s="25">
        <v>44243</v>
      </c>
      <c r="H2412">
        <v>10</v>
      </c>
      <c r="I2412">
        <v>47</v>
      </c>
      <c r="J2412" t="s">
        <v>231</v>
      </c>
      <c r="K2412" t="s">
        <v>506</v>
      </c>
      <c r="L2412" t="s">
        <v>414</v>
      </c>
      <c r="M2412" t="s">
        <v>234</v>
      </c>
      <c r="N2412" t="s">
        <v>50</v>
      </c>
      <c r="O2412" t="s">
        <v>21</v>
      </c>
      <c r="P2412" t="s">
        <v>411</v>
      </c>
      <c r="Q2412">
        <v>0</v>
      </c>
      <c r="R2412" t="s">
        <v>237</v>
      </c>
    </row>
    <row r="2413" spans="1:18" x14ac:dyDescent="0.25">
      <c r="A2413" t="s">
        <v>348</v>
      </c>
      <c r="B2413">
        <v>1</v>
      </c>
      <c r="C2413" t="s">
        <v>487</v>
      </c>
      <c r="D2413" t="s">
        <v>229</v>
      </c>
      <c r="E2413" t="s">
        <v>229</v>
      </c>
      <c r="F2413" t="s">
        <v>230</v>
      </c>
      <c r="G2413" s="25">
        <v>44197</v>
      </c>
      <c r="H2413">
        <v>1</v>
      </c>
      <c r="I2413">
        <v>1</v>
      </c>
      <c r="J2413" t="s">
        <v>231</v>
      </c>
      <c r="K2413" t="s">
        <v>505</v>
      </c>
      <c r="L2413" t="s">
        <v>41</v>
      </c>
      <c r="M2413" t="s">
        <v>234</v>
      </c>
      <c r="N2413" t="s">
        <v>40</v>
      </c>
      <c r="O2413" t="s">
        <v>21</v>
      </c>
      <c r="P2413" t="s">
        <v>266</v>
      </c>
      <c r="Q2413">
        <v>0</v>
      </c>
      <c r="R2413" t="s">
        <v>237</v>
      </c>
    </row>
    <row r="2414" spans="1:18" x14ac:dyDescent="0.25">
      <c r="A2414" t="s">
        <v>2602</v>
      </c>
      <c r="B2414">
        <v>1233</v>
      </c>
      <c r="C2414" t="s">
        <v>487</v>
      </c>
      <c r="D2414" t="s">
        <v>256</v>
      </c>
      <c r="E2414" t="s">
        <v>534</v>
      </c>
      <c r="F2414" t="s">
        <v>1357</v>
      </c>
      <c r="G2414" s="25">
        <v>44253</v>
      </c>
      <c r="H2414">
        <v>12</v>
      </c>
      <c r="I2414">
        <v>57</v>
      </c>
      <c r="J2414" t="s">
        <v>231</v>
      </c>
      <c r="K2414" t="s">
        <v>505</v>
      </c>
      <c r="L2414" t="s">
        <v>41</v>
      </c>
      <c r="M2414" t="s">
        <v>234</v>
      </c>
      <c r="N2414" t="s">
        <v>40</v>
      </c>
      <c r="O2414" t="s">
        <v>21</v>
      </c>
      <c r="P2414" t="s">
        <v>266</v>
      </c>
      <c r="Q2414">
        <v>50926</v>
      </c>
      <c r="R2414" t="s">
        <v>237</v>
      </c>
    </row>
    <row r="2415" spans="1:18" x14ac:dyDescent="0.25">
      <c r="A2415" t="s">
        <v>3980</v>
      </c>
      <c r="B2415">
        <v>2180</v>
      </c>
      <c r="C2415" t="s">
        <v>487</v>
      </c>
      <c r="D2415" t="s">
        <v>322</v>
      </c>
      <c r="E2415" t="s">
        <v>408</v>
      </c>
      <c r="F2415" t="s">
        <v>3059</v>
      </c>
      <c r="G2415" s="25">
        <v>44296</v>
      </c>
      <c r="H2415">
        <v>20</v>
      </c>
      <c r="I2415">
        <v>100</v>
      </c>
      <c r="J2415" t="s">
        <v>231</v>
      </c>
      <c r="K2415" t="s">
        <v>504</v>
      </c>
      <c r="L2415" t="s">
        <v>43</v>
      </c>
      <c r="M2415" t="s">
        <v>234</v>
      </c>
      <c r="N2415" t="s">
        <v>42</v>
      </c>
      <c r="O2415" t="s">
        <v>21</v>
      </c>
      <c r="P2415" t="s">
        <v>236</v>
      </c>
      <c r="Q2415">
        <v>0</v>
      </c>
      <c r="R2415" t="s">
        <v>237</v>
      </c>
    </row>
    <row r="2416" spans="1:18" x14ac:dyDescent="0.25">
      <c r="A2416" t="s">
        <v>1926</v>
      </c>
      <c r="B2416">
        <v>1542</v>
      </c>
      <c r="C2416" t="s">
        <v>487</v>
      </c>
      <c r="D2416" t="s">
        <v>261</v>
      </c>
      <c r="E2416" t="s">
        <v>515</v>
      </c>
      <c r="F2416" t="s">
        <v>1493</v>
      </c>
      <c r="G2416" s="25">
        <v>44267</v>
      </c>
      <c r="H2416">
        <v>15</v>
      </c>
      <c r="I2416">
        <v>71</v>
      </c>
      <c r="J2416" t="s">
        <v>231</v>
      </c>
      <c r="K2416" t="s">
        <v>504</v>
      </c>
      <c r="L2416" t="s">
        <v>43</v>
      </c>
      <c r="M2416" t="s">
        <v>234</v>
      </c>
      <c r="N2416" t="s">
        <v>42</v>
      </c>
      <c r="O2416" t="s">
        <v>21</v>
      </c>
      <c r="P2416" t="s">
        <v>236</v>
      </c>
      <c r="Q2416">
        <v>49762</v>
      </c>
      <c r="R2416" t="s">
        <v>237</v>
      </c>
    </row>
    <row r="2417" spans="1:18" x14ac:dyDescent="0.25">
      <c r="A2417" t="s">
        <v>2041</v>
      </c>
      <c r="B2417">
        <v>904</v>
      </c>
      <c r="C2417" t="s">
        <v>487</v>
      </c>
      <c r="D2417" t="s">
        <v>256</v>
      </c>
      <c r="E2417" t="s">
        <v>231</v>
      </c>
      <c r="F2417" t="s">
        <v>1249</v>
      </c>
      <c r="G2417" s="25">
        <v>44238</v>
      </c>
      <c r="H2417">
        <v>9</v>
      </c>
      <c r="I2417">
        <v>42</v>
      </c>
      <c r="J2417" t="s">
        <v>231</v>
      </c>
      <c r="K2417" t="s">
        <v>504</v>
      </c>
      <c r="L2417" t="s">
        <v>43</v>
      </c>
      <c r="M2417" t="s">
        <v>234</v>
      </c>
      <c r="N2417" t="s">
        <v>42</v>
      </c>
      <c r="O2417" t="s">
        <v>21</v>
      </c>
      <c r="P2417" t="s">
        <v>236</v>
      </c>
      <c r="Q2417">
        <v>2093</v>
      </c>
      <c r="R2417" t="s">
        <v>237</v>
      </c>
    </row>
    <row r="2418" spans="1:18" x14ac:dyDescent="0.25">
      <c r="A2418" t="s">
        <v>623</v>
      </c>
      <c r="B2418">
        <v>332</v>
      </c>
      <c r="C2418" t="s">
        <v>487</v>
      </c>
      <c r="D2418" t="s">
        <v>229</v>
      </c>
      <c r="E2418" t="s">
        <v>620</v>
      </c>
      <c r="F2418" t="s">
        <v>621</v>
      </c>
      <c r="G2418" s="25">
        <v>44212</v>
      </c>
      <c r="H2418">
        <v>4</v>
      </c>
      <c r="I2418">
        <v>16</v>
      </c>
      <c r="J2418" t="s">
        <v>231</v>
      </c>
      <c r="K2418" t="s">
        <v>504</v>
      </c>
      <c r="L2418" t="s">
        <v>43</v>
      </c>
      <c r="M2418" t="s">
        <v>234</v>
      </c>
      <c r="N2418" t="s">
        <v>42</v>
      </c>
      <c r="O2418" t="s">
        <v>21</v>
      </c>
      <c r="P2418" t="s">
        <v>236</v>
      </c>
      <c r="Q2418">
        <v>11250</v>
      </c>
      <c r="R2418" t="s">
        <v>237</v>
      </c>
    </row>
    <row r="2419" spans="1:18" x14ac:dyDescent="0.25">
      <c r="A2419" t="s">
        <v>1929</v>
      </c>
      <c r="B2419">
        <v>1131</v>
      </c>
      <c r="C2419" t="s">
        <v>487</v>
      </c>
      <c r="D2419" t="s">
        <v>256</v>
      </c>
      <c r="E2419" t="s">
        <v>232</v>
      </c>
      <c r="F2419" t="s">
        <v>1337</v>
      </c>
      <c r="G2419" s="25">
        <v>44248</v>
      </c>
      <c r="H2419">
        <v>11</v>
      </c>
      <c r="I2419">
        <v>52</v>
      </c>
      <c r="J2419" t="s">
        <v>231</v>
      </c>
      <c r="K2419" t="s">
        <v>503</v>
      </c>
      <c r="L2419" t="s">
        <v>303</v>
      </c>
      <c r="M2419" t="s">
        <v>234</v>
      </c>
      <c r="N2419" t="s">
        <v>56</v>
      </c>
      <c r="O2419" t="s">
        <v>235</v>
      </c>
      <c r="P2419" t="s">
        <v>304</v>
      </c>
      <c r="Q2419">
        <v>18125</v>
      </c>
      <c r="R2419" t="s">
        <v>237</v>
      </c>
    </row>
    <row r="2420" spans="1:18" x14ac:dyDescent="0.25">
      <c r="A2420" t="s">
        <v>2102</v>
      </c>
      <c r="B2420">
        <v>1021</v>
      </c>
      <c r="C2420" t="s">
        <v>487</v>
      </c>
      <c r="D2420" t="s">
        <v>256</v>
      </c>
      <c r="E2420" t="s">
        <v>326</v>
      </c>
      <c r="F2420" t="s">
        <v>1305</v>
      </c>
      <c r="G2420" s="25">
        <v>44243</v>
      </c>
      <c r="H2420">
        <v>10</v>
      </c>
      <c r="I2420">
        <v>47</v>
      </c>
      <c r="J2420" t="s">
        <v>231</v>
      </c>
      <c r="K2420" t="s">
        <v>503</v>
      </c>
      <c r="L2420" t="s">
        <v>303</v>
      </c>
      <c r="M2420" t="s">
        <v>234</v>
      </c>
      <c r="N2420" t="s">
        <v>56</v>
      </c>
      <c r="O2420" t="s">
        <v>235</v>
      </c>
      <c r="P2420" t="s">
        <v>304</v>
      </c>
      <c r="Q2420">
        <v>0</v>
      </c>
      <c r="R2420" t="s">
        <v>237</v>
      </c>
    </row>
    <row r="2421" spans="1:18" x14ac:dyDescent="0.25">
      <c r="A2421" t="s">
        <v>355</v>
      </c>
      <c r="B2421">
        <v>53</v>
      </c>
      <c r="C2421" t="s">
        <v>487</v>
      </c>
      <c r="D2421" t="s">
        <v>229</v>
      </c>
      <c r="E2421" t="s">
        <v>256</v>
      </c>
      <c r="F2421" t="s">
        <v>525</v>
      </c>
      <c r="G2421" s="25">
        <v>44199</v>
      </c>
      <c r="H2421">
        <v>1</v>
      </c>
      <c r="I2421">
        <v>3</v>
      </c>
      <c r="J2421" t="s">
        <v>231</v>
      </c>
      <c r="K2421" t="s">
        <v>503</v>
      </c>
      <c r="L2421" t="s">
        <v>303</v>
      </c>
      <c r="M2421" t="s">
        <v>234</v>
      </c>
      <c r="N2421" t="s">
        <v>56</v>
      </c>
      <c r="O2421" t="s">
        <v>235</v>
      </c>
      <c r="P2421" t="s">
        <v>304</v>
      </c>
      <c r="Q2421">
        <v>0</v>
      </c>
      <c r="R2421" t="s">
        <v>237</v>
      </c>
    </row>
    <row r="2422" spans="1:18" x14ac:dyDescent="0.25">
      <c r="A2422" t="s">
        <v>2447</v>
      </c>
      <c r="B2422">
        <v>1660</v>
      </c>
      <c r="C2422" t="s">
        <v>487</v>
      </c>
      <c r="D2422" t="s">
        <v>261</v>
      </c>
      <c r="E2422" t="s">
        <v>620</v>
      </c>
      <c r="F2422" t="s">
        <v>1545</v>
      </c>
      <c r="G2422" s="25">
        <v>44272</v>
      </c>
      <c r="H2422">
        <v>16</v>
      </c>
      <c r="I2422">
        <v>76</v>
      </c>
      <c r="J2422" t="s">
        <v>231</v>
      </c>
      <c r="K2422" t="s">
        <v>502</v>
      </c>
      <c r="L2422" t="s">
        <v>287</v>
      </c>
      <c r="M2422" t="s">
        <v>234</v>
      </c>
      <c r="N2422" t="s">
        <v>58</v>
      </c>
      <c r="O2422" t="s">
        <v>235</v>
      </c>
      <c r="P2422" t="s">
        <v>288</v>
      </c>
      <c r="Q2422">
        <v>0</v>
      </c>
      <c r="R2422" t="s">
        <v>237</v>
      </c>
    </row>
    <row r="2423" spans="1:18" x14ac:dyDescent="0.25">
      <c r="A2423" t="s">
        <v>2347</v>
      </c>
      <c r="B2423">
        <v>1418</v>
      </c>
      <c r="C2423" t="s">
        <v>487</v>
      </c>
      <c r="D2423" t="s">
        <v>261</v>
      </c>
      <c r="E2423" t="s">
        <v>322</v>
      </c>
      <c r="F2423" t="s">
        <v>1417</v>
      </c>
      <c r="G2423" s="25">
        <v>44261</v>
      </c>
      <c r="H2423">
        <v>13</v>
      </c>
      <c r="I2423">
        <v>65</v>
      </c>
      <c r="J2423" t="s">
        <v>231</v>
      </c>
      <c r="K2423" t="s">
        <v>502</v>
      </c>
      <c r="L2423" t="s">
        <v>287</v>
      </c>
      <c r="M2423" t="s">
        <v>234</v>
      </c>
      <c r="N2423" t="s">
        <v>58</v>
      </c>
      <c r="O2423" t="s">
        <v>235</v>
      </c>
      <c r="P2423" t="s">
        <v>288</v>
      </c>
      <c r="Q2423">
        <v>0</v>
      </c>
      <c r="R2423" t="s">
        <v>237</v>
      </c>
    </row>
    <row r="2424" spans="1:18" x14ac:dyDescent="0.25">
      <c r="A2424" t="s">
        <v>1654</v>
      </c>
      <c r="B2424">
        <v>1132</v>
      </c>
      <c r="C2424" t="s">
        <v>487</v>
      </c>
      <c r="D2424" t="s">
        <v>256</v>
      </c>
      <c r="E2424" t="s">
        <v>232</v>
      </c>
      <c r="F2424" t="s">
        <v>1337</v>
      </c>
      <c r="G2424" s="25">
        <v>44248</v>
      </c>
      <c r="H2424">
        <v>11</v>
      </c>
      <c r="I2424">
        <v>52</v>
      </c>
      <c r="J2424" t="s">
        <v>231</v>
      </c>
      <c r="K2424" t="s">
        <v>502</v>
      </c>
      <c r="L2424" t="s">
        <v>287</v>
      </c>
      <c r="M2424" t="s">
        <v>234</v>
      </c>
      <c r="N2424" t="s">
        <v>58</v>
      </c>
      <c r="O2424" t="s">
        <v>235</v>
      </c>
      <c r="P2424" t="s">
        <v>288</v>
      </c>
      <c r="Q2424">
        <v>2000</v>
      </c>
      <c r="R2424" t="s">
        <v>237</v>
      </c>
    </row>
    <row r="2425" spans="1:18" x14ac:dyDescent="0.25">
      <c r="A2425" t="s">
        <v>2884</v>
      </c>
      <c r="B2425">
        <v>824</v>
      </c>
      <c r="C2425" t="s">
        <v>487</v>
      </c>
      <c r="D2425" t="s">
        <v>231</v>
      </c>
      <c r="E2425" t="s">
        <v>552</v>
      </c>
      <c r="F2425" t="s">
        <v>1222</v>
      </c>
      <c r="G2425" s="25">
        <v>44234</v>
      </c>
      <c r="H2425">
        <v>8</v>
      </c>
      <c r="I2425">
        <v>38</v>
      </c>
      <c r="J2425" t="s">
        <v>231</v>
      </c>
      <c r="K2425" t="s">
        <v>502</v>
      </c>
      <c r="L2425" t="s">
        <v>287</v>
      </c>
      <c r="M2425" t="s">
        <v>234</v>
      </c>
      <c r="N2425" t="s">
        <v>58</v>
      </c>
      <c r="O2425" t="s">
        <v>235</v>
      </c>
      <c r="P2425" t="s">
        <v>288</v>
      </c>
      <c r="Q2425">
        <v>0</v>
      </c>
      <c r="R2425" t="s">
        <v>237</v>
      </c>
    </row>
    <row r="2426" spans="1:18" x14ac:dyDescent="0.25">
      <c r="A2426" t="s">
        <v>2398</v>
      </c>
      <c r="B2426">
        <v>516</v>
      </c>
      <c r="C2426" t="s">
        <v>487</v>
      </c>
      <c r="D2426" t="s">
        <v>231</v>
      </c>
      <c r="E2426" t="s">
        <v>261</v>
      </c>
      <c r="F2426" t="s">
        <v>1065</v>
      </c>
      <c r="G2426" s="25">
        <v>44220</v>
      </c>
      <c r="H2426">
        <v>5</v>
      </c>
      <c r="I2426">
        <v>24</v>
      </c>
      <c r="J2426" t="s">
        <v>231</v>
      </c>
      <c r="K2426" t="s">
        <v>502</v>
      </c>
      <c r="L2426" t="s">
        <v>287</v>
      </c>
      <c r="M2426" t="s">
        <v>234</v>
      </c>
      <c r="N2426" t="s">
        <v>58</v>
      </c>
      <c r="O2426" t="s">
        <v>235</v>
      </c>
      <c r="P2426" t="s">
        <v>288</v>
      </c>
      <c r="Q2426">
        <v>0</v>
      </c>
      <c r="R2426" t="s">
        <v>237</v>
      </c>
    </row>
    <row r="2427" spans="1:18" x14ac:dyDescent="0.25">
      <c r="A2427" t="s">
        <v>3981</v>
      </c>
      <c r="B2427">
        <v>2386</v>
      </c>
      <c r="C2427" t="s">
        <v>487</v>
      </c>
      <c r="D2427" t="s">
        <v>247</v>
      </c>
      <c r="E2427" t="s">
        <v>371</v>
      </c>
      <c r="F2427" t="s">
        <v>3112</v>
      </c>
      <c r="G2427" s="25">
        <v>44305</v>
      </c>
      <c r="H2427">
        <v>22</v>
      </c>
      <c r="I2427">
        <v>109</v>
      </c>
      <c r="J2427" t="s">
        <v>231</v>
      </c>
      <c r="K2427" t="s">
        <v>502</v>
      </c>
      <c r="L2427" t="s">
        <v>287</v>
      </c>
      <c r="M2427" t="s">
        <v>234</v>
      </c>
      <c r="N2427" t="s">
        <v>58</v>
      </c>
      <c r="O2427" t="s">
        <v>235</v>
      </c>
      <c r="P2427" t="s">
        <v>288</v>
      </c>
      <c r="Q2427">
        <v>0</v>
      </c>
      <c r="R2427" t="s">
        <v>237</v>
      </c>
    </row>
    <row r="2428" spans="1:18" x14ac:dyDescent="0.25">
      <c r="A2428" t="s">
        <v>3982</v>
      </c>
      <c r="B2428">
        <v>2034</v>
      </c>
      <c r="C2428" t="s">
        <v>487</v>
      </c>
      <c r="D2428" t="s">
        <v>322</v>
      </c>
      <c r="E2428" t="s">
        <v>512</v>
      </c>
      <c r="F2428" t="s">
        <v>2991</v>
      </c>
      <c r="G2428" s="25">
        <v>44289</v>
      </c>
      <c r="H2428">
        <v>19</v>
      </c>
      <c r="I2428">
        <v>93</v>
      </c>
      <c r="J2428" t="s">
        <v>231</v>
      </c>
      <c r="K2428" t="s">
        <v>502</v>
      </c>
      <c r="L2428" t="s">
        <v>287</v>
      </c>
      <c r="M2428" t="s">
        <v>234</v>
      </c>
      <c r="N2428" t="s">
        <v>58</v>
      </c>
      <c r="O2428" t="s">
        <v>235</v>
      </c>
      <c r="P2428" t="s">
        <v>288</v>
      </c>
      <c r="Q2428">
        <v>3500</v>
      </c>
      <c r="R2428" t="s">
        <v>237</v>
      </c>
    </row>
    <row r="2429" spans="1:18" x14ac:dyDescent="0.25">
      <c r="A2429" t="s">
        <v>846</v>
      </c>
      <c r="B2429">
        <v>319</v>
      </c>
      <c r="C2429" t="s">
        <v>487</v>
      </c>
      <c r="D2429" t="s">
        <v>229</v>
      </c>
      <c r="E2429" t="s">
        <v>575</v>
      </c>
      <c r="F2429" t="s">
        <v>576</v>
      </c>
      <c r="G2429" s="25">
        <v>44211</v>
      </c>
      <c r="H2429">
        <v>3</v>
      </c>
      <c r="I2429">
        <v>15</v>
      </c>
      <c r="J2429" t="s">
        <v>231</v>
      </c>
      <c r="K2429" t="s">
        <v>501</v>
      </c>
      <c r="L2429" t="s">
        <v>412</v>
      </c>
      <c r="M2429" t="s">
        <v>234</v>
      </c>
      <c r="N2429" t="s">
        <v>60</v>
      </c>
      <c r="O2429" t="s">
        <v>235</v>
      </c>
      <c r="P2429" t="s">
        <v>413</v>
      </c>
      <c r="Q2429">
        <v>0</v>
      </c>
      <c r="R2429" t="s">
        <v>237</v>
      </c>
    </row>
    <row r="2430" spans="1:18" x14ac:dyDescent="0.25">
      <c r="A2430" t="s">
        <v>3983</v>
      </c>
      <c r="B2430">
        <v>2651</v>
      </c>
      <c r="C2430" t="s">
        <v>487</v>
      </c>
      <c r="D2430" t="s">
        <v>326</v>
      </c>
      <c r="E2430" t="s">
        <v>229</v>
      </c>
      <c r="F2430" t="s">
        <v>3241</v>
      </c>
      <c r="G2430" s="25">
        <v>44317</v>
      </c>
      <c r="H2430">
        <v>25</v>
      </c>
      <c r="I2430">
        <v>121</v>
      </c>
      <c r="J2430" t="s">
        <v>231</v>
      </c>
      <c r="K2430" t="s">
        <v>501</v>
      </c>
      <c r="L2430" t="s">
        <v>412</v>
      </c>
      <c r="M2430" t="s">
        <v>234</v>
      </c>
      <c r="N2430" t="s">
        <v>60</v>
      </c>
      <c r="O2430" t="s">
        <v>235</v>
      </c>
      <c r="P2430" t="s">
        <v>413</v>
      </c>
      <c r="Q2430">
        <v>0</v>
      </c>
      <c r="R2430" t="s">
        <v>237</v>
      </c>
    </row>
    <row r="2431" spans="1:18" x14ac:dyDescent="0.25">
      <c r="A2431" t="s">
        <v>3984</v>
      </c>
      <c r="B2431">
        <v>2497</v>
      </c>
      <c r="C2431" t="s">
        <v>487</v>
      </c>
      <c r="D2431" t="s">
        <v>247</v>
      </c>
      <c r="E2431" t="s">
        <v>537</v>
      </c>
      <c r="F2431" t="s">
        <v>3153</v>
      </c>
      <c r="G2431" s="25">
        <v>44310</v>
      </c>
      <c r="H2431">
        <v>23</v>
      </c>
      <c r="I2431">
        <v>114</v>
      </c>
      <c r="J2431" t="s">
        <v>231</v>
      </c>
      <c r="K2431" t="s">
        <v>501</v>
      </c>
      <c r="L2431" t="s">
        <v>412</v>
      </c>
      <c r="M2431" t="s">
        <v>234</v>
      </c>
      <c r="N2431" t="s">
        <v>60</v>
      </c>
      <c r="O2431" t="s">
        <v>235</v>
      </c>
      <c r="P2431" t="s">
        <v>413</v>
      </c>
      <c r="Q2431">
        <v>0</v>
      </c>
      <c r="R2431" t="s">
        <v>237</v>
      </c>
    </row>
    <row r="2432" spans="1:18" x14ac:dyDescent="0.25">
      <c r="A2432" t="s">
        <v>2235</v>
      </c>
      <c r="B2432">
        <v>1529</v>
      </c>
      <c r="C2432" t="s">
        <v>487</v>
      </c>
      <c r="D2432" t="s">
        <v>261</v>
      </c>
      <c r="E2432" t="s">
        <v>239</v>
      </c>
      <c r="F2432" t="s">
        <v>1703</v>
      </c>
      <c r="G2432" s="25">
        <v>44266</v>
      </c>
      <c r="H2432">
        <v>14</v>
      </c>
      <c r="I2432">
        <v>70</v>
      </c>
      <c r="J2432" t="s">
        <v>231</v>
      </c>
      <c r="K2432" t="s">
        <v>501</v>
      </c>
      <c r="L2432" t="s">
        <v>412</v>
      </c>
      <c r="M2432" t="s">
        <v>234</v>
      </c>
      <c r="N2432" t="s">
        <v>60</v>
      </c>
      <c r="O2432" t="s">
        <v>235</v>
      </c>
      <c r="P2432" t="s">
        <v>413</v>
      </c>
      <c r="Q2432">
        <v>0</v>
      </c>
      <c r="R2432" t="s">
        <v>237</v>
      </c>
    </row>
    <row r="2433" spans="1:18" x14ac:dyDescent="0.25">
      <c r="A2433" t="s">
        <v>2663</v>
      </c>
      <c r="B2433">
        <v>1287</v>
      </c>
      <c r="C2433" t="s">
        <v>487</v>
      </c>
      <c r="D2433" t="s">
        <v>256</v>
      </c>
      <c r="E2433" t="s">
        <v>531</v>
      </c>
      <c r="F2433" t="s">
        <v>1373</v>
      </c>
      <c r="G2433" s="25">
        <v>44255</v>
      </c>
      <c r="H2433">
        <v>12</v>
      </c>
      <c r="I2433">
        <v>59</v>
      </c>
      <c r="J2433" t="s">
        <v>231</v>
      </c>
      <c r="K2433" t="s">
        <v>501</v>
      </c>
      <c r="L2433" t="s">
        <v>412</v>
      </c>
      <c r="M2433" t="s">
        <v>234</v>
      </c>
      <c r="N2433" t="s">
        <v>60</v>
      </c>
      <c r="O2433" t="s">
        <v>235</v>
      </c>
      <c r="P2433" t="s">
        <v>413</v>
      </c>
      <c r="Q2433">
        <v>0</v>
      </c>
      <c r="R2433" t="s">
        <v>237</v>
      </c>
    </row>
    <row r="2434" spans="1:18" x14ac:dyDescent="0.25">
      <c r="A2434" t="s">
        <v>374</v>
      </c>
      <c r="B2434">
        <v>51</v>
      </c>
      <c r="C2434" t="s">
        <v>487</v>
      </c>
      <c r="D2434" t="s">
        <v>229</v>
      </c>
      <c r="E2434" t="s">
        <v>256</v>
      </c>
      <c r="F2434" t="s">
        <v>525</v>
      </c>
      <c r="G2434" s="25">
        <v>44199</v>
      </c>
      <c r="H2434">
        <v>1</v>
      </c>
      <c r="I2434">
        <v>3</v>
      </c>
      <c r="J2434" t="s">
        <v>231</v>
      </c>
      <c r="K2434" t="s">
        <v>500</v>
      </c>
      <c r="L2434" t="s">
        <v>265</v>
      </c>
      <c r="M2434" t="s">
        <v>234</v>
      </c>
      <c r="N2434" t="s">
        <v>52</v>
      </c>
      <c r="O2434" t="s">
        <v>235</v>
      </c>
      <c r="P2434" t="s">
        <v>266</v>
      </c>
      <c r="Q2434">
        <v>0</v>
      </c>
      <c r="R2434" t="s">
        <v>237</v>
      </c>
    </row>
    <row r="2435" spans="1:18" x14ac:dyDescent="0.25">
      <c r="A2435" t="s">
        <v>3985</v>
      </c>
      <c r="B2435">
        <v>2493</v>
      </c>
      <c r="C2435" t="s">
        <v>487</v>
      </c>
      <c r="D2435" t="s">
        <v>247</v>
      </c>
      <c r="E2435" t="s">
        <v>537</v>
      </c>
      <c r="F2435" t="s">
        <v>3153</v>
      </c>
      <c r="G2435" s="25">
        <v>44310</v>
      </c>
      <c r="H2435">
        <v>23</v>
      </c>
      <c r="I2435">
        <v>114</v>
      </c>
      <c r="J2435" t="s">
        <v>231</v>
      </c>
      <c r="K2435" t="s">
        <v>500</v>
      </c>
      <c r="L2435" t="s">
        <v>265</v>
      </c>
      <c r="M2435" t="s">
        <v>234</v>
      </c>
      <c r="N2435" t="s">
        <v>52</v>
      </c>
      <c r="O2435" t="s">
        <v>235</v>
      </c>
      <c r="P2435" t="s">
        <v>266</v>
      </c>
      <c r="Q2435">
        <v>5250</v>
      </c>
      <c r="R2435" t="s">
        <v>237</v>
      </c>
    </row>
    <row r="2436" spans="1:18" x14ac:dyDescent="0.25">
      <c r="A2436" t="s">
        <v>3986</v>
      </c>
      <c r="B2436">
        <v>2229</v>
      </c>
      <c r="C2436" t="s">
        <v>487</v>
      </c>
      <c r="D2436" t="s">
        <v>247</v>
      </c>
      <c r="E2436" t="s">
        <v>231</v>
      </c>
      <c r="F2436" t="s">
        <v>3070</v>
      </c>
      <c r="G2436" s="25">
        <v>44298</v>
      </c>
      <c r="H2436">
        <v>21</v>
      </c>
      <c r="I2436">
        <v>102</v>
      </c>
      <c r="J2436" t="s">
        <v>231</v>
      </c>
      <c r="K2436" t="s">
        <v>500</v>
      </c>
      <c r="L2436" t="s">
        <v>265</v>
      </c>
      <c r="M2436" t="s">
        <v>234</v>
      </c>
      <c r="N2436" t="s">
        <v>52</v>
      </c>
      <c r="O2436" t="s">
        <v>235</v>
      </c>
      <c r="P2436" t="s">
        <v>266</v>
      </c>
      <c r="Q2436">
        <v>0</v>
      </c>
      <c r="R2436" t="s">
        <v>237</v>
      </c>
    </row>
    <row r="2437" spans="1:18" x14ac:dyDescent="0.25">
      <c r="A2437" t="s">
        <v>2296</v>
      </c>
      <c r="B2437">
        <v>1019</v>
      </c>
      <c r="C2437" t="s">
        <v>487</v>
      </c>
      <c r="D2437" t="s">
        <v>256</v>
      </c>
      <c r="E2437" t="s">
        <v>326</v>
      </c>
      <c r="F2437" t="s">
        <v>1305</v>
      </c>
      <c r="G2437" s="25">
        <v>44243</v>
      </c>
      <c r="H2437">
        <v>10</v>
      </c>
      <c r="I2437">
        <v>47</v>
      </c>
      <c r="J2437" t="s">
        <v>231</v>
      </c>
      <c r="K2437" t="s">
        <v>500</v>
      </c>
      <c r="L2437" t="s">
        <v>265</v>
      </c>
      <c r="M2437" t="s">
        <v>234</v>
      </c>
      <c r="N2437" t="s">
        <v>52</v>
      </c>
      <c r="O2437" t="s">
        <v>235</v>
      </c>
      <c r="P2437" t="s">
        <v>266</v>
      </c>
      <c r="Q2437">
        <v>0</v>
      </c>
      <c r="R2437" t="s">
        <v>237</v>
      </c>
    </row>
    <row r="2438" spans="1:18" x14ac:dyDescent="0.25">
      <c r="A2438" t="s">
        <v>3987</v>
      </c>
      <c r="B2438">
        <v>2454</v>
      </c>
      <c r="C2438" t="s">
        <v>487</v>
      </c>
      <c r="D2438" t="s">
        <v>247</v>
      </c>
      <c r="E2438" t="s">
        <v>232</v>
      </c>
      <c r="F2438" t="s">
        <v>3140</v>
      </c>
      <c r="G2438" s="25">
        <v>44308</v>
      </c>
      <c r="H2438">
        <v>23</v>
      </c>
      <c r="I2438">
        <v>112</v>
      </c>
      <c r="J2438" t="s">
        <v>231</v>
      </c>
      <c r="K2438" t="s">
        <v>499</v>
      </c>
      <c r="L2438" t="s">
        <v>410</v>
      </c>
      <c r="M2438" t="s">
        <v>234</v>
      </c>
      <c r="N2438" t="s">
        <v>62</v>
      </c>
      <c r="O2438" t="s">
        <v>235</v>
      </c>
      <c r="P2438" t="s">
        <v>411</v>
      </c>
      <c r="Q2438">
        <v>0</v>
      </c>
      <c r="R2438" t="s">
        <v>237</v>
      </c>
    </row>
    <row r="2439" spans="1:18" x14ac:dyDescent="0.25">
      <c r="A2439" t="s">
        <v>3988</v>
      </c>
      <c r="B2439">
        <v>2146</v>
      </c>
      <c r="C2439" t="s">
        <v>487</v>
      </c>
      <c r="D2439" t="s">
        <v>322</v>
      </c>
      <c r="E2439" t="s">
        <v>552</v>
      </c>
      <c r="F2439" t="s">
        <v>3045</v>
      </c>
      <c r="G2439" s="25">
        <v>44294</v>
      </c>
      <c r="H2439">
        <v>20</v>
      </c>
      <c r="I2439">
        <v>98</v>
      </c>
      <c r="J2439" t="s">
        <v>231</v>
      </c>
      <c r="K2439" t="s">
        <v>499</v>
      </c>
      <c r="L2439" t="s">
        <v>410</v>
      </c>
      <c r="M2439" t="s">
        <v>234</v>
      </c>
      <c r="N2439" t="s">
        <v>62</v>
      </c>
      <c r="O2439" t="s">
        <v>235</v>
      </c>
      <c r="P2439" t="s">
        <v>411</v>
      </c>
      <c r="Q2439">
        <v>0</v>
      </c>
      <c r="R2439" t="s">
        <v>237</v>
      </c>
    </row>
    <row r="2440" spans="1:18" x14ac:dyDescent="0.25">
      <c r="A2440" t="s">
        <v>3989</v>
      </c>
      <c r="B2440">
        <v>1838</v>
      </c>
      <c r="C2440" t="s">
        <v>487</v>
      </c>
      <c r="D2440" t="s">
        <v>322</v>
      </c>
      <c r="E2440" t="s">
        <v>261</v>
      </c>
      <c r="F2440" t="s">
        <v>2956</v>
      </c>
      <c r="G2440" s="25">
        <v>44280</v>
      </c>
      <c r="H2440">
        <v>17</v>
      </c>
      <c r="I2440">
        <v>84</v>
      </c>
      <c r="J2440" t="s">
        <v>231</v>
      </c>
      <c r="K2440" t="s">
        <v>499</v>
      </c>
      <c r="L2440" t="s">
        <v>410</v>
      </c>
      <c r="M2440" t="s">
        <v>234</v>
      </c>
      <c r="N2440" t="s">
        <v>62</v>
      </c>
      <c r="O2440" t="s">
        <v>235</v>
      </c>
      <c r="P2440" t="s">
        <v>411</v>
      </c>
      <c r="Q2440">
        <v>0</v>
      </c>
      <c r="R2440" t="s">
        <v>237</v>
      </c>
    </row>
    <row r="2441" spans="1:18" x14ac:dyDescent="0.25">
      <c r="A2441" t="s">
        <v>1666</v>
      </c>
      <c r="B2441">
        <v>1244</v>
      </c>
      <c r="C2441" t="s">
        <v>487</v>
      </c>
      <c r="D2441" t="s">
        <v>256</v>
      </c>
      <c r="E2441" t="s">
        <v>534</v>
      </c>
      <c r="F2441" t="s">
        <v>1357</v>
      </c>
      <c r="G2441" s="25">
        <v>44253</v>
      </c>
      <c r="H2441">
        <v>12</v>
      </c>
      <c r="I2441">
        <v>57</v>
      </c>
      <c r="J2441" t="s">
        <v>231</v>
      </c>
      <c r="K2441" t="s">
        <v>499</v>
      </c>
      <c r="L2441" t="s">
        <v>410</v>
      </c>
      <c r="M2441" t="s">
        <v>234</v>
      </c>
      <c r="N2441" t="s">
        <v>62</v>
      </c>
      <c r="O2441" t="s">
        <v>235</v>
      </c>
      <c r="P2441" t="s">
        <v>411</v>
      </c>
      <c r="Q2441">
        <v>0</v>
      </c>
      <c r="R2441" t="s">
        <v>237</v>
      </c>
    </row>
    <row r="2442" spans="1:18" x14ac:dyDescent="0.25">
      <c r="A2442" t="s">
        <v>1876</v>
      </c>
      <c r="B2442">
        <v>1090</v>
      </c>
      <c r="C2442" t="s">
        <v>487</v>
      </c>
      <c r="D2442" t="s">
        <v>256</v>
      </c>
      <c r="E2442" t="s">
        <v>239</v>
      </c>
      <c r="F2442" t="s">
        <v>1322</v>
      </c>
      <c r="G2442" s="25">
        <v>44246</v>
      </c>
      <c r="H2442">
        <v>10</v>
      </c>
      <c r="I2442">
        <v>50</v>
      </c>
      <c r="J2442" t="s">
        <v>231</v>
      </c>
      <c r="K2442" t="s">
        <v>499</v>
      </c>
      <c r="L2442" t="s">
        <v>410</v>
      </c>
      <c r="M2442" t="s">
        <v>234</v>
      </c>
      <c r="N2442" t="s">
        <v>62</v>
      </c>
      <c r="O2442" t="s">
        <v>235</v>
      </c>
      <c r="P2442" t="s">
        <v>411</v>
      </c>
      <c r="Q2442">
        <v>0</v>
      </c>
      <c r="R2442" t="s">
        <v>237</v>
      </c>
    </row>
    <row r="2443" spans="1:18" x14ac:dyDescent="0.25">
      <c r="A2443" t="s">
        <v>2112</v>
      </c>
      <c r="B2443">
        <v>628</v>
      </c>
      <c r="C2443" t="s">
        <v>487</v>
      </c>
      <c r="D2443" t="s">
        <v>231</v>
      </c>
      <c r="E2443" t="s">
        <v>371</v>
      </c>
      <c r="F2443" t="s">
        <v>1124</v>
      </c>
      <c r="G2443" s="25">
        <v>44225</v>
      </c>
      <c r="H2443">
        <v>6</v>
      </c>
      <c r="I2443">
        <v>29</v>
      </c>
      <c r="J2443" t="s">
        <v>231</v>
      </c>
      <c r="K2443" t="s">
        <v>499</v>
      </c>
      <c r="L2443" t="s">
        <v>410</v>
      </c>
      <c r="M2443" t="s">
        <v>234</v>
      </c>
      <c r="N2443" t="s">
        <v>62</v>
      </c>
      <c r="O2443" t="s">
        <v>235</v>
      </c>
      <c r="P2443" t="s">
        <v>411</v>
      </c>
      <c r="Q2443">
        <v>0</v>
      </c>
      <c r="R2443" t="s">
        <v>237</v>
      </c>
    </row>
    <row r="2444" spans="1:18" x14ac:dyDescent="0.25">
      <c r="A2444" t="s">
        <v>842</v>
      </c>
      <c r="B2444">
        <v>276</v>
      </c>
      <c r="C2444" t="s">
        <v>487</v>
      </c>
      <c r="D2444" t="s">
        <v>229</v>
      </c>
      <c r="E2444" t="s">
        <v>512</v>
      </c>
      <c r="F2444" t="s">
        <v>513</v>
      </c>
      <c r="G2444" s="25">
        <v>44209</v>
      </c>
      <c r="H2444">
        <v>3</v>
      </c>
      <c r="I2444">
        <v>13</v>
      </c>
      <c r="J2444" t="s">
        <v>231</v>
      </c>
      <c r="K2444" t="s">
        <v>499</v>
      </c>
      <c r="L2444" t="s">
        <v>410</v>
      </c>
      <c r="M2444" t="s">
        <v>234</v>
      </c>
      <c r="N2444" t="s">
        <v>62</v>
      </c>
      <c r="O2444" t="s">
        <v>235</v>
      </c>
      <c r="P2444" t="s">
        <v>411</v>
      </c>
      <c r="Q2444">
        <v>0</v>
      </c>
      <c r="R2444" t="s">
        <v>237</v>
      </c>
    </row>
    <row r="2445" spans="1:18" x14ac:dyDescent="0.25">
      <c r="A2445" t="s">
        <v>3990</v>
      </c>
      <c r="B2445">
        <v>2243</v>
      </c>
      <c r="C2445" t="s">
        <v>487</v>
      </c>
      <c r="D2445" t="s">
        <v>247</v>
      </c>
      <c r="E2445" t="s">
        <v>231</v>
      </c>
      <c r="F2445" t="s">
        <v>3070</v>
      </c>
      <c r="G2445" s="25">
        <v>44298</v>
      </c>
      <c r="H2445">
        <v>21</v>
      </c>
      <c r="I2445">
        <v>102</v>
      </c>
      <c r="J2445" t="s">
        <v>432</v>
      </c>
      <c r="K2445" t="s">
        <v>498</v>
      </c>
      <c r="L2445" t="s">
        <v>26</v>
      </c>
      <c r="M2445" t="s">
        <v>434</v>
      </c>
      <c r="N2445" t="s">
        <v>77</v>
      </c>
      <c r="O2445" t="s">
        <v>435</v>
      </c>
      <c r="P2445" t="s">
        <v>26</v>
      </c>
      <c r="Q2445">
        <v>223698.75</v>
      </c>
      <c r="R2445" t="s">
        <v>436</v>
      </c>
    </row>
    <row r="2446" spans="1:18" x14ac:dyDescent="0.25">
      <c r="A2446" t="s">
        <v>2565</v>
      </c>
      <c r="B2446">
        <v>1165</v>
      </c>
      <c r="C2446" t="s">
        <v>487</v>
      </c>
      <c r="D2446" t="s">
        <v>256</v>
      </c>
      <c r="E2446" t="s">
        <v>512</v>
      </c>
      <c r="F2446" t="s">
        <v>1342</v>
      </c>
      <c r="G2446" s="25">
        <v>44249</v>
      </c>
      <c r="H2446">
        <v>11</v>
      </c>
      <c r="I2446">
        <v>53</v>
      </c>
      <c r="J2446" t="s">
        <v>432</v>
      </c>
      <c r="K2446" t="s">
        <v>498</v>
      </c>
      <c r="L2446" t="s">
        <v>26</v>
      </c>
      <c r="M2446" t="s">
        <v>434</v>
      </c>
      <c r="N2446" t="s">
        <v>77</v>
      </c>
      <c r="O2446" t="s">
        <v>435</v>
      </c>
      <c r="P2446" t="s">
        <v>26</v>
      </c>
      <c r="Q2446">
        <v>214528.125</v>
      </c>
      <c r="R2446" t="s">
        <v>436</v>
      </c>
    </row>
    <row r="2447" spans="1:18" x14ac:dyDescent="0.25">
      <c r="A2447" t="s">
        <v>1999</v>
      </c>
      <c r="B2447">
        <v>923</v>
      </c>
      <c r="C2447" t="s">
        <v>487</v>
      </c>
      <c r="D2447" t="s">
        <v>256</v>
      </c>
      <c r="E2447" t="s">
        <v>231</v>
      </c>
      <c r="F2447" t="s">
        <v>1249</v>
      </c>
      <c r="G2447" s="25">
        <v>44238</v>
      </c>
      <c r="H2447">
        <v>9</v>
      </c>
      <c r="I2447">
        <v>42</v>
      </c>
      <c r="J2447" t="s">
        <v>432</v>
      </c>
      <c r="K2447" t="s">
        <v>498</v>
      </c>
      <c r="L2447" t="s">
        <v>26</v>
      </c>
      <c r="M2447" t="s">
        <v>434</v>
      </c>
      <c r="N2447" t="s">
        <v>77</v>
      </c>
      <c r="O2447" t="s">
        <v>435</v>
      </c>
      <c r="P2447" t="s">
        <v>26</v>
      </c>
      <c r="Q2447">
        <v>98262.5</v>
      </c>
      <c r="R2447" t="s">
        <v>436</v>
      </c>
    </row>
    <row r="2448" spans="1:18" x14ac:dyDescent="0.25">
      <c r="A2448" t="s">
        <v>765</v>
      </c>
      <c r="B2448">
        <v>285</v>
      </c>
      <c r="C2448" t="s">
        <v>487</v>
      </c>
      <c r="D2448" t="s">
        <v>229</v>
      </c>
      <c r="E2448" t="s">
        <v>512</v>
      </c>
      <c r="F2448" t="s">
        <v>513</v>
      </c>
      <c r="G2448" s="25">
        <v>44209</v>
      </c>
      <c r="H2448">
        <v>3</v>
      </c>
      <c r="I2448">
        <v>13</v>
      </c>
      <c r="J2448" t="s">
        <v>432</v>
      </c>
      <c r="K2448" t="s">
        <v>498</v>
      </c>
      <c r="L2448" t="s">
        <v>26</v>
      </c>
      <c r="M2448" t="s">
        <v>434</v>
      </c>
      <c r="N2448" t="s">
        <v>77</v>
      </c>
      <c r="O2448" t="s">
        <v>435</v>
      </c>
      <c r="P2448" t="s">
        <v>26</v>
      </c>
      <c r="Q2448">
        <v>21000</v>
      </c>
      <c r="R2448" t="s">
        <v>436</v>
      </c>
    </row>
    <row r="2449" spans="1:18" x14ac:dyDescent="0.25">
      <c r="A2449" t="s">
        <v>2249</v>
      </c>
      <c r="B2449">
        <v>1251</v>
      </c>
      <c r="C2449" t="s">
        <v>487</v>
      </c>
      <c r="D2449" t="s">
        <v>256</v>
      </c>
      <c r="E2449" t="s">
        <v>534</v>
      </c>
      <c r="F2449" t="s">
        <v>1357</v>
      </c>
      <c r="G2449" s="25">
        <v>44253</v>
      </c>
      <c r="H2449">
        <v>12</v>
      </c>
      <c r="I2449">
        <v>57</v>
      </c>
      <c r="J2449" t="s">
        <v>432</v>
      </c>
      <c r="K2449" t="s">
        <v>497</v>
      </c>
      <c r="L2449" t="s">
        <v>438</v>
      </c>
      <c r="M2449" t="s">
        <v>434</v>
      </c>
      <c r="N2449" t="s">
        <v>75</v>
      </c>
      <c r="O2449" t="s">
        <v>435</v>
      </c>
      <c r="P2449" t="s">
        <v>438</v>
      </c>
      <c r="Q2449">
        <v>43200</v>
      </c>
      <c r="R2449" t="s">
        <v>436</v>
      </c>
    </row>
    <row r="2450" spans="1:18" x14ac:dyDescent="0.25">
      <c r="A2450" t="s">
        <v>1880</v>
      </c>
      <c r="B2450">
        <v>635</v>
      </c>
      <c r="C2450" t="s">
        <v>487</v>
      </c>
      <c r="D2450" t="s">
        <v>231</v>
      </c>
      <c r="E2450" t="s">
        <v>371</v>
      </c>
      <c r="F2450" t="s">
        <v>1124</v>
      </c>
      <c r="G2450" s="25">
        <v>44225</v>
      </c>
      <c r="H2450">
        <v>6</v>
      </c>
      <c r="I2450">
        <v>29</v>
      </c>
      <c r="J2450" t="s">
        <v>432</v>
      </c>
      <c r="K2450" t="s">
        <v>497</v>
      </c>
      <c r="L2450" t="s">
        <v>438</v>
      </c>
      <c r="M2450" t="s">
        <v>434</v>
      </c>
      <c r="N2450" t="s">
        <v>75</v>
      </c>
      <c r="O2450" t="s">
        <v>435</v>
      </c>
      <c r="P2450" t="s">
        <v>438</v>
      </c>
      <c r="Q2450">
        <v>31200</v>
      </c>
      <c r="R2450" t="s">
        <v>436</v>
      </c>
    </row>
    <row r="2451" spans="1:18" x14ac:dyDescent="0.25">
      <c r="A2451" t="s">
        <v>649</v>
      </c>
      <c r="B2451">
        <v>283</v>
      </c>
      <c r="C2451" t="s">
        <v>487</v>
      </c>
      <c r="D2451" t="s">
        <v>229</v>
      </c>
      <c r="E2451" t="s">
        <v>512</v>
      </c>
      <c r="F2451" t="s">
        <v>513</v>
      </c>
      <c r="G2451" s="25">
        <v>44209</v>
      </c>
      <c r="H2451">
        <v>3</v>
      </c>
      <c r="I2451">
        <v>13</v>
      </c>
      <c r="J2451" t="s">
        <v>432</v>
      </c>
      <c r="K2451" t="s">
        <v>497</v>
      </c>
      <c r="L2451" t="s">
        <v>438</v>
      </c>
      <c r="M2451" t="s">
        <v>434</v>
      </c>
      <c r="N2451" t="s">
        <v>75</v>
      </c>
      <c r="O2451" t="s">
        <v>435</v>
      </c>
      <c r="P2451" t="s">
        <v>438</v>
      </c>
      <c r="Q2451">
        <v>10800</v>
      </c>
      <c r="R2451" t="s">
        <v>436</v>
      </c>
    </row>
    <row r="2452" spans="1:18" x14ac:dyDescent="0.25">
      <c r="A2452" t="s">
        <v>3991</v>
      </c>
      <c r="B2452">
        <v>2461</v>
      </c>
      <c r="C2452" t="s">
        <v>487</v>
      </c>
      <c r="D2452" t="s">
        <v>247</v>
      </c>
      <c r="E2452" t="s">
        <v>232</v>
      </c>
      <c r="F2452" t="s">
        <v>3140</v>
      </c>
      <c r="G2452" s="25">
        <v>44308</v>
      </c>
      <c r="H2452">
        <v>23</v>
      </c>
      <c r="I2452">
        <v>112</v>
      </c>
      <c r="J2452" t="s">
        <v>432</v>
      </c>
      <c r="K2452" t="s">
        <v>497</v>
      </c>
      <c r="L2452" t="s">
        <v>438</v>
      </c>
      <c r="M2452" t="s">
        <v>434</v>
      </c>
      <c r="N2452" t="s">
        <v>75</v>
      </c>
      <c r="O2452" t="s">
        <v>435</v>
      </c>
      <c r="P2452" t="s">
        <v>438</v>
      </c>
      <c r="Q2452">
        <v>34500</v>
      </c>
      <c r="R2452" t="s">
        <v>436</v>
      </c>
    </row>
    <row r="2453" spans="1:18" x14ac:dyDescent="0.25">
      <c r="A2453" t="s">
        <v>3992</v>
      </c>
      <c r="B2453">
        <v>2153</v>
      </c>
      <c r="C2453" t="s">
        <v>487</v>
      </c>
      <c r="D2453" t="s">
        <v>322</v>
      </c>
      <c r="E2453" t="s">
        <v>552</v>
      </c>
      <c r="F2453" t="s">
        <v>3045</v>
      </c>
      <c r="G2453" s="25">
        <v>44294</v>
      </c>
      <c r="H2453">
        <v>20</v>
      </c>
      <c r="I2453">
        <v>98</v>
      </c>
      <c r="J2453" t="s">
        <v>432</v>
      </c>
      <c r="K2453" t="s">
        <v>497</v>
      </c>
      <c r="L2453" t="s">
        <v>438</v>
      </c>
      <c r="M2453" t="s">
        <v>434</v>
      </c>
      <c r="N2453" t="s">
        <v>75</v>
      </c>
      <c r="O2453" t="s">
        <v>435</v>
      </c>
      <c r="P2453" t="s">
        <v>438</v>
      </c>
      <c r="Q2453">
        <v>50700</v>
      </c>
      <c r="R2453" t="s">
        <v>436</v>
      </c>
    </row>
    <row r="2454" spans="1:18" x14ac:dyDescent="0.25">
      <c r="A2454" t="s">
        <v>3993</v>
      </c>
      <c r="B2454">
        <v>1845</v>
      </c>
      <c r="C2454" t="s">
        <v>487</v>
      </c>
      <c r="D2454" t="s">
        <v>322</v>
      </c>
      <c r="E2454" t="s">
        <v>261</v>
      </c>
      <c r="F2454" t="s">
        <v>2956</v>
      </c>
      <c r="G2454" s="25">
        <v>44280</v>
      </c>
      <c r="H2454">
        <v>17</v>
      </c>
      <c r="I2454">
        <v>84</v>
      </c>
      <c r="J2454" t="s">
        <v>432</v>
      </c>
      <c r="K2454" t="s">
        <v>497</v>
      </c>
      <c r="L2454" t="s">
        <v>438</v>
      </c>
      <c r="M2454" t="s">
        <v>434</v>
      </c>
      <c r="N2454" t="s">
        <v>75</v>
      </c>
      <c r="O2454" t="s">
        <v>435</v>
      </c>
      <c r="P2454" t="s">
        <v>438</v>
      </c>
      <c r="Q2454">
        <v>69600</v>
      </c>
      <c r="R2454" t="s">
        <v>436</v>
      </c>
    </row>
    <row r="2455" spans="1:18" x14ac:dyDescent="0.25">
      <c r="A2455" t="s">
        <v>760</v>
      </c>
      <c r="B2455">
        <v>213</v>
      </c>
      <c r="C2455" t="s">
        <v>487</v>
      </c>
      <c r="D2455" t="s">
        <v>229</v>
      </c>
      <c r="E2455" t="s">
        <v>239</v>
      </c>
      <c r="F2455" t="s">
        <v>578</v>
      </c>
      <c r="G2455" s="25">
        <v>44206</v>
      </c>
      <c r="H2455">
        <v>2</v>
      </c>
      <c r="I2455">
        <v>10</v>
      </c>
      <c r="J2455" t="s">
        <v>432</v>
      </c>
      <c r="K2455" t="s">
        <v>496</v>
      </c>
      <c r="L2455" t="s">
        <v>69</v>
      </c>
      <c r="M2455" t="s">
        <v>434</v>
      </c>
      <c r="N2455" t="s">
        <v>68</v>
      </c>
      <c r="O2455" t="s">
        <v>21</v>
      </c>
      <c r="P2455" t="s">
        <v>439</v>
      </c>
      <c r="Q2455">
        <v>8000</v>
      </c>
      <c r="R2455" t="s">
        <v>237</v>
      </c>
    </row>
    <row r="2456" spans="1:18" x14ac:dyDescent="0.25">
      <c r="A2456" t="s">
        <v>3994</v>
      </c>
      <c r="B2456">
        <v>2281</v>
      </c>
      <c r="C2456" t="s">
        <v>487</v>
      </c>
      <c r="D2456" t="s">
        <v>247</v>
      </c>
      <c r="E2456" t="s">
        <v>261</v>
      </c>
      <c r="F2456" t="s">
        <v>3078</v>
      </c>
      <c r="G2456" s="25">
        <v>44300</v>
      </c>
      <c r="H2456">
        <v>21</v>
      </c>
      <c r="I2456">
        <v>104</v>
      </c>
      <c r="J2456" t="s">
        <v>432</v>
      </c>
      <c r="K2456" t="s">
        <v>496</v>
      </c>
      <c r="L2456" t="s">
        <v>69</v>
      </c>
      <c r="M2456" t="s">
        <v>434</v>
      </c>
      <c r="N2456" t="s">
        <v>68</v>
      </c>
      <c r="O2456" t="s">
        <v>21</v>
      </c>
      <c r="P2456" t="s">
        <v>439</v>
      </c>
      <c r="Q2456">
        <v>551375</v>
      </c>
      <c r="R2456" t="s">
        <v>237</v>
      </c>
    </row>
    <row r="2457" spans="1:18" x14ac:dyDescent="0.25">
      <c r="A2457" t="s">
        <v>3995</v>
      </c>
      <c r="B2457">
        <v>2083</v>
      </c>
      <c r="C2457" t="s">
        <v>487</v>
      </c>
      <c r="D2457" t="s">
        <v>322</v>
      </c>
      <c r="E2457" t="s">
        <v>575</v>
      </c>
      <c r="F2457" t="s">
        <v>3014</v>
      </c>
      <c r="G2457" s="25">
        <v>44291</v>
      </c>
      <c r="H2457">
        <v>19</v>
      </c>
      <c r="I2457">
        <v>95</v>
      </c>
      <c r="J2457" t="s">
        <v>432</v>
      </c>
      <c r="K2457" t="s">
        <v>496</v>
      </c>
      <c r="L2457" t="s">
        <v>69</v>
      </c>
      <c r="M2457" t="s">
        <v>434</v>
      </c>
      <c r="N2457" t="s">
        <v>68</v>
      </c>
      <c r="O2457" t="s">
        <v>21</v>
      </c>
      <c r="P2457" t="s">
        <v>439</v>
      </c>
      <c r="Q2457">
        <v>621000</v>
      </c>
      <c r="R2457" t="s">
        <v>237</v>
      </c>
    </row>
    <row r="2458" spans="1:18" x14ac:dyDescent="0.25">
      <c r="A2458" t="s">
        <v>3996</v>
      </c>
      <c r="B2458">
        <v>2062</v>
      </c>
      <c r="C2458" t="s">
        <v>487</v>
      </c>
      <c r="D2458" t="s">
        <v>322</v>
      </c>
      <c r="E2458" t="s">
        <v>537</v>
      </c>
      <c r="F2458" t="s">
        <v>2999</v>
      </c>
      <c r="G2458" s="25">
        <v>44290</v>
      </c>
      <c r="H2458">
        <v>19</v>
      </c>
      <c r="I2458">
        <v>94</v>
      </c>
      <c r="J2458" t="s">
        <v>432</v>
      </c>
      <c r="K2458" t="s">
        <v>495</v>
      </c>
      <c r="L2458" t="s">
        <v>135</v>
      </c>
      <c r="M2458" t="s">
        <v>434</v>
      </c>
      <c r="N2458" t="s">
        <v>70</v>
      </c>
      <c r="O2458" t="s">
        <v>21</v>
      </c>
      <c r="P2458" t="s">
        <v>440</v>
      </c>
      <c r="Q2458">
        <v>644250</v>
      </c>
      <c r="R2458" t="s">
        <v>237</v>
      </c>
    </row>
    <row r="2459" spans="1:18" x14ac:dyDescent="0.25">
      <c r="A2459" t="s">
        <v>1883</v>
      </c>
      <c r="B2459">
        <v>1688</v>
      </c>
      <c r="C2459" t="s">
        <v>487</v>
      </c>
      <c r="D2459" t="s">
        <v>261</v>
      </c>
      <c r="E2459" t="s">
        <v>534</v>
      </c>
      <c r="F2459" t="s">
        <v>1563</v>
      </c>
      <c r="G2459" s="25">
        <v>44273</v>
      </c>
      <c r="H2459">
        <v>16</v>
      </c>
      <c r="I2459">
        <v>77</v>
      </c>
      <c r="J2459" t="s">
        <v>432</v>
      </c>
      <c r="K2459" t="s">
        <v>495</v>
      </c>
      <c r="L2459" t="s">
        <v>135</v>
      </c>
      <c r="M2459" t="s">
        <v>434</v>
      </c>
      <c r="N2459" t="s">
        <v>70</v>
      </c>
      <c r="O2459" t="s">
        <v>21</v>
      </c>
      <c r="P2459" t="s">
        <v>440</v>
      </c>
      <c r="Q2459">
        <v>44250</v>
      </c>
      <c r="R2459" t="s">
        <v>237</v>
      </c>
    </row>
    <row r="2460" spans="1:18" x14ac:dyDescent="0.25">
      <c r="A2460" t="s">
        <v>2627</v>
      </c>
      <c r="B2460">
        <v>896</v>
      </c>
      <c r="C2460" t="s">
        <v>487</v>
      </c>
      <c r="D2460" t="s">
        <v>256</v>
      </c>
      <c r="E2460" t="s">
        <v>229</v>
      </c>
      <c r="F2460" t="s">
        <v>1241</v>
      </c>
      <c r="G2460" s="25">
        <v>44237</v>
      </c>
      <c r="H2460">
        <v>9</v>
      </c>
      <c r="I2460">
        <v>41</v>
      </c>
      <c r="J2460" t="s">
        <v>432</v>
      </c>
      <c r="K2460" t="s">
        <v>495</v>
      </c>
      <c r="L2460" t="s">
        <v>135</v>
      </c>
      <c r="M2460" t="s">
        <v>434</v>
      </c>
      <c r="N2460" t="s">
        <v>70</v>
      </c>
      <c r="O2460" t="s">
        <v>21</v>
      </c>
      <c r="P2460" t="s">
        <v>440</v>
      </c>
      <c r="Q2460">
        <v>100000</v>
      </c>
      <c r="R2460" t="s">
        <v>237</v>
      </c>
    </row>
    <row r="2461" spans="1:18" x14ac:dyDescent="0.25">
      <c r="A2461" t="s">
        <v>862</v>
      </c>
      <c r="B2461">
        <v>218</v>
      </c>
      <c r="C2461" t="s">
        <v>487</v>
      </c>
      <c r="D2461" t="s">
        <v>229</v>
      </c>
      <c r="E2461" t="s">
        <v>239</v>
      </c>
      <c r="F2461" t="s">
        <v>578</v>
      </c>
      <c r="G2461" s="25">
        <v>44206</v>
      </c>
      <c r="H2461">
        <v>2</v>
      </c>
      <c r="I2461">
        <v>10</v>
      </c>
      <c r="J2461" t="s">
        <v>432</v>
      </c>
      <c r="K2461" t="s">
        <v>494</v>
      </c>
      <c r="L2461" t="s">
        <v>25</v>
      </c>
      <c r="M2461" t="s">
        <v>434</v>
      </c>
      <c r="N2461" t="s">
        <v>76</v>
      </c>
      <c r="O2461" t="s">
        <v>435</v>
      </c>
      <c r="P2461" t="s">
        <v>25</v>
      </c>
      <c r="Q2461">
        <v>8400</v>
      </c>
      <c r="R2461" t="s">
        <v>436</v>
      </c>
    </row>
    <row r="2462" spans="1:18" x14ac:dyDescent="0.25">
      <c r="A2462" t="s">
        <v>3997</v>
      </c>
      <c r="B2462">
        <v>2110</v>
      </c>
      <c r="C2462" t="s">
        <v>487</v>
      </c>
      <c r="D2462" t="s">
        <v>322</v>
      </c>
      <c r="E2462" t="s">
        <v>620</v>
      </c>
      <c r="F2462" t="s">
        <v>3025</v>
      </c>
      <c r="G2462" s="25">
        <v>44292</v>
      </c>
      <c r="H2462">
        <v>20</v>
      </c>
      <c r="I2462">
        <v>96</v>
      </c>
      <c r="J2462" t="s">
        <v>432</v>
      </c>
      <c r="K2462" t="s">
        <v>494</v>
      </c>
      <c r="L2462" t="s">
        <v>25</v>
      </c>
      <c r="M2462" t="s">
        <v>434</v>
      </c>
      <c r="N2462" t="s">
        <v>76</v>
      </c>
      <c r="O2462" t="s">
        <v>435</v>
      </c>
      <c r="P2462" t="s">
        <v>25</v>
      </c>
      <c r="Q2462">
        <v>48618.75</v>
      </c>
      <c r="R2462" t="s">
        <v>436</v>
      </c>
    </row>
    <row r="2463" spans="1:18" x14ac:dyDescent="0.25">
      <c r="A2463" t="s">
        <v>2477</v>
      </c>
      <c r="B2463">
        <v>1186</v>
      </c>
      <c r="C2463" t="s">
        <v>487</v>
      </c>
      <c r="D2463" t="s">
        <v>256</v>
      </c>
      <c r="E2463" t="s">
        <v>537</v>
      </c>
      <c r="F2463" t="s">
        <v>1348</v>
      </c>
      <c r="G2463" s="25">
        <v>44250</v>
      </c>
      <c r="H2463">
        <v>11</v>
      </c>
      <c r="I2463">
        <v>54</v>
      </c>
      <c r="J2463" t="s">
        <v>432</v>
      </c>
      <c r="K2463" t="s">
        <v>494</v>
      </c>
      <c r="L2463" t="s">
        <v>25</v>
      </c>
      <c r="M2463" t="s">
        <v>434</v>
      </c>
      <c r="N2463" t="s">
        <v>76</v>
      </c>
      <c r="O2463" t="s">
        <v>435</v>
      </c>
      <c r="P2463" t="s">
        <v>25</v>
      </c>
      <c r="Q2463">
        <v>40500</v>
      </c>
      <c r="R2463" t="s">
        <v>436</v>
      </c>
    </row>
    <row r="2464" spans="1:18" x14ac:dyDescent="0.25">
      <c r="A2464" t="s">
        <v>3998</v>
      </c>
      <c r="B2464">
        <v>2376</v>
      </c>
      <c r="C2464" t="s">
        <v>487</v>
      </c>
      <c r="D2464" t="s">
        <v>247</v>
      </c>
      <c r="E2464" t="s">
        <v>381</v>
      </c>
      <c r="F2464" t="s">
        <v>3107</v>
      </c>
      <c r="G2464" s="25">
        <v>44304</v>
      </c>
      <c r="H2464">
        <v>22</v>
      </c>
      <c r="I2464">
        <v>108</v>
      </c>
      <c r="J2464" t="s">
        <v>432</v>
      </c>
      <c r="K2464" t="s">
        <v>493</v>
      </c>
      <c r="L2464" t="s">
        <v>441</v>
      </c>
      <c r="M2464" t="s">
        <v>434</v>
      </c>
      <c r="N2464" t="s">
        <v>78</v>
      </c>
      <c r="O2464" t="s">
        <v>435</v>
      </c>
      <c r="P2464" t="s">
        <v>441</v>
      </c>
      <c r="Q2464">
        <v>195851.875</v>
      </c>
      <c r="R2464" t="s">
        <v>436</v>
      </c>
    </row>
    <row r="2465" spans="1:18" x14ac:dyDescent="0.25">
      <c r="A2465" t="s">
        <v>1887</v>
      </c>
      <c r="B2465">
        <v>1342</v>
      </c>
      <c r="C2465" t="s">
        <v>487</v>
      </c>
      <c r="D2465" t="s">
        <v>261</v>
      </c>
      <c r="E2465" t="s">
        <v>229</v>
      </c>
      <c r="F2465" t="s">
        <v>1388</v>
      </c>
      <c r="G2465" s="25">
        <v>44257</v>
      </c>
      <c r="H2465">
        <v>13</v>
      </c>
      <c r="I2465">
        <v>61</v>
      </c>
      <c r="J2465" t="s">
        <v>432</v>
      </c>
      <c r="K2465" t="s">
        <v>493</v>
      </c>
      <c r="L2465" t="s">
        <v>441</v>
      </c>
      <c r="M2465" t="s">
        <v>434</v>
      </c>
      <c r="N2465" t="s">
        <v>78</v>
      </c>
      <c r="O2465" t="s">
        <v>435</v>
      </c>
      <c r="P2465" t="s">
        <v>441</v>
      </c>
      <c r="Q2465">
        <v>181518.75</v>
      </c>
      <c r="R2465" t="s">
        <v>436</v>
      </c>
    </row>
    <row r="2466" spans="1:18" x14ac:dyDescent="0.25">
      <c r="A2466" t="s">
        <v>2850</v>
      </c>
      <c r="B2466">
        <v>1078</v>
      </c>
      <c r="C2466" t="s">
        <v>487</v>
      </c>
      <c r="D2466" t="s">
        <v>256</v>
      </c>
      <c r="E2466" t="s">
        <v>371</v>
      </c>
      <c r="F2466" t="s">
        <v>1318</v>
      </c>
      <c r="G2466" s="25">
        <v>44245</v>
      </c>
      <c r="H2466">
        <v>10</v>
      </c>
      <c r="I2466">
        <v>49</v>
      </c>
      <c r="J2466" t="s">
        <v>432</v>
      </c>
      <c r="K2466" t="s">
        <v>493</v>
      </c>
      <c r="L2466" t="s">
        <v>441</v>
      </c>
      <c r="M2466" t="s">
        <v>434</v>
      </c>
      <c r="N2466" t="s">
        <v>78</v>
      </c>
      <c r="O2466" t="s">
        <v>435</v>
      </c>
      <c r="P2466" t="s">
        <v>441</v>
      </c>
      <c r="Q2466">
        <v>243600</v>
      </c>
      <c r="R2466" t="s">
        <v>436</v>
      </c>
    </row>
    <row r="2467" spans="1:18" x14ac:dyDescent="0.25">
      <c r="A2467" t="s">
        <v>285</v>
      </c>
      <c r="B2467">
        <v>110</v>
      </c>
      <c r="C2467" t="s">
        <v>487</v>
      </c>
      <c r="D2467" t="s">
        <v>229</v>
      </c>
      <c r="E2467" t="s">
        <v>322</v>
      </c>
      <c r="F2467" t="s">
        <v>529</v>
      </c>
      <c r="G2467" s="25">
        <v>44201</v>
      </c>
      <c r="H2467">
        <v>1</v>
      </c>
      <c r="I2467">
        <v>5</v>
      </c>
      <c r="J2467" t="s">
        <v>432</v>
      </c>
      <c r="K2467" t="s">
        <v>493</v>
      </c>
      <c r="L2467" t="s">
        <v>441</v>
      </c>
      <c r="M2467" t="s">
        <v>434</v>
      </c>
      <c r="N2467" t="s">
        <v>78</v>
      </c>
      <c r="O2467" t="s">
        <v>435</v>
      </c>
      <c r="P2467" t="s">
        <v>441</v>
      </c>
      <c r="Q2467">
        <v>46200</v>
      </c>
      <c r="R2467" t="s">
        <v>436</v>
      </c>
    </row>
    <row r="2468" spans="1:18" x14ac:dyDescent="0.25">
      <c r="A2468" t="s">
        <v>3999</v>
      </c>
      <c r="B2468">
        <v>1843</v>
      </c>
      <c r="C2468" t="s">
        <v>487</v>
      </c>
      <c r="D2468" t="s">
        <v>322</v>
      </c>
      <c r="E2468" t="s">
        <v>261</v>
      </c>
      <c r="F2468" t="s">
        <v>2956</v>
      </c>
      <c r="G2468" s="25">
        <v>44280</v>
      </c>
      <c r="H2468">
        <v>17</v>
      </c>
      <c r="I2468">
        <v>84</v>
      </c>
      <c r="J2468" t="s">
        <v>432</v>
      </c>
      <c r="K2468" t="s">
        <v>492</v>
      </c>
      <c r="L2468" t="s">
        <v>24</v>
      </c>
      <c r="M2468" t="s">
        <v>434</v>
      </c>
      <c r="N2468" t="s">
        <v>71</v>
      </c>
      <c r="O2468" t="s">
        <v>435</v>
      </c>
      <c r="P2468" t="s">
        <v>24</v>
      </c>
      <c r="Q2468">
        <v>74400</v>
      </c>
      <c r="R2468" t="s">
        <v>436</v>
      </c>
    </row>
    <row r="2469" spans="1:18" x14ac:dyDescent="0.25">
      <c r="A2469" t="s">
        <v>2134</v>
      </c>
      <c r="B2469">
        <v>1095</v>
      </c>
      <c r="C2469" t="s">
        <v>487</v>
      </c>
      <c r="D2469" t="s">
        <v>256</v>
      </c>
      <c r="E2469" t="s">
        <v>239</v>
      </c>
      <c r="F2469" t="s">
        <v>1322</v>
      </c>
      <c r="G2469" s="25">
        <v>44246</v>
      </c>
      <c r="H2469">
        <v>10</v>
      </c>
      <c r="I2469">
        <v>50</v>
      </c>
      <c r="J2469" t="s">
        <v>432</v>
      </c>
      <c r="K2469" t="s">
        <v>492</v>
      </c>
      <c r="L2469" t="s">
        <v>24</v>
      </c>
      <c r="M2469" t="s">
        <v>434</v>
      </c>
      <c r="N2469" t="s">
        <v>71</v>
      </c>
      <c r="O2469" t="s">
        <v>435</v>
      </c>
      <c r="P2469" t="s">
        <v>24</v>
      </c>
      <c r="Q2469">
        <v>53100</v>
      </c>
      <c r="R2469" t="s">
        <v>436</v>
      </c>
    </row>
    <row r="2470" spans="1:18" x14ac:dyDescent="0.25">
      <c r="A2470" t="s">
        <v>828</v>
      </c>
      <c r="B2470">
        <v>281</v>
      </c>
      <c r="C2470" t="s">
        <v>487</v>
      </c>
      <c r="D2470" t="s">
        <v>229</v>
      </c>
      <c r="E2470" t="s">
        <v>512</v>
      </c>
      <c r="F2470" t="s">
        <v>513</v>
      </c>
      <c r="G2470" s="25">
        <v>44209</v>
      </c>
      <c r="H2470">
        <v>3</v>
      </c>
      <c r="I2470">
        <v>13</v>
      </c>
      <c r="J2470" t="s">
        <v>432</v>
      </c>
      <c r="K2470" t="s">
        <v>492</v>
      </c>
      <c r="L2470" t="s">
        <v>24</v>
      </c>
      <c r="M2470" t="s">
        <v>434</v>
      </c>
      <c r="N2470" t="s">
        <v>71</v>
      </c>
      <c r="O2470" t="s">
        <v>435</v>
      </c>
      <c r="P2470" t="s">
        <v>24</v>
      </c>
      <c r="Q2470">
        <v>3600</v>
      </c>
      <c r="R2470" t="s">
        <v>436</v>
      </c>
    </row>
    <row r="2471" spans="1:18" x14ac:dyDescent="0.25">
      <c r="A2471" t="s">
        <v>4000</v>
      </c>
      <c r="B2471">
        <v>2459</v>
      </c>
      <c r="C2471" t="s">
        <v>487</v>
      </c>
      <c r="D2471" t="s">
        <v>247</v>
      </c>
      <c r="E2471" t="s">
        <v>232</v>
      </c>
      <c r="F2471" t="s">
        <v>3140</v>
      </c>
      <c r="G2471" s="25">
        <v>44308</v>
      </c>
      <c r="H2471">
        <v>23</v>
      </c>
      <c r="I2471">
        <v>112</v>
      </c>
      <c r="J2471" t="s">
        <v>432</v>
      </c>
      <c r="K2471" t="s">
        <v>492</v>
      </c>
      <c r="L2471" t="s">
        <v>24</v>
      </c>
      <c r="M2471" t="s">
        <v>434</v>
      </c>
      <c r="N2471" t="s">
        <v>71</v>
      </c>
      <c r="O2471" t="s">
        <v>435</v>
      </c>
      <c r="P2471" t="s">
        <v>24</v>
      </c>
      <c r="Q2471">
        <v>54300</v>
      </c>
      <c r="R2471" t="s">
        <v>436</v>
      </c>
    </row>
    <row r="2472" spans="1:18" x14ac:dyDescent="0.25">
      <c r="A2472" t="s">
        <v>1845</v>
      </c>
      <c r="B2472">
        <v>1262</v>
      </c>
      <c r="C2472" t="s">
        <v>487</v>
      </c>
      <c r="D2472" t="s">
        <v>256</v>
      </c>
      <c r="E2472" t="s">
        <v>552</v>
      </c>
      <c r="F2472" t="s">
        <v>1365</v>
      </c>
      <c r="G2472" s="25">
        <v>44254</v>
      </c>
      <c r="H2472">
        <v>12</v>
      </c>
      <c r="I2472">
        <v>58</v>
      </c>
      <c r="J2472" t="s">
        <v>231</v>
      </c>
      <c r="K2472" t="s">
        <v>491</v>
      </c>
      <c r="L2472" t="s">
        <v>233</v>
      </c>
      <c r="M2472" t="s">
        <v>234</v>
      </c>
      <c r="N2472" t="s">
        <v>54</v>
      </c>
      <c r="O2472" t="s">
        <v>235</v>
      </c>
      <c r="P2472" t="s">
        <v>236</v>
      </c>
      <c r="Q2472">
        <v>0</v>
      </c>
      <c r="R2472" t="s">
        <v>237</v>
      </c>
    </row>
    <row r="2473" spans="1:18" x14ac:dyDescent="0.25">
      <c r="A2473" t="s">
        <v>600</v>
      </c>
      <c r="B2473">
        <v>294</v>
      </c>
      <c r="C2473" t="s">
        <v>487</v>
      </c>
      <c r="D2473" t="s">
        <v>229</v>
      </c>
      <c r="E2473" t="s">
        <v>537</v>
      </c>
      <c r="F2473" t="s">
        <v>538</v>
      </c>
      <c r="G2473" s="25">
        <v>44210</v>
      </c>
      <c r="H2473">
        <v>3</v>
      </c>
      <c r="I2473">
        <v>14</v>
      </c>
      <c r="J2473" t="s">
        <v>231</v>
      </c>
      <c r="K2473" t="s">
        <v>491</v>
      </c>
      <c r="L2473" t="s">
        <v>233</v>
      </c>
      <c r="M2473" t="s">
        <v>234</v>
      </c>
      <c r="N2473" t="s">
        <v>54</v>
      </c>
      <c r="O2473" t="s">
        <v>235</v>
      </c>
      <c r="P2473" t="s">
        <v>236</v>
      </c>
      <c r="Q2473">
        <v>0</v>
      </c>
      <c r="R2473" t="s">
        <v>237</v>
      </c>
    </row>
    <row r="2474" spans="1:18" x14ac:dyDescent="0.25">
      <c r="A2474" t="s">
        <v>4001</v>
      </c>
      <c r="B2474">
        <v>2164</v>
      </c>
      <c r="C2474" t="s">
        <v>487</v>
      </c>
      <c r="D2474" t="s">
        <v>322</v>
      </c>
      <c r="E2474" t="s">
        <v>531</v>
      </c>
      <c r="F2474" t="s">
        <v>3056</v>
      </c>
      <c r="G2474" s="25">
        <v>44295</v>
      </c>
      <c r="H2474">
        <v>20</v>
      </c>
      <c r="I2474">
        <v>99</v>
      </c>
      <c r="J2474" t="s">
        <v>231</v>
      </c>
      <c r="K2474" t="s">
        <v>491</v>
      </c>
      <c r="L2474" t="s">
        <v>233</v>
      </c>
      <c r="M2474" t="s">
        <v>234</v>
      </c>
      <c r="N2474" t="s">
        <v>54</v>
      </c>
      <c r="O2474" t="s">
        <v>235</v>
      </c>
      <c r="P2474" t="s">
        <v>236</v>
      </c>
      <c r="Q2474">
        <v>0</v>
      </c>
      <c r="R2474" t="s">
        <v>237</v>
      </c>
    </row>
    <row r="2475" spans="1:18" x14ac:dyDescent="0.25">
      <c r="A2475" t="s">
        <v>4002</v>
      </c>
      <c r="B2475">
        <v>1966</v>
      </c>
      <c r="C2475" t="s">
        <v>487</v>
      </c>
      <c r="D2475" t="s">
        <v>322</v>
      </c>
      <c r="E2475" t="s">
        <v>239</v>
      </c>
      <c r="F2475" t="s">
        <v>2979</v>
      </c>
      <c r="G2475" s="25">
        <v>44286</v>
      </c>
      <c r="H2475">
        <v>18</v>
      </c>
      <c r="I2475">
        <v>90</v>
      </c>
      <c r="J2475" t="s">
        <v>231</v>
      </c>
      <c r="K2475" t="s">
        <v>491</v>
      </c>
      <c r="L2475" t="s">
        <v>233</v>
      </c>
      <c r="M2475" t="s">
        <v>234</v>
      </c>
      <c r="N2475" t="s">
        <v>54</v>
      </c>
      <c r="O2475" t="s">
        <v>235</v>
      </c>
      <c r="P2475" t="s">
        <v>236</v>
      </c>
      <c r="Q2475">
        <v>2349</v>
      </c>
      <c r="R2475" t="s">
        <v>237</v>
      </c>
    </row>
    <row r="2476" spans="1:18" x14ac:dyDescent="0.25">
      <c r="A2476" t="s">
        <v>1902</v>
      </c>
      <c r="B2476">
        <v>805</v>
      </c>
      <c r="C2476" t="s">
        <v>487</v>
      </c>
      <c r="D2476" t="s">
        <v>231</v>
      </c>
      <c r="E2476" t="s">
        <v>534</v>
      </c>
      <c r="F2476" t="s">
        <v>1731</v>
      </c>
      <c r="G2476" s="25">
        <v>44233</v>
      </c>
      <c r="H2476">
        <v>8</v>
      </c>
      <c r="I2476">
        <v>37</v>
      </c>
      <c r="J2476" t="s">
        <v>432</v>
      </c>
      <c r="K2476" t="s">
        <v>490</v>
      </c>
      <c r="L2476" t="s">
        <v>65</v>
      </c>
      <c r="M2476" t="s">
        <v>434</v>
      </c>
      <c r="N2476" t="s">
        <v>64</v>
      </c>
      <c r="O2476" t="s">
        <v>235</v>
      </c>
      <c r="P2476" t="s">
        <v>442</v>
      </c>
      <c r="Q2476">
        <v>240000</v>
      </c>
      <c r="R2476" t="s">
        <v>237</v>
      </c>
    </row>
    <row r="2477" spans="1:18" x14ac:dyDescent="0.25">
      <c r="A2477" t="s">
        <v>1616</v>
      </c>
      <c r="B2477">
        <v>497</v>
      </c>
      <c r="C2477" t="s">
        <v>487</v>
      </c>
      <c r="D2477" t="s">
        <v>231</v>
      </c>
      <c r="E2477" t="s">
        <v>256</v>
      </c>
      <c r="F2477" t="s">
        <v>1064</v>
      </c>
      <c r="G2477" s="25">
        <v>44219</v>
      </c>
      <c r="H2477">
        <v>5</v>
      </c>
      <c r="I2477">
        <v>23</v>
      </c>
      <c r="J2477" t="s">
        <v>432</v>
      </c>
      <c r="K2477" t="s">
        <v>490</v>
      </c>
      <c r="L2477" t="s">
        <v>65</v>
      </c>
      <c r="M2477" t="s">
        <v>434</v>
      </c>
      <c r="N2477" t="s">
        <v>64</v>
      </c>
      <c r="O2477" t="s">
        <v>235</v>
      </c>
      <c r="P2477" t="s">
        <v>442</v>
      </c>
      <c r="Q2477">
        <v>24000</v>
      </c>
      <c r="R2477" t="s">
        <v>237</v>
      </c>
    </row>
    <row r="2478" spans="1:18" x14ac:dyDescent="0.25">
      <c r="A2478" t="s">
        <v>824</v>
      </c>
      <c r="B2478">
        <v>189</v>
      </c>
      <c r="C2478" t="s">
        <v>487</v>
      </c>
      <c r="D2478" t="s">
        <v>229</v>
      </c>
      <c r="E2478" t="s">
        <v>371</v>
      </c>
      <c r="F2478" t="s">
        <v>557</v>
      </c>
      <c r="G2478" s="25">
        <v>44205</v>
      </c>
      <c r="H2478">
        <v>2</v>
      </c>
      <c r="I2478">
        <v>9</v>
      </c>
      <c r="J2478" t="s">
        <v>432</v>
      </c>
      <c r="K2478" t="s">
        <v>490</v>
      </c>
      <c r="L2478" t="s">
        <v>65</v>
      </c>
      <c r="M2478" t="s">
        <v>434</v>
      </c>
      <c r="N2478" t="s">
        <v>64</v>
      </c>
      <c r="O2478" t="s">
        <v>235</v>
      </c>
      <c r="P2478" t="s">
        <v>442</v>
      </c>
      <c r="Q2478">
        <v>72000</v>
      </c>
      <c r="R2478" t="s">
        <v>237</v>
      </c>
    </row>
    <row r="2479" spans="1:18" x14ac:dyDescent="0.25">
      <c r="A2479" t="s">
        <v>4003</v>
      </c>
      <c r="B2479">
        <v>2367</v>
      </c>
      <c r="C2479" t="s">
        <v>487</v>
      </c>
      <c r="D2479" t="s">
        <v>247</v>
      </c>
      <c r="E2479" t="s">
        <v>381</v>
      </c>
      <c r="F2479" t="s">
        <v>3107</v>
      </c>
      <c r="G2479" s="25">
        <v>44304</v>
      </c>
      <c r="H2479">
        <v>22</v>
      </c>
      <c r="I2479">
        <v>108</v>
      </c>
      <c r="J2479" t="s">
        <v>432</v>
      </c>
      <c r="K2479" t="s">
        <v>490</v>
      </c>
      <c r="L2479" t="s">
        <v>65</v>
      </c>
      <c r="M2479" t="s">
        <v>434</v>
      </c>
      <c r="N2479" t="s">
        <v>64</v>
      </c>
      <c r="O2479" t="s">
        <v>235</v>
      </c>
      <c r="P2479" t="s">
        <v>442</v>
      </c>
      <c r="Q2479">
        <v>328000</v>
      </c>
      <c r="R2479" t="s">
        <v>237</v>
      </c>
    </row>
    <row r="2480" spans="1:18" x14ac:dyDescent="0.25">
      <c r="A2480" t="s">
        <v>4004</v>
      </c>
      <c r="B2480">
        <v>2015</v>
      </c>
      <c r="C2480" t="s">
        <v>487</v>
      </c>
      <c r="D2480" t="s">
        <v>322</v>
      </c>
      <c r="E2480" t="s">
        <v>232</v>
      </c>
      <c r="F2480" t="s">
        <v>2987</v>
      </c>
      <c r="G2480" s="25">
        <v>44288</v>
      </c>
      <c r="H2480">
        <v>19</v>
      </c>
      <c r="I2480">
        <v>92</v>
      </c>
      <c r="J2480" t="s">
        <v>432</v>
      </c>
      <c r="K2480" t="s">
        <v>490</v>
      </c>
      <c r="L2480" t="s">
        <v>65</v>
      </c>
      <c r="M2480" t="s">
        <v>434</v>
      </c>
      <c r="N2480" t="s">
        <v>64</v>
      </c>
      <c r="O2480" t="s">
        <v>235</v>
      </c>
      <c r="P2480" t="s">
        <v>442</v>
      </c>
      <c r="Q2480">
        <v>451500</v>
      </c>
      <c r="R2480" t="s">
        <v>237</v>
      </c>
    </row>
    <row r="2481" spans="1:18" x14ac:dyDescent="0.25">
      <c r="A2481" t="s">
        <v>1900</v>
      </c>
      <c r="B2481">
        <v>1399</v>
      </c>
      <c r="C2481" t="s">
        <v>487</v>
      </c>
      <c r="D2481" t="s">
        <v>261</v>
      </c>
      <c r="E2481" t="s">
        <v>261</v>
      </c>
      <c r="F2481" t="s">
        <v>1410</v>
      </c>
      <c r="G2481" s="25">
        <v>44260</v>
      </c>
      <c r="H2481">
        <v>13</v>
      </c>
      <c r="I2481">
        <v>64</v>
      </c>
      <c r="J2481" t="s">
        <v>432</v>
      </c>
      <c r="K2481" t="s">
        <v>490</v>
      </c>
      <c r="L2481" t="s">
        <v>65</v>
      </c>
      <c r="M2481" t="s">
        <v>434</v>
      </c>
      <c r="N2481" t="s">
        <v>64</v>
      </c>
      <c r="O2481" t="s">
        <v>235</v>
      </c>
      <c r="P2481" t="s">
        <v>442</v>
      </c>
      <c r="Q2481">
        <v>344000</v>
      </c>
      <c r="R2481" t="s">
        <v>237</v>
      </c>
    </row>
    <row r="2482" spans="1:18" x14ac:dyDescent="0.25">
      <c r="A2482" t="s">
        <v>4005</v>
      </c>
      <c r="B2482">
        <v>2240</v>
      </c>
      <c r="C2482" t="s">
        <v>487</v>
      </c>
      <c r="D2482" t="s">
        <v>247</v>
      </c>
      <c r="E2482" t="s">
        <v>231</v>
      </c>
      <c r="F2482" t="s">
        <v>3070</v>
      </c>
      <c r="G2482" s="25">
        <v>44298</v>
      </c>
      <c r="H2482">
        <v>21</v>
      </c>
      <c r="I2482">
        <v>102</v>
      </c>
      <c r="J2482" t="s">
        <v>432</v>
      </c>
      <c r="K2482" t="s">
        <v>488</v>
      </c>
      <c r="L2482" t="s">
        <v>433</v>
      </c>
      <c r="M2482" t="s">
        <v>434</v>
      </c>
      <c r="N2482" t="s">
        <v>74</v>
      </c>
      <c r="O2482" t="s">
        <v>435</v>
      </c>
      <c r="P2482" t="s">
        <v>433</v>
      </c>
      <c r="Q2482">
        <v>41887.5</v>
      </c>
      <c r="R2482" t="s">
        <v>436</v>
      </c>
    </row>
    <row r="2483" spans="1:18" x14ac:dyDescent="0.25">
      <c r="A2483" t="s">
        <v>4006</v>
      </c>
      <c r="B2483">
        <v>2108</v>
      </c>
      <c r="C2483" t="s">
        <v>487</v>
      </c>
      <c r="D2483" t="s">
        <v>322</v>
      </c>
      <c r="E2483" t="s">
        <v>620</v>
      </c>
      <c r="F2483" t="s">
        <v>3025</v>
      </c>
      <c r="G2483" s="25">
        <v>44292</v>
      </c>
      <c r="H2483">
        <v>20</v>
      </c>
      <c r="I2483">
        <v>96</v>
      </c>
      <c r="J2483" t="s">
        <v>432</v>
      </c>
      <c r="K2483" t="s">
        <v>488</v>
      </c>
      <c r="L2483" t="s">
        <v>433</v>
      </c>
      <c r="M2483" t="s">
        <v>434</v>
      </c>
      <c r="N2483" t="s">
        <v>74</v>
      </c>
      <c r="O2483" t="s">
        <v>435</v>
      </c>
      <c r="P2483" t="s">
        <v>433</v>
      </c>
      <c r="Q2483">
        <v>50700</v>
      </c>
      <c r="R2483" t="s">
        <v>436</v>
      </c>
    </row>
    <row r="2484" spans="1:18" x14ac:dyDescent="0.25">
      <c r="A2484" t="s">
        <v>4007</v>
      </c>
      <c r="B2484">
        <v>1800</v>
      </c>
      <c r="C2484" t="s">
        <v>487</v>
      </c>
      <c r="D2484" t="s">
        <v>322</v>
      </c>
      <c r="E2484" t="s">
        <v>231</v>
      </c>
      <c r="F2484" t="s">
        <v>2945</v>
      </c>
      <c r="G2484" s="25">
        <v>44278</v>
      </c>
      <c r="H2484">
        <v>17</v>
      </c>
      <c r="I2484">
        <v>82</v>
      </c>
      <c r="J2484" t="s">
        <v>432</v>
      </c>
      <c r="K2484" t="s">
        <v>488</v>
      </c>
      <c r="L2484" t="s">
        <v>433</v>
      </c>
      <c r="M2484" t="s">
        <v>434</v>
      </c>
      <c r="N2484" t="s">
        <v>74</v>
      </c>
      <c r="O2484" t="s">
        <v>435</v>
      </c>
      <c r="P2484" t="s">
        <v>433</v>
      </c>
      <c r="Q2484">
        <v>25800</v>
      </c>
      <c r="R2484" t="s">
        <v>436</v>
      </c>
    </row>
    <row r="2485" spans="1:18" x14ac:dyDescent="0.25">
      <c r="A2485" t="s">
        <v>2584</v>
      </c>
      <c r="B2485">
        <v>1448</v>
      </c>
      <c r="C2485" t="s">
        <v>487</v>
      </c>
      <c r="D2485" t="s">
        <v>261</v>
      </c>
      <c r="E2485" t="s">
        <v>247</v>
      </c>
      <c r="F2485" t="s">
        <v>1425</v>
      </c>
      <c r="G2485" s="25">
        <v>44262</v>
      </c>
      <c r="H2485">
        <v>14</v>
      </c>
      <c r="I2485">
        <v>66</v>
      </c>
      <c r="J2485" t="s">
        <v>432</v>
      </c>
      <c r="K2485" t="s">
        <v>488</v>
      </c>
      <c r="L2485" t="s">
        <v>433</v>
      </c>
      <c r="M2485" t="s">
        <v>434</v>
      </c>
      <c r="N2485" t="s">
        <v>74</v>
      </c>
      <c r="O2485" t="s">
        <v>435</v>
      </c>
      <c r="P2485" t="s">
        <v>433</v>
      </c>
      <c r="Q2485">
        <v>37631.25</v>
      </c>
      <c r="R2485" t="s">
        <v>436</v>
      </c>
    </row>
    <row r="2486" spans="1:18" x14ac:dyDescent="0.25">
      <c r="A2486" t="s">
        <v>2587</v>
      </c>
      <c r="B2486">
        <v>964</v>
      </c>
      <c r="C2486" t="s">
        <v>487</v>
      </c>
      <c r="D2486" t="s">
        <v>256</v>
      </c>
      <c r="E2486" t="s">
        <v>261</v>
      </c>
      <c r="F2486" t="s">
        <v>1276</v>
      </c>
      <c r="G2486" s="25">
        <v>44240</v>
      </c>
      <c r="H2486">
        <v>9</v>
      </c>
      <c r="I2486">
        <v>44</v>
      </c>
      <c r="J2486" t="s">
        <v>432</v>
      </c>
      <c r="K2486" t="s">
        <v>488</v>
      </c>
      <c r="L2486" t="s">
        <v>433</v>
      </c>
      <c r="M2486" t="s">
        <v>434</v>
      </c>
      <c r="N2486" t="s">
        <v>74</v>
      </c>
      <c r="O2486" t="s">
        <v>435</v>
      </c>
      <c r="P2486" t="s">
        <v>433</v>
      </c>
      <c r="Q2486">
        <v>7800</v>
      </c>
      <c r="R2486" t="s">
        <v>436</v>
      </c>
    </row>
    <row r="2487" spans="1:18" x14ac:dyDescent="0.25">
      <c r="A2487" t="s">
        <v>2272</v>
      </c>
      <c r="B2487">
        <v>590</v>
      </c>
      <c r="C2487" t="s">
        <v>487</v>
      </c>
      <c r="D2487" t="s">
        <v>231</v>
      </c>
      <c r="E2487" t="s">
        <v>326</v>
      </c>
      <c r="F2487" t="s">
        <v>1095</v>
      </c>
      <c r="G2487" s="25">
        <v>44223</v>
      </c>
      <c r="H2487">
        <v>6</v>
      </c>
      <c r="I2487">
        <v>27</v>
      </c>
      <c r="J2487" t="s">
        <v>432</v>
      </c>
      <c r="K2487" t="s">
        <v>488</v>
      </c>
      <c r="L2487" t="s">
        <v>433</v>
      </c>
      <c r="M2487" t="s">
        <v>434</v>
      </c>
      <c r="N2487" t="s">
        <v>74</v>
      </c>
      <c r="O2487" t="s">
        <v>435</v>
      </c>
      <c r="P2487" t="s">
        <v>433</v>
      </c>
      <c r="Q2487">
        <v>32400</v>
      </c>
      <c r="R2487" t="s">
        <v>436</v>
      </c>
    </row>
    <row r="2488" spans="1:18" x14ac:dyDescent="0.25">
      <c r="A2488" t="s">
        <v>514</v>
      </c>
      <c r="B2488">
        <v>238</v>
      </c>
      <c r="C2488" t="s">
        <v>487</v>
      </c>
      <c r="D2488" t="s">
        <v>229</v>
      </c>
      <c r="E2488" t="s">
        <v>515</v>
      </c>
      <c r="F2488" t="s">
        <v>516</v>
      </c>
      <c r="G2488" s="25">
        <v>44207</v>
      </c>
      <c r="H2488">
        <v>3</v>
      </c>
      <c r="I2488">
        <v>11</v>
      </c>
      <c r="J2488" t="s">
        <v>432</v>
      </c>
      <c r="K2488" t="s">
        <v>488</v>
      </c>
      <c r="L2488" t="s">
        <v>433</v>
      </c>
      <c r="M2488" t="s">
        <v>434</v>
      </c>
      <c r="N2488" t="s">
        <v>74</v>
      </c>
      <c r="O2488" t="s">
        <v>435</v>
      </c>
      <c r="P2488" t="s">
        <v>433</v>
      </c>
      <c r="Q2488">
        <v>4500</v>
      </c>
      <c r="R2488" t="s">
        <v>436</v>
      </c>
    </row>
    <row r="2489" spans="1:18" x14ac:dyDescent="0.25">
      <c r="A2489" t="s">
        <v>4008</v>
      </c>
      <c r="B2489">
        <v>2302</v>
      </c>
      <c r="C2489" t="s">
        <v>487</v>
      </c>
      <c r="D2489" t="s">
        <v>247</v>
      </c>
      <c r="E2489" t="s">
        <v>322</v>
      </c>
      <c r="F2489" t="s">
        <v>3083</v>
      </c>
      <c r="G2489" s="25">
        <v>44301</v>
      </c>
      <c r="H2489">
        <v>21</v>
      </c>
      <c r="I2489">
        <v>105</v>
      </c>
      <c r="J2489" t="s">
        <v>432</v>
      </c>
      <c r="K2489" t="s">
        <v>489</v>
      </c>
      <c r="L2489" t="s">
        <v>134</v>
      </c>
      <c r="M2489" t="s">
        <v>434</v>
      </c>
      <c r="N2489" t="s">
        <v>67</v>
      </c>
      <c r="O2489" t="s">
        <v>235</v>
      </c>
      <c r="P2489" t="s">
        <v>437</v>
      </c>
      <c r="Q2489">
        <v>328000</v>
      </c>
      <c r="R2489" t="s">
        <v>237</v>
      </c>
    </row>
    <row r="2490" spans="1:18" x14ac:dyDescent="0.25">
      <c r="A2490" t="s">
        <v>1712</v>
      </c>
      <c r="B2490">
        <v>1576</v>
      </c>
      <c r="C2490" t="s">
        <v>487</v>
      </c>
      <c r="D2490" t="s">
        <v>261</v>
      </c>
      <c r="E2490" t="s">
        <v>232</v>
      </c>
      <c r="F2490" t="s">
        <v>1500</v>
      </c>
      <c r="G2490" s="25">
        <v>44268</v>
      </c>
      <c r="H2490">
        <v>15</v>
      </c>
      <c r="I2490">
        <v>72</v>
      </c>
      <c r="J2490" t="s">
        <v>432</v>
      </c>
      <c r="K2490" t="s">
        <v>489</v>
      </c>
      <c r="L2490" t="s">
        <v>134</v>
      </c>
      <c r="M2490" t="s">
        <v>434</v>
      </c>
      <c r="N2490" t="s">
        <v>67</v>
      </c>
      <c r="O2490" t="s">
        <v>235</v>
      </c>
      <c r="P2490" t="s">
        <v>437</v>
      </c>
      <c r="Q2490">
        <v>344000</v>
      </c>
      <c r="R2490" t="s">
        <v>237</v>
      </c>
    </row>
    <row r="2491" spans="1:18" x14ac:dyDescent="0.25">
      <c r="A2491" t="s">
        <v>2213</v>
      </c>
      <c r="B2491">
        <v>740</v>
      </c>
      <c r="C2491" t="s">
        <v>487</v>
      </c>
      <c r="D2491" t="s">
        <v>231</v>
      </c>
      <c r="E2491" t="s">
        <v>537</v>
      </c>
      <c r="F2491" t="s">
        <v>1192</v>
      </c>
      <c r="G2491" s="25">
        <v>44230</v>
      </c>
      <c r="H2491">
        <v>7</v>
      </c>
      <c r="I2491">
        <v>34</v>
      </c>
      <c r="J2491" t="s">
        <v>432</v>
      </c>
      <c r="K2491" t="s">
        <v>489</v>
      </c>
      <c r="L2491" t="s">
        <v>134</v>
      </c>
      <c r="M2491" t="s">
        <v>434</v>
      </c>
      <c r="N2491" t="s">
        <v>67</v>
      </c>
      <c r="O2491" t="s">
        <v>235</v>
      </c>
      <c r="P2491" t="s">
        <v>437</v>
      </c>
      <c r="Q2491">
        <v>240000</v>
      </c>
      <c r="R2491" t="s">
        <v>237</v>
      </c>
    </row>
    <row r="2492" spans="1:18" x14ac:dyDescent="0.25">
      <c r="A2492" t="s">
        <v>664</v>
      </c>
      <c r="B2492">
        <v>366</v>
      </c>
      <c r="C2492" t="s">
        <v>487</v>
      </c>
      <c r="D2492" t="s">
        <v>229</v>
      </c>
      <c r="E2492" t="s">
        <v>534</v>
      </c>
      <c r="F2492" t="s">
        <v>535</v>
      </c>
      <c r="G2492" s="25">
        <v>44213</v>
      </c>
      <c r="H2492">
        <v>4</v>
      </c>
      <c r="I2492">
        <v>17</v>
      </c>
      <c r="J2492" t="s">
        <v>432</v>
      </c>
      <c r="K2492" t="s">
        <v>489</v>
      </c>
      <c r="L2492" t="s">
        <v>134</v>
      </c>
      <c r="M2492" t="s">
        <v>434</v>
      </c>
      <c r="N2492" t="s">
        <v>67</v>
      </c>
      <c r="O2492" t="s">
        <v>235</v>
      </c>
      <c r="P2492" t="s">
        <v>437</v>
      </c>
      <c r="Q2492">
        <v>24000</v>
      </c>
      <c r="R2492" t="s">
        <v>237</v>
      </c>
    </row>
    <row r="2493" spans="1:18" x14ac:dyDescent="0.25">
      <c r="A2493" t="s">
        <v>2763</v>
      </c>
      <c r="B2493">
        <v>1411</v>
      </c>
      <c r="C2493" t="s">
        <v>487</v>
      </c>
      <c r="D2493" t="s">
        <v>261</v>
      </c>
      <c r="E2493" t="s">
        <v>322</v>
      </c>
      <c r="F2493" t="s">
        <v>1417</v>
      </c>
      <c r="G2493" s="25">
        <v>44261</v>
      </c>
      <c r="H2493">
        <v>13</v>
      </c>
      <c r="I2493">
        <v>65</v>
      </c>
      <c r="J2493" t="s">
        <v>231</v>
      </c>
      <c r="K2493" t="s">
        <v>509</v>
      </c>
      <c r="L2493" t="s">
        <v>45</v>
      </c>
      <c r="M2493" t="s">
        <v>234</v>
      </c>
      <c r="N2493" t="s">
        <v>44</v>
      </c>
      <c r="O2493" t="s">
        <v>21</v>
      </c>
      <c r="P2493" t="s">
        <v>304</v>
      </c>
      <c r="Q2493">
        <v>33702</v>
      </c>
      <c r="R2493" t="s">
        <v>237</v>
      </c>
    </row>
    <row r="2494" spans="1:18" x14ac:dyDescent="0.25">
      <c r="A2494" t="s">
        <v>550</v>
      </c>
      <c r="B2494">
        <v>421</v>
      </c>
      <c r="C2494" t="s">
        <v>487</v>
      </c>
      <c r="D2494" t="s">
        <v>229</v>
      </c>
      <c r="E2494" t="s">
        <v>408</v>
      </c>
      <c r="F2494" t="s">
        <v>527</v>
      </c>
      <c r="G2494" s="25">
        <v>44216</v>
      </c>
      <c r="H2494">
        <v>4</v>
      </c>
      <c r="I2494">
        <v>20</v>
      </c>
      <c r="J2494" t="s">
        <v>231</v>
      </c>
      <c r="K2494" t="s">
        <v>509</v>
      </c>
      <c r="L2494" t="s">
        <v>45</v>
      </c>
      <c r="M2494" t="s">
        <v>234</v>
      </c>
      <c r="N2494" t="s">
        <v>44</v>
      </c>
      <c r="O2494" t="s">
        <v>21</v>
      </c>
      <c r="P2494" t="s">
        <v>304</v>
      </c>
      <c r="Q2494">
        <v>0</v>
      </c>
      <c r="R2494" t="s">
        <v>237</v>
      </c>
    </row>
    <row r="2495" spans="1:18" x14ac:dyDescent="0.25">
      <c r="A2495" t="s">
        <v>2864</v>
      </c>
      <c r="B2495">
        <v>1390</v>
      </c>
      <c r="C2495" t="s">
        <v>487</v>
      </c>
      <c r="D2495" t="s">
        <v>261</v>
      </c>
      <c r="E2495" t="s">
        <v>261</v>
      </c>
      <c r="F2495" t="s">
        <v>1410</v>
      </c>
      <c r="G2495" s="25">
        <v>44260</v>
      </c>
      <c r="H2495">
        <v>13</v>
      </c>
      <c r="I2495">
        <v>64</v>
      </c>
      <c r="J2495" t="s">
        <v>231</v>
      </c>
      <c r="K2495" t="s">
        <v>508</v>
      </c>
      <c r="L2495" t="s">
        <v>47</v>
      </c>
      <c r="M2495" t="s">
        <v>234</v>
      </c>
      <c r="N2495" t="s">
        <v>46</v>
      </c>
      <c r="O2495" t="s">
        <v>21</v>
      </c>
      <c r="P2495" t="s">
        <v>288</v>
      </c>
      <c r="Q2495">
        <v>1171</v>
      </c>
      <c r="R2495" t="s">
        <v>237</v>
      </c>
    </row>
    <row r="2496" spans="1:18" x14ac:dyDescent="0.25">
      <c r="A2496" t="s">
        <v>2279</v>
      </c>
      <c r="B2496">
        <v>1258</v>
      </c>
      <c r="C2496" t="s">
        <v>487</v>
      </c>
      <c r="D2496" t="s">
        <v>256</v>
      </c>
      <c r="E2496" t="s">
        <v>552</v>
      </c>
      <c r="F2496" t="s">
        <v>1365</v>
      </c>
      <c r="G2496" s="25">
        <v>44254</v>
      </c>
      <c r="H2496">
        <v>12</v>
      </c>
      <c r="I2496">
        <v>58</v>
      </c>
      <c r="J2496" t="s">
        <v>231</v>
      </c>
      <c r="K2496" t="s">
        <v>508</v>
      </c>
      <c r="L2496" t="s">
        <v>47</v>
      </c>
      <c r="M2496" t="s">
        <v>234</v>
      </c>
      <c r="N2496" t="s">
        <v>46</v>
      </c>
      <c r="O2496" t="s">
        <v>21</v>
      </c>
      <c r="P2496" t="s">
        <v>288</v>
      </c>
      <c r="Q2496">
        <v>0</v>
      </c>
      <c r="R2496" t="s">
        <v>237</v>
      </c>
    </row>
    <row r="2497" spans="1:18" x14ac:dyDescent="0.25">
      <c r="A2497" t="s">
        <v>677</v>
      </c>
      <c r="B2497">
        <v>290</v>
      </c>
      <c r="C2497" t="s">
        <v>487</v>
      </c>
      <c r="D2497" t="s">
        <v>229</v>
      </c>
      <c r="E2497" t="s">
        <v>537</v>
      </c>
      <c r="F2497" t="s">
        <v>538</v>
      </c>
      <c r="G2497" s="25">
        <v>44210</v>
      </c>
      <c r="H2497">
        <v>3</v>
      </c>
      <c r="I2497">
        <v>14</v>
      </c>
      <c r="J2497" t="s">
        <v>231</v>
      </c>
      <c r="K2497" t="s">
        <v>508</v>
      </c>
      <c r="L2497" t="s">
        <v>47</v>
      </c>
      <c r="M2497" t="s">
        <v>234</v>
      </c>
      <c r="N2497" t="s">
        <v>46</v>
      </c>
      <c r="O2497" t="s">
        <v>21</v>
      </c>
      <c r="P2497" t="s">
        <v>288</v>
      </c>
      <c r="Q2497">
        <v>0</v>
      </c>
      <c r="R2497" t="s">
        <v>237</v>
      </c>
    </row>
    <row r="2498" spans="1:18" x14ac:dyDescent="0.25">
      <c r="A2498" t="s">
        <v>4009</v>
      </c>
      <c r="B2498">
        <v>2160</v>
      </c>
      <c r="C2498" t="s">
        <v>487</v>
      </c>
      <c r="D2498" t="s">
        <v>322</v>
      </c>
      <c r="E2498" t="s">
        <v>531</v>
      </c>
      <c r="F2498" t="s">
        <v>3056</v>
      </c>
      <c r="G2498" s="25">
        <v>44295</v>
      </c>
      <c r="H2498">
        <v>20</v>
      </c>
      <c r="I2498">
        <v>99</v>
      </c>
      <c r="J2498" t="s">
        <v>231</v>
      </c>
      <c r="K2498" t="s">
        <v>508</v>
      </c>
      <c r="L2498" t="s">
        <v>47</v>
      </c>
      <c r="M2498" t="s">
        <v>234</v>
      </c>
      <c r="N2498" t="s">
        <v>46</v>
      </c>
      <c r="O2498" t="s">
        <v>21</v>
      </c>
      <c r="P2498" t="s">
        <v>288</v>
      </c>
      <c r="Q2498">
        <v>0</v>
      </c>
      <c r="R2498" t="s">
        <v>237</v>
      </c>
    </row>
    <row r="2499" spans="1:18" x14ac:dyDescent="0.25">
      <c r="A2499" t="s">
        <v>4010</v>
      </c>
      <c r="B2499">
        <v>1852</v>
      </c>
      <c r="C2499" t="s">
        <v>487</v>
      </c>
      <c r="D2499" t="s">
        <v>322</v>
      </c>
      <c r="E2499" t="s">
        <v>322</v>
      </c>
      <c r="F2499" t="s">
        <v>2960</v>
      </c>
      <c r="G2499" s="25">
        <v>44281</v>
      </c>
      <c r="H2499">
        <v>17</v>
      </c>
      <c r="I2499">
        <v>85</v>
      </c>
      <c r="J2499" t="s">
        <v>231</v>
      </c>
      <c r="K2499" t="s">
        <v>508</v>
      </c>
      <c r="L2499" t="s">
        <v>47</v>
      </c>
      <c r="M2499" t="s">
        <v>234</v>
      </c>
      <c r="N2499" t="s">
        <v>46</v>
      </c>
      <c r="O2499" t="s">
        <v>21</v>
      </c>
      <c r="P2499" t="s">
        <v>288</v>
      </c>
      <c r="Q2499">
        <v>0</v>
      </c>
      <c r="R2499" t="s">
        <v>237</v>
      </c>
    </row>
    <row r="2500" spans="1:18" x14ac:dyDescent="0.25">
      <c r="A2500" t="s">
        <v>4011</v>
      </c>
      <c r="B2500">
        <v>2183</v>
      </c>
      <c r="C2500" t="s">
        <v>487</v>
      </c>
      <c r="D2500" t="s">
        <v>322</v>
      </c>
      <c r="E2500" t="s">
        <v>408</v>
      </c>
      <c r="F2500" t="s">
        <v>3059</v>
      </c>
      <c r="G2500" s="25">
        <v>44296</v>
      </c>
      <c r="H2500">
        <v>20</v>
      </c>
      <c r="I2500">
        <v>100</v>
      </c>
      <c r="J2500" t="s">
        <v>231</v>
      </c>
      <c r="K2500" t="s">
        <v>507</v>
      </c>
      <c r="L2500" t="s">
        <v>49</v>
      </c>
      <c r="M2500" t="s">
        <v>234</v>
      </c>
      <c r="N2500" t="s">
        <v>48</v>
      </c>
      <c r="O2500" t="s">
        <v>21</v>
      </c>
      <c r="P2500" t="s">
        <v>413</v>
      </c>
      <c r="Q2500">
        <v>0</v>
      </c>
      <c r="R2500" t="s">
        <v>237</v>
      </c>
    </row>
    <row r="2501" spans="1:18" x14ac:dyDescent="0.25">
      <c r="A2501" t="s">
        <v>2591</v>
      </c>
      <c r="B2501">
        <v>1721</v>
      </c>
      <c r="C2501" t="s">
        <v>487</v>
      </c>
      <c r="D2501" t="s">
        <v>261</v>
      </c>
      <c r="E2501" t="s">
        <v>531</v>
      </c>
      <c r="F2501" t="s">
        <v>1588</v>
      </c>
      <c r="G2501" s="25">
        <v>44275</v>
      </c>
      <c r="H2501">
        <v>16</v>
      </c>
      <c r="I2501">
        <v>79</v>
      </c>
      <c r="J2501" t="s">
        <v>231</v>
      </c>
      <c r="K2501" t="s">
        <v>507</v>
      </c>
      <c r="L2501" t="s">
        <v>49</v>
      </c>
      <c r="M2501" t="s">
        <v>234</v>
      </c>
      <c r="N2501" t="s">
        <v>48</v>
      </c>
      <c r="O2501" t="s">
        <v>21</v>
      </c>
      <c r="P2501" t="s">
        <v>413</v>
      </c>
      <c r="Q2501">
        <v>0</v>
      </c>
      <c r="R2501" t="s">
        <v>237</v>
      </c>
    </row>
    <row r="2502" spans="1:18" x14ac:dyDescent="0.25">
      <c r="A2502" t="s">
        <v>1808</v>
      </c>
      <c r="B2502">
        <v>688</v>
      </c>
      <c r="C2502" t="s">
        <v>487</v>
      </c>
      <c r="D2502" t="s">
        <v>231</v>
      </c>
      <c r="E2502" t="s">
        <v>232</v>
      </c>
      <c r="F2502" t="s">
        <v>1162</v>
      </c>
      <c r="G2502" s="25">
        <v>44228</v>
      </c>
      <c r="H2502">
        <v>7</v>
      </c>
      <c r="I2502">
        <v>32</v>
      </c>
      <c r="J2502" t="s">
        <v>231</v>
      </c>
      <c r="K2502" t="s">
        <v>506</v>
      </c>
      <c r="L2502" t="s">
        <v>414</v>
      </c>
      <c r="M2502" t="s">
        <v>234</v>
      </c>
      <c r="N2502" t="s">
        <v>50</v>
      </c>
      <c r="O2502" t="s">
        <v>21</v>
      </c>
      <c r="P2502" t="s">
        <v>411</v>
      </c>
      <c r="Q2502">
        <v>0</v>
      </c>
      <c r="R2502" t="s">
        <v>237</v>
      </c>
    </row>
    <row r="2503" spans="1:18" x14ac:dyDescent="0.25">
      <c r="A2503" t="s">
        <v>342</v>
      </c>
      <c r="B2503">
        <v>72</v>
      </c>
      <c r="C2503" t="s">
        <v>487</v>
      </c>
      <c r="D2503" t="s">
        <v>229</v>
      </c>
      <c r="E2503" t="s">
        <v>261</v>
      </c>
      <c r="F2503" t="s">
        <v>549</v>
      </c>
      <c r="G2503" s="25">
        <v>44200</v>
      </c>
      <c r="H2503">
        <v>1</v>
      </c>
      <c r="I2503">
        <v>4</v>
      </c>
      <c r="J2503" t="s">
        <v>231</v>
      </c>
      <c r="K2503" t="s">
        <v>506</v>
      </c>
      <c r="L2503" t="s">
        <v>414</v>
      </c>
      <c r="M2503" t="s">
        <v>234</v>
      </c>
      <c r="N2503" t="s">
        <v>50</v>
      </c>
      <c r="O2503" t="s">
        <v>21</v>
      </c>
      <c r="P2503" t="s">
        <v>411</v>
      </c>
      <c r="Q2503">
        <v>0</v>
      </c>
      <c r="R2503" t="s">
        <v>237</v>
      </c>
    </row>
    <row r="2504" spans="1:18" x14ac:dyDescent="0.25">
      <c r="A2504" t="s">
        <v>4012</v>
      </c>
      <c r="B2504">
        <v>2250</v>
      </c>
      <c r="C2504" t="s">
        <v>487</v>
      </c>
      <c r="D2504" t="s">
        <v>247</v>
      </c>
      <c r="E2504" t="s">
        <v>256</v>
      </c>
      <c r="F2504" t="s">
        <v>3073</v>
      </c>
      <c r="G2504" s="25">
        <v>44299</v>
      </c>
      <c r="H2504">
        <v>21</v>
      </c>
      <c r="I2504">
        <v>103</v>
      </c>
      <c r="J2504" t="s">
        <v>231</v>
      </c>
      <c r="K2504" t="s">
        <v>506</v>
      </c>
      <c r="L2504" t="s">
        <v>414</v>
      </c>
      <c r="M2504" t="s">
        <v>234</v>
      </c>
      <c r="N2504" t="s">
        <v>50</v>
      </c>
      <c r="O2504" t="s">
        <v>21</v>
      </c>
      <c r="P2504" t="s">
        <v>411</v>
      </c>
      <c r="Q2504">
        <v>0</v>
      </c>
      <c r="R2504" t="s">
        <v>237</v>
      </c>
    </row>
    <row r="2505" spans="1:18" x14ac:dyDescent="0.25">
      <c r="A2505" t="s">
        <v>4013</v>
      </c>
      <c r="B2505">
        <v>1876</v>
      </c>
      <c r="C2505" t="s">
        <v>487</v>
      </c>
      <c r="D2505" t="s">
        <v>322</v>
      </c>
      <c r="E2505" t="s">
        <v>247</v>
      </c>
      <c r="F2505" t="s">
        <v>2963</v>
      </c>
      <c r="G2505" s="25">
        <v>44282</v>
      </c>
      <c r="H2505">
        <v>18</v>
      </c>
      <c r="I2505">
        <v>86</v>
      </c>
      <c r="J2505" t="s">
        <v>231</v>
      </c>
      <c r="K2505" t="s">
        <v>506</v>
      </c>
      <c r="L2505" t="s">
        <v>414</v>
      </c>
      <c r="M2505" t="s">
        <v>234</v>
      </c>
      <c r="N2505" t="s">
        <v>50</v>
      </c>
      <c r="O2505" t="s">
        <v>21</v>
      </c>
      <c r="P2505" t="s">
        <v>411</v>
      </c>
      <c r="Q2505">
        <v>0</v>
      </c>
      <c r="R2505" t="s">
        <v>237</v>
      </c>
    </row>
    <row r="2506" spans="1:18" x14ac:dyDescent="0.25">
      <c r="A2506" t="s">
        <v>1727</v>
      </c>
      <c r="B2506">
        <v>1040</v>
      </c>
      <c r="C2506" t="s">
        <v>487</v>
      </c>
      <c r="D2506" t="s">
        <v>256</v>
      </c>
      <c r="E2506" t="s">
        <v>381</v>
      </c>
      <c r="F2506" t="s">
        <v>1311</v>
      </c>
      <c r="G2506" s="25">
        <v>44244</v>
      </c>
      <c r="H2506">
        <v>10</v>
      </c>
      <c r="I2506">
        <v>48</v>
      </c>
      <c r="J2506" t="s">
        <v>231</v>
      </c>
      <c r="K2506" t="s">
        <v>506</v>
      </c>
      <c r="L2506" t="s">
        <v>414</v>
      </c>
      <c r="M2506" t="s">
        <v>234</v>
      </c>
      <c r="N2506" t="s">
        <v>50</v>
      </c>
      <c r="O2506" t="s">
        <v>21</v>
      </c>
      <c r="P2506" t="s">
        <v>411</v>
      </c>
      <c r="Q2506">
        <v>0</v>
      </c>
      <c r="R2506" t="s">
        <v>237</v>
      </c>
    </row>
    <row r="2507" spans="1:18" x14ac:dyDescent="0.25">
      <c r="A2507" t="s">
        <v>255</v>
      </c>
      <c r="B2507">
        <v>23</v>
      </c>
      <c r="C2507" t="s">
        <v>487</v>
      </c>
      <c r="D2507" t="s">
        <v>229</v>
      </c>
      <c r="E2507" t="s">
        <v>231</v>
      </c>
      <c r="F2507" t="s">
        <v>568</v>
      </c>
      <c r="G2507" s="25">
        <v>44198</v>
      </c>
      <c r="H2507">
        <v>1</v>
      </c>
      <c r="I2507">
        <v>2</v>
      </c>
      <c r="J2507" t="s">
        <v>231</v>
      </c>
      <c r="K2507" t="s">
        <v>505</v>
      </c>
      <c r="L2507" t="s">
        <v>41</v>
      </c>
      <c r="M2507" t="s">
        <v>234</v>
      </c>
      <c r="N2507" t="s">
        <v>40</v>
      </c>
      <c r="O2507" t="s">
        <v>21</v>
      </c>
      <c r="P2507" t="s">
        <v>266</v>
      </c>
      <c r="Q2507">
        <v>0</v>
      </c>
      <c r="R2507" t="s">
        <v>237</v>
      </c>
    </row>
    <row r="2508" spans="1:18" x14ac:dyDescent="0.25">
      <c r="A2508" t="s">
        <v>4014</v>
      </c>
      <c r="B2508">
        <v>2201</v>
      </c>
      <c r="C2508" t="s">
        <v>487</v>
      </c>
      <c r="D2508" t="s">
        <v>247</v>
      </c>
      <c r="E2508" t="s">
        <v>229</v>
      </c>
      <c r="F2508" t="s">
        <v>3063</v>
      </c>
      <c r="G2508" s="25">
        <v>44297</v>
      </c>
      <c r="H2508">
        <v>21</v>
      </c>
      <c r="I2508">
        <v>101</v>
      </c>
      <c r="J2508" t="s">
        <v>231</v>
      </c>
      <c r="K2508" t="s">
        <v>505</v>
      </c>
      <c r="L2508" t="s">
        <v>41</v>
      </c>
      <c r="M2508" t="s">
        <v>234</v>
      </c>
      <c r="N2508" t="s">
        <v>40</v>
      </c>
      <c r="O2508" t="s">
        <v>21</v>
      </c>
      <c r="P2508" t="s">
        <v>266</v>
      </c>
      <c r="Q2508">
        <v>0</v>
      </c>
      <c r="R2508" t="s">
        <v>237</v>
      </c>
    </row>
    <row r="2509" spans="1:18" x14ac:dyDescent="0.25">
      <c r="A2509" t="s">
        <v>1923</v>
      </c>
      <c r="B2509">
        <v>1255</v>
      </c>
      <c r="C2509" t="s">
        <v>487</v>
      </c>
      <c r="D2509" t="s">
        <v>256</v>
      </c>
      <c r="E2509" t="s">
        <v>552</v>
      </c>
      <c r="F2509" t="s">
        <v>1365</v>
      </c>
      <c r="G2509" s="25">
        <v>44254</v>
      </c>
      <c r="H2509">
        <v>12</v>
      </c>
      <c r="I2509">
        <v>58</v>
      </c>
      <c r="J2509" t="s">
        <v>231</v>
      </c>
      <c r="K2509" t="s">
        <v>505</v>
      </c>
      <c r="L2509" t="s">
        <v>41</v>
      </c>
      <c r="M2509" t="s">
        <v>234</v>
      </c>
      <c r="N2509" t="s">
        <v>40</v>
      </c>
      <c r="O2509" t="s">
        <v>21</v>
      </c>
      <c r="P2509" t="s">
        <v>266</v>
      </c>
      <c r="Q2509">
        <v>47374</v>
      </c>
      <c r="R2509" t="s">
        <v>237</v>
      </c>
    </row>
    <row r="2510" spans="1:18" x14ac:dyDescent="0.25">
      <c r="A2510" t="s">
        <v>1728</v>
      </c>
      <c r="B2510">
        <v>991</v>
      </c>
      <c r="C2510" t="s">
        <v>487</v>
      </c>
      <c r="D2510" t="s">
        <v>256</v>
      </c>
      <c r="E2510" t="s">
        <v>247</v>
      </c>
      <c r="F2510" t="s">
        <v>1299</v>
      </c>
      <c r="G2510" s="25">
        <v>44242</v>
      </c>
      <c r="H2510">
        <v>10</v>
      </c>
      <c r="I2510">
        <v>46</v>
      </c>
      <c r="J2510" t="s">
        <v>231</v>
      </c>
      <c r="K2510" t="s">
        <v>505</v>
      </c>
      <c r="L2510" t="s">
        <v>41</v>
      </c>
      <c r="M2510" t="s">
        <v>234</v>
      </c>
      <c r="N2510" t="s">
        <v>40</v>
      </c>
      <c r="O2510" t="s">
        <v>21</v>
      </c>
      <c r="P2510" t="s">
        <v>266</v>
      </c>
      <c r="Q2510">
        <v>0</v>
      </c>
      <c r="R2510" t="s">
        <v>237</v>
      </c>
    </row>
    <row r="2511" spans="1:18" x14ac:dyDescent="0.25">
      <c r="A2511" t="s">
        <v>2550</v>
      </c>
      <c r="B2511">
        <v>926</v>
      </c>
      <c r="C2511" t="s">
        <v>487</v>
      </c>
      <c r="D2511" t="s">
        <v>256</v>
      </c>
      <c r="E2511" t="s">
        <v>256</v>
      </c>
      <c r="F2511" t="s">
        <v>1263</v>
      </c>
      <c r="G2511" s="25">
        <v>44239</v>
      </c>
      <c r="H2511">
        <v>9</v>
      </c>
      <c r="I2511">
        <v>43</v>
      </c>
      <c r="J2511" t="s">
        <v>231</v>
      </c>
      <c r="K2511" t="s">
        <v>504</v>
      </c>
      <c r="L2511" t="s">
        <v>43</v>
      </c>
      <c r="M2511" t="s">
        <v>234</v>
      </c>
      <c r="N2511" t="s">
        <v>42</v>
      </c>
      <c r="O2511" t="s">
        <v>21</v>
      </c>
      <c r="P2511" t="s">
        <v>236</v>
      </c>
      <c r="Q2511">
        <v>2093</v>
      </c>
      <c r="R2511" t="s">
        <v>237</v>
      </c>
    </row>
    <row r="2512" spans="1:18" x14ac:dyDescent="0.25">
      <c r="A2512" t="s">
        <v>561</v>
      </c>
      <c r="B2512">
        <v>354</v>
      </c>
      <c r="C2512" t="s">
        <v>487</v>
      </c>
      <c r="D2512" t="s">
        <v>229</v>
      </c>
      <c r="E2512" t="s">
        <v>534</v>
      </c>
      <c r="F2512" t="s">
        <v>535</v>
      </c>
      <c r="G2512" s="25">
        <v>44213</v>
      </c>
      <c r="H2512">
        <v>4</v>
      </c>
      <c r="I2512">
        <v>17</v>
      </c>
      <c r="J2512" t="s">
        <v>231</v>
      </c>
      <c r="K2512" t="s">
        <v>504</v>
      </c>
      <c r="L2512" t="s">
        <v>43</v>
      </c>
      <c r="M2512" t="s">
        <v>234</v>
      </c>
      <c r="N2512" t="s">
        <v>42</v>
      </c>
      <c r="O2512" t="s">
        <v>21</v>
      </c>
      <c r="P2512" t="s">
        <v>236</v>
      </c>
      <c r="Q2512">
        <v>12750</v>
      </c>
      <c r="R2512" t="s">
        <v>237</v>
      </c>
    </row>
    <row r="2513" spans="1:18" x14ac:dyDescent="0.25">
      <c r="A2513" t="s">
        <v>4015</v>
      </c>
      <c r="B2513">
        <v>2400</v>
      </c>
      <c r="C2513" t="s">
        <v>487</v>
      </c>
      <c r="D2513" t="s">
        <v>247</v>
      </c>
      <c r="E2513" t="s">
        <v>239</v>
      </c>
      <c r="F2513" t="s">
        <v>3118</v>
      </c>
      <c r="G2513" s="25">
        <v>44306</v>
      </c>
      <c r="H2513">
        <v>22</v>
      </c>
      <c r="I2513">
        <v>110</v>
      </c>
      <c r="J2513" t="s">
        <v>231</v>
      </c>
      <c r="K2513" t="s">
        <v>504</v>
      </c>
      <c r="L2513" t="s">
        <v>43</v>
      </c>
      <c r="M2513" t="s">
        <v>234</v>
      </c>
      <c r="N2513" t="s">
        <v>42</v>
      </c>
      <c r="O2513" t="s">
        <v>21</v>
      </c>
      <c r="P2513" t="s">
        <v>236</v>
      </c>
      <c r="Q2513">
        <v>29983</v>
      </c>
      <c r="R2513" t="s">
        <v>237</v>
      </c>
    </row>
    <row r="2514" spans="1:18" x14ac:dyDescent="0.25">
      <c r="A2514" t="s">
        <v>4016</v>
      </c>
      <c r="B2514">
        <v>1879</v>
      </c>
      <c r="C2514" t="s">
        <v>487</v>
      </c>
      <c r="D2514" t="s">
        <v>322</v>
      </c>
      <c r="E2514" t="s">
        <v>247</v>
      </c>
      <c r="F2514" t="s">
        <v>2963</v>
      </c>
      <c r="G2514" s="25">
        <v>44282</v>
      </c>
      <c r="H2514">
        <v>18</v>
      </c>
      <c r="I2514">
        <v>86</v>
      </c>
      <c r="J2514" t="s">
        <v>231</v>
      </c>
      <c r="K2514" t="s">
        <v>503</v>
      </c>
      <c r="L2514" t="s">
        <v>303</v>
      </c>
      <c r="M2514" t="s">
        <v>234</v>
      </c>
      <c r="N2514" t="s">
        <v>56</v>
      </c>
      <c r="O2514" t="s">
        <v>235</v>
      </c>
      <c r="P2514" t="s">
        <v>304</v>
      </c>
      <c r="Q2514">
        <v>24000</v>
      </c>
      <c r="R2514" t="s">
        <v>237</v>
      </c>
    </row>
    <row r="2515" spans="1:18" x14ac:dyDescent="0.25">
      <c r="A2515" t="s">
        <v>2608</v>
      </c>
      <c r="B2515">
        <v>1043</v>
      </c>
      <c r="C2515" t="s">
        <v>487</v>
      </c>
      <c r="D2515" t="s">
        <v>256</v>
      </c>
      <c r="E2515" t="s">
        <v>381</v>
      </c>
      <c r="F2515" t="s">
        <v>1311</v>
      </c>
      <c r="G2515" s="25">
        <v>44244</v>
      </c>
      <c r="H2515">
        <v>10</v>
      </c>
      <c r="I2515">
        <v>48</v>
      </c>
      <c r="J2515" t="s">
        <v>231</v>
      </c>
      <c r="K2515" t="s">
        <v>503</v>
      </c>
      <c r="L2515" t="s">
        <v>303</v>
      </c>
      <c r="M2515" t="s">
        <v>234</v>
      </c>
      <c r="N2515" t="s">
        <v>56</v>
      </c>
      <c r="O2515" t="s">
        <v>235</v>
      </c>
      <c r="P2515" t="s">
        <v>304</v>
      </c>
      <c r="Q2515">
        <v>0</v>
      </c>
      <c r="R2515" t="s">
        <v>237</v>
      </c>
    </row>
    <row r="2516" spans="1:18" x14ac:dyDescent="0.25">
      <c r="A2516" t="s">
        <v>2104</v>
      </c>
      <c r="B2516">
        <v>691</v>
      </c>
      <c r="C2516" t="s">
        <v>487</v>
      </c>
      <c r="D2516" t="s">
        <v>231</v>
      </c>
      <c r="E2516" t="s">
        <v>232</v>
      </c>
      <c r="F2516" t="s">
        <v>1162</v>
      </c>
      <c r="G2516" s="25">
        <v>44228</v>
      </c>
      <c r="H2516">
        <v>7</v>
      </c>
      <c r="I2516">
        <v>32</v>
      </c>
      <c r="J2516" t="s">
        <v>231</v>
      </c>
      <c r="K2516" t="s">
        <v>503</v>
      </c>
      <c r="L2516" t="s">
        <v>303</v>
      </c>
      <c r="M2516" t="s">
        <v>234</v>
      </c>
      <c r="N2516" t="s">
        <v>56</v>
      </c>
      <c r="O2516" t="s">
        <v>235</v>
      </c>
      <c r="P2516" t="s">
        <v>304</v>
      </c>
      <c r="Q2516">
        <v>0</v>
      </c>
      <c r="R2516" t="s">
        <v>237</v>
      </c>
    </row>
    <row r="2517" spans="1:18" x14ac:dyDescent="0.25">
      <c r="A2517" t="s">
        <v>2611</v>
      </c>
      <c r="B2517">
        <v>537</v>
      </c>
      <c r="C2517" t="s">
        <v>487</v>
      </c>
      <c r="D2517" t="s">
        <v>231</v>
      </c>
      <c r="E2517" t="s">
        <v>322</v>
      </c>
      <c r="F2517" t="s">
        <v>1085</v>
      </c>
      <c r="G2517" s="25">
        <v>44221</v>
      </c>
      <c r="H2517">
        <v>5</v>
      </c>
      <c r="I2517">
        <v>25</v>
      </c>
      <c r="J2517" t="s">
        <v>231</v>
      </c>
      <c r="K2517" t="s">
        <v>503</v>
      </c>
      <c r="L2517" t="s">
        <v>303</v>
      </c>
      <c r="M2517" t="s">
        <v>234</v>
      </c>
      <c r="N2517" t="s">
        <v>56</v>
      </c>
      <c r="O2517" t="s">
        <v>235</v>
      </c>
      <c r="P2517" t="s">
        <v>304</v>
      </c>
      <c r="Q2517">
        <v>20125</v>
      </c>
      <c r="R2517" t="s">
        <v>237</v>
      </c>
    </row>
    <row r="2518" spans="1:18" x14ac:dyDescent="0.25">
      <c r="A2518" t="s">
        <v>338</v>
      </c>
      <c r="B2518">
        <v>75</v>
      </c>
      <c r="C2518" t="s">
        <v>487</v>
      </c>
      <c r="D2518" t="s">
        <v>229</v>
      </c>
      <c r="E2518" t="s">
        <v>261</v>
      </c>
      <c r="F2518" t="s">
        <v>549</v>
      </c>
      <c r="G2518" s="25">
        <v>44200</v>
      </c>
      <c r="H2518">
        <v>1</v>
      </c>
      <c r="I2518">
        <v>4</v>
      </c>
      <c r="J2518" t="s">
        <v>231</v>
      </c>
      <c r="K2518" t="s">
        <v>503</v>
      </c>
      <c r="L2518" t="s">
        <v>303</v>
      </c>
      <c r="M2518" t="s">
        <v>234</v>
      </c>
      <c r="N2518" t="s">
        <v>56</v>
      </c>
      <c r="O2518" t="s">
        <v>235</v>
      </c>
      <c r="P2518" t="s">
        <v>304</v>
      </c>
      <c r="Q2518">
        <v>0</v>
      </c>
      <c r="R2518" t="s">
        <v>237</v>
      </c>
    </row>
    <row r="2519" spans="1:18" x14ac:dyDescent="0.25">
      <c r="A2519" t="s">
        <v>1649</v>
      </c>
      <c r="B2519">
        <v>1682</v>
      </c>
      <c r="C2519" t="s">
        <v>487</v>
      </c>
      <c r="D2519" t="s">
        <v>261</v>
      </c>
      <c r="E2519" t="s">
        <v>534</v>
      </c>
      <c r="F2519" t="s">
        <v>1563</v>
      </c>
      <c r="G2519" s="25">
        <v>44273</v>
      </c>
      <c r="H2519">
        <v>16</v>
      </c>
      <c r="I2519">
        <v>77</v>
      </c>
      <c r="J2519" t="s">
        <v>231</v>
      </c>
      <c r="K2519" t="s">
        <v>502</v>
      </c>
      <c r="L2519" t="s">
        <v>287</v>
      </c>
      <c r="M2519" t="s">
        <v>234</v>
      </c>
      <c r="N2519" t="s">
        <v>58</v>
      </c>
      <c r="O2519" t="s">
        <v>235</v>
      </c>
      <c r="P2519" t="s">
        <v>288</v>
      </c>
      <c r="Q2519">
        <v>0</v>
      </c>
      <c r="R2519" t="s">
        <v>237</v>
      </c>
    </row>
    <row r="2520" spans="1:18" x14ac:dyDescent="0.25">
      <c r="A2520" t="s">
        <v>1653</v>
      </c>
      <c r="B2520">
        <v>1154</v>
      </c>
      <c r="C2520" t="s">
        <v>487</v>
      </c>
      <c r="D2520" t="s">
        <v>256</v>
      </c>
      <c r="E2520" t="s">
        <v>512</v>
      </c>
      <c r="F2520" t="s">
        <v>1342</v>
      </c>
      <c r="G2520" s="25">
        <v>44249</v>
      </c>
      <c r="H2520">
        <v>11</v>
      </c>
      <c r="I2520">
        <v>53</v>
      </c>
      <c r="J2520" t="s">
        <v>231</v>
      </c>
      <c r="K2520" t="s">
        <v>502</v>
      </c>
      <c r="L2520" t="s">
        <v>287</v>
      </c>
      <c r="M2520" t="s">
        <v>234</v>
      </c>
      <c r="N2520" t="s">
        <v>58</v>
      </c>
      <c r="O2520" t="s">
        <v>235</v>
      </c>
      <c r="P2520" t="s">
        <v>288</v>
      </c>
      <c r="Q2520">
        <v>14000</v>
      </c>
      <c r="R2520" t="s">
        <v>237</v>
      </c>
    </row>
    <row r="2521" spans="1:18" x14ac:dyDescent="0.25">
      <c r="A2521" t="s">
        <v>2783</v>
      </c>
      <c r="B2521">
        <v>846</v>
      </c>
      <c r="C2521" t="s">
        <v>487</v>
      </c>
      <c r="D2521" t="s">
        <v>231</v>
      </c>
      <c r="E2521" t="s">
        <v>531</v>
      </c>
      <c r="F2521" t="s">
        <v>1230</v>
      </c>
      <c r="G2521" s="25">
        <v>44235</v>
      </c>
      <c r="H2521">
        <v>8</v>
      </c>
      <c r="I2521">
        <v>39</v>
      </c>
      <c r="J2521" t="s">
        <v>231</v>
      </c>
      <c r="K2521" t="s">
        <v>502</v>
      </c>
      <c r="L2521" t="s">
        <v>287</v>
      </c>
      <c r="M2521" t="s">
        <v>234</v>
      </c>
      <c r="N2521" t="s">
        <v>58</v>
      </c>
      <c r="O2521" t="s">
        <v>235</v>
      </c>
      <c r="P2521" t="s">
        <v>288</v>
      </c>
      <c r="Q2521">
        <v>0</v>
      </c>
      <c r="R2521" t="s">
        <v>237</v>
      </c>
    </row>
    <row r="2522" spans="1:18" x14ac:dyDescent="0.25">
      <c r="A2522" t="s">
        <v>2784</v>
      </c>
      <c r="B2522">
        <v>692</v>
      </c>
      <c r="C2522" t="s">
        <v>487</v>
      </c>
      <c r="D2522" t="s">
        <v>231</v>
      </c>
      <c r="E2522" t="s">
        <v>232</v>
      </c>
      <c r="F2522" t="s">
        <v>1162</v>
      </c>
      <c r="G2522" s="25">
        <v>44228</v>
      </c>
      <c r="H2522">
        <v>7</v>
      </c>
      <c r="I2522">
        <v>32</v>
      </c>
      <c r="J2522" t="s">
        <v>231</v>
      </c>
      <c r="K2522" t="s">
        <v>502</v>
      </c>
      <c r="L2522" t="s">
        <v>287</v>
      </c>
      <c r="M2522" t="s">
        <v>234</v>
      </c>
      <c r="N2522" t="s">
        <v>58</v>
      </c>
      <c r="O2522" t="s">
        <v>235</v>
      </c>
      <c r="P2522" t="s">
        <v>288</v>
      </c>
      <c r="Q2522">
        <v>19375</v>
      </c>
      <c r="R2522" t="s">
        <v>237</v>
      </c>
    </row>
    <row r="2523" spans="1:18" x14ac:dyDescent="0.25">
      <c r="A2523" t="s">
        <v>2293</v>
      </c>
      <c r="B2523">
        <v>538</v>
      </c>
      <c r="C2523" t="s">
        <v>487</v>
      </c>
      <c r="D2523" t="s">
        <v>231</v>
      </c>
      <c r="E2523" t="s">
        <v>322</v>
      </c>
      <c r="F2523" t="s">
        <v>1085</v>
      </c>
      <c r="G2523" s="25">
        <v>44221</v>
      </c>
      <c r="H2523">
        <v>5</v>
      </c>
      <c r="I2523">
        <v>25</v>
      </c>
      <c r="J2523" t="s">
        <v>231</v>
      </c>
      <c r="K2523" t="s">
        <v>502</v>
      </c>
      <c r="L2523" t="s">
        <v>287</v>
      </c>
      <c r="M2523" t="s">
        <v>234</v>
      </c>
      <c r="N2523" t="s">
        <v>58</v>
      </c>
      <c r="O2523" t="s">
        <v>235</v>
      </c>
      <c r="P2523" t="s">
        <v>288</v>
      </c>
      <c r="Q2523">
        <v>0</v>
      </c>
      <c r="R2523" t="s">
        <v>237</v>
      </c>
    </row>
    <row r="2524" spans="1:18" x14ac:dyDescent="0.25">
      <c r="A2524" t="s">
        <v>4017</v>
      </c>
      <c r="B2524">
        <v>2056</v>
      </c>
      <c r="C2524" t="s">
        <v>487</v>
      </c>
      <c r="D2524" t="s">
        <v>322</v>
      </c>
      <c r="E2524" t="s">
        <v>537</v>
      </c>
      <c r="F2524" t="s">
        <v>2999</v>
      </c>
      <c r="G2524" s="25">
        <v>44290</v>
      </c>
      <c r="H2524">
        <v>19</v>
      </c>
      <c r="I2524">
        <v>94</v>
      </c>
      <c r="J2524" t="s">
        <v>231</v>
      </c>
      <c r="K2524" t="s">
        <v>502</v>
      </c>
      <c r="L2524" t="s">
        <v>287</v>
      </c>
      <c r="M2524" t="s">
        <v>234</v>
      </c>
      <c r="N2524" t="s">
        <v>58</v>
      </c>
      <c r="O2524" t="s">
        <v>235</v>
      </c>
      <c r="P2524" t="s">
        <v>288</v>
      </c>
      <c r="Q2524">
        <v>0</v>
      </c>
      <c r="R2524" t="s">
        <v>237</v>
      </c>
    </row>
    <row r="2525" spans="1:18" x14ac:dyDescent="0.25">
      <c r="A2525" t="s">
        <v>2174</v>
      </c>
      <c r="B2525">
        <v>649</v>
      </c>
      <c r="C2525" t="s">
        <v>487</v>
      </c>
      <c r="D2525" t="s">
        <v>231</v>
      </c>
      <c r="E2525" t="s">
        <v>239</v>
      </c>
      <c r="F2525" t="s">
        <v>1139</v>
      </c>
      <c r="G2525" s="25">
        <v>44226</v>
      </c>
      <c r="H2525">
        <v>6</v>
      </c>
      <c r="I2525">
        <v>30</v>
      </c>
      <c r="J2525" t="s">
        <v>231</v>
      </c>
      <c r="K2525" t="s">
        <v>501</v>
      </c>
      <c r="L2525" t="s">
        <v>412</v>
      </c>
      <c r="M2525" t="s">
        <v>234</v>
      </c>
      <c r="N2525" t="s">
        <v>60</v>
      </c>
      <c r="O2525" t="s">
        <v>235</v>
      </c>
      <c r="P2525" t="s">
        <v>413</v>
      </c>
      <c r="Q2525">
        <v>0</v>
      </c>
      <c r="R2525" t="s">
        <v>237</v>
      </c>
    </row>
    <row r="2526" spans="1:18" x14ac:dyDescent="0.25">
      <c r="A2526" t="s">
        <v>4018</v>
      </c>
      <c r="B2526">
        <v>2519</v>
      </c>
      <c r="C2526" t="s">
        <v>487</v>
      </c>
      <c r="D2526" t="s">
        <v>247</v>
      </c>
      <c r="E2526" t="s">
        <v>575</v>
      </c>
      <c r="F2526" t="s">
        <v>3158</v>
      </c>
      <c r="G2526" s="25">
        <v>44311</v>
      </c>
      <c r="H2526">
        <v>23</v>
      </c>
      <c r="I2526">
        <v>115</v>
      </c>
      <c r="J2526" t="s">
        <v>231</v>
      </c>
      <c r="K2526" t="s">
        <v>501</v>
      </c>
      <c r="L2526" t="s">
        <v>412</v>
      </c>
      <c r="M2526" t="s">
        <v>234</v>
      </c>
      <c r="N2526" t="s">
        <v>60</v>
      </c>
      <c r="O2526" t="s">
        <v>235</v>
      </c>
      <c r="P2526" t="s">
        <v>413</v>
      </c>
      <c r="Q2526">
        <v>0</v>
      </c>
      <c r="R2526" t="s">
        <v>237</v>
      </c>
    </row>
    <row r="2527" spans="1:18" x14ac:dyDescent="0.25">
      <c r="A2527" t="s">
        <v>2297</v>
      </c>
      <c r="B2527">
        <v>689</v>
      </c>
      <c r="C2527" t="s">
        <v>487</v>
      </c>
      <c r="D2527" t="s">
        <v>231</v>
      </c>
      <c r="E2527" t="s">
        <v>232</v>
      </c>
      <c r="F2527" t="s">
        <v>1162</v>
      </c>
      <c r="G2527" s="25">
        <v>44228</v>
      </c>
      <c r="H2527">
        <v>7</v>
      </c>
      <c r="I2527">
        <v>32</v>
      </c>
      <c r="J2527" t="s">
        <v>231</v>
      </c>
      <c r="K2527" t="s">
        <v>500</v>
      </c>
      <c r="L2527" t="s">
        <v>265</v>
      </c>
      <c r="M2527" t="s">
        <v>234</v>
      </c>
      <c r="N2527" t="s">
        <v>52</v>
      </c>
      <c r="O2527" t="s">
        <v>235</v>
      </c>
      <c r="P2527" t="s">
        <v>266</v>
      </c>
      <c r="Q2527">
        <v>0</v>
      </c>
      <c r="R2527" t="s">
        <v>237</v>
      </c>
    </row>
    <row r="2528" spans="1:18" x14ac:dyDescent="0.25">
      <c r="A2528" t="s">
        <v>343</v>
      </c>
      <c r="B2528">
        <v>73</v>
      </c>
      <c r="C2528" t="s">
        <v>487</v>
      </c>
      <c r="D2528" t="s">
        <v>229</v>
      </c>
      <c r="E2528" t="s">
        <v>261</v>
      </c>
      <c r="F2528" t="s">
        <v>549</v>
      </c>
      <c r="G2528" s="25">
        <v>44200</v>
      </c>
      <c r="H2528">
        <v>1</v>
      </c>
      <c r="I2528">
        <v>4</v>
      </c>
      <c r="J2528" t="s">
        <v>231</v>
      </c>
      <c r="K2528" t="s">
        <v>500</v>
      </c>
      <c r="L2528" t="s">
        <v>265</v>
      </c>
      <c r="M2528" t="s">
        <v>234</v>
      </c>
      <c r="N2528" t="s">
        <v>52</v>
      </c>
      <c r="O2528" t="s">
        <v>235</v>
      </c>
      <c r="P2528" t="s">
        <v>266</v>
      </c>
      <c r="Q2528">
        <v>0</v>
      </c>
      <c r="R2528" t="s">
        <v>237</v>
      </c>
    </row>
    <row r="2529" spans="1:18" x14ac:dyDescent="0.25">
      <c r="A2529" t="s">
        <v>4019</v>
      </c>
      <c r="B2529">
        <v>2251</v>
      </c>
      <c r="C2529" t="s">
        <v>487</v>
      </c>
      <c r="D2529" t="s">
        <v>247</v>
      </c>
      <c r="E2529" t="s">
        <v>256</v>
      </c>
      <c r="F2529" t="s">
        <v>3073</v>
      </c>
      <c r="G2529" s="25">
        <v>44299</v>
      </c>
      <c r="H2529">
        <v>21</v>
      </c>
      <c r="I2529">
        <v>103</v>
      </c>
      <c r="J2529" t="s">
        <v>231</v>
      </c>
      <c r="K2529" t="s">
        <v>500</v>
      </c>
      <c r="L2529" t="s">
        <v>265</v>
      </c>
      <c r="M2529" t="s">
        <v>234</v>
      </c>
      <c r="N2529" t="s">
        <v>52</v>
      </c>
      <c r="O2529" t="s">
        <v>235</v>
      </c>
      <c r="P2529" t="s">
        <v>266</v>
      </c>
      <c r="Q2529">
        <v>0</v>
      </c>
      <c r="R2529" t="s">
        <v>237</v>
      </c>
    </row>
    <row r="2530" spans="1:18" x14ac:dyDescent="0.25">
      <c r="A2530" t="s">
        <v>4020</v>
      </c>
      <c r="B2530">
        <v>1877</v>
      </c>
      <c r="C2530" t="s">
        <v>487</v>
      </c>
      <c r="D2530" t="s">
        <v>322</v>
      </c>
      <c r="E2530" t="s">
        <v>247</v>
      </c>
      <c r="F2530" t="s">
        <v>2963</v>
      </c>
      <c r="G2530" s="25">
        <v>44282</v>
      </c>
      <c r="H2530">
        <v>18</v>
      </c>
      <c r="I2530">
        <v>86</v>
      </c>
      <c r="J2530" t="s">
        <v>231</v>
      </c>
      <c r="K2530" t="s">
        <v>500</v>
      </c>
      <c r="L2530" t="s">
        <v>265</v>
      </c>
      <c r="M2530" t="s">
        <v>234</v>
      </c>
      <c r="N2530" t="s">
        <v>52</v>
      </c>
      <c r="O2530" t="s">
        <v>235</v>
      </c>
      <c r="P2530" t="s">
        <v>266</v>
      </c>
      <c r="Q2530">
        <v>0</v>
      </c>
      <c r="R2530" t="s">
        <v>237</v>
      </c>
    </row>
    <row r="2531" spans="1:18" x14ac:dyDescent="0.25">
      <c r="A2531" t="s">
        <v>2786</v>
      </c>
      <c r="B2531">
        <v>1041</v>
      </c>
      <c r="C2531" t="s">
        <v>487</v>
      </c>
      <c r="D2531" t="s">
        <v>256</v>
      </c>
      <c r="E2531" t="s">
        <v>381</v>
      </c>
      <c r="F2531" t="s">
        <v>1311</v>
      </c>
      <c r="G2531" s="25">
        <v>44244</v>
      </c>
      <c r="H2531">
        <v>10</v>
      </c>
      <c r="I2531">
        <v>48</v>
      </c>
      <c r="J2531" t="s">
        <v>231</v>
      </c>
      <c r="K2531" t="s">
        <v>500</v>
      </c>
      <c r="L2531" t="s">
        <v>265</v>
      </c>
      <c r="M2531" t="s">
        <v>234</v>
      </c>
      <c r="N2531" t="s">
        <v>52</v>
      </c>
      <c r="O2531" t="s">
        <v>235</v>
      </c>
      <c r="P2531" t="s">
        <v>266</v>
      </c>
      <c r="Q2531">
        <v>0</v>
      </c>
      <c r="R2531" t="s">
        <v>237</v>
      </c>
    </row>
    <row r="2532" spans="1:18" x14ac:dyDescent="0.25">
      <c r="A2532" t="s">
        <v>4021</v>
      </c>
      <c r="B2532">
        <v>2476</v>
      </c>
      <c r="C2532" t="s">
        <v>487</v>
      </c>
      <c r="D2532" t="s">
        <v>247</v>
      </c>
      <c r="E2532" t="s">
        <v>512</v>
      </c>
      <c r="F2532" t="s">
        <v>3146</v>
      </c>
      <c r="G2532" s="25">
        <v>44309</v>
      </c>
      <c r="H2532">
        <v>23</v>
      </c>
      <c r="I2532">
        <v>113</v>
      </c>
      <c r="J2532" t="s">
        <v>231</v>
      </c>
      <c r="K2532" t="s">
        <v>499</v>
      </c>
      <c r="L2532" t="s">
        <v>410</v>
      </c>
      <c r="M2532" t="s">
        <v>234</v>
      </c>
      <c r="N2532" t="s">
        <v>62</v>
      </c>
      <c r="O2532" t="s">
        <v>235</v>
      </c>
      <c r="P2532" t="s">
        <v>411</v>
      </c>
      <c r="Q2532">
        <v>0</v>
      </c>
      <c r="R2532" t="s">
        <v>237</v>
      </c>
    </row>
    <row r="2533" spans="1:18" x14ac:dyDescent="0.25">
      <c r="A2533" t="s">
        <v>4022</v>
      </c>
      <c r="B2533">
        <v>2168</v>
      </c>
      <c r="C2533" t="s">
        <v>487</v>
      </c>
      <c r="D2533" t="s">
        <v>322</v>
      </c>
      <c r="E2533" t="s">
        <v>531</v>
      </c>
      <c r="F2533" t="s">
        <v>3056</v>
      </c>
      <c r="G2533" s="25">
        <v>44295</v>
      </c>
      <c r="H2533">
        <v>20</v>
      </c>
      <c r="I2533">
        <v>99</v>
      </c>
      <c r="J2533" t="s">
        <v>231</v>
      </c>
      <c r="K2533" t="s">
        <v>499</v>
      </c>
      <c r="L2533" t="s">
        <v>410</v>
      </c>
      <c r="M2533" t="s">
        <v>234</v>
      </c>
      <c r="N2533" t="s">
        <v>62</v>
      </c>
      <c r="O2533" t="s">
        <v>235</v>
      </c>
      <c r="P2533" t="s">
        <v>411</v>
      </c>
      <c r="Q2533">
        <v>0</v>
      </c>
      <c r="R2533" t="s">
        <v>237</v>
      </c>
    </row>
    <row r="2534" spans="1:18" x14ac:dyDescent="0.25">
      <c r="A2534" t="s">
        <v>4023</v>
      </c>
      <c r="B2534">
        <v>1860</v>
      </c>
      <c r="C2534" t="s">
        <v>487</v>
      </c>
      <c r="D2534" t="s">
        <v>322</v>
      </c>
      <c r="E2534" t="s">
        <v>322</v>
      </c>
      <c r="F2534" t="s">
        <v>2960</v>
      </c>
      <c r="G2534" s="25">
        <v>44281</v>
      </c>
      <c r="H2534">
        <v>17</v>
      </c>
      <c r="I2534">
        <v>85</v>
      </c>
      <c r="J2534" t="s">
        <v>231</v>
      </c>
      <c r="K2534" t="s">
        <v>499</v>
      </c>
      <c r="L2534" t="s">
        <v>410</v>
      </c>
      <c r="M2534" t="s">
        <v>234</v>
      </c>
      <c r="N2534" t="s">
        <v>62</v>
      </c>
      <c r="O2534" t="s">
        <v>235</v>
      </c>
      <c r="P2534" t="s">
        <v>411</v>
      </c>
      <c r="Q2534">
        <v>0</v>
      </c>
      <c r="R2534" t="s">
        <v>237</v>
      </c>
    </row>
    <row r="2535" spans="1:18" x14ac:dyDescent="0.25">
      <c r="A2535" t="s">
        <v>2180</v>
      </c>
      <c r="B2535">
        <v>1266</v>
      </c>
      <c r="C2535" t="s">
        <v>487</v>
      </c>
      <c r="D2535" t="s">
        <v>256</v>
      </c>
      <c r="E2535" t="s">
        <v>552</v>
      </c>
      <c r="F2535" t="s">
        <v>1365</v>
      </c>
      <c r="G2535" s="25">
        <v>44254</v>
      </c>
      <c r="H2535">
        <v>12</v>
      </c>
      <c r="I2535">
        <v>58</v>
      </c>
      <c r="J2535" t="s">
        <v>231</v>
      </c>
      <c r="K2535" t="s">
        <v>499</v>
      </c>
      <c r="L2535" t="s">
        <v>410</v>
      </c>
      <c r="M2535" t="s">
        <v>234</v>
      </c>
      <c r="N2535" t="s">
        <v>62</v>
      </c>
      <c r="O2535" t="s">
        <v>235</v>
      </c>
      <c r="P2535" t="s">
        <v>411</v>
      </c>
      <c r="Q2535">
        <v>0</v>
      </c>
      <c r="R2535" t="s">
        <v>237</v>
      </c>
    </row>
    <row r="2536" spans="1:18" x14ac:dyDescent="0.25">
      <c r="A2536" t="s">
        <v>798</v>
      </c>
      <c r="B2536">
        <v>298</v>
      </c>
      <c r="C2536" t="s">
        <v>487</v>
      </c>
      <c r="D2536" t="s">
        <v>229</v>
      </c>
      <c r="E2536" t="s">
        <v>537</v>
      </c>
      <c r="F2536" t="s">
        <v>538</v>
      </c>
      <c r="G2536" s="25">
        <v>44210</v>
      </c>
      <c r="H2536">
        <v>3</v>
      </c>
      <c r="I2536">
        <v>14</v>
      </c>
      <c r="J2536" t="s">
        <v>231</v>
      </c>
      <c r="K2536" t="s">
        <v>499</v>
      </c>
      <c r="L2536" t="s">
        <v>410</v>
      </c>
      <c r="M2536" t="s">
        <v>234</v>
      </c>
      <c r="N2536" t="s">
        <v>62</v>
      </c>
      <c r="O2536" t="s">
        <v>235</v>
      </c>
      <c r="P2536" t="s">
        <v>411</v>
      </c>
      <c r="Q2536">
        <v>0</v>
      </c>
      <c r="R2536" t="s">
        <v>237</v>
      </c>
    </row>
    <row r="2537" spans="1:18" x14ac:dyDescent="0.25">
      <c r="A2537" t="s">
        <v>4024</v>
      </c>
      <c r="B2537">
        <v>2111</v>
      </c>
      <c r="C2537" t="s">
        <v>487</v>
      </c>
      <c r="D2537" t="s">
        <v>322</v>
      </c>
      <c r="E2537" t="s">
        <v>620</v>
      </c>
      <c r="F2537" t="s">
        <v>3025</v>
      </c>
      <c r="G2537" s="25">
        <v>44292</v>
      </c>
      <c r="H2537">
        <v>20</v>
      </c>
      <c r="I2537">
        <v>96</v>
      </c>
      <c r="J2537" t="s">
        <v>432</v>
      </c>
      <c r="K2537" t="s">
        <v>498</v>
      </c>
      <c r="L2537" t="s">
        <v>26</v>
      </c>
      <c r="M2537" t="s">
        <v>434</v>
      </c>
      <c r="N2537" t="s">
        <v>77</v>
      </c>
      <c r="O2537" t="s">
        <v>435</v>
      </c>
      <c r="P2537" t="s">
        <v>26</v>
      </c>
      <c r="Q2537">
        <v>261826.875</v>
      </c>
      <c r="R2537" t="s">
        <v>436</v>
      </c>
    </row>
    <row r="2538" spans="1:18" x14ac:dyDescent="0.25">
      <c r="A2538" t="s">
        <v>4025</v>
      </c>
      <c r="B2538">
        <v>1979</v>
      </c>
      <c r="C2538" t="s">
        <v>487</v>
      </c>
      <c r="D2538" t="s">
        <v>322</v>
      </c>
      <c r="E2538" t="s">
        <v>239</v>
      </c>
      <c r="F2538" t="s">
        <v>2979</v>
      </c>
      <c r="G2538" s="25">
        <v>44286</v>
      </c>
      <c r="H2538">
        <v>18</v>
      </c>
      <c r="I2538">
        <v>90</v>
      </c>
      <c r="J2538" t="s">
        <v>432</v>
      </c>
      <c r="K2538" t="s">
        <v>498</v>
      </c>
      <c r="L2538" t="s">
        <v>26</v>
      </c>
      <c r="M2538" t="s">
        <v>434</v>
      </c>
      <c r="N2538" t="s">
        <v>77</v>
      </c>
      <c r="O2538" t="s">
        <v>435</v>
      </c>
      <c r="P2538" t="s">
        <v>26</v>
      </c>
      <c r="Q2538">
        <v>294005</v>
      </c>
      <c r="R2538" t="s">
        <v>436</v>
      </c>
    </row>
    <row r="2539" spans="1:18" x14ac:dyDescent="0.25">
      <c r="A2539" t="s">
        <v>2246</v>
      </c>
      <c r="B2539">
        <v>1693</v>
      </c>
      <c r="C2539" t="s">
        <v>487</v>
      </c>
      <c r="D2539" t="s">
        <v>261</v>
      </c>
      <c r="E2539" t="s">
        <v>534</v>
      </c>
      <c r="F2539" t="s">
        <v>1563</v>
      </c>
      <c r="G2539" s="25">
        <v>44273</v>
      </c>
      <c r="H2539">
        <v>16</v>
      </c>
      <c r="I2539">
        <v>77</v>
      </c>
      <c r="J2539" t="s">
        <v>432</v>
      </c>
      <c r="K2539" t="s">
        <v>498</v>
      </c>
      <c r="L2539" t="s">
        <v>26</v>
      </c>
      <c r="M2539" t="s">
        <v>434</v>
      </c>
      <c r="N2539" t="s">
        <v>77</v>
      </c>
      <c r="O2539" t="s">
        <v>435</v>
      </c>
      <c r="P2539" t="s">
        <v>26</v>
      </c>
      <c r="Q2539">
        <v>111343.75</v>
      </c>
      <c r="R2539" t="s">
        <v>436</v>
      </c>
    </row>
    <row r="2540" spans="1:18" x14ac:dyDescent="0.25">
      <c r="A2540" t="s">
        <v>2793</v>
      </c>
      <c r="B2540">
        <v>1407</v>
      </c>
      <c r="C2540" t="s">
        <v>487</v>
      </c>
      <c r="D2540" t="s">
        <v>261</v>
      </c>
      <c r="E2540" t="s">
        <v>261</v>
      </c>
      <c r="F2540" t="s">
        <v>1410</v>
      </c>
      <c r="G2540" s="25">
        <v>44260</v>
      </c>
      <c r="H2540">
        <v>13</v>
      </c>
      <c r="I2540">
        <v>64</v>
      </c>
      <c r="J2540" t="s">
        <v>432</v>
      </c>
      <c r="K2540" t="s">
        <v>498</v>
      </c>
      <c r="L2540" t="s">
        <v>26</v>
      </c>
      <c r="M2540" t="s">
        <v>434</v>
      </c>
      <c r="N2540" t="s">
        <v>77</v>
      </c>
      <c r="O2540" t="s">
        <v>435</v>
      </c>
      <c r="P2540" t="s">
        <v>26</v>
      </c>
      <c r="Q2540">
        <v>170275</v>
      </c>
      <c r="R2540" t="s">
        <v>436</v>
      </c>
    </row>
    <row r="2541" spans="1:18" x14ac:dyDescent="0.25">
      <c r="A2541" t="s">
        <v>2359</v>
      </c>
      <c r="B2541">
        <v>1187</v>
      </c>
      <c r="C2541" t="s">
        <v>487</v>
      </c>
      <c r="D2541" t="s">
        <v>256</v>
      </c>
      <c r="E2541" t="s">
        <v>537</v>
      </c>
      <c r="F2541" t="s">
        <v>1348</v>
      </c>
      <c r="G2541" s="25">
        <v>44250</v>
      </c>
      <c r="H2541">
        <v>11</v>
      </c>
      <c r="I2541">
        <v>54</v>
      </c>
      <c r="J2541" t="s">
        <v>432</v>
      </c>
      <c r="K2541" t="s">
        <v>498</v>
      </c>
      <c r="L2541" t="s">
        <v>26</v>
      </c>
      <c r="M2541" t="s">
        <v>434</v>
      </c>
      <c r="N2541" t="s">
        <v>77</v>
      </c>
      <c r="O2541" t="s">
        <v>435</v>
      </c>
      <c r="P2541" t="s">
        <v>26</v>
      </c>
      <c r="Q2541">
        <v>210328.125</v>
      </c>
      <c r="R2541" t="s">
        <v>436</v>
      </c>
    </row>
    <row r="2542" spans="1:18" x14ac:dyDescent="0.25">
      <c r="A2542" t="s">
        <v>2737</v>
      </c>
      <c r="B2542">
        <v>1273</v>
      </c>
      <c r="C2542" t="s">
        <v>487</v>
      </c>
      <c r="D2542" t="s">
        <v>256</v>
      </c>
      <c r="E2542" t="s">
        <v>552</v>
      </c>
      <c r="F2542" t="s">
        <v>1365</v>
      </c>
      <c r="G2542" s="25">
        <v>44254</v>
      </c>
      <c r="H2542">
        <v>12</v>
      </c>
      <c r="I2542">
        <v>58</v>
      </c>
      <c r="J2542" t="s">
        <v>432</v>
      </c>
      <c r="K2542" t="s">
        <v>497</v>
      </c>
      <c r="L2542" t="s">
        <v>438</v>
      </c>
      <c r="M2542" t="s">
        <v>434</v>
      </c>
      <c r="N2542" t="s">
        <v>75</v>
      </c>
      <c r="O2542" t="s">
        <v>435</v>
      </c>
      <c r="P2542" t="s">
        <v>438</v>
      </c>
      <c r="Q2542">
        <v>43200</v>
      </c>
      <c r="R2542" t="s">
        <v>436</v>
      </c>
    </row>
    <row r="2543" spans="1:18" x14ac:dyDescent="0.25">
      <c r="A2543" t="s">
        <v>582</v>
      </c>
      <c r="B2543">
        <v>305</v>
      </c>
      <c r="C2543" t="s">
        <v>487</v>
      </c>
      <c r="D2543" t="s">
        <v>229</v>
      </c>
      <c r="E2543" t="s">
        <v>537</v>
      </c>
      <c r="F2543" t="s">
        <v>538</v>
      </c>
      <c r="G2543" s="25">
        <v>44210</v>
      </c>
      <c r="H2543">
        <v>3</v>
      </c>
      <c r="I2543">
        <v>14</v>
      </c>
      <c r="J2543" t="s">
        <v>432</v>
      </c>
      <c r="K2543" t="s">
        <v>497</v>
      </c>
      <c r="L2543" t="s">
        <v>438</v>
      </c>
      <c r="M2543" t="s">
        <v>434</v>
      </c>
      <c r="N2543" t="s">
        <v>75</v>
      </c>
      <c r="O2543" t="s">
        <v>435</v>
      </c>
      <c r="P2543" t="s">
        <v>438</v>
      </c>
      <c r="Q2543">
        <v>5100</v>
      </c>
      <c r="R2543" t="s">
        <v>436</v>
      </c>
    </row>
    <row r="2544" spans="1:18" x14ac:dyDescent="0.25">
      <c r="A2544" t="s">
        <v>4026</v>
      </c>
      <c r="B2544">
        <v>2549</v>
      </c>
      <c r="C2544" t="s">
        <v>487</v>
      </c>
      <c r="D2544" t="s">
        <v>247</v>
      </c>
      <c r="E2544" t="s">
        <v>620</v>
      </c>
      <c r="F2544" t="s">
        <v>3162</v>
      </c>
      <c r="G2544" s="25">
        <v>44312</v>
      </c>
      <c r="H2544">
        <v>24</v>
      </c>
      <c r="I2544">
        <v>116</v>
      </c>
      <c r="J2544" t="s">
        <v>432</v>
      </c>
      <c r="K2544" t="s">
        <v>497</v>
      </c>
      <c r="L2544" t="s">
        <v>438</v>
      </c>
      <c r="M2544" t="s">
        <v>434</v>
      </c>
      <c r="N2544" t="s">
        <v>75</v>
      </c>
      <c r="O2544" t="s">
        <v>435</v>
      </c>
      <c r="P2544" t="s">
        <v>438</v>
      </c>
      <c r="Q2544">
        <v>33487.5</v>
      </c>
      <c r="R2544" t="s">
        <v>436</v>
      </c>
    </row>
    <row r="2545" spans="1:18" x14ac:dyDescent="0.25">
      <c r="A2545" t="s">
        <v>4027</v>
      </c>
      <c r="B2545">
        <v>2483</v>
      </c>
      <c r="C2545" t="s">
        <v>487</v>
      </c>
      <c r="D2545" t="s">
        <v>247</v>
      </c>
      <c r="E2545" t="s">
        <v>512</v>
      </c>
      <c r="F2545" t="s">
        <v>3146</v>
      </c>
      <c r="G2545" s="25">
        <v>44309</v>
      </c>
      <c r="H2545">
        <v>23</v>
      </c>
      <c r="I2545">
        <v>113</v>
      </c>
      <c r="J2545" t="s">
        <v>432</v>
      </c>
      <c r="K2545" t="s">
        <v>497</v>
      </c>
      <c r="L2545" t="s">
        <v>438</v>
      </c>
      <c r="M2545" t="s">
        <v>434</v>
      </c>
      <c r="N2545" t="s">
        <v>75</v>
      </c>
      <c r="O2545" t="s">
        <v>435</v>
      </c>
      <c r="P2545" t="s">
        <v>438</v>
      </c>
      <c r="Q2545">
        <v>34500</v>
      </c>
      <c r="R2545" t="s">
        <v>436</v>
      </c>
    </row>
    <row r="2546" spans="1:18" x14ac:dyDescent="0.25">
      <c r="A2546" t="s">
        <v>4028</v>
      </c>
      <c r="B2546">
        <v>2175</v>
      </c>
      <c r="C2546" t="s">
        <v>487</v>
      </c>
      <c r="D2546" t="s">
        <v>322</v>
      </c>
      <c r="E2546" t="s">
        <v>531</v>
      </c>
      <c r="F2546" t="s">
        <v>3056</v>
      </c>
      <c r="G2546" s="25">
        <v>44295</v>
      </c>
      <c r="H2546">
        <v>20</v>
      </c>
      <c r="I2546">
        <v>99</v>
      </c>
      <c r="J2546" t="s">
        <v>432</v>
      </c>
      <c r="K2546" t="s">
        <v>497</v>
      </c>
      <c r="L2546" t="s">
        <v>438</v>
      </c>
      <c r="M2546" t="s">
        <v>434</v>
      </c>
      <c r="N2546" t="s">
        <v>75</v>
      </c>
      <c r="O2546" t="s">
        <v>435</v>
      </c>
      <c r="P2546" t="s">
        <v>438</v>
      </c>
      <c r="Q2546">
        <v>50700</v>
      </c>
      <c r="R2546" t="s">
        <v>436</v>
      </c>
    </row>
    <row r="2547" spans="1:18" x14ac:dyDescent="0.25">
      <c r="A2547" t="s">
        <v>4029</v>
      </c>
      <c r="B2547">
        <v>2413</v>
      </c>
      <c r="C2547" t="s">
        <v>487</v>
      </c>
      <c r="D2547" t="s">
        <v>247</v>
      </c>
      <c r="E2547" t="s">
        <v>239</v>
      </c>
      <c r="F2547" t="s">
        <v>3118</v>
      </c>
      <c r="G2547" s="25">
        <v>44306</v>
      </c>
      <c r="H2547">
        <v>22</v>
      </c>
      <c r="I2547">
        <v>110</v>
      </c>
      <c r="J2547" t="s">
        <v>432</v>
      </c>
      <c r="K2547" t="s">
        <v>496</v>
      </c>
      <c r="L2547" t="s">
        <v>69</v>
      </c>
      <c r="M2547" t="s">
        <v>434</v>
      </c>
      <c r="N2547" t="s">
        <v>68</v>
      </c>
      <c r="O2547" t="s">
        <v>21</v>
      </c>
      <c r="P2547" t="s">
        <v>439</v>
      </c>
      <c r="Q2547">
        <v>419000</v>
      </c>
      <c r="R2547" t="s">
        <v>237</v>
      </c>
    </row>
    <row r="2548" spans="1:18" x14ac:dyDescent="0.25">
      <c r="A2548" t="s">
        <v>4030</v>
      </c>
      <c r="B2548">
        <v>2303</v>
      </c>
      <c r="C2548" t="s">
        <v>487</v>
      </c>
      <c r="D2548" t="s">
        <v>247</v>
      </c>
      <c r="E2548" t="s">
        <v>322</v>
      </c>
      <c r="F2548" t="s">
        <v>3083</v>
      </c>
      <c r="G2548" s="25">
        <v>44301</v>
      </c>
      <c r="H2548">
        <v>21</v>
      </c>
      <c r="I2548">
        <v>105</v>
      </c>
      <c r="J2548" t="s">
        <v>432</v>
      </c>
      <c r="K2548" t="s">
        <v>496</v>
      </c>
      <c r="L2548" t="s">
        <v>69</v>
      </c>
      <c r="M2548" t="s">
        <v>434</v>
      </c>
      <c r="N2548" t="s">
        <v>68</v>
      </c>
      <c r="O2548" t="s">
        <v>21</v>
      </c>
      <c r="P2548" t="s">
        <v>439</v>
      </c>
      <c r="Q2548">
        <v>527375</v>
      </c>
      <c r="R2548" t="s">
        <v>237</v>
      </c>
    </row>
    <row r="2549" spans="1:18" x14ac:dyDescent="0.25">
      <c r="A2549" t="s">
        <v>4031</v>
      </c>
      <c r="B2549">
        <v>1951</v>
      </c>
      <c r="C2549" t="s">
        <v>487</v>
      </c>
      <c r="D2549" t="s">
        <v>322</v>
      </c>
      <c r="E2549" t="s">
        <v>371</v>
      </c>
      <c r="F2549" t="s">
        <v>2976</v>
      </c>
      <c r="G2549" s="25">
        <v>44285</v>
      </c>
      <c r="H2549">
        <v>18</v>
      </c>
      <c r="I2549">
        <v>89</v>
      </c>
      <c r="J2549" t="s">
        <v>432</v>
      </c>
      <c r="K2549" t="s">
        <v>496</v>
      </c>
      <c r="L2549" t="s">
        <v>69</v>
      </c>
      <c r="M2549" t="s">
        <v>434</v>
      </c>
      <c r="N2549" t="s">
        <v>68</v>
      </c>
      <c r="O2549" t="s">
        <v>21</v>
      </c>
      <c r="P2549" t="s">
        <v>439</v>
      </c>
      <c r="Q2549">
        <v>681000</v>
      </c>
      <c r="R2549" t="s">
        <v>237</v>
      </c>
    </row>
    <row r="2550" spans="1:18" x14ac:dyDescent="0.25">
      <c r="A2550" t="s">
        <v>2124</v>
      </c>
      <c r="B2550">
        <v>1710</v>
      </c>
      <c r="C2550" t="s">
        <v>487</v>
      </c>
      <c r="D2550" t="s">
        <v>261</v>
      </c>
      <c r="E2550" t="s">
        <v>552</v>
      </c>
      <c r="F2550" t="s">
        <v>1585</v>
      </c>
      <c r="G2550" s="25">
        <v>44274</v>
      </c>
      <c r="H2550">
        <v>16</v>
      </c>
      <c r="I2550">
        <v>78</v>
      </c>
      <c r="J2550" t="s">
        <v>432</v>
      </c>
      <c r="K2550" t="s">
        <v>495</v>
      </c>
      <c r="L2550" t="s">
        <v>135</v>
      </c>
      <c r="M2550" t="s">
        <v>434</v>
      </c>
      <c r="N2550" t="s">
        <v>70</v>
      </c>
      <c r="O2550" t="s">
        <v>21</v>
      </c>
      <c r="P2550" t="s">
        <v>440</v>
      </c>
      <c r="Q2550">
        <v>20250</v>
      </c>
      <c r="R2550" t="s">
        <v>237</v>
      </c>
    </row>
    <row r="2551" spans="1:18" x14ac:dyDescent="0.25">
      <c r="A2551" t="s">
        <v>1835</v>
      </c>
      <c r="B2551">
        <v>918</v>
      </c>
      <c r="C2551" t="s">
        <v>487</v>
      </c>
      <c r="D2551" t="s">
        <v>256</v>
      </c>
      <c r="E2551" t="s">
        <v>231</v>
      </c>
      <c r="F2551" t="s">
        <v>1249</v>
      </c>
      <c r="G2551" s="25">
        <v>44238</v>
      </c>
      <c r="H2551">
        <v>9</v>
      </c>
      <c r="I2551">
        <v>42</v>
      </c>
      <c r="J2551" t="s">
        <v>432</v>
      </c>
      <c r="K2551" t="s">
        <v>495</v>
      </c>
      <c r="L2551" t="s">
        <v>135</v>
      </c>
      <c r="M2551" t="s">
        <v>434</v>
      </c>
      <c r="N2551" t="s">
        <v>70</v>
      </c>
      <c r="O2551" t="s">
        <v>21</v>
      </c>
      <c r="P2551" t="s">
        <v>440</v>
      </c>
      <c r="Q2551">
        <v>100000</v>
      </c>
      <c r="R2551" t="s">
        <v>237</v>
      </c>
    </row>
    <row r="2552" spans="1:18" x14ac:dyDescent="0.25">
      <c r="A2552" t="s">
        <v>4032</v>
      </c>
      <c r="B2552">
        <v>1956</v>
      </c>
      <c r="C2552" t="s">
        <v>487</v>
      </c>
      <c r="D2552" t="s">
        <v>322</v>
      </c>
      <c r="E2552" t="s">
        <v>371</v>
      </c>
      <c r="F2552" t="s">
        <v>2976</v>
      </c>
      <c r="G2552" s="25">
        <v>44285</v>
      </c>
      <c r="H2552">
        <v>18</v>
      </c>
      <c r="I2552">
        <v>89</v>
      </c>
      <c r="J2552" t="s">
        <v>432</v>
      </c>
      <c r="K2552" t="s">
        <v>494</v>
      </c>
      <c r="L2552" t="s">
        <v>25</v>
      </c>
      <c r="M2552" t="s">
        <v>434</v>
      </c>
      <c r="N2552" t="s">
        <v>76</v>
      </c>
      <c r="O2552" t="s">
        <v>435</v>
      </c>
      <c r="P2552" t="s">
        <v>25</v>
      </c>
      <c r="Q2552">
        <v>74400</v>
      </c>
      <c r="R2552" t="s">
        <v>436</v>
      </c>
    </row>
    <row r="2553" spans="1:18" x14ac:dyDescent="0.25">
      <c r="A2553" t="s">
        <v>1692</v>
      </c>
      <c r="B2553">
        <v>1208</v>
      </c>
      <c r="C2553" t="s">
        <v>487</v>
      </c>
      <c r="D2553" t="s">
        <v>256</v>
      </c>
      <c r="E2553" t="s">
        <v>575</v>
      </c>
      <c r="F2553" t="s">
        <v>1668</v>
      </c>
      <c r="G2553" s="25">
        <v>44251</v>
      </c>
      <c r="H2553">
        <v>11</v>
      </c>
      <c r="I2553">
        <v>55</v>
      </c>
      <c r="J2553" t="s">
        <v>432</v>
      </c>
      <c r="K2553" t="s">
        <v>494</v>
      </c>
      <c r="L2553" t="s">
        <v>25</v>
      </c>
      <c r="M2553" t="s">
        <v>434</v>
      </c>
      <c r="N2553" t="s">
        <v>76</v>
      </c>
      <c r="O2553" t="s">
        <v>435</v>
      </c>
      <c r="P2553" t="s">
        <v>25</v>
      </c>
      <c r="Q2553">
        <v>40500</v>
      </c>
      <c r="R2553" t="s">
        <v>436</v>
      </c>
    </row>
    <row r="2554" spans="1:18" x14ac:dyDescent="0.25">
      <c r="A2554" t="s">
        <v>2573</v>
      </c>
      <c r="B2554">
        <v>856</v>
      </c>
      <c r="C2554" t="s">
        <v>487</v>
      </c>
      <c r="D2554" t="s">
        <v>231</v>
      </c>
      <c r="E2554" t="s">
        <v>531</v>
      </c>
      <c r="F2554" t="s">
        <v>1230</v>
      </c>
      <c r="G2554" s="25">
        <v>44235</v>
      </c>
      <c r="H2554">
        <v>8</v>
      </c>
      <c r="I2554">
        <v>39</v>
      </c>
      <c r="J2554" t="s">
        <v>432</v>
      </c>
      <c r="K2554" t="s">
        <v>494</v>
      </c>
      <c r="L2554" t="s">
        <v>25</v>
      </c>
      <c r="M2554" t="s">
        <v>434</v>
      </c>
      <c r="N2554" t="s">
        <v>76</v>
      </c>
      <c r="O2554" t="s">
        <v>435</v>
      </c>
      <c r="P2554" t="s">
        <v>25</v>
      </c>
      <c r="Q2554">
        <v>28031.25</v>
      </c>
      <c r="R2554" t="s">
        <v>436</v>
      </c>
    </row>
    <row r="2555" spans="1:18" x14ac:dyDescent="0.25">
      <c r="A2555" t="s">
        <v>4033</v>
      </c>
      <c r="B2555">
        <v>2398</v>
      </c>
      <c r="C2555" t="s">
        <v>487</v>
      </c>
      <c r="D2555" t="s">
        <v>247</v>
      </c>
      <c r="E2555" t="s">
        <v>371</v>
      </c>
      <c r="F2555" t="s">
        <v>3112</v>
      </c>
      <c r="G2555" s="25">
        <v>44305</v>
      </c>
      <c r="H2555">
        <v>22</v>
      </c>
      <c r="I2555">
        <v>109</v>
      </c>
      <c r="J2555" t="s">
        <v>432</v>
      </c>
      <c r="K2555" t="s">
        <v>493</v>
      </c>
      <c r="L2555" t="s">
        <v>441</v>
      </c>
      <c r="M2555" t="s">
        <v>434</v>
      </c>
      <c r="N2555" t="s">
        <v>78</v>
      </c>
      <c r="O2555" t="s">
        <v>435</v>
      </c>
      <c r="P2555" t="s">
        <v>441</v>
      </c>
      <c r="Q2555">
        <v>191651.875</v>
      </c>
      <c r="R2555" t="s">
        <v>436</v>
      </c>
    </row>
    <row r="2556" spans="1:18" x14ac:dyDescent="0.25">
      <c r="A2556" t="s">
        <v>4034</v>
      </c>
      <c r="B2556">
        <v>2288</v>
      </c>
      <c r="C2556" t="s">
        <v>487</v>
      </c>
      <c r="D2556" t="s">
        <v>247</v>
      </c>
      <c r="E2556" t="s">
        <v>261</v>
      </c>
      <c r="F2556" t="s">
        <v>3078</v>
      </c>
      <c r="G2556" s="25">
        <v>44300</v>
      </c>
      <c r="H2556">
        <v>21</v>
      </c>
      <c r="I2556">
        <v>104</v>
      </c>
      <c r="J2556" t="s">
        <v>432</v>
      </c>
      <c r="K2556" t="s">
        <v>493</v>
      </c>
      <c r="L2556" t="s">
        <v>441</v>
      </c>
      <c r="M2556" t="s">
        <v>434</v>
      </c>
      <c r="N2556" t="s">
        <v>78</v>
      </c>
      <c r="O2556" t="s">
        <v>435</v>
      </c>
      <c r="P2556" t="s">
        <v>441</v>
      </c>
      <c r="Q2556">
        <v>211295.625</v>
      </c>
      <c r="R2556" t="s">
        <v>436</v>
      </c>
    </row>
    <row r="2557" spans="1:18" x14ac:dyDescent="0.25">
      <c r="A2557" t="s">
        <v>4035</v>
      </c>
      <c r="B2557">
        <v>1958</v>
      </c>
      <c r="C2557" t="s">
        <v>487</v>
      </c>
      <c r="D2557" t="s">
        <v>322</v>
      </c>
      <c r="E2557" t="s">
        <v>371</v>
      </c>
      <c r="F2557" t="s">
        <v>2976</v>
      </c>
      <c r="G2557" s="25">
        <v>44285</v>
      </c>
      <c r="H2557">
        <v>18</v>
      </c>
      <c r="I2557">
        <v>89</v>
      </c>
      <c r="J2557" t="s">
        <v>432</v>
      </c>
      <c r="K2557" t="s">
        <v>493</v>
      </c>
      <c r="L2557" t="s">
        <v>441</v>
      </c>
      <c r="M2557" t="s">
        <v>434</v>
      </c>
      <c r="N2557" t="s">
        <v>78</v>
      </c>
      <c r="O2557" t="s">
        <v>435</v>
      </c>
      <c r="P2557" t="s">
        <v>441</v>
      </c>
      <c r="Q2557">
        <v>302405</v>
      </c>
      <c r="R2557" t="s">
        <v>436</v>
      </c>
    </row>
    <row r="2558" spans="1:18" x14ac:dyDescent="0.25">
      <c r="A2558" t="s">
        <v>4036</v>
      </c>
      <c r="B2558">
        <v>1870</v>
      </c>
      <c r="C2558" t="s">
        <v>487</v>
      </c>
      <c r="D2558" t="s">
        <v>322</v>
      </c>
      <c r="E2558" t="s">
        <v>322</v>
      </c>
      <c r="F2558" t="s">
        <v>2960</v>
      </c>
      <c r="G2558" s="25">
        <v>44281</v>
      </c>
      <c r="H2558">
        <v>17</v>
      </c>
      <c r="I2558">
        <v>85</v>
      </c>
      <c r="J2558" t="s">
        <v>432</v>
      </c>
      <c r="K2558" t="s">
        <v>493</v>
      </c>
      <c r="L2558" t="s">
        <v>441</v>
      </c>
      <c r="M2558" t="s">
        <v>434</v>
      </c>
      <c r="N2558" t="s">
        <v>78</v>
      </c>
      <c r="O2558" t="s">
        <v>435</v>
      </c>
      <c r="P2558" t="s">
        <v>441</v>
      </c>
      <c r="Q2558">
        <v>333292.5</v>
      </c>
      <c r="R2558" t="s">
        <v>436</v>
      </c>
    </row>
    <row r="2559" spans="1:18" x14ac:dyDescent="0.25">
      <c r="A2559" t="s">
        <v>2804</v>
      </c>
      <c r="B2559">
        <v>550</v>
      </c>
      <c r="C2559" t="s">
        <v>487</v>
      </c>
      <c r="D2559" t="s">
        <v>231</v>
      </c>
      <c r="E2559" t="s">
        <v>322</v>
      </c>
      <c r="F2559" t="s">
        <v>1085</v>
      </c>
      <c r="G2559" s="25">
        <v>44221</v>
      </c>
      <c r="H2559">
        <v>5</v>
      </c>
      <c r="I2559">
        <v>25</v>
      </c>
      <c r="J2559" t="s">
        <v>432</v>
      </c>
      <c r="K2559" t="s">
        <v>493</v>
      </c>
      <c r="L2559" t="s">
        <v>441</v>
      </c>
      <c r="M2559" t="s">
        <v>434</v>
      </c>
      <c r="N2559" t="s">
        <v>78</v>
      </c>
      <c r="O2559" t="s">
        <v>435</v>
      </c>
      <c r="P2559" t="s">
        <v>441</v>
      </c>
      <c r="Q2559">
        <v>155356.25</v>
      </c>
      <c r="R2559" t="s">
        <v>436</v>
      </c>
    </row>
    <row r="2560" spans="1:18" x14ac:dyDescent="0.25">
      <c r="A2560" t="s">
        <v>4037</v>
      </c>
      <c r="B2560">
        <v>1865</v>
      </c>
      <c r="C2560" t="s">
        <v>487</v>
      </c>
      <c r="D2560" t="s">
        <v>322</v>
      </c>
      <c r="E2560" t="s">
        <v>322</v>
      </c>
      <c r="F2560" t="s">
        <v>2960</v>
      </c>
      <c r="G2560" s="25">
        <v>44281</v>
      </c>
      <c r="H2560">
        <v>17</v>
      </c>
      <c r="I2560">
        <v>85</v>
      </c>
      <c r="J2560" t="s">
        <v>432</v>
      </c>
      <c r="K2560" t="s">
        <v>492</v>
      </c>
      <c r="L2560" t="s">
        <v>24</v>
      </c>
      <c r="M2560" t="s">
        <v>434</v>
      </c>
      <c r="N2560" t="s">
        <v>71</v>
      </c>
      <c r="O2560" t="s">
        <v>435</v>
      </c>
      <c r="P2560" t="s">
        <v>24</v>
      </c>
      <c r="Q2560">
        <v>74400</v>
      </c>
      <c r="R2560" t="s">
        <v>436</v>
      </c>
    </row>
    <row r="2561" spans="1:18" x14ac:dyDescent="0.25">
      <c r="A2561" t="s">
        <v>1842</v>
      </c>
      <c r="B2561">
        <v>1271</v>
      </c>
      <c r="C2561" t="s">
        <v>487</v>
      </c>
      <c r="D2561" t="s">
        <v>256</v>
      </c>
      <c r="E2561" t="s">
        <v>552</v>
      </c>
      <c r="F2561" t="s">
        <v>1365</v>
      </c>
      <c r="G2561" s="25">
        <v>44254</v>
      </c>
      <c r="H2561">
        <v>12</v>
      </c>
      <c r="I2561">
        <v>58</v>
      </c>
      <c r="J2561" t="s">
        <v>432</v>
      </c>
      <c r="K2561" t="s">
        <v>492</v>
      </c>
      <c r="L2561" t="s">
        <v>24</v>
      </c>
      <c r="M2561" t="s">
        <v>434</v>
      </c>
      <c r="N2561" t="s">
        <v>71</v>
      </c>
      <c r="O2561" t="s">
        <v>435</v>
      </c>
      <c r="P2561" t="s">
        <v>24</v>
      </c>
      <c r="Q2561">
        <v>38700</v>
      </c>
      <c r="R2561" t="s">
        <v>436</v>
      </c>
    </row>
    <row r="2562" spans="1:18" x14ac:dyDescent="0.25">
      <c r="A2562" t="s">
        <v>536</v>
      </c>
      <c r="B2562">
        <v>303</v>
      </c>
      <c r="C2562" t="s">
        <v>487</v>
      </c>
      <c r="D2562" t="s">
        <v>229</v>
      </c>
      <c r="E2562" t="s">
        <v>537</v>
      </c>
      <c r="F2562" t="s">
        <v>538</v>
      </c>
      <c r="G2562" s="25">
        <v>44210</v>
      </c>
      <c r="H2562">
        <v>3</v>
      </c>
      <c r="I2562">
        <v>14</v>
      </c>
      <c r="J2562" t="s">
        <v>432</v>
      </c>
      <c r="K2562" t="s">
        <v>492</v>
      </c>
      <c r="L2562" t="s">
        <v>24</v>
      </c>
      <c r="M2562" t="s">
        <v>434</v>
      </c>
      <c r="N2562" t="s">
        <v>71</v>
      </c>
      <c r="O2562" t="s">
        <v>435</v>
      </c>
      <c r="P2562" t="s">
        <v>24</v>
      </c>
      <c r="Q2562">
        <v>10800</v>
      </c>
      <c r="R2562" t="s">
        <v>436</v>
      </c>
    </row>
    <row r="2563" spans="1:18" x14ac:dyDescent="0.25">
      <c r="A2563" t="s">
        <v>4038</v>
      </c>
      <c r="B2563">
        <v>2481</v>
      </c>
      <c r="C2563" t="s">
        <v>487</v>
      </c>
      <c r="D2563" t="s">
        <v>247</v>
      </c>
      <c r="E2563" t="s">
        <v>512</v>
      </c>
      <c r="F2563" t="s">
        <v>3146</v>
      </c>
      <c r="G2563" s="25">
        <v>44309</v>
      </c>
      <c r="H2563">
        <v>23</v>
      </c>
      <c r="I2563">
        <v>113</v>
      </c>
      <c r="J2563" t="s">
        <v>432</v>
      </c>
      <c r="K2563" t="s">
        <v>492</v>
      </c>
      <c r="L2563" t="s">
        <v>24</v>
      </c>
      <c r="M2563" t="s">
        <v>434</v>
      </c>
      <c r="N2563" t="s">
        <v>71</v>
      </c>
      <c r="O2563" t="s">
        <v>435</v>
      </c>
      <c r="P2563" t="s">
        <v>24</v>
      </c>
      <c r="Q2563">
        <v>54300</v>
      </c>
      <c r="R2563" t="s">
        <v>436</v>
      </c>
    </row>
    <row r="2564" spans="1:18" x14ac:dyDescent="0.25">
      <c r="A2564" t="s">
        <v>1894</v>
      </c>
      <c r="B2564">
        <v>1526</v>
      </c>
      <c r="C2564" t="s">
        <v>487</v>
      </c>
      <c r="D2564" t="s">
        <v>261</v>
      </c>
      <c r="E2564" t="s">
        <v>239</v>
      </c>
      <c r="F2564" t="s">
        <v>1703</v>
      </c>
      <c r="G2564" s="25">
        <v>44266</v>
      </c>
      <c r="H2564">
        <v>14</v>
      </c>
      <c r="I2564">
        <v>70</v>
      </c>
      <c r="J2564" t="s">
        <v>231</v>
      </c>
      <c r="K2564" t="s">
        <v>491</v>
      </c>
      <c r="L2564" t="s">
        <v>233</v>
      </c>
      <c r="M2564" t="s">
        <v>234</v>
      </c>
      <c r="N2564" t="s">
        <v>54</v>
      </c>
      <c r="O2564" t="s">
        <v>235</v>
      </c>
      <c r="P2564" t="s">
        <v>236</v>
      </c>
      <c r="Q2564">
        <v>0</v>
      </c>
      <c r="R2564" t="s">
        <v>237</v>
      </c>
    </row>
    <row r="2565" spans="1:18" x14ac:dyDescent="0.25">
      <c r="A2565" t="s">
        <v>2374</v>
      </c>
      <c r="B2565">
        <v>1284</v>
      </c>
      <c r="C2565" t="s">
        <v>487</v>
      </c>
      <c r="D2565" t="s">
        <v>256</v>
      </c>
      <c r="E2565" t="s">
        <v>531</v>
      </c>
      <c r="F2565" t="s">
        <v>1373</v>
      </c>
      <c r="G2565" s="25">
        <v>44255</v>
      </c>
      <c r="H2565">
        <v>12</v>
      </c>
      <c r="I2565">
        <v>59</v>
      </c>
      <c r="J2565" t="s">
        <v>231</v>
      </c>
      <c r="K2565" t="s">
        <v>491</v>
      </c>
      <c r="L2565" t="s">
        <v>233</v>
      </c>
      <c r="M2565" t="s">
        <v>234</v>
      </c>
      <c r="N2565" t="s">
        <v>54</v>
      </c>
      <c r="O2565" t="s">
        <v>235</v>
      </c>
      <c r="P2565" t="s">
        <v>236</v>
      </c>
      <c r="Q2565">
        <v>0</v>
      </c>
      <c r="R2565" t="s">
        <v>237</v>
      </c>
    </row>
    <row r="2566" spans="1:18" x14ac:dyDescent="0.25">
      <c r="A2566" t="s">
        <v>669</v>
      </c>
      <c r="B2566">
        <v>316</v>
      </c>
      <c r="C2566" t="s">
        <v>487</v>
      </c>
      <c r="D2566" t="s">
        <v>229</v>
      </c>
      <c r="E2566" t="s">
        <v>575</v>
      </c>
      <c r="F2566" t="s">
        <v>576</v>
      </c>
      <c r="G2566" s="25">
        <v>44211</v>
      </c>
      <c r="H2566">
        <v>3</v>
      </c>
      <c r="I2566">
        <v>15</v>
      </c>
      <c r="J2566" t="s">
        <v>231</v>
      </c>
      <c r="K2566" t="s">
        <v>491</v>
      </c>
      <c r="L2566" t="s">
        <v>233</v>
      </c>
      <c r="M2566" t="s">
        <v>234</v>
      </c>
      <c r="N2566" t="s">
        <v>54</v>
      </c>
      <c r="O2566" t="s">
        <v>235</v>
      </c>
      <c r="P2566" t="s">
        <v>236</v>
      </c>
      <c r="Q2566">
        <v>0</v>
      </c>
      <c r="R2566" t="s">
        <v>237</v>
      </c>
    </row>
    <row r="2567" spans="1:18" x14ac:dyDescent="0.25">
      <c r="A2567" t="s">
        <v>4039</v>
      </c>
      <c r="B2567">
        <v>2648</v>
      </c>
      <c r="C2567" t="s">
        <v>487</v>
      </c>
      <c r="D2567" t="s">
        <v>326</v>
      </c>
      <c r="E2567" t="s">
        <v>229</v>
      </c>
      <c r="F2567" t="s">
        <v>3241</v>
      </c>
      <c r="G2567" s="25">
        <v>44317</v>
      </c>
      <c r="H2567">
        <v>25</v>
      </c>
      <c r="I2567">
        <v>121</v>
      </c>
      <c r="J2567" t="s">
        <v>231</v>
      </c>
      <c r="K2567" t="s">
        <v>491</v>
      </c>
      <c r="L2567" t="s">
        <v>233</v>
      </c>
      <c r="M2567" t="s">
        <v>234</v>
      </c>
      <c r="N2567" t="s">
        <v>54</v>
      </c>
      <c r="O2567" t="s">
        <v>235</v>
      </c>
      <c r="P2567" t="s">
        <v>236</v>
      </c>
      <c r="Q2567">
        <v>0</v>
      </c>
      <c r="R2567" t="s">
        <v>237</v>
      </c>
    </row>
    <row r="2568" spans="1:18" x14ac:dyDescent="0.25">
      <c r="A2568" t="s">
        <v>2426</v>
      </c>
      <c r="B2568">
        <v>827</v>
      </c>
      <c r="C2568" t="s">
        <v>487</v>
      </c>
      <c r="D2568" t="s">
        <v>231</v>
      </c>
      <c r="E2568" t="s">
        <v>552</v>
      </c>
      <c r="F2568" t="s">
        <v>1222</v>
      </c>
      <c r="G2568" s="25">
        <v>44234</v>
      </c>
      <c r="H2568">
        <v>8</v>
      </c>
      <c r="I2568">
        <v>38</v>
      </c>
      <c r="J2568" t="s">
        <v>432</v>
      </c>
      <c r="K2568" t="s">
        <v>490</v>
      </c>
      <c r="L2568" t="s">
        <v>65</v>
      </c>
      <c r="M2568" t="s">
        <v>434</v>
      </c>
      <c r="N2568" t="s">
        <v>64</v>
      </c>
      <c r="O2568" t="s">
        <v>235</v>
      </c>
      <c r="P2568" t="s">
        <v>442</v>
      </c>
      <c r="Q2568">
        <v>240000</v>
      </c>
      <c r="R2568" t="s">
        <v>237</v>
      </c>
    </row>
    <row r="2569" spans="1:18" x14ac:dyDescent="0.25">
      <c r="A2569" t="s">
        <v>2581</v>
      </c>
      <c r="B2569">
        <v>519</v>
      </c>
      <c r="C2569" t="s">
        <v>487</v>
      </c>
      <c r="D2569" t="s">
        <v>231</v>
      </c>
      <c r="E2569" t="s">
        <v>261</v>
      </c>
      <c r="F2569" t="s">
        <v>1065</v>
      </c>
      <c r="G2569" s="25">
        <v>44220</v>
      </c>
      <c r="H2569">
        <v>5</v>
      </c>
      <c r="I2569">
        <v>24</v>
      </c>
      <c r="J2569" t="s">
        <v>432</v>
      </c>
      <c r="K2569" t="s">
        <v>490</v>
      </c>
      <c r="L2569" t="s">
        <v>65</v>
      </c>
      <c r="M2569" t="s">
        <v>434</v>
      </c>
      <c r="N2569" t="s">
        <v>64</v>
      </c>
      <c r="O2569" t="s">
        <v>235</v>
      </c>
      <c r="P2569" t="s">
        <v>442</v>
      </c>
      <c r="Q2569">
        <v>24000</v>
      </c>
      <c r="R2569" t="s">
        <v>237</v>
      </c>
    </row>
    <row r="2570" spans="1:18" x14ac:dyDescent="0.25">
      <c r="A2570" t="s">
        <v>4040</v>
      </c>
      <c r="B2570">
        <v>2389</v>
      </c>
      <c r="C2570" t="s">
        <v>487</v>
      </c>
      <c r="D2570" t="s">
        <v>247</v>
      </c>
      <c r="E2570" t="s">
        <v>371</v>
      </c>
      <c r="F2570" t="s">
        <v>3112</v>
      </c>
      <c r="G2570" s="25">
        <v>44305</v>
      </c>
      <c r="H2570">
        <v>22</v>
      </c>
      <c r="I2570">
        <v>109</v>
      </c>
      <c r="J2570" t="s">
        <v>432</v>
      </c>
      <c r="K2570" t="s">
        <v>490</v>
      </c>
      <c r="L2570" t="s">
        <v>65</v>
      </c>
      <c r="M2570" t="s">
        <v>434</v>
      </c>
      <c r="N2570" t="s">
        <v>64</v>
      </c>
      <c r="O2570" t="s">
        <v>235</v>
      </c>
      <c r="P2570" t="s">
        <v>442</v>
      </c>
      <c r="Q2570">
        <v>328000</v>
      </c>
      <c r="R2570" t="s">
        <v>237</v>
      </c>
    </row>
    <row r="2571" spans="1:18" x14ac:dyDescent="0.25">
      <c r="A2571" t="s">
        <v>4041</v>
      </c>
      <c r="B2571">
        <v>2037</v>
      </c>
      <c r="C2571" t="s">
        <v>487</v>
      </c>
      <c r="D2571" t="s">
        <v>322</v>
      </c>
      <c r="E2571" t="s">
        <v>512</v>
      </c>
      <c r="F2571" t="s">
        <v>2991</v>
      </c>
      <c r="G2571" s="25">
        <v>44289</v>
      </c>
      <c r="H2571">
        <v>19</v>
      </c>
      <c r="I2571">
        <v>93</v>
      </c>
      <c r="J2571" t="s">
        <v>432</v>
      </c>
      <c r="K2571" t="s">
        <v>490</v>
      </c>
      <c r="L2571" t="s">
        <v>65</v>
      </c>
      <c r="M2571" t="s">
        <v>434</v>
      </c>
      <c r="N2571" t="s">
        <v>64</v>
      </c>
      <c r="O2571" t="s">
        <v>235</v>
      </c>
      <c r="P2571" t="s">
        <v>442</v>
      </c>
      <c r="Q2571">
        <v>448000</v>
      </c>
      <c r="R2571" t="s">
        <v>237</v>
      </c>
    </row>
    <row r="2572" spans="1:18" x14ac:dyDescent="0.25">
      <c r="A2572" t="s">
        <v>2424</v>
      </c>
      <c r="B2572">
        <v>1421</v>
      </c>
      <c r="C2572" t="s">
        <v>487</v>
      </c>
      <c r="D2572" t="s">
        <v>261</v>
      </c>
      <c r="E2572" t="s">
        <v>322</v>
      </c>
      <c r="F2572" t="s">
        <v>1417</v>
      </c>
      <c r="G2572" s="25">
        <v>44261</v>
      </c>
      <c r="H2572">
        <v>13</v>
      </c>
      <c r="I2572">
        <v>65</v>
      </c>
      <c r="J2572" t="s">
        <v>432</v>
      </c>
      <c r="K2572" t="s">
        <v>490</v>
      </c>
      <c r="L2572" t="s">
        <v>65</v>
      </c>
      <c r="M2572" t="s">
        <v>434</v>
      </c>
      <c r="N2572" t="s">
        <v>64</v>
      </c>
      <c r="O2572" t="s">
        <v>235</v>
      </c>
      <c r="P2572" t="s">
        <v>442</v>
      </c>
      <c r="Q2572">
        <v>344000</v>
      </c>
      <c r="R2572" t="s">
        <v>237</v>
      </c>
    </row>
    <row r="2573" spans="1:18" x14ac:dyDescent="0.25">
      <c r="A2573" t="s">
        <v>2072</v>
      </c>
      <c r="B2573">
        <v>1135</v>
      </c>
      <c r="C2573" t="s">
        <v>487</v>
      </c>
      <c r="D2573" t="s">
        <v>256</v>
      </c>
      <c r="E2573" t="s">
        <v>232</v>
      </c>
      <c r="F2573" t="s">
        <v>1337</v>
      </c>
      <c r="G2573" s="25">
        <v>44248</v>
      </c>
      <c r="H2573">
        <v>11</v>
      </c>
      <c r="I2573">
        <v>52</v>
      </c>
      <c r="J2573" t="s">
        <v>432</v>
      </c>
      <c r="K2573" t="s">
        <v>490</v>
      </c>
      <c r="L2573" t="s">
        <v>65</v>
      </c>
      <c r="M2573" t="s">
        <v>434</v>
      </c>
      <c r="N2573" t="s">
        <v>64</v>
      </c>
      <c r="O2573" t="s">
        <v>235</v>
      </c>
      <c r="P2573" t="s">
        <v>442</v>
      </c>
      <c r="Q2573">
        <v>374000</v>
      </c>
      <c r="R2573" t="s">
        <v>237</v>
      </c>
    </row>
    <row r="2574" spans="1:18" x14ac:dyDescent="0.25">
      <c r="A2574" t="s">
        <v>4042</v>
      </c>
      <c r="B2574">
        <v>2438</v>
      </c>
      <c r="C2574" t="s">
        <v>487</v>
      </c>
      <c r="D2574" t="s">
        <v>247</v>
      </c>
      <c r="E2574" t="s">
        <v>515</v>
      </c>
      <c r="F2574" t="s">
        <v>3134</v>
      </c>
      <c r="G2574" s="25">
        <v>44307</v>
      </c>
      <c r="H2574">
        <v>23</v>
      </c>
      <c r="I2574">
        <v>111</v>
      </c>
      <c r="J2574" t="s">
        <v>432</v>
      </c>
      <c r="K2574" t="s">
        <v>488</v>
      </c>
      <c r="L2574" t="s">
        <v>433</v>
      </c>
      <c r="M2574" t="s">
        <v>434</v>
      </c>
      <c r="N2574" t="s">
        <v>74</v>
      </c>
      <c r="O2574" t="s">
        <v>435</v>
      </c>
      <c r="P2574" t="s">
        <v>433</v>
      </c>
      <c r="Q2574">
        <v>34500</v>
      </c>
      <c r="R2574" t="s">
        <v>436</v>
      </c>
    </row>
    <row r="2575" spans="1:18" x14ac:dyDescent="0.25">
      <c r="A2575" t="s">
        <v>4043</v>
      </c>
      <c r="B2575">
        <v>2130</v>
      </c>
      <c r="C2575" t="s">
        <v>487</v>
      </c>
      <c r="D2575" t="s">
        <v>322</v>
      </c>
      <c r="E2575" t="s">
        <v>534</v>
      </c>
      <c r="F2575" t="s">
        <v>3031</v>
      </c>
      <c r="G2575" s="25">
        <v>44293</v>
      </c>
      <c r="H2575">
        <v>20</v>
      </c>
      <c r="I2575">
        <v>97</v>
      </c>
      <c r="J2575" t="s">
        <v>432</v>
      </c>
      <c r="K2575" t="s">
        <v>488</v>
      </c>
      <c r="L2575" t="s">
        <v>433</v>
      </c>
      <c r="M2575" t="s">
        <v>434</v>
      </c>
      <c r="N2575" t="s">
        <v>74</v>
      </c>
      <c r="O2575" t="s">
        <v>435</v>
      </c>
      <c r="P2575" t="s">
        <v>433</v>
      </c>
      <c r="Q2575">
        <v>50700</v>
      </c>
      <c r="R2575" t="s">
        <v>436</v>
      </c>
    </row>
    <row r="2576" spans="1:18" x14ac:dyDescent="0.25">
      <c r="A2576" t="s">
        <v>2490</v>
      </c>
      <c r="B2576">
        <v>1470</v>
      </c>
      <c r="C2576" t="s">
        <v>487</v>
      </c>
      <c r="D2576" t="s">
        <v>261</v>
      </c>
      <c r="E2576" t="s">
        <v>326</v>
      </c>
      <c r="F2576" t="s">
        <v>1440</v>
      </c>
      <c r="G2576" s="25">
        <v>44263</v>
      </c>
      <c r="H2576">
        <v>14</v>
      </c>
      <c r="I2576">
        <v>67</v>
      </c>
      <c r="J2576" t="s">
        <v>432</v>
      </c>
      <c r="K2576" t="s">
        <v>488</v>
      </c>
      <c r="L2576" t="s">
        <v>433</v>
      </c>
      <c r="M2576" t="s">
        <v>434</v>
      </c>
      <c r="N2576" t="s">
        <v>74</v>
      </c>
      <c r="O2576" t="s">
        <v>435</v>
      </c>
      <c r="P2576" t="s">
        <v>433</v>
      </c>
      <c r="Q2576">
        <v>34031.25</v>
      </c>
      <c r="R2576" t="s">
        <v>436</v>
      </c>
    </row>
    <row r="2577" spans="1:18" x14ac:dyDescent="0.25">
      <c r="A2577" t="s">
        <v>1849</v>
      </c>
      <c r="B2577">
        <v>986</v>
      </c>
      <c r="C2577" t="s">
        <v>487</v>
      </c>
      <c r="D2577" t="s">
        <v>256</v>
      </c>
      <c r="E2577" t="s">
        <v>322</v>
      </c>
      <c r="F2577" t="s">
        <v>1288</v>
      </c>
      <c r="G2577" s="25">
        <v>44241</v>
      </c>
      <c r="H2577">
        <v>9</v>
      </c>
      <c r="I2577">
        <v>45</v>
      </c>
      <c r="J2577" t="s">
        <v>432</v>
      </c>
      <c r="K2577" t="s">
        <v>488</v>
      </c>
      <c r="L2577" t="s">
        <v>433</v>
      </c>
      <c r="M2577" t="s">
        <v>434</v>
      </c>
      <c r="N2577" t="s">
        <v>74</v>
      </c>
      <c r="O2577" t="s">
        <v>435</v>
      </c>
      <c r="P2577" t="s">
        <v>433</v>
      </c>
      <c r="Q2577">
        <v>52800</v>
      </c>
      <c r="R2577" t="s">
        <v>436</v>
      </c>
    </row>
    <row r="2578" spans="1:18" x14ac:dyDescent="0.25">
      <c r="A2578" t="s">
        <v>2076</v>
      </c>
      <c r="B2578">
        <v>700</v>
      </c>
      <c r="C2578" t="s">
        <v>487</v>
      </c>
      <c r="D2578" t="s">
        <v>231</v>
      </c>
      <c r="E2578" t="s">
        <v>232</v>
      </c>
      <c r="F2578" t="s">
        <v>1162</v>
      </c>
      <c r="G2578" s="25">
        <v>44228</v>
      </c>
      <c r="H2578">
        <v>7</v>
      </c>
      <c r="I2578">
        <v>32</v>
      </c>
      <c r="J2578" t="s">
        <v>432</v>
      </c>
      <c r="K2578" t="s">
        <v>488</v>
      </c>
      <c r="L2578" t="s">
        <v>433</v>
      </c>
      <c r="M2578" t="s">
        <v>434</v>
      </c>
      <c r="N2578" t="s">
        <v>74</v>
      </c>
      <c r="O2578" t="s">
        <v>435</v>
      </c>
      <c r="P2578" t="s">
        <v>433</v>
      </c>
      <c r="Q2578">
        <v>32287.5</v>
      </c>
      <c r="R2578" t="s">
        <v>436</v>
      </c>
    </row>
    <row r="2579" spans="1:18" x14ac:dyDescent="0.25">
      <c r="A2579" t="s">
        <v>2757</v>
      </c>
      <c r="B2579">
        <v>612</v>
      </c>
      <c r="C2579" t="s">
        <v>487</v>
      </c>
      <c r="D2579" t="s">
        <v>231</v>
      </c>
      <c r="E2579" t="s">
        <v>381</v>
      </c>
      <c r="F2579" t="s">
        <v>1099</v>
      </c>
      <c r="G2579" s="25">
        <v>44224</v>
      </c>
      <c r="H2579">
        <v>6</v>
      </c>
      <c r="I2579">
        <v>28</v>
      </c>
      <c r="J2579" t="s">
        <v>432</v>
      </c>
      <c r="K2579" t="s">
        <v>488</v>
      </c>
      <c r="L2579" t="s">
        <v>433</v>
      </c>
      <c r="M2579" t="s">
        <v>434</v>
      </c>
      <c r="N2579" t="s">
        <v>74</v>
      </c>
      <c r="O2579" t="s">
        <v>435</v>
      </c>
      <c r="P2579" t="s">
        <v>433</v>
      </c>
      <c r="Q2579">
        <v>32400</v>
      </c>
      <c r="R2579" t="s">
        <v>436</v>
      </c>
    </row>
    <row r="2580" spans="1:18" x14ac:dyDescent="0.25">
      <c r="A2580" t="s">
        <v>711</v>
      </c>
      <c r="B2580">
        <v>458</v>
      </c>
      <c r="C2580" t="s">
        <v>487</v>
      </c>
      <c r="D2580" t="s">
        <v>231</v>
      </c>
      <c r="E2580" t="s">
        <v>229</v>
      </c>
      <c r="F2580" t="s">
        <v>541</v>
      </c>
      <c r="G2580" s="25">
        <v>44217</v>
      </c>
      <c r="H2580">
        <v>5</v>
      </c>
      <c r="I2580">
        <v>21</v>
      </c>
      <c r="J2580" t="s">
        <v>432</v>
      </c>
      <c r="K2580" t="s">
        <v>488</v>
      </c>
      <c r="L2580" t="s">
        <v>433</v>
      </c>
      <c r="M2580" t="s">
        <v>434</v>
      </c>
      <c r="N2580" t="s">
        <v>74</v>
      </c>
      <c r="O2580" t="s">
        <v>435</v>
      </c>
      <c r="P2580" t="s">
        <v>433</v>
      </c>
      <c r="Q2580">
        <v>1275</v>
      </c>
      <c r="R2580" t="s">
        <v>436</v>
      </c>
    </row>
    <row r="2581" spans="1:18" x14ac:dyDescent="0.25">
      <c r="A2581" t="s">
        <v>595</v>
      </c>
      <c r="B2581">
        <v>260</v>
      </c>
      <c r="C2581" t="s">
        <v>487</v>
      </c>
      <c r="D2581" t="s">
        <v>229</v>
      </c>
      <c r="E2581" t="s">
        <v>232</v>
      </c>
      <c r="F2581" t="s">
        <v>520</v>
      </c>
      <c r="G2581" s="25">
        <v>44208</v>
      </c>
      <c r="H2581">
        <v>3</v>
      </c>
      <c r="I2581">
        <v>12</v>
      </c>
      <c r="J2581" t="s">
        <v>432</v>
      </c>
      <c r="K2581" t="s">
        <v>488</v>
      </c>
      <c r="L2581" t="s">
        <v>433</v>
      </c>
      <c r="M2581" t="s">
        <v>434</v>
      </c>
      <c r="N2581" t="s">
        <v>74</v>
      </c>
      <c r="O2581" t="s">
        <v>435</v>
      </c>
      <c r="P2581" t="s">
        <v>433</v>
      </c>
      <c r="Q2581">
        <v>3600</v>
      </c>
      <c r="R2581" t="s">
        <v>436</v>
      </c>
    </row>
    <row r="2582" spans="1:18" x14ac:dyDescent="0.25">
      <c r="A2582" t="s">
        <v>2209</v>
      </c>
      <c r="B2582">
        <v>1598</v>
      </c>
      <c r="C2582" t="s">
        <v>487</v>
      </c>
      <c r="D2582" t="s">
        <v>261</v>
      </c>
      <c r="E2582" t="s">
        <v>512</v>
      </c>
      <c r="F2582" t="s">
        <v>1518</v>
      </c>
      <c r="G2582" s="25">
        <v>44269</v>
      </c>
      <c r="H2582">
        <v>15</v>
      </c>
      <c r="I2582">
        <v>73</v>
      </c>
      <c r="J2582" t="s">
        <v>432</v>
      </c>
      <c r="K2582" t="s">
        <v>489</v>
      </c>
      <c r="L2582" t="s">
        <v>134</v>
      </c>
      <c r="M2582" t="s">
        <v>434</v>
      </c>
      <c r="N2582" t="s">
        <v>67</v>
      </c>
      <c r="O2582" t="s">
        <v>235</v>
      </c>
      <c r="P2582" t="s">
        <v>437</v>
      </c>
      <c r="Q2582">
        <v>344000</v>
      </c>
      <c r="R2582" t="s">
        <v>237</v>
      </c>
    </row>
    <row r="2583" spans="1:18" x14ac:dyDescent="0.25">
      <c r="A2583" t="s">
        <v>2495</v>
      </c>
      <c r="B2583">
        <v>1510</v>
      </c>
      <c r="C2583" t="s">
        <v>487</v>
      </c>
      <c r="D2583" t="s">
        <v>261</v>
      </c>
      <c r="E2583" t="s">
        <v>371</v>
      </c>
      <c r="F2583" t="s">
        <v>1478</v>
      </c>
      <c r="G2583" s="25">
        <v>44265</v>
      </c>
      <c r="H2583">
        <v>14</v>
      </c>
      <c r="I2583">
        <v>69</v>
      </c>
      <c r="J2583" t="s">
        <v>432</v>
      </c>
      <c r="K2583" t="s">
        <v>489</v>
      </c>
      <c r="L2583" t="s">
        <v>134</v>
      </c>
      <c r="M2583" t="s">
        <v>434</v>
      </c>
      <c r="N2583" t="s">
        <v>67</v>
      </c>
      <c r="O2583" t="s">
        <v>235</v>
      </c>
      <c r="P2583" t="s">
        <v>437</v>
      </c>
      <c r="Q2583">
        <v>344000</v>
      </c>
      <c r="R2583" t="s">
        <v>237</v>
      </c>
    </row>
    <row r="2584" spans="1:18" x14ac:dyDescent="0.25">
      <c r="A2584" t="s">
        <v>2077</v>
      </c>
      <c r="B2584">
        <v>762</v>
      </c>
      <c r="C2584" t="s">
        <v>487</v>
      </c>
      <c r="D2584" t="s">
        <v>231</v>
      </c>
      <c r="E2584" t="s">
        <v>575</v>
      </c>
      <c r="F2584" t="s">
        <v>1210</v>
      </c>
      <c r="G2584" s="25">
        <v>44231</v>
      </c>
      <c r="H2584">
        <v>7</v>
      </c>
      <c r="I2584">
        <v>35</v>
      </c>
      <c r="J2584" t="s">
        <v>432</v>
      </c>
      <c r="K2584" t="s">
        <v>489</v>
      </c>
      <c r="L2584" t="s">
        <v>134</v>
      </c>
      <c r="M2584" t="s">
        <v>434</v>
      </c>
      <c r="N2584" t="s">
        <v>67</v>
      </c>
      <c r="O2584" t="s">
        <v>235</v>
      </c>
      <c r="P2584" t="s">
        <v>437</v>
      </c>
      <c r="Q2584">
        <v>240000</v>
      </c>
      <c r="R2584" t="s">
        <v>237</v>
      </c>
    </row>
    <row r="2585" spans="1:18" x14ac:dyDescent="0.25">
      <c r="A2585" t="s">
        <v>714</v>
      </c>
      <c r="B2585">
        <v>388</v>
      </c>
      <c r="C2585" t="s">
        <v>487</v>
      </c>
      <c r="D2585" t="s">
        <v>229</v>
      </c>
      <c r="E2585" t="s">
        <v>552</v>
      </c>
      <c r="F2585" t="s">
        <v>553</v>
      </c>
      <c r="G2585" s="25">
        <v>44214</v>
      </c>
      <c r="H2585">
        <v>4</v>
      </c>
      <c r="I2585">
        <v>18</v>
      </c>
      <c r="J2585" t="s">
        <v>432</v>
      </c>
      <c r="K2585" t="s">
        <v>489</v>
      </c>
      <c r="L2585" t="s">
        <v>134</v>
      </c>
      <c r="M2585" t="s">
        <v>434</v>
      </c>
      <c r="N2585" t="s">
        <v>67</v>
      </c>
      <c r="O2585" t="s">
        <v>235</v>
      </c>
      <c r="P2585" t="s">
        <v>437</v>
      </c>
      <c r="Q2585">
        <v>68500</v>
      </c>
      <c r="R2585" t="s">
        <v>237</v>
      </c>
    </row>
    <row r="2586" spans="1:18" x14ac:dyDescent="0.25">
      <c r="A2586" t="s">
        <v>1911</v>
      </c>
      <c r="B2586">
        <v>883</v>
      </c>
      <c r="C2586" t="s">
        <v>487</v>
      </c>
      <c r="D2586" t="s">
        <v>256</v>
      </c>
      <c r="E2586" t="s">
        <v>229</v>
      </c>
      <c r="F2586" t="s">
        <v>1241</v>
      </c>
      <c r="G2586" s="25">
        <v>44237</v>
      </c>
      <c r="H2586">
        <v>9</v>
      </c>
      <c r="I2586">
        <v>41</v>
      </c>
      <c r="J2586" t="s">
        <v>231</v>
      </c>
      <c r="K2586" t="s">
        <v>509</v>
      </c>
      <c r="L2586" t="s">
        <v>45</v>
      </c>
      <c r="M2586" t="s">
        <v>234</v>
      </c>
      <c r="N2586" t="s">
        <v>44</v>
      </c>
      <c r="O2586" t="s">
        <v>21</v>
      </c>
      <c r="P2586" t="s">
        <v>304</v>
      </c>
      <c r="Q2586">
        <v>37928</v>
      </c>
      <c r="R2586" t="s">
        <v>237</v>
      </c>
    </row>
    <row r="2587" spans="1:18" x14ac:dyDescent="0.25">
      <c r="A2587" t="s">
        <v>4044</v>
      </c>
      <c r="B2587">
        <v>2621</v>
      </c>
      <c r="C2587" t="s">
        <v>487</v>
      </c>
      <c r="D2587" t="s">
        <v>247</v>
      </c>
      <c r="E2587" t="s">
        <v>408</v>
      </c>
      <c r="F2587" t="s">
        <v>3178</v>
      </c>
      <c r="G2587" s="25">
        <v>44316</v>
      </c>
      <c r="H2587">
        <v>24</v>
      </c>
      <c r="I2587">
        <v>120</v>
      </c>
      <c r="J2587" t="s">
        <v>231</v>
      </c>
      <c r="K2587" t="s">
        <v>509</v>
      </c>
      <c r="L2587" t="s">
        <v>45</v>
      </c>
      <c r="M2587" t="s">
        <v>234</v>
      </c>
      <c r="N2587" t="s">
        <v>44</v>
      </c>
      <c r="O2587" t="s">
        <v>21</v>
      </c>
      <c r="P2587" t="s">
        <v>304</v>
      </c>
      <c r="Q2587">
        <v>0</v>
      </c>
      <c r="R2587" t="s">
        <v>237</v>
      </c>
    </row>
    <row r="2588" spans="1:18" x14ac:dyDescent="0.25">
      <c r="A2588" t="s">
        <v>2085</v>
      </c>
      <c r="B2588">
        <v>1412</v>
      </c>
      <c r="C2588" t="s">
        <v>487</v>
      </c>
      <c r="D2588" t="s">
        <v>261</v>
      </c>
      <c r="E2588" t="s">
        <v>322</v>
      </c>
      <c r="F2588" t="s">
        <v>1417</v>
      </c>
      <c r="G2588" s="25">
        <v>44261</v>
      </c>
      <c r="H2588">
        <v>13</v>
      </c>
      <c r="I2588">
        <v>65</v>
      </c>
      <c r="J2588" t="s">
        <v>231</v>
      </c>
      <c r="K2588" t="s">
        <v>508</v>
      </c>
      <c r="L2588" t="s">
        <v>47</v>
      </c>
      <c r="M2588" t="s">
        <v>234</v>
      </c>
      <c r="N2588" t="s">
        <v>46</v>
      </c>
      <c r="O2588" t="s">
        <v>21</v>
      </c>
      <c r="P2588" t="s">
        <v>288</v>
      </c>
      <c r="Q2588">
        <v>1171</v>
      </c>
      <c r="R2588" t="s">
        <v>237</v>
      </c>
    </row>
    <row r="2589" spans="1:18" x14ac:dyDescent="0.25">
      <c r="A2589" t="s">
        <v>2154</v>
      </c>
      <c r="B2589">
        <v>1280</v>
      </c>
      <c r="C2589" t="s">
        <v>487</v>
      </c>
      <c r="D2589" t="s">
        <v>256</v>
      </c>
      <c r="E2589" t="s">
        <v>531</v>
      </c>
      <c r="F2589" t="s">
        <v>1373</v>
      </c>
      <c r="G2589" s="25">
        <v>44255</v>
      </c>
      <c r="H2589">
        <v>12</v>
      </c>
      <c r="I2589">
        <v>59</v>
      </c>
      <c r="J2589" t="s">
        <v>231</v>
      </c>
      <c r="K2589" t="s">
        <v>508</v>
      </c>
      <c r="L2589" t="s">
        <v>47</v>
      </c>
      <c r="M2589" t="s">
        <v>234</v>
      </c>
      <c r="N2589" t="s">
        <v>46</v>
      </c>
      <c r="O2589" t="s">
        <v>21</v>
      </c>
      <c r="P2589" t="s">
        <v>288</v>
      </c>
      <c r="Q2589">
        <v>0</v>
      </c>
      <c r="R2589" t="s">
        <v>237</v>
      </c>
    </row>
    <row r="2590" spans="1:18" x14ac:dyDescent="0.25">
      <c r="A2590" t="s">
        <v>609</v>
      </c>
      <c r="B2590">
        <v>422</v>
      </c>
      <c r="C2590" t="s">
        <v>487</v>
      </c>
      <c r="D2590" t="s">
        <v>229</v>
      </c>
      <c r="E2590" t="s">
        <v>408</v>
      </c>
      <c r="F2590" t="s">
        <v>527</v>
      </c>
      <c r="G2590" s="25">
        <v>44216</v>
      </c>
      <c r="H2590">
        <v>4</v>
      </c>
      <c r="I2590">
        <v>20</v>
      </c>
      <c r="J2590" t="s">
        <v>231</v>
      </c>
      <c r="K2590" t="s">
        <v>508</v>
      </c>
      <c r="L2590" t="s">
        <v>47</v>
      </c>
      <c r="M2590" t="s">
        <v>234</v>
      </c>
      <c r="N2590" t="s">
        <v>46</v>
      </c>
      <c r="O2590" t="s">
        <v>21</v>
      </c>
      <c r="P2590" t="s">
        <v>288</v>
      </c>
      <c r="Q2590">
        <v>23625</v>
      </c>
      <c r="R2590" t="s">
        <v>237</v>
      </c>
    </row>
    <row r="2591" spans="1:18" x14ac:dyDescent="0.25">
      <c r="A2591" t="s">
        <v>733</v>
      </c>
      <c r="B2591">
        <v>312</v>
      </c>
      <c r="C2591" t="s">
        <v>487</v>
      </c>
      <c r="D2591" t="s">
        <v>229</v>
      </c>
      <c r="E2591" t="s">
        <v>575</v>
      </c>
      <c r="F2591" t="s">
        <v>576</v>
      </c>
      <c r="G2591" s="25">
        <v>44211</v>
      </c>
      <c r="H2591">
        <v>3</v>
      </c>
      <c r="I2591">
        <v>15</v>
      </c>
      <c r="J2591" t="s">
        <v>231</v>
      </c>
      <c r="K2591" t="s">
        <v>508</v>
      </c>
      <c r="L2591" t="s">
        <v>47</v>
      </c>
      <c r="M2591" t="s">
        <v>234</v>
      </c>
      <c r="N2591" t="s">
        <v>46</v>
      </c>
      <c r="O2591" t="s">
        <v>21</v>
      </c>
      <c r="P2591" t="s">
        <v>288</v>
      </c>
      <c r="Q2591">
        <v>0</v>
      </c>
      <c r="R2591" t="s">
        <v>237</v>
      </c>
    </row>
    <row r="2592" spans="1:18" x14ac:dyDescent="0.25">
      <c r="A2592" t="s">
        <v>4045</v>
      </c>
      <c r="B2592">
        <v>2644</v>
      </c>
      <c r="C2592" t="s">
        <v>487</v>
      </c>
      <c r="D2592" t="s">
        <v>326</v>
      </c>
      <c r="E2592" t="s">
        <v>229</v>
      </c>
      <c r="F2592" t="s">
        <v>3241</v>
      </c>
      <c r="G2592" s="25">
        <v>44317</v>
      </c>
      <c r="H2592">
        <v>25</v>
      </c>
      <c r="I2592">
        <v>121</v>
      </c>
      <c r="J2592" t="s">
        <v>231</v>
      </c>
      <c r="K2592" t="s">
        <v>508</v>
      </c>
      <c r="L2592" t="s">
        <v>47</v>
      </c>
      <c r="M2592" t="s">
        <v>234</v>
      </c>
      <c r="N2592" t="s">
        <v>46</v>
      </c>
      <c r="O2592" t="s">
        <v>21</v>
      </c>
      <c r="P2592" t="s">
        <v>288</v>
      </c>
      <c r="Q2592">
        <v>0</v>
      </c>
      <c r="R2592" t="s">
        <v>237</v>
      </c>
    </row>
    <row r="2593" spans="1:18" x14ac:dyDescent="0.25">
      <c r="A2593" t="s">
        <v>728</v>
      </c>
      <c r="B2593">
        <v>336</v>
      </c>
      <c r="C2593" t="s">
        <v>487</v>
      </c>
      <c r="D2593" t="s">
        <v>229</v>
      </c>
      <c r="E2593" t="s">
        <v>620</v>
      </c>
      <c r="F2593" t="s">
        <v>621</v>
      </c>
      <c r="G2593" s="25">
        <v>44212</v>
      </c>
      <c r="H2593">
        <v>4</v>
      </c>
      <c r="I2593">
        <v>16</v>
      </c>
      <c r="J2593" t="s">
        <v>231</v>
      </c>
      <c r="K2593" t="s">
        <v>506</v>
      </c>
      <c r="L2593" t="s">
        <v>414</v>
      </c>
      <c r="M2593" t="s">
        <v>234</v>
      </c>
      <c r="N2593" t="s">
        <v>50</v>
      </c>
      <c r="O2593" t="s">
        <v>21</v>
      </c>
      <c r="P2593" t="s">
        <v>411</v>
      </c>
      <c r="Q2593">
        <v>0</v>
      </c>
      <c r="R2593" t="s">
        <v>237</v>
      </c>
    </row>
    <row r="2594" spans="1:18" x14ac:dyDescent="0.25">
      <c r="A2594" t="s">
        <v>380</v>
      </c>
      <c r="B2594">
        <v>94</v>
      </c>
      <c r="C2594" t="s">
        <v>487</v>
      </c>
      <c r="D2594" t="s">
        <v>229</v>
      </c>
      <c r="E2594" t="s">
        <v>322</v>
      </c>
      <c r="F2594" t="s">
        <v>529</v>
      </c>
      <c r="G2594" s="25">
        <v>44201</v>
      </c>
      <c r="H2594">
        <v>1</v>
      </c>
      <c r="I2594">
        <v>5</v>
      </c>
      <c r="J2594" t="s">
        <v>231</v>
      </c>
      <c r="K2594" t="s">
        <v>506</v>
      </c>
      <c r="L2594" t="s">
        <v>414</v>
      </c>
      <c r="M2594" t="s">
        <v>234</v>
      </c>
      <c r="N2594" t="s">
        <v>50</v>
      </c>
      <c r="O2594" t="s">
        <v>21</v>
      </c>
      <c r="P2594" t="s">
        <v>411</v>
      </c>
      <c r="Q2594">
        <v>0</v>
      </c>
      <c r="R2594" t="s">
        <v>237</v>
      </c>
    </row>
    <row r="2595" spans="1:18" x14ac:dyDescent="0.25">
      <c r="A2595" t="s">
        <v>4046</v>
      </c>
      <c r="B2595">
        <v>2272</v>
      </c>
      <c r="C2595" t="s">
        <v>487</v>
      </c>
      <c r="D2595" t="s">
        <v>247</v>
      </c>
      <c r="E2595" t="s">
        <v>261</v>
      </c>
      <c r="F2595" t="s">
        <v>3078</v>
      </c>
      <c r="G2595" s="25">
        <v>44300</v>
      </c>
      <c r="H2595">
        <v>21</v>
      </c>
      <c r="I2595">
        <v>104</v>
      </c>
      <c r="J2595" t="s">
        <v>231</v>
      </c>
      <c r="K2595" t="s">
        <v>506</v>
      </c>
      <c r="L2595" t="s">
        <v>414</v>
      </c>
      <c r="M2595" t="s">
        <v>234</v>
      </c>
      <c r="N2595" t="s">
        <v>50</v>
      </c>
      <c r="O2595" t="s">
        <v>21</v>
      </c>
      <c r="P2595" t="s">
        <v>411</v>
      </c>
      <c r="Q2595">
        <v>0</v>
      </c>
      <c r="R2595" t="s">
        <v>237</v>
      </c>
    </row>
    <row r="2596" spans="1:18" x14ac:dyDescent="0.25">
      <c r="A2596" t="s">
        <v>4047</v>
      </c>
      <c r="B2596">
        <v>1898</v>
      </c>
      <c r="C2596" t="s">
        <v>487</v>
      </c>
      <c r="D2596" t="s">
        <v>322</v>
      </c>
      <c r="E2596" t="s">
        <v>326</v>
      </c>
      <c r="F2596" t="s">
        <v>2967</v>
      </c>
      <c r="G2596" s="25">
        <v>44283</v>
      </c>
      <c r="H2596">
        <v>18</v>
      </c>
      <c r="I2596">
        <v>87</v>
      </c>
      <c r="J2596" t="s">
        <v>231</v>
      </c>
      <c r="K2596" t="s">
        <v>506</v>
      </c>
      <c r="L2596" t="s">
        <v>414</v>
      </c>
      <c r="M2596" t="s">
        <v>234</v>
      </c>
      <c r="N2596" t="s">
        <v>50</v>
      </c>
      <c r="O2596" t="s">
        <v>21</v>
      </c>
      <c r="P2596" t="s">
        <v>411</v>
      </c>
      <c r="Q2596">
        <v>0</v>
      </c>
      <c r="R2596" t="s">
        <v>237</v>
      </c>
    </row>
    <row r="2597" spans="1:18" x14ac:dyDescent="0.25">
      <c r="A2597" t="s">
        <v>1857</v>
      </c>
      <c r="B2597">
        <v>1546</v>
      </c>
      <c r="C2597" t="s">
        <v>487</v>
      </c>
      <c r="D2597" t="s">
        <v>261</v>
      </c>
      <c r="E2597" t="s">
        <v>515</v>
      </c>
      <c r="F2597" t="s">
        <v>1493</v>
      </c>
      <c r="G2597" s="25">
        <v>44267</v>
      </c>
      <c r="H2597">
        <v>15</v>
      </c>
      <c r="I2597">
        <v>71</v>
      </c>
      <c r="J2597" t="s">
        <v>231</v>
      </c>
      <c r="K2597" t="s">
        <v>506</v>
      </c>
      <c r="L2597" t="s">
        <v>414</v>
      </c>
      <c r="M2597" t="s">
        <v>234</v>
      </c>
      <c r="N2597" t="s">
        <v>50</v>
      </c>
      <c r="O2597" t="s">
        <v>21</v>
      </c>
      <c r="P2597" t="s">
        <v>411</v>
      </c>
      <c r="Q2597">
        <v>0</v>
      </c>
      <c r="R2597" t="s">
        <v>237</v>
      </c>
    </row>
    <row r="2598" spans="1:18" x14ac:dyDescent="0.25">
      <c r="A2598" t="s">
        <v>2225</v>
      </c>
      <c r="B2598">
        <v>1062</v>
      </c>
      <c r="C2598" t="s">
        <v>487</v>
      </c>
      <c r="D2598" t="s">
        <v>256</v>
      </c>
      <c r="E2598" t="s">
        <v>371</v>
      </c>
      <c r="F2598" t="s">
        <v>1318</v>
      </c>
      <c r="G2598" s="25">
        <v>44245</v>
      </c>
      <c r="H2598">
        <v>10</v>
      </c>
      <c r="I2598">
        <v>49</v>
      </c>
      <c r="J2598" t="s">
        <v>231</v>
      </c>
      <c r="K2598" t="s">
        <v>506</v>
      </c>
      <c r="L2598" t="s">
        <v>414</v>
      </c>
      <c r="M2598" t="s">
        <v>234</v>
      </c>
      <c r="N2598" t="s">
        <v>50</v>
      </c>
      <c r="O2598" t="s">
        <v>21</v>
      </c>
      <c r="P2598" t="s">
        <v>411</v>
      </c>
      <c r="Q2598">
        <v>0</v>
      </c>
      <c r="R2598" t="s">
        <v>237</v>
      </c>
    </row>
    <row r="2599" spans="1:18" x14ac:dyDescent="0.25">
      <c r="A2599" t="s">
        <v>2336</v>
      </c>
      <c r="B2599">
        <v>710</v>
      </c>
      <c r="C2599" t="s">
        <v>487</v>
      </c>
      <c r="D2599" t="s">
        <v>231</v>
      </c>
      <c r="E2599" t="s">
        <v>512</v>
      </c>
      <c r="F2599" t="s">
        <v>1174</v>
      </c>
      <c r="G2599" s="25">
        <v>44229</v>
      </c>
      <c r="H2599">
        <v>7</v>
      </c>
      <c r="I2599">
        <v>33</v>
      </c>
      <c r="J2599" t="s">
        <v>231</v>
      </c>
      <c r="K2599" t="s">
        <v>506</v>
      </c>
      <c r="L2599" t="s">
        <v>414</v>
      </c>
      <c r="M2599" t="s">
        <v>234</v>
      </c>
      <c r="N2599" t="s">
        <v>50</v>
      </c>
      <c r="O2599" t="s">
        <v>21</v>
      </c>
      <c r="P2599" t="s">
        <v>411</v>
      </c>
      <c r="Q2599">
        <v>0</v>
      </c>
      <c r="R2599" t="s">
        <v>237</v>
      </c>
    </row>
    <row r="2600" spans="1:18" x14ac:dyDescent="0.25">
      <c r="A2600" t="s">
        <v>306</v>
      </c>
      <c r="B2600">
        <v>45</v>
      </c>
      <c r="C2600" t="s">
        <v>487</v>
      </c>
      <c r="D2600" t="s">
        <v>229</v>
      </c>
      <c r="E2600" t="s">
        <v>256</v>
      </c>
      <c r="F2600" t="s">
        <v>525</v>
      </c>
      <c r="G2600" s="25">
        <v>44199</v>
      </c>
      <c r="H2600">
        <v>1</v>
      </c>
      <c r="I2600">
        <v>3</v>
      </c>
      <c r="J2600" t="s">
        <v>231</v>
      </c>
      <c r="K2600" t="s">
        <v>505</v>
      </c>
      <c r="L2600" t="s">
        <v>41</v>
      </c>
      <c r="M2600" t="s">
        <v>234</v>
      </c>
      <c r="N2600" t="s">
        <v>40</v>
      </c>
      <c r="O2600" t="s">
        <v>21</v>
      </c>
      <c r="P2600" t="s">
        <v>266</v>
      </c>
      <c r="Q2600">
        <v>0</v>
      </c>
      <c r="R2600" t="s">
        <v>237</v>
      </c>
    </row>
    <row r="2601" spans="1:18" x14ac:dyDescent="0.25">
      <c r="A2601" t="s">
        <v>4048</v>
      </c>
      <c r="B2601">
        <v>2223</v>
      </c>
      <c r="C2601" t="s">
        <v>487</v>
      </c>
      <c r="D2601" t="s">
        <v>247</v>
      </c>
      <c r="E2601" t="s">
        <v>231</v>
      </c>
      <c r="F2601" t="s">
        <v>3070</v>
      </c>
      <c r="G2601" s="25">
        <v>44298</v>
      </c>
      <c r="H2601">
        <v>21</v>
      </c>
      <c r="I2601">
        <v>102</v>
      </c>
      <c r="J2601" t="s">
        <v>231</v>
      </c>
      <c r="K2601" t="s">
        <v>505</v>
      </c>
      <c r="L2601" t="s">
        <v>41</v>
      </c>
      <c r="M2601" t="s">
        <v>234</v>
      </c>
      <c r="N2601" t="s">
        <v>40</v>
      </c>
      <c r="O2601" t="s">
        <v>21</v>
      </c>
      <c r="P2601" t="s">
        <v>266</v>
      </c>
      <c r="Q2601">
        <v>0</v>
      </c>
      <c r="R2601" t="s">
        <v>237</v>
      </c>
    </row>
    <row r="2602" spans="1:18" x14ac:dyDescent="0.25">
      <c r="A2602" t="s">
        <v>4049</v>
      </c>
      <c r="B2602">
        <v>2025</v>
      </c>
      <c r="C2602" t="s">
        <v>487</v>
      </c>
      <c r="D2602" t="s">
        <v>322</v>
      </c>
      <c r="E2602" t="s">
        <v>512</v>
      </c>
      <c r="F2602" t="s">
        <v>2991</v>
      </c>
      <c r="G2602" s="25">
        <v>44289</v>
      </c>
      <c r="H2602">
        <v>19</v>
      </c>
      <c r="I2602">
        <v>93</v>
      </c>
      <c r="J2602" t="s">
        <v>231</v>
      </c>
      <c r="K2602" t="s">
        <v>505</v>
      </c>
      <c r="L2602" t="s">
        <v>41</v>
      </c>
      <c r="M2602" t="s">
        <v>234</v>
      </c>
      <c r="N2602" t="s">
        <v>40</v>
      </c>
      <c r="O2602" t="s">
        <v>21</v>
      </c>
      <c r="P2602" t="s">
        <v>266</v>
      </c>
      <c r="Q2602">
        <v>16625</v>
      </c>
      <c r="R2602" t="s">
        <v>237</v>
      </c>
    </row>
    <row r="2603" spans="1:18" x14ac:dyDescent="0.25">
      <c r="A2603" t="s">
        <v>2775</v>
      </c>
      <c r="B2603">
        <v>1651</v>
      </c>
      <c r="C2603" t="s">
        <v>487</v>
      </c>
      <c r="D2603" t="s">
        <v>261</v>
      </c>
      <c r="E2603" t="s">
        <v>620</v>
      </c>
      <c r="F2603" t="s">
        <v>1545</v>
      </c>
      <c r="G2603" s="25">
        <v>44272</v>
      </c>
      <c r="H2603">
        <v>16</v>
      </c>
      <c r="I2603">
        <v>76</v>
      </c>
      <c r="J2603" t="s">
        <v>231</v>
      </c>
      <c r="K2603" t="s">
        <v>505</v>
      </c>
      <c r="L2603" t="s">
        <v>41</v>
      </c>
      <c r="M2603" t="s">
        <v>234</v>
      </c>
      <c r="N2603" t="s">
        <v>40</v>
      </c>
      <c r="O2603" t="s">
        <v>21</v>
      </c>
      <c r="P2603" t="s">
        <v>266</v>
      </c>
      <c r="Q2603">
        <v>41541</v>
      </c>
      <c r="R2603" t="s">
        <v>237</v>
      </c>
    </row>
    <row r="2604" spans="1:18" x14ac:dyDescent="0.25">
      <c r="A2604" t="s">
        <v>1816</v>
      </c>
      <c r="B2604">
        <v>1277</v>
      </c>
      <c r="C2604" t="s">
        <v>487</v>
      </c>
      <c r="D2604" t="s">
        <v>256</v>
      </c>
      <c r="E2604" t="s">
        <v>531</v>
      </c>
      <c r="F2604" t="s">
        <v>1373</v>
      </c>
      <c r="G2604" s="25">
        <v>44255</v>
      </c>
      <c r="H2604">
        <v>12</v>
      </c>
      <c r="I2604">
        <v>59</v>
      </c>
      <c r="J2604" t="s">
        <v>231</v>
      </c>
      <c r="K2604" t="s">
        <v>505</v>
      </c>
      <c r="L2604" t="s">
        <v>41</v>
      </c>
      <c r="M2604" t="s">
        <v>234</v>
      </c>
      <c r="N2604" t="s">
        <v>40</v>
      </c>
      <c r="O2604" t="s">
        <v>21</v>
      </c>
      <c r="P2604" t="s">
        <v>266</v>
      </c>
      <c r="Q2604">
        <v>47374</v>
      </c>
      <c r="R2604" t="s">
        <v>237</v>
      </c>
    </row>
    <row r="2605" spans="1:18" x14ac:dyDescent="0.25">
      <c r="A2605" t="s">
        <v>2870</v>
      </c>
      <c r="B2605">
        <v>1013</v>
      </c>
      <c r="C2605" t="s">
        <v>487</v>
      </c>
      <c r="D2605" t="s">
        <v>256</v>
      </c>
      <c r="E2605" t="s">
        <v>326</v>
      </c>
      <c r="F2605" t="s">
        <v>1305</v>
      </c>
      <c r="G2605" s="25">
        <v>44243</v>
      </c>
      <c r="H2605">
        <v>10</v>
      </c>
      <c r="I2605">
        <v>47</v>
      </c>
      <c r="J2605" t="s">
        <v>231</v>
      </c>
      <c r="K2605" t="s">
        <v>505</v>
      </c>
      <c r="L2605" t="s">
        <v>41</v>
      </c>
      <c r="M2605" t="s">
        <v>234</v>
      </c>
      <c r="N2605" t="s">
        <v>40</v>
      </c>
      <c r="O2605" t="s">
        <v>21</v>
      </c>
      <c r="P2605" t="s">
        <v>266</v>
      </c>
      <c r="Q2605">
        <v>0</v>
      </c>
      <c r="R2605" t="s">
        <v>237</v>
      </c>
    </row>
    <row r="2606" spans="1:18" x14ac:dyDescent="0.25">
      <c r="A2606" t="s">
        <v>2549</v>
      </c>
      <c r="B2606">
        <v>1322</v>
      </c>
      <c r="C2606" t="s">
        <v>487</v>
      </c>
      <c r="D2606" t="s">
        <v>261</v>
      </c>
      <c r="E2606" t="s">
        <v>229</v>
      </c>
      <c r="F2606" t="s">
        <v>1388</v>
      </c>
      <c r="G2606" s="25">
        <v>44257</v>
      </c>
      <c r="H2606">
        <v>13</v>
      </c>
      <c r="I2606">
        <v>61</v>
      </c>
      <c r="J2606" t="s">
        <v>231</v>
      </c>
      <c r="K2606" t="s">
        <v>504</v>
      </c>
      <c r="L2606" t="s">
        <v>43</v>
      </c>
      <c r="M2606" t="s">
        <v>234</v>
      </c>
      <c r="N2606" t="s">
        <v>42</v>
      </c>
      <c r="O2606" t="s">
        <v>21</v>
      </c>
      <c r="P2606" t="s">
        <v>236</v>
      </c>
      <c r="Q2606">
        <v>11232</v>
      </c>
      <c r="R2606" t="s">
        <v>237</v>
      </c>
    </row>
    <row r="2607" spans="1:18" x14ac:dyDescent="0.25">
      <c r="A2607" t="s">
        <v>1646</v>
      </c>
      <c r="B2607">
        <v>750</v>
      </c>
      <c r="C2607" t="s">
        <v>487</v>
      </c>
      <c r="D2607" t="s">
        <v>231</v>
      </c>
      <c r="E2607" t="s">
        <v>575</v>
      </c>
      <c r="F2607" t="s">
        <v>1210</v>
      </c>
      <c r="G2607" s="25">
        <v>44231</v>
      </c>
      <c r="H2607">
        <v>7</v>
      </c>
      <c r="I2607">
        <v>35</v>
      </c>
      <c r="J2607" t="s">
        <v>231</v>
      </c>
      <c r="K2607" t="s">
        <v>504</v>
      </c>
      <c r="L2607" t="s">
        <v>43</v>
      </c>
      <c r="M2607" t="s">
        <v>234</v>
      </c>
      <c r="N2607" t="s">
        <v>42</v>
      </c>
      <c r="O2607" t="s">
        <v>21</v>
      </c>
      <c r="P2607" t="s">
        <v>236</v>
      </c>
      <c r="Q2607">
        <v>24662</v>
      </c>
      <c r="R2607" t="s">
        <v>237</v>
      </c>
    </row>
    <row r="2608" spans="1:18" x14ac:dyDescent="0.25">
      <c r="A2608" t="s">
        <v>264</v>
      </c>
      <c r="B2608">
        <v>112</v>
      </c>
      <c r="C2608" t="s">
        <v>487</v>
      </c>
      <c r="D2608" t="s">
        <v>229</v>
      </c>
      <c r="E2608" t="s">
        <v>247</v>
      </c>
      <c r="F2608" t="s">
        <v>524</v>
      </c>
      <c r="G2608" s="25">
        <v>44202</v>
      </c>
      <c r="H2608">
        <v>2</v>
      </c>
      <c r="I2608">
        <v>6</v>
      </c>
      <c r="J2608" t="s">
        <v>231</v>
      </c>
      <c r="K2608" t="s">
        <v>504</v>
      </c>
      <c r="L2608" t="s">
        <v>43</v>
      </c>
      <c r="M2608" t="s">
        <v>234</v>
      </c>
      <c r="N2608" t="s">
        <v>42</v>
      </c>
      <c r="O2608" t="s">
        <v>21</v>
      </c>
      <c r="P2608" t="s">
        <v>236</v>
      </c>
      <c r="Q2608">
        <v>16000</v>
      </c>
      <c r="R2608" t="s">
        <v>237</v>
      </c>
    </row>
    <row r="2609" spans="1:18" x14ac:dyDescent="0.25">
      <c r="A2609" t="s">
        <v>2781</v>
      </c>
      <c r="B2609">
        <v>1549</v>
      </c>
      <c r="C2609" t="s">
        <v>487</v>
      </c>
      <c r="D2609" t="s">
        <v>261</v>
      </c>
      <c r="E2609" t="s">
        <v>515</v>
      </c>
      <c r="F2609" t="s">
        <v>1493</v>
      </c>
      <c r="G2609" s="25">
        <v>44267</v>
      </c>
      <c r="H2609">
        <v>15</v>
      </c>
      <c r="I2609">
        <v>71</v>
      </c>
      <c r="J2609" t="s">
        <v>231</v>
      </c>
      <c r="K2609" t="s">
        <v>503</v>
      </c>
      <c r="L2609" t="s">
        <v>303</v>
      </c>
      <c r="M2609" t="s">
        <v>234</v>
      </c>
      <c r="N2609" t="s">
        <v>56</v>
      </c>
      <c r="O2609" t="s">
        <v>235</v>
      </c>
      <c r="P2609" t="s">
        <v>304</v>
      </c>
      <c r="Q2609">
        <v>0</v>
      </c>
      <c r="R2609" t="s">
        <v>237</v>
      </c>
    </row>
    <row r="2610" spans="1:18" x14ac:dyDescent="0.25">
      <c r="A2610" t="s">
        <v>1823</v>
      </c>
      <c r="B2610">
        <v>1065</v>
      </c>
      <c r="C2610" t="s">
        <v>487</v>
      </c>
      <c r="D2610" t="s">
        <v>256</v>
      </c>
      <c r="E2610" t="s">
        <v>371</v>
      </c>
      <c r="F2610" t="s">
        <v>1318</v>
      </c>
      <c r="G2610" s="25">
        <v>44245</v>
      </c>
      <c r="H2610">
        <v>10</v>
      </c>
      <c r="I2610">
        <v>49</v>
      </c>
      <c r="J2610" t="s">
        <v>231</v>
      </c>
      <c r="K2610" t="s">
        <v>503</v>
      </c>
      <c r="L2610" t="s">
        <v>303</v>
      </c>
      <c r="M2610" t="s">
        <v>234</v>
      </c>
      <c r="N2610" t="s">
        <v>56</v>
      </c>
      <c r="O2610" t="s">
        <v>235</v>
      </c>
      <c r="P2610" t="s">
        <v>304</v>
      </c>
      <c r="Q2610">
        <v>0</v>
      </c>
      <c r="R2610" t="s">
        <v>237</v>
      </c>
    </row>
    <row r="2611" spans="1:18" x14ac:dyDescent="0.25">
      <c r="A2611" t="s">
        <v>2609</v>
      </c>
      <c r="B2611">
        <v>713</v>
      </c>
      <c r="C2611" t="s">
        <v>487</v>
      </c>
      <c r="D2611" t="s">
        <v>231</v>
      </c>
      <c r="E2611" t="s">
        <v>512</v>
      </c>
      <c r="F2611" t="s">
        <v>1174</v>
      </c>
      <c r="G2611" s="25">
        <v>44229</v>
      </c>
      <c r="H2611">
        <v>7</v>
      </c>
      <c r="I2611">
        <v>33</v>
      </c>
      <c r="J2611" t="s">
        <v>231</v>
      </c>
      <c r="K2611" t="s">
        <v>503</v>
      </c>
      <c r="L2611" t="s">
        <v>303</v>
      </c>
      <c r="M2611" t="s">
        <v>234</v>
      </c>
      <c r="N2611" t="s">
        <v>56</v>
      </c>
      <c r="O2611" t="s">
        <v>235</v>
      </c>
      <c r="P2611" t="s">
        <v>304</v>
      </c>
      <c r="Q2611">
        <v>0</v>
      </c>
      <c r="R2611" t="s">
        <v>237</v>
      </c>
    </row>
    <row r="2612" spans="1:18" x14ac:dyDescent="0.25">
      <c r="A2612" t="s">
        <v>619</v>
      </c>
      <c r="B2612">
        <v>339</v>
      </c>
      <c r="C2612" t="s">
        <v>487</v>
      </c>
      <c r="D2612" t="s">
        <v>229</v>
      </c>
      <c r="E2612" t="s">
        <v>620</v>
      </c>
      <c r="F2612" t="s">
        <v>621</v>
      </c>
      <c r="G2612" s="25">
        <v>44212</v>
      </c>
      <c r="H2612">
        <v>4</v>
      </c>
      <c r="I2612">
        <v>16</v>
      </c>
      <c r="J2612" t="s">
        <v>231</v>
      </c>
      <c r="K2612" t="s">
        <v>503</v>
      </c>
      <c r="L2612" t="s">
        <v>303</v>
      </c>
      <c r="M2612" t="s">
        <v>234</v>
      </c>
      <c r="N2612" t="s">
        <v>56</v>
      </c>
      <c r="O2612" t="s">
        <v>235</v>
      </c>
      <c r="P2612" t="s">
        <v>304</v>
      </c>
      <c r="Q2612">
        <v>0</v>
      </c>
      <c r="R2612" t="s">
        <v>237</v>
      </c>
    </row>
    <row r="2613" spans="1:18" x14ac:dyDescent="0.25">
      <c r="A2613" t="s">
        <v>359</v>
      </c>
      <c r="B2613">
        <v>97</v>
      </c>
      <c r="C2613" t="s">
        <v>487</v>
      </c>
      <c r="D2613" t="s">
        <v>229</v>
      </c>
      <c r="E2613" t="s">
        <v>322</v>
      </c>
      <c r="F2613" t="s">
        <v>529</v>
      </c>
      <c r="G2613" s="25">
        <v>44201</v>
      </c>
      <c r="H2613">
        <v>1</v>
      </c>
      <c r="I2613">
        <v>5</v>
      </c>
      <c r="J2613" t="s">
        <v>231</v>
      </c>
      <c r="K2613" t="s">
        <v>503</v>
      </c>
      <c r="L2613" t="s">
        <v>303</v>
      </c>
      <c r="M2613" t="s">
        <v>234</v>
      </c>
      <c r="N2613" t="s">
        <v>56</v>
      </c>
      <c r="O2613" t="s">
        <v>235</v>
      </c>
      <c r="P2613" t="s">
        <v>304</v>
      </c>
      <c r="Q2613">
        <v>0</v>
      </c>
      <c r="R2613" t="s">
        <v>237</v>
      </c>
    </row>
    <row r="2614" spans="1:18" x14ac:dyDescent="0.25">
      <c r="A2614" t="s">
        <v>4050</v>
      </c>
      <c r="B2614">
        <v>2187</v>
      </c>
      <c r="C2614" t="s">
        <v>487</v>
      </c>
      <c r="D2614" t="s">
        <v>322</v>
      </c>
      <c r="E2614" t="s">
        <v>408</v>
      </c>
      <c r="F2614" t="s">
        <v>3059</v>
      </c>
      <c r="G2614" s="25">
        <v>44296</v>
      </c>
      <c r="H2614">
        <v>20</v>
      </c>
      <c r="I2614">
        <v>100</v>
      </c>
      <c r="J2614" t="s">
        <v>231</v>
      </c>
      <c r="K2614" t="s">
        <v>503</v>
      </c>
      <c r="L2614" t="s">
        <v>303</v>
      </c>
      <c r="M2614" t="s">
        <v>234</v>
      </c>
      <c r="N2614" t="s">
        <v>56</v>
      </c>
      <c r="O2614" t="s">
        <v>235</v>
      </c>
      <c r="P2614" t="s">
        <v>304</v>
      </c>
      <c r="Q2614">
        <v>15250</v>
      </c>
      <c r="R2614" t="s">
        <v>237</v>
      </c>
    </row>
    <row r="2615" spans="1:18" x14ac:dyDescent="0.25">
      <c r="A2615" t="s">
        <v>2167</v>
      </c>
      <c r="B2615">
        <v>1704</v>
      </c>
      <c r="C2615" t="s">
        <v>487</v>
      </c>
      <c r="D2615" t="s">
        <v>261</v>
      </c>
      <c r="E2615" t="s">
        <v>552</v>
      </c>
      <c r="F2615" t="s">
        <v>1585</v>
      </c>
      <c r="G2615" s="25">
        <v>44274</v>
      </c>
      <c r="H2615">
        <v>16</v>
      </c>
      <c r="I2615">
        <v>78</v>
      </c>
      <c r="J2615" t="s">
        <v>231</v>
      </c>
      <c r="K2615" t="s">
        <v>502</v>
      </c>
      <c r="L2615" t="s">
        <v>287</v>
      </c>
      <c r="M2615" t="s">
        <v>234</v>
      </c>
      <c r="N2615" t="s">
        <v>58</v>
      </c>
      <c r="O2615" t="s">
        <v>235</v>
      </c>
      <c r="P2615" t="s">
        <v>288</v>
      </c>
      <c r="Q2615">
        <v>0</v>
      </c>
      <c r="R2615" t="s">
        <v>237</v>
      </c>
    </row>
    <row r="2616" spans="1:18" x14ac:dyDescent="0.25">
      <c r="A2616" t="s">
        <v>2348</v>
      </c>
      <c r="B2616">
        <v>1176</v>
      </c>
      <c r="C2616" t="s">
        <v>487</v>
      </c>
      <c r="D2616" t="s">
        <v>256</v>
      </c>
      <c r="E2616" t="s">
        <v>537</v>
      </c>
      <c r="F2616" t="s">
        <v>1348</v>
      </c>
      <c r="G2616" s="25">
        <v>44250</v>
      </c>
      <c r="H2616">
        <v>11</v>
      </c>
      <c r="I2616">
        <v>54</v>
      </c>
      <c r="J2616" t="s">
        <v>231</v>
      </c>
      <c r="K2616" t="s">
        <v>502</v>
      </c>
      <c r="L2616" t="s">
        <v>287</v>
      </c>
      <c r="M2616" t="s">
        <v>234</v>
      </c>
      <c r="N2616" t="s">
        <v>58</v>
      </c>
      <c r="O2616" t="s">
        <v>235</v>
      </c>
      <c r="P2616" t="s">
        <v>288</v>
      </c>
      <c r="Q2616">
        <v>0</v>
      </c>
      <c r="R2616" t="s">
        <v>237</v>
      </c>
    </row>
    <row r="2617" spans="1:18" x14ac:dyDescent="0.25">
      <c r="A2617" t="s">
        <v>755</v>
      </c>
      <c r="B2617">
        <v>208</v>
      </c>
      <c r="C2617" t="s">
        <v>487</v>
      </c>
      <c r="D2617" t="s">
        <v>229</v>
      </c>
      <c r="E2617" t="s">
        <v>239</v>
      </c>
      <c r="F2617" t="s">
        <v>578</v>
      </c>
      <c r="G2617" s="25">
        <v>44206</v>
      </c>
      <c r="H2617">
        <v>2</v>
      </c>
      <c r="I2617">
        <v>10</v>
      </c>
      <c r="J2617" t="s">
        <v>231</v>
      </c>
      <c r="K2617" t="s">
        <v>502</v>
      </c>
      <c r="L2617" t="s">
        <v>287</v>
      </c>
      <c r="M2617" t="s">
        <v>234</v>
      </c>
      <c r="N2617" t="s">
        <v>58</v>
      </c>
      <c r="O2617" t="s">
        <v>235</v>
      </c>
      <c r="P2617" t="s">
        <v>288</v>
      </c>
      <c r="Q2617">
        <v>0</v>
      </c>
      <c r="R2617" t="s">
        <v>237</v>
      </c>
    </row>
    <row r="2618" spans="1:18" x14ac:dyDescent="0.25">
      <c r="A2618" t="s">
        <v>4051</v>
      </c>
      <c r="B2618">
        <v>2078</v>
      </c>
      <c r="C2618" t="s">
        <v>487</v>
      </c>
      <c r="D2618" t="s">
        <v>322</v>
      </c>
      <c r="E2618" t="s">
        <v>575</v>
      </c>
      <c r="F2618" t="s">
        <v>3014</v>
      </c>
      <c r="G2618" s="25">
        <v>44291</v>
      </c>
      <c r="H2618">
        <v>19</v>
      </c>
      <c r="I2618">
        <v>95</v>
      </c>
      <c r="J2618" t="s">
        <v>231</v>
      </c>
      <c r="K2618" t="s">
        <v>502</v>
      </c>
      <c r="L2618" t="s">
        <v>287</v>
      </c>
      <c r="M2618" t="s">
        <v>234</v>
      </c>
      <c r="N2618" t="s">
        <v>58</v>
      </c>
      <c r="O2618" t="s">
        <v>235</v>
      </c>
      <c r="P2618" t="s">
        <v>288</v>
      </c>
      <c r="Q2618">
        <v>0</v>
      </c>
      <c r="R2618" t="s">
        <v>237</v>
      </c>
    </row>
    <row r="2619" spans="1:18" x14ac:dyDescent="0.25">
      <c r="A2619" t="s">
        <v>4052</v>
      </c>
      <c r="B2619">
        <v>2189</v>
      </c>
      <c r="C2619" t="s">
        <v>487</v>
      </c>
      <c r="D2619" t="s">
        <v>322</v>
      </c>
      <c r="E2619" t="s">
        <v>408</v>
      </c>
      <c r="F2619" t="s">
        <v>3059</v>
      </c>
      <c r="G2619" s="25">
        <v>44296</v>
      </c>
      <c r="H2619">
        <v>20</v>
      </c>
      <c r="I2619">
        <v>100</v>
      </c>
      <c r="J2619" t="s">
        <v>231</v>
      </c>
      <c r="K2619" t="s">
        <v>501</v>
      </c>
      <c r="L2619" t="s">
        <v>412</v>
      </c>
      <c r="M2619" t="s">
        <v>234</v>
      </c>
      <c r="N2619" t="s">
        <v>60</v>
      </c>
      <c r="O2619" t="s">
        <v>235</v>
      </c>
      <c r="P2619" t="s">
        <v>413</v>
      </c>
      <c r="Q2619">
        <v>0</v>
      </c>
      <c r="R2619" t="s">
        <v>237</v>
      </c>
    </row>
    <row r="2620" spans="1:18" x14ac:dyDescent="0.25">
      <c r="A2620" t="s">
        <v>1736</v>
      </c>
      <c r="B2620">
        <v>1727</v>
      </c>
      <c r="C2620" t="s">
        <v>487</v>
      </c>
      <c r="D2620" t="s">
        <v>261</v>
      </c>
      <c r="E2620" t="s">
        <v>531</v>
      </c>
      <c r="F2620" t="s">
        <v>1588</v>
      </c>
      <c r="G2620" s="25">
        <v>44275</v>
      </c>
      <c r="H2620">
        <v>16</v>
      </c>
      <c r="I2620">
        <v>79</v>
      </c>
      <c r="J2620" t="s">
        <v>231</v>
      </c>
      <c r="K2620" t="s">
        <v>501</v>
      </c>
      <c r="L2620" t="s">
        <v>412</v>
      </c>
      <c r="M2620" t="s">
        <v>234</v>
      </c>
      <c r="N2620" t="s">
        <v>60</v>
      </c>
      <c r="O2620" t="s">
        <v>235</v>
      </c>
      <c r="P2620" t="s">
        <v>413</v>
      </c>
      <c r="Q2620">
        <v>0</v>
      </c>
      <c r="R2620" t="s">
        <v>237</v>
      </c>
    </row>
    <row r="2621" spans="1:18" x14ac:dyDescent="0.25">
      <c r="A2621" t="s">
        <v>2788</v>
      </c>
      <c r="B2621">
        <v>711</v>
      </c>
      <c r="C2621" t="s">
        <v>487</v>
      </c>
      <c r="D2621" t="s">
        <v>231</v>
      </c>
      <c r="E2621" t="s">
        <v>512</v>
      </c>
      <c r="F2621" t="s">
        <v>1174</v>
      </c>
      <c r="G2621" s="25">
        <v>44229</v>
      </c>
      <c r="H2621">
        <v>7</v>
      </c>
      <c r="I2621">
        <v>33</v>
      </c>
      <c r="J2621" t="s">
        <v>231</v>
      </c>
      <c r="K2621" t="s">
        <v>500</v>
      </c>
      <c r="L2621" t="s">
        <v>265</v>
      </c>
      <c r="M2621" t="s">
        <v>234</v>
      </c>
      <c r="N2621" t="s">
        <v>52</v>
      </c>
      <c r="O2621" t="s">
        <v>235</v>
      </c>
      <c r="P2621" t="s">
        <v>266</v>
      </c>
      <c r="Q2621">
        <v>0</v>
      </c>
      <c r="R2621" t="s">
        <v>237</v>
      </c>
    </row>
    <row r="2622" spans="1:18" x14ac:dyDescent="0.25">
      <c r="A2622" t="s">
        <v>843</v>
      </c>
      <c r="B2622">
        <v>337</v>
      </c>
      <c r="C2622" t="s">
        <v>487</v>
      </c>
      <c r="D2622" t="s">
        <v>229</v>
      </c>
      <c r="E2622" t="s">
        <v>620</v>
      </c>
      <c r="F2622" t="s">
        <v>621</v>
      </c>
      <c r="G2622" s="25">
        <v>44212</v>
      </c>
      <c r="H2622">
        <v>4</v>
      </c>
      <c r="I2622">
        <v>16</v>
      </c>
      <c r="J2622" t="s">
        <v>231</v>
      </c>
      <c r="K2622" t="s">
        <v>500</v>
      </c>
      <c r="L2622" t="s">
        <v>265</v>
      </c>
      <c r="M2622" t="s">
        <v>234</v>
      </c>
      <c r="N2622" t="s">
        <v>52</v>
      </c>
      <c r="O2622" t="s">
        <v>235</v>
      </c>
      <c r="P2622" t="s">
        <v>266</v>
      </c>
      <c r="Q2622">
        <v>0</v>
      </c>
      <c r="R2622" t="s">
        <v>237</v>
      </c>
    </row>
    <row r="2623" spans="1:18" x14ac:dyDescent="0.25">
      <c r="A2623" t="s">
        <v>370</v>
      </c>
      <c r="B2623">
        <v>95</v>
      </c>
      <c r="C2623" t="s">
        <v>487</v>
      </c>
      <c r="D2623" t="s">
        <v>229</v>
      </c>
      <c r="E2623" t="s">
        <v>322</v>
      </c>
      <c r="F2623" t="s">
        <v>529</v>
      </c>
      <c r="G2623" s="25">
        <v>44201</v>
      </c>
      <c r="H2623">
        <v>1</v>
      </c>
      <c r="I2623">
        <v>5</v>
      </c>
      <c r="J2623" t="s">
        <v>231</v>
      </c>
      <c r="K2623" t="s">
        <v>500</v>
      </c>
      <c r="L2623" t="s">
        <v>265</v>
      </c>
      <c r="M2623" t="s">
        <v>234</v>
      </c>
      <c r="N2623" t="s">
        <v>52</v>
      </c>
      <c r="O2623" t="s">
        <v>235</v>
      </c>
      <c r="P2623" t="s">
        <v>266</v>
      </c>
      <c r="Q2623">
        <v>0</v>
      </c>
      <c r="R2623" t="s">
        <v>237</v>
      </c>
    </row>
    <row r="2624" spans="1:18" x14ac:dyDescent="0.25">
      <c r="A2624" t="s">
        <v>4053</v>
      </c>
      <c r="B2624">
        <v>2273</v>
      </c>
      <c r="C2624" t="s">
        <v>487</v>
      </c>
      <c r="D2624" t="s">
        <v>247</v>
      </c>
      <c r="E2624" t="s">
        <v>261</v>
      </c>
      <c r="F2624" t="s">
        <v>3078</v>
      </c>
      <c r="G2624" s="25">
        <v>44300</v>
      </c>
      <c r="H2624">
        <v>21</v>
      </c>
      <c r="I2624">
        <v>104</v>
      </c>
      <c r="J2624" t="s">
        <v>231</v>
      </c>
      <c r="K2624" t="s">
        <v>500</v>
      </c>
      <c r="L2624" t="s">
        <v>265</v>
      </c>
      <c r="M2624" t="s">
        <v>234</v>
      </c>
      <c r="N2624" t="s">
        <v>52</v>
      </c>
      <c r="O2624" t="s">
        <v>235</v>
      </c>
      <c r="P2624" t="s">
        <v>266</v>
      </c>
      <c r="Q2624">
        <v>0</v>
      </c>
      <c r="R2624" t="s">
        <v>237</v>
      </c>
    </row>
    <row r="2625" spans="1:18" x14ac:dyDescent="0.25">
      <c r="A2625" t="s">
        <v>4054</v>
      </c>
      <c r="B2625">
        <v>1899</v>
      </c>
      <c r="C2625" t="s">
        <v>487</v>
      </c>
      <c r="D2625" t="s">
        <v>322</v>
      </c>
      <c r="E2625" t="s">
        <v>326</v>
      </c>
      <c r="F2625" t="s">
        <v>2967</v>
      </c>
      <c r="G2625" s="25">
        <v>44283</v>
      </c>
      <c r="H2625">
        <v>18</v>
      </c>
      <c r="I2625">
        <v>87</v>
      </c>
      <c r="J2625" t="s">
        <v>231</v>
      </c>
      <c r="K2625" t="s">
        <v>500</v>
      </c>
      <c r="L2625" t="s">
        <v>265</v>
      </c>
      <c r="M2625" t="s">
        <v>234</v>
      </c>
      <c r="N2625" t="s">
        <v>52</v>
      </c>
      <c r="O2625" t="s">
        <v>235</v>
      </c>
      <c r="P2625" t="s">
        <v>266</v>
      </c>
      <c r="Q2625">
        <v>0</v>
      </c>
      <c r="R2625" t="s">
        <v>237</v>
      </c>
    </row>
    <row r="2626" spans="1:18" x14ac:dyDescent="0.25">
      <c r="A2626" t="s">
        <v>1663</v>
      </c>
      <c r="B2626">
        <v>1547</v>
      </c>
      <c r="C2626" t="s">
        <v>487</v>
      </c>
      <c r="D2626" t="s">
        <v>261</v>
      </c>
      <c r="E2626" t="s">
        <v>515</v>
      </c>
      <c r="F2626" t="s">
        <v>1493</v>
      </c>
      <c r="G2626" s="25">
        <v>44267</v>
      </c>
      <c r="H2626">
        <v>15</v>
      </c>
      <c r="I2626">
        <v>71</v>
      </c>
      <c r="J2626" t="s">
        <v>231</v>
      </c>
      <c r="K2626" t="s">
        <v>500</v>
      </c>
      <c r="L2626" t="s">
        <v>265</v>
      </c>
      <c r="M2626" t="s">
        <v>234</v>
      </c>
      <c r="N2626" t="s">
        <v>52</v>
      </c>
      <c r="O2626" t="s">
        <v>235</v>
      </c>
      <c r="P2626" t="s">
        <v>266</v>
      </c>
      <c r="Q2626">
        <v>0</v>
      </c>
      <c r="R2626" t="s">
        <v>237</v>
      </c>
    </row>
    <row r="2627" spans="1:18" x14ac:dyDescent="0.25">
      <c r="A2627" t="s">
        <v>1994</v>
      </c>
      <c r="B2627">
        <v>1063</v>
      </c>
      <c r="C2627" t="s">
        <v>487</v>
      </c>
      <c r="D2627" t="s">
        <v>256</v>
      </c>
      <c r="E2627" t="s">
        <v>371</v>
      </c>
      <c r="F2627" t="s">
        <v>1318</v>
      </c>
      <c r="G2627" s="25">
        <v>44245</v>
      </c>
      <c r="H2627">
        <v>10</v>
      </c>
      <c r="I2627">
        <v>49</v>
      </c>
      <c r="J2627" t="s">
        <v>231</v>
      </c>
      <c r="K2627" t="s">
        <v>500</v>
      </c>
      <c r="L2627" t="s">
        <v>265</v>
      </c>
      <c r="M2627" t="s">
        <v>234</v>
      </c>
      <c r="N2627" t="s">
        <v>52</v>
      </c>
      <c r="O2627" t="s">
        <v>235</v>
      </c>
      <c r="P2627" t="s">
        <v>266</v>
      </c>
      <c r="Q2627">
        <v>0</v>
      </c>
      <c r="R2627" t="s">
        <v>237</v>
      </c>
    </row>
    <row r="2628" spans="1:18" x14ac:dyDescent="0.25">
      <c r="A2628" t="s">
        <v>4055</v>
      </c>
      <c r="B2628">
        <v>2652</v>
      </c>
      <c r="C2628" t="s">
        <v>487</v>
      </c>
      <c r="D2628" t="s">
        <v>326</v>
      </c>
      <c r="E2628" t="s">
        <v>229</v>
      </c>
      <c r="F2628" t="s">
        <v>3241</v>
      </c>
      <c r="G2628" s="25">
        <v>44317</v>
      </c>
      <c r="H2628">
        <v>25</v>
      </c>
      <c r="I2628">
        <v>121</v>
      </c>
      <c r="J2628" t="s">
        <v>231</v>
      </c>
      <c r="K2628" t="s">
        <v>499</v>
      </c>
      <c r="L2628" t="s">
        <v>410</v>
      </c>
      <c r="M2628" t="s">
        <v>234</v>
      </c>
      <c r="N2628" t="s">
        <v>62</v>
      </c>
      <c r="O2628" t="s">
        <v>235</v>
      </c>
      <c r="P2628" t="s">
        <v>411</v>
      </c>
      <c r="Q2628">
        <v>0</v>
      </c>
      <c r="R2628" t="s">
        <v>237</v>
      </c>
    </row>
    <row r="2629" spans="1:18" x14ac:dyDescent="0.25">
      <c r="A2629" t="s">
        <v>4056</v>
      </c>
      <c r="B2629">
        <v>2498</v>
      </c>
      <c r="C2629" t="s">
        <v>487</v>
      </c>
      <c r="D2629" t="s">
        <v>247</v>
      </c>
      <c r="E2629" t="s">
        <v>537</v>
      </c>
      <c r="F2629" t="s">
        <v>3153</v>
      </c>
      <c r="G2629" s="25">
        <v>44310</v>
      </c>
      <c r="H2629">
        <v>23</v>
      </c>
      <c r="I2629">
        <v>114</v>
      </c>
      <c r="J2629" t="s">
        <v>231</v>
      </c>
      <c r="K2629" t="s">
        <v>499</v>
      </c>
      <c r="L2629" t="s">
        <v>410</v>
      </c>
      <c r="M2629" t="s">
        <v>234</v>
      </c>
      <c r="N2629" t="s">
        <v>62</v>
      </c>
      <c r="O2629" t="s">
        <v>235</v>
      </c>
      <c r="P2629" t="s">
        <v>411</v>
      </c>
      <c r="Q2629">
        <v>0</v>
      </c>
      <c r="R2629" t="s">
        <v>237</v>
      </c>
    </row>
    <row r="2630" spans="1:18" x14ac:dyDescent="0.25">
      <c r="A2630" t="s">
        <v>2244</v>
      </c>
      <c r="B2630">
        <v>1530</v>
      </c>
      <c r="C2630" t="s">
        <v>487</v>
      </c>
      <c r="D2630" t="s">
        <v>261</v>
      </c>
      <c r="E2630" t="s">
        <v>239</v>
      </c>
      <c r="F2630" t="s">
        <v>1703</v>
      </c>
      <c r="G2630" s="25">
        <v>44266</v>
      </c>
      <c r="H2630">
        <v>14</v>
      </c>
      <c r="I2630">
        <v>70</v>
      </c>
      <c r="J2630" t="s">
        <v>231</v>
      </c>
      <c r="K2630" t="s">
        <v>499</v>
      </c>
      <c r="L2630" t="s">
        <v>410</v>
      </c>
      <c r="M2630" t="s">
        <v>234</v>
      </c>
      <c r="N2630" t="s">
        <v>62</v>
      </c>
      <c r="O2630" t="s">
        <v>235</v>
      </c>
      <c r="P2630" t="s">
        <v>411</v>
      </c>
      <c r="Q2630">
        <v>0</v>
      </c>
      <c r="R2630" t="s">
        <v>237</v>
      </c>
    </row>
    <row r="2631" spans="1:18" x14ac:dyDescent="0.25">
      <c r="A2631" t="s">
        <v>2669</v>
      </c>
      <c r="B2631">
        <v>1288</v>
      </c>
      <c r="C2631" t="s">
        <v>487</v>
      </c>
      <c r="D2631" t="s">
        <v>256</v>
      </c>
      <c r="E2631" t="s">
        <v>531</v>
      </c>
      <c r="F2631" t="s">
        <v>1373</v>
      </c>
      <c r="G2631" s="25">
        <v>44255</v>
      </c>
      <c r="H2631">
        <v>12</v>
      </c>
      <c r="I2631">
        <v>59</v>
      </c>
      <c r="J2631" t="s">
        <v>231</v>
      </c>
      <c r="K2631" t="s">
        <v>499</v>
      </c>
      <c r="L2631" t="s">
        <v>410</v>
      </c>
      <c r="M2631" t="s">
        <v>234</v>
      </c>
      <c r="N2631" t="s">
        <v>62</v>
      </c>
      <c r="O2631" t="s">
        <v>235</v>
      </c>
      <c r="P2631" t="s">
        <v>411</v>
      </c>
      <c r="Q2631">
        <v>0</v>
      </c>
      <c r="R2631" t="s">
        <v>237</v>
      </c>
    </row>
    <row r="2632" spans="1:18" x14ac:dyDescent="0.25">
      <c r="A2632" t="s">
        <v>841</v>
      </c>
      <c r="B2632">
        <v>320</v>
      </c>
      <c r="C2632" t="s">
        <v>487</v>
      </c>
      <c r="D2632" t="s">
        <v>229</v>
      </c>
      <c r="E2632" t="s">
        <v>575</v>
      </c>
      <c r="F2632" t="s">
        <v>576</v>
      </c>
      <c r="G2632" s="25">
        <v>44211</v>
      </c>
      <c r="H2632">
        <v>3</v>
      </c>
      <c r="I2632">
        <v>15</v>
      </c>
      <c r="J2632" t="s">
        <v>231</v>
      </c>
      <c r="K2632" t="s">
        <v>499</v>
      </c>
      <c r="L2632" t="s">
        <v>410</v>
      </c>
      <c r="M2632" t="s">
        <v>234</v>
      </c>
      <c r="N2632" t="s">
        <v>62</v>
      </c>
      <c r="O2632" t="s">
        <v>235</v>
      </c>
      <c r="P2632" t="s">
        <v>411</v>
      </c>
      <c r="Q2632">
        <v>0</v>
      </c>
      <c r="R2632" t="s">
        <v>237</v>
      </c>
    </row>
    <row r="2633" spans="1:18" x14ac:dyDescent="0.25">
      <c r="A2633" t="s">
        <v>1997</v>
      </c>
      <c r="B2633">
        <v>1715</v>
      </c>
      <c r="C2633" t="s">
        <v>487</v>
      </c>
      <c r="D2633" t="s">
        <v>261</v>
      </c>
      <c r="E2633" t="s">
        <v>552</v>
      </c>
      <c r="F2633" t="s">
        <v>1585</v>
      </c>
      <c r="G2633" s="25">
        <v>44274</v>
      </c>
      <c r="H2633">
        <v>16</v>
      </c>
      <c r="I2633">
        <v>78</v>
      </c>
      <c r="J2633" t="s">
        <v>432</v>
      </c>
      <c r="K2633" t="s">
        <v>498</v>
      </c>
      <c r="L2633" t="s">
        <v>26</v>
      </c>
      <c r="M2633" t="s">
        <v>434</v>
      </c>
      <c r="N2633" t="s">
        <v>77</v>
      </c>
      <c r="O2633" t="s">
        <v>435</v>
      </c>
      <c r="P2633" t="s">
        <v>26</v>
      </c>
      <c r="Q2633">
        <v>107143.75</v>
      </c>
      <c r="R2633" t="s">
        <v>436</v>
      </c>
    </row>
    <row r="2634" spans="1:18" x14ac:dyDescent="0.25">
      <c r="A2634" t="s">
        <v>2564</v>
      </c>
      <c r="B2634">
        <v>1429</v>
      </c>
      <c r="C2634" t="s">
        <v>487</v>
      </c>
      <c r="D2634" t="s">
        <v>261</v>
      </c>
      <c r="E2634" t="s">
        <v>322</v>
      </c>
      <c r="F2634" t="s">
        <v>1417</v>
      </c>
      <c r="G2634" s="25">
        <v>44261</v>
      </c>
      <c r="H2634">
        <v>13</v>
      </c>
      <c r="I2634">
        <v>65</v>
      </c>
      <c r="J2634" t="s">
        <v>432</v>
      </c>
      <c r="K2634" t="s">
        <v>498</v>
      </c>
      <c r="L2634" t="s">
        <v>26</v>
      </c>
      <c r="M2634" t="s">
        <v>434</v>
      </c>
      <c r="N2634" t="s">
        <v>77</v>
      </c>
      <c r="O2634" t="s">
        <v>435</v>
      </c>
      <c r="P2634" t="s">
        <v>26</v>
      </c>
      <c r="Q2634">
        <v>166075</v>
      </c>
      <c r="R2634" t="s">
        <v>436</v>
      </c>
    </row>
    <row r="2635" spans="1:18" x14ac:dyDescent="0.25">
      <c r="A2635" t="s">
        <v>2794</v>
      </c>
      <c r="B2635">
        <v>1209</v>
      </c>
      <c r="C2635" t="s">
        <v>487</v>
      </c>
      <c r="D2635" t="s">
        <v>256</v>
      </c>
      <c r="E2635" t="s">
        <v>575</v>
      </c>
      <c r="F2635" t="s">
        <v>1668</v>
      </c>
      <c r="G2635" s="25">
        <v>44251</v>
      </c>
      <c r="H2635">
        <v>11</v>
      </c>
      <c r="I2635">
        <v>55</v>
      </c>
      <c r="J2635" t="s">
        <v>432</v>
      </c>
      <c r="K2635" t="s">
        <v>498</v>
      </c>
      <c r="L2635" t="s">
        <v>26</v>
      </c>
      <c r="M2635" t="s">
        <v>434</v>
      </c>
      <c r="N2635" t="s">
        <v>77</v>
      </c>
      <c r="O2635" t="s">
        <v>435</v>
      </c>
      <c r="P2635" t="s">
        <v>26</v>
      </c>
      <c r="Q2635">
        <v>206128.125</v>
      </c>
      <c r="R2635" t="s">
        <v>436</v>
      </c>
    </row>
    <row r="2636" spans="1:18" x14ac:dyDescent="0.25">
      <c r="A2636" t="s">
        <v>4057</v>
      </c>
      <c r="B2636">
        <v>2463</v>
      </c>
      <c r="C2636" t="s">
        <v>487</v>
      </c>
      <c r="D2636" t="s">
        <v>247</v>
      </c>
      <c r="E2636" t="s">
        <v>232</v>
      </c>
      <c r="F2636" t="s">
        <v>3140</v>
      </c>
      <c r="G2636" s="25">
        <v>44308</v>
      </c>
      <c r="H2636">
        <v>23</v>
      </c>
      <c r="I2636">
        <v>112</v>
      </c>
      <c r="J2636" t="s">
        <v>432</v>
      </c>
      <c r="K2636" t="s">
        <v>498</v>
      </c>
      <c r="L2636" t="s">
        <v>26</v>
      </c>
      <c r="M2636" t="s">
        <v>434</v>
      </c>
      <c r="N2636" t="s">
        <v>77</v>
      </c>
      <c r="O2636" t="s">
        <v>435</v>
      </c>
      <c r="P2636" t="s">
        <v>26</v>
      </c>
      <c r="Q2636">
        <v>178811.25</v>
      </c>
      <c r="R2636" t="s">
        <v>436</v>
      </c>
    </row>
    <row r="2637" spans="1:18" x14ac:dyDescent="0.25">
      <c r="A2637" t="s">
        <v>2184</v>
      </c>
      <c r="B2637">
        <v>1537</v>
      </c>
      <c r="C2637" t="s">
        <v>487</v>
      </c>
      <c r="D2637" t="s">
        <v>261</v>
      </c>
      <c r="E2637" t="s">
        <v>239</v>
      </c>
      <c r="F2637" t="s">
        <v>1703</v>
      </c>
      <c r="G2637" s="25">
        <v>44266</v>
      </c>
      <c r="H2637">
        <v>14</v>
      </c>
      <c r="I2637">
        <v>70</v>
      </c>
      <c r="J2637" t="s">
        <v>432</v>
      </c>
      <c r="K2637" t="s">
        <v>497</v>
      </c>
      <c r="L2637" t="s">
        <v>438</v>
      </c>
      <c r="M2637" t="s">
        <v>434</v>
      </c>
      <c r="N2637" t="s">
        <v>75</v>
      </c>
      <c r="O2637" t="s">
        <v>435</v>
      </c>
      <c r="P2637" t="s">
        <v>438</v>
      </c>
      <c r="Q2637">
        <v>32100</v>
      </c>
      <c r="R2637" t="s">
        <v>436</v>
      </c>
    </row>
    <row r="2638" spans="1:18" x14ac:dyDescent="0.25">
      <c r="A2638" t="s">
        <v>1945</v>
      </c>
      <c r="B2638">
        <v>1295</v>
      </c>
      <c r="C2638" t="s">
        <v>487</v>
      </c>
      <c r="D2638" t="s">
        <v>256</v>
      </c>
      <c r="E2638" t="s">
        <v>531</v>
      </c>
      <c r="F2638" t="s">
        <v>1373</v>
      </c>
      <c r="G2638" s="25">
        <v>44255</v>
      </c>
      <c r="H2638">
        <v>12</v>
      </c>
      <c r="I2638">
        <v>59</v>
      </c>
      <c r="J2638" t="s">
        <v>432</v>
      </c>
      <c r="K2638" t="s">
        <v>497</v>
      </c>
      <c r="L2638" t="s">
        <v>438</v>
      </c>
      <c r="M2638" t="s">
        <v>434</v>
      </c>
      <c r="N2638" t="s">
        <v>75</v>
      </c>
      <c r="O2638" t="s">
        <v>435</v>
      </c>
      <c r="P2638" t="s">
        <v>438</v>
      </c>
      <c r="Q2638">
        <v>43200</v>
      </c>
      <c r="R2638" t="s">
        <v>436</v>
      </c>
    </row>
    <row r="2639" spans="1:18" x14ac:dyDescent="0.25">
      <c r="A2639" t="s">
        <v>648</v>
      </c>
      <c r="B2639">
        <v>327</v>
      </c>
      <c r="C2639" t="s">
        <v>487</v>
      </c>
      <c r="D2639" t="s">
        <v>229</v>
      </c>
      <c r="E2639" t="s">
        <v>575</v>
      </c>
      <c r="F2639" t="s">
        <v>576</v>
      </c>
      <c r="G2639" s="25">
        <v>44211</v>
      </c>
      <c r="H2639">
        <v>3</v>
      </c>
      <c r="I2639">
        <v>15</v>
      </c>
      <c r="J2639" t="s">
        <v>432</v>
      </c>
      <c r="K2639" t="s">
        <v>497</v>
      </c>
      <c r="L2639" t="s">
        <v>438</v>
      </c>
      <c r="M2639" t="s">
        <v>434</v>
      </c>
      <c r="N2639" t="s">
        <v>75</v>
      </c>
      <c r="O2639" t="s">
        <v>435</v>
      </c>
      <c r="P2639" t="s">
        <v>438</v>
      </c>
      <c r="Q2639">
        <v>3600</v>
      </c>
      <c r="R2639" t="s">
        <v>436</v>
      </c>
    </row>
    <row r="2640" spans="1:18" x14ac:dyDescent="0.25">
      <c r="A2640" t="s">
        <v>4058</v>
      </c>
      <c r="B2640">
        <v>2659</v>
      </c>
      <c r="C2640" t="s">
        <v>487</v>
      </c>
      <c r="D2640" t="s">
        <v>326</v>
      </c>
      <c r="E2640" t="s">
        <v>229</v>
      </c>
      <c r="F2640" t="s">
        <v>3241</v>
      </c>
      <c r="G2640" s="25">
        <v>44317</v>
      </c>
      <c r="H2640">
        <v>25</v>
      </c>
      <c r="I2640">
        <v>121</v>
      </c>
      <c r="J2640" t="s">
        <v>432</v>
      </c>
      <c r="K2640" t="s">
        <v>497</v>
      </c>
      <c r="L2640" t="s">
        <v>438</v>
      </c>
      <c r="M2640" t="s">
        <v>434</v>
      </c>
      <c r="N2640" t="s">
        <v>75</v>
      </c>
      <c r="O2640" t="s">
        <v>435</v>
      </c>
      <c r="P2640" t="s">
        <v>438</v>
      </c>
      <c r="Q2640">
        <v>23100</v>
      </c>
      <c r="R2640" t="s">
        <v>436</v>
      </c>
    </row>
    <row r="2641" spans="1:18" x14ac:dyDescent="0.25">
      <c r="A2641" t="s">
        <v>4059</v>
      </c>
      <c r="B2641">
        <v>2571</v>
      </c>
      <c r="C2641" t="s">
        <v>487</v>
      </c>
      <c r="D2641" t="s">
        <v>247</v>
      </c>
      <c r="E2641" t="s">
        <v>534</v>
      </c>
      <c r="F2641" t="s">
        <v>3166</v>
      </c>
      <c r="G2641" s="25">
        <v>44313</v>
      </c>
      <c r="H2641">
        <v>24</v>
      </c>
      <c r="I2641">
        <v>117</v>
      </c>
      <c r="J2641" t="s">
        <v>432</v>
      </c>
      <c r="K2641" t="s">
        <v>497</v>
      </c>
      <c r="L2641" t="s">
        <v>438</v>
      </c>
      <c r="M2641" t="s">
        <v>434</v>
      </c>
      <c r="N2641" t="s">
        <v>75</v>
      </c>
      <c r="O2641" t="s">
        <v>435</v>
      </c>
      <c r="P2641" t="s">
        <v>438</v>
      </c>
      <c r="Q2641">
        <v>26287.5</v>
      </c>
      <c r="R2641" t="s">
        <v>436</v>
      </c>
    </row>
    <row r="2642" spans="1:18" x14ac:dyDescent="0.25">
      <c r="A2642" t="s">
        <v>4060</v>
      </c>
      <c r="B2642">
        <v>2505</v>
      </c>
      <c r="C2642" t="s">
        <v>487</v>
      </c>
      <c r="D2642" t="s">
        <v>247</v>
      </c>
      <c r="E2642" t="s">
        <v>537</v>
      </c>
      <c r="F2642" t="s">
        <v>3153</v>
      </c>
      <c r="G2642" s="25">
        <v>44310</v>
      </c>
      <c r="H2642">
        <v>23</v>
      </c>
      <c r="I2642">
        <v>114</v>
      </c>
      <c r="J2642" t="s">
        <v>432</v>
      </c>
      <c r="K2642" t="s">
        <v>497</v>
      </c>
      <c r="L2642" t="s">
        <v>438</v>
      </c>
      <c r="M2642" t="s">
        <v>434</v>
      </c>
      <c r="N2642" t="s">
        <v>75</v>
      </c>
      <c r="O2642" t="s">
        <v>435</v>
      </c>
      <c r="P2642" t="s">
        <v>438</v>
      </c>
      <c r="Q2642">
        <v>34500</v>
      </c>
      <c r="R2642" t="s">
        <v>436</v>
      </c>
    </row>
    <row r="2643" spans="1:18" x14ac:dyDescent="0.25">
      <c r="A2643" t="s">
        <v>2677</v>
      </c>
      <c r="B2643">
        <v>1511</v>
      </c>
      <c r="C2643" t="s">
        <v>487</v>
      </c>
      <c r="D2643" t="s">
        <v>261</v>
      </c>
      <c r="E2643" t="s">
        <v>371</v>
      </c>
      <c r="F2643" t="s">
        <v>1478</v>
      </c>
      <c r="G2643" s="25">
        <v>44265</v>
      </c>
      <c r="H2643">
        <v>14</v>
      </c>
      <c r="I2643">
        <v>69</v>
      </c>
      <c r="J2643" t="s">
        <v>432</v>
      </c>
      <c r="K2643" t="s">
        <v>496</v>
      </c>
      <c r="L2643" t="s">
        <v>69</v>
      </c>
      <c r="M2643" t="s">
        <v>434</v>
      </c>
      <c r="N2643" t="s">
        <v>68</v>
      </c>
      <c r="O2643" t="s">
        <v>21</v>
      </c>
      <c r="P2643" t="s">
        <v>439</v>
      </c>
      <c r="Q2643">
        <v>168875</v>
      </c>
      <c r="R2643" t="s">
        <v>237</v>
      </c>
    </row>
    <row r="2644" spans="1:18" x14ac:dyDescent="0.25">
      <c r="A2644" t="s">
        <v>1836</v>
      </c>
      <c r="B2644">
        <v>566</v>
      </c>
      <c r="C2644" t="s">
        <v>487</v>
      </c>
      <c r="D2644" t="s">
        <v>231</v>
      </c>
      <c r="E2644" t="s">
        <v>247</v>
      </c>
      <c r="F2644" t="s">
        <v>1088</v>
      </c>
      <c r="G2644" s="25">
        <v>44222</v>
      </c>
      <c r="H2644">
        <v>6</v>
      </c>
      <c r="I2644">
        <v>26</v>
      </c>
      <c r="J2644" t="s">
        <v>432</v>
      </c>
      <c r="K2644" t="s">
        <v>495</v>
      </c>
      <c r="L2644" t="s">
        <v>135</v>
      </c>
      <c r="M2644" t="s">
        <v>434</v>
      </c>
      <c r="N2644" t="s">
        <v>70</v>
      </c>
      <c r="O2644" t="s">
        <v>21</v>
      </c>
      <c r="P2644" t="s">
        <v>440</v>
      </c>
      <c r="Q2644">
        <v>64000</v>
      </c>
      <c r="R2644" t="s">
        <v>237</v>
      </c>
    </row>
    <row r="2645" spans="1:18" x14ac:dyDescent="0.25">
      <c r="A2645" t="s">
        <v>641</v>
      </c>
      <c r="B2645">
        <v>368</v>
      </c>
      <c r="C2645" t="s">
        <v>487</v>
      </c>
      <c r="D2645" t="s">
        <v>229</v>
      </c>
      <c r="E2645" t="s">
        <v>534</v>
      </c>
      <c r="F2645" t="s">
        <v>535</v>
      </c>
      <c r="G2645" s="25">
        <v>44213</v>
      </c>
      <c r="H2645">
        <v>4</v>
      </c>
      <c r="I2645">
        <v>17</v>
      </c>
      <c r="J2645" t="s">
        <v>432</v>
      </c>
      <c r="K2645" t="s">
        <v>495</v>
      </c>
      <c r="L2645" t="s">
        <v>135</v>
      </c>
      <c r="M2645" t="s">
        <v>434</v>
      </c>
      <c r="N2645" t="s">
        <v>70</v>
      </c>
      <c r="O2645" t="s">
        <v>21</v>
      </c>
      <c r="P2645" t="s">
        <v>440</v>
      </c>
      <c r="Q2645">
        <v>16625</v>
      </c>
      <c r="R2645" t="s">
        <v>237</v>
      </c>
    </row>
    <row r="2646" spans="1:18" x14ac:dyDescent="0.25">
      <c r="A2646" t="s">
        <v>2625</v>
      </c>
      <c r="B2646">
        <v>1776</v>
      </c>
      <c r="C2646" t="s">
        <v>487</v>
      </c>
      <c r="D2646" t="s">
        <v>322</v>
      </c>
      <c r="E2646" t="s">
        <v>229</v>
      </c>
      <c r="F2646" t="s">
        <v>1643</v>
      </c>
      <c r="G2646" s="25">
        <v>44277</v>
      </c>
      <c r="H2646">
        <v>17</v>
      </c>
      <c r="I2646">
        <v>81</v>
      </c>
      <c r="J2646" t="s">
        <v>432</v>
      </c>
      <c r="K2646" t="s">
        <v>495</v>
      </c>
      <c r="L2646" t="s">
        <v>135</v>
      </c>
      <c r="M2646" t="s">
        <v>434</v>
      </c>
      <c r="N2646" t="s">
        <v>70</v>
      </c>
      <c r="O2646" t="s">
        <v>21</v>
      </c>
      <c r="P2646" t="s">
        <v>440</v>
      </c>
      <c r="Q2646">
        <v>0</v>
      </c>
      <c r="R2646" t="s">
        <v>237</v>
      </c>
    </row>
    <row r="2647" spans="1:18" x14ac:dyDescent="0.25">
      <c r="A2647" t="s">
        <v>2310</v>
      </c>
      <c r="B2647">
        <v>1578</v>
      </c>
      <c r="C2647" t="s">
        <v>487</v>
      </c>
      <c r="D2647" t="s">
        <v>261</v>
      </c>
      <c r="E2647" t="s">
        <v>232</v>
      </c>
      <c r="F2647" t="s">
        <v>1500</v>
      </c>
      <c r="G2647" s="25">
        <v>44268</v>
      </c>
      <c r="H2647">
        <v>15</v>
      </c>
      <c r="I2647">
        <v>72</v>
      </c>
      <c r="J2647" t="s">
        <v>432</v>
      </c>
      <c r="K2647" t="s">
        <v>495</v>
      </c>
      <c r="L2647" t="s">
        <v>135</v>
      </c>
      <c r="M2647" t="s">
        <v>434</v>
      </c>
      <c r="N2647" t="s">
        <v>70</v>
      </c>
      <c r="O2647" t="s">
        <v>21</v>
      </c>
      <c r="P2647" t="s">
        <v>440</v>
      </c>
      <c r="Q2647">
        <v>104625</v>
      </c>
      <c r="R2647" t="s">
        <v>237</v>
      </c>
    </row>
    <row r="2648" spans="1:18" x14ac:dyDescent="0.25">
      <c r="A2648" t="s">
        <v>2369</v>
      </c>
      <c r="B2648">
        <v>940</v>
      </c>
      <c r="C2648" t="s">
        <v>487</v>
      </c>
      <c r="D2648" t="s">
        <v>256</v>
      </c>
      <c r="E2648" t="s">
        <v>256</v>
      </c>
      <c r="F2648" t="s">
        <v>1263</v>
      </c>
      <c r="G2648" s="25">
        <v>44239</v>
      </c>
      <c r="H2648">
        <v>9</v>
      </c>
      <c r="I2648">
        <v>43</v>
      </c>
      <c r="J2648" t="s">
        <v>432</v>
      </c>
      <c r="K2648" t="s">
        <v>495</v>
      </c>
      <c r="L2648" t="s">
        <v>135</v>
      </c>
      <c r="M2648" t="s">
        <v>434</v>
      </c>
      <c r="N2648" t="s">
        <v>70</v>
      </c>
      <c r="O2648" t="s">
        <v>21</v>
      </c>
      <c r="P2648" t="s">
        <v>440</v>
      </c>
      <c r="Q2648">
        <v>100000</v>
      </c>
      <c r="R2648" t="s">
        <v>237</v>
      </c>
    </row>
    <row r="2649" spans="1:18" x14ac:dyDescent="0.25">
      <c r="A2649" t="s">
        <v>4061</v>
      </c>
      <c r="B2649">
        <v>2310</v>
      </c>
      <c r="C2649" t="s">
        <v>487</v>
      </c>
      <c r="D2649" t="s">
        <v>247</v>
      </c>
      <c r="E2649" t="s">
        <v>322</v>
      </c>
      <c r="F2649" t="s">
        <v>3083</v>
      </c>
      <c r="G2649" s="25">
        <v>44301</v>
      </c>
      <c r="H2649">
        <v>21</v>
      </c>
      <c r="I2649">
        <v>105</v>
      </c>
      <c r="J2649" t="s">
        <v>432</v>
      </c>
      <c r="K2649" t="s">
        <v>493</v>
      </c>
      <c r="L2649" t="s">
        <v>441</v>
      </c>
      <c r="M2649" t="s">
        <v>434</v>
      </c>
      <c r="N2649" t="s">
        <v>78</v>
      </c>
      <c r="O2649" t="s">
        <v>435</v>
      </c>
      <c r="P2649" t="s">
        <v>441</v>
      </c>
      <c r="Q2649">
        <v>207095.625</v>
      </c>
      <c r="R2649" t="s">
        <v>436</v>
      </c>
    </row>
    <row r="2650" spans="1:18" x14ac:dyDescent="0.25">
      <c r="A2650" t="s">
        <v>2905</v>
      </c>
      <c r="B2650">
        <v>1562</v>
      </c>
      <c r="C2650" t="s">
        <v>487</v>
      </c>
      <c r="D2650" t="s">
        <v>261</v>
      </c>
      <c r="E2650" t="s">
        <v>515</v>
      </c>
      <c r="F2650" t="s">
        <v>1493</v>
      </c>
      <c r="G2650" s="25">
        <v>44267</v>
      </c>
      <c r="H2650">
        <v>15</v>
      </c>
      <c r="I2650">
        <v>71</v>
      </c>
      <c r="J2650" t="s">
        <v>432</v>
      </c>
      <c r="K2650" t="s">
        <v>493</v>
      </c>
      <c r="L2650" t="s">
        <v>441</v>
      </c>
      <c r="M2650" t="s">
        <v>434</v>
      </c>
      <c r="N2650" t="s">
        <v>78</v>
      </c>
      <c r="O2650" t="s">
        <v>435</v>
      </c>
      <c r="P2650" t="s">
        <v>441</v>
      </c>
      <c r="Q2650">
        <v>142231.25</v>
      </c>
      <c r="R2650" t="s">
        <v>436</v>
      </c>
    </row>
    <row r="2651" spans="1:18" x14ac:dyDescent="0.25">
      <c r="A2651" t="s">
        <v>2629</v>
      </c>
      <c r="B2651">
        <v>1100</v>
      </c>
      <c r="C2651" t="s">
        <v>487</v>
      </c>
      <c r="D2651" t="s">
        <v>256</v>
      </c>
      <c r="E2651" t="s">
        <v>239</v>
      </c>
      <c r="F2651" t="s">
        <v>1322</v>
      </c>
      <c r="G2651" s="25">
        <v>44246</v>
      </c>
      <c r="H2651">
        <v>10</v>
      </c>
      <c r="I2651">
        <v>50</v>
      </c>
      <c r="J2651" t="s">
        <v>432</v>
      </c>
      <c r="K2651" t="s">
        <v>493</v>
      </c>
      <c r="L2651" t="s">
        <v>441</v>
      </c>
      <c r="M2651" t="s">
        <v>434</v>
      </c>
      <c r="N2651" t="s">
        <v>78</v>
      </c>
      <c r="O2651" t="s">
        <v>435</v>
      </c>
      <c r="P2651" t="s">
        <v>441</v>
      </c>
      <c r="Q2651">
        <v>235943.75</v>
      </c>
      <c r="R2651" t="s">
        <v>436</v>
      </c>
    </row>
    <row r="2652" spans="1:18" x14ac:dyDescent="0.25">
      <c r="A2652" t="s">
        <v>2010</v>
      </c>
      <c r="B2652">
        <v>770</v>
      </c>
      <c r="C2652" t="s">
        <v>487</v>
      </c>
      <c r="D2652" t="s">
        <v>231</v>
      </c>
      <c r="E2652" t="s">
        <v>575</v>
      </c>
      <c r="F2652" t="s">
        <v>1210</v>
      </c>
      <c r="G2652" s="25">
        <v>44231</v>
      </c>
      <c r="H2652">
        <v>7</v>
      </c>
      <c r="I2652">
        <v>35</v>
      </c>
      <c r="J2652" t="s">
        <v>432</v>
      </c>
      <c r="K2652" t="s">
        <v>493</v>
      </c>
      <c r="L2652" t="s">
        <v>441</v>
      </c>
      <c r="M2652" t="s">
        <v>434</v>
      </c>
      <c r="N2652" t="s">
        <v>78</v>
      </c>
      <c r="O2652" t="s">
        <v>435</v>
      </c>
      <c r="P2652" t="s">
        <v>441</v>
      </c>
      <c r="Q2652">
        <v>109200</v>
      </c>
      <c r="R2652" t="s">
        <v>436</v>
      </c>
    </row>
    <row r="2653" spans="1:18" x14ac:dyDescent="0.25">
      <c r="A2653" t="s">
        <v>856</v>
      </c>
      <c r="B2653">
        <v>352</v>
      </c>
      <c r="C2653" t="s">
        <v>487</v>
      </c>
      <c r="D2653" t="s">
        <v>229</v>
      </c>
      <c r="E2653" t="s">
        <v>620</v>
      </c>
      <c r="F2653" t="s">
        <v>621</v>
      </c>
      <c r="G2653" s="25">
        <v>44212</v>
      </c>
      <c r="H2653">
        <v>4</v>
      </c>
      <c r="I2653">
        <v>16</v>
      </c>
      <c r="J2653" t="s">
        <v>432</v>
      </c>
      <c r="K2653" t="s">
        <v>493</v>
      </c>
      <c r="L2653" t="s">
        <v>441</v>
      </c>
      <c r="M2653" t="s">
        <v>434</v>
      </c>
      <c r="N2653" t="s">
        <v>78</v>
      </c>
      <c r="O2653" t="s">
        <v>435</v>
      </c>
      <c r="P2653" t="s">
        <v>441</v>
      </c>
      <c r="Q2653">
        <v>14831.25</v>
      </c>
      <c r="R2653" t="s">
        <v>436</v>
      </c>
    </row>
    <row r="2654" spans="1:18" x14ac:dyDescent="0.25">
      <c r="A2654" t="s">
        <v>2371</v>
      </c>
      <c r="B2654">
        <v>1293</v>
      </c>
      <c r="C2654" t="s">
        <v>487</v>
      </c>
      <c r="D2654" t="s">
        <v>256</v>
      </c>
      <c r="E2654" t="s">
        <v>531</v>
      </c>
      <c r="F2654" t="s">
        <v>1373</v>
      </c>
      <c r="G2654" s="25">
        <v>44255</v>
      </c>
      <c r="H2654">
        <v>12</v>
      </c>
      <c r="I2654">
        <v>59</v>
      </c>
      <c r="J2654" t="s">
        <v>432</v>
      </c>
      <c r="K2654" t="s">
        <v>492</v>
      </c>
      <c r="L2654" t="s">
        <v>24</v>
      </c>
      <c r="M2654" t="s">
        <v>434</v>
      </c>
      <c r="N2654" t="s">
        <v>71</v>
      </c>
      <c r="O2654" t="s">
        <v>435</v>
      </c>
      <c r="P2654" t="s">
        <v>24</v>
      </c>
      <c r="Q2654">
        <v>38700</v>
      </c>
      <c r="R2654" t="s">
        <v>436</v>
      </c>
    </row>
    <row r="2655" spans="1:18" x14ac:dyDescent="0.25">
      <c r="A2655" t="s">
        <v>4062</v>
      </c>
      <c r="B2655">
        <v>2657</v>
      </c>
      <c r="C2655" t="s">
        <v>487</v>
      </c>
      <c r="D2655" t="s">
        <v>326</v>
      </c>
      <c r="E2655" t="s">
        <v>229</v>
      </c>
      <c r="F2655" t="s">
        <v>3241</v>
      </c>
      <c r="G2655" s="25">
        <v>44317</v>
      </c>
      <c r="H2655">
        <v>25</v>
      </c>
      <c r="I2655">
        <v>121</v>
      </c>
      <c r="J2655" t="s">
        <v>432</v>
      </c>
      <c r="K2655" t="s">
        <v>492</v>
      </c>
      <c r="L2655" t="s">
        <v>24</v>
      </c>
      <c r="M2655" t="s">
        <v>434</v>
      </c>
      <c r="N2655" t="s">
        <v>71</v>
      </c>
      <c r="O2655" t="s">
        <v>435</v>
      </c>
      <c r="P2655" t="s">
        <v>24</v>
      </c>
      <c r="Q2655">
        <v>40500</v>
      </c>
      <c r="R2655" t="s">
        <v>436</v>
      </c>
    </row>
    <row r="2656" spans="1:18" x14ac:dyDescent="0.25">
      <c r="A2656" t="s">
        <v>1704</v>
      </c>
      <c r="B2656">
        <v>1042</v>
      </c>
      <c r="C2656" t="s">
        <v>487</v>
      </c>
      <c r="D2656" t="s">
        <v>256</v>
      </c>
      <c r="E2656" t="s">
        <v>381</v>
      </c>
      <c r="F2656" t="s">
        <v>1311</v>
      </c>
      <c r="G2656" s="25">
        <v>44244</v>
      </c>
      <c r="H2656">
        <v>10</v>
      </c>
      <c r="I2656">
        <v>48</v>
      </c>
      <c r="J2656" t="s">
        <v>231</v>
      </c>
      <c r="K2656" t="s">
        <v>491</v>
      </c>
      <c r="L2656" t="s">
        <v>233</v>
      </c>
      <c r="M2656" t="s">
        <v>234</v>
      </c>
      <c r="N2656" t="s">
        <v>54</v>
      </c>
      <c r="O2656" t="s">
        <v>235</v>
      </c>
      <c r="P2656" t="s">
        <v>236</v>
      </c>
      <c r="Q2656">
        <v>398</v>
      </c>
      <c r="R2656" t="s">
        <v>237</v>
      </c>
    </row>
    <row r="2657" spans="1:18" x14ac:dyDescent="0.25">
      <c r="A2657" t="s">
        <v>1844</v>
      </c>
      <c r="B2657">
        <v>646</v>
      </c>
      <c r="C2657" t="s">
        <v>487</v>
      </c>
      <c r="D2657" t="s">
        <v>231</v>
      </c>
      <c r="E2657" t="s">
        <v>239</v>
      </c>
      <c r="F2657" t="s">
        <v>1139</v>
      </c>
      <c r="G2657" s="25">
        <v>44226</v>
      </c>
      <c r="H2657">
        <v>6</v>
      </c>
      <c r="I2657">
        <v>30</v>
      </c>
      <c r="J2657" t="s">
        <v>231</v>
      </c>
      <c r="K2657" t="s">
        <v>491</v>
      </c>
      <c r="L2657" t="s">
        <v>233</v>
      </c>
      <c r="M2657" t="s">
        <v>234</v>
      </c>
      <c r="N2657" t="s">
        <v>54</v>
      </c>
      <c r="O2657" t="s">
        <v>235</v>
      </c>
      <c r="P2657" t="s">
        <v>236</v>
      </c>
      <c r="Q2657">
        <v>0</v>
      </c>
      <c r="R2657" t="s">
        <v>237</v>
      </c>
    </row>
    <row r="2658" spans="1:18" x14ac:dyDescent="0.25">
      <c r="A2658" t="s">
        <v>4063</v>
      </c>
      <c r="B2658">
        <v>2252</v>
      </c>
      <c r="C2658" t="s">
        <v>487</v>
      </c>
      <c r="D2658" t="s">
        <v>247</v>
      </c>
      <c r="E2658" t="s">
        <v>256</v>
      </c>
      <c r="F2658" t="s">
        <v>3073</v>
      </c>
      <c r="G2658" s="25">
        <v>44299</v>
      </c>
      <c r="H2658">
        <v>21</v>
      </c>
      <c r="I2658">
        <v>103</v>
      </c>
      <c r="J2658" t="s">
        <v>231</v>
      </c>
      <c r="K2658" t="s">
        <v>491</v>
      </c>
      <c r="L2658" t="s">
        <v>233</v>
      </c>
      <c r="M2658" t="s">
        <v>234</v>
      </c>
      <c r="N2658" t="s">
        <v>54</v>
      </c>
      <c r="O2658" t="s">
        <v>235</v>
      </c>
      <c r="P2658" t="s">
        <v>236</v>
      </c>
      <c r="Q2658">
        <v>12506</v>
      </c>
      <c r="R2658" t="s">
        <v>237</v>
      </c>
    </row>
    <row r="2659" spans="1:18" x14ac:dyDescent="0.25">
      <c r="A2659" t="s">
        <v>1901</v>
      </c>
      <c r="B2659">
        <v>893</v>
      </c>
      <c r="C2659" t="s">
        <v>487</v>
      </c>
      <c r="D2659" t="s">
        <v>256</v>
      </c>
      <c r="E2659" t="s">
        <v>229</v>
      </c>
      <c r="F2659" t="s">
        <v>1241</v>
      </c>
      <c r="G2659" s="25">
        <v>44237</v>
      </c>
      <c r="H2659">
        <v>9</v>
      </c>
      <c r="I2659">
        <v>41</v>
      </c>
      <c r="J2659" t="s">
        <v>432</v>
      </c>
      <c r="K2659" t="s">
        <v>490</v>
      </c>
      <c r="L2659" t="s">
        <v>65</v>
      </c>
      <c r="M2659" t="s">
        <v>434</v>
      </c>
      <c r="N2659" t="s">
        <v>64</v>
      </c>
      <c r="O2659" t="s">
        <v>235</v>
      </c>
      <c r="P2659" t="s">
        <v>442</v>
      </c>
      <c r="Q2659">
        <v>254750</v>
      </c>
      <c r="R2659" t="s">
        <v>237</v>
      </c>
    </row>
    <row r="2660" spans="1:18" x14ac:dyDescent="0.25">
      <c r="A2660" t="s">
        <v>2917</v>
      </c>
      <c r="B2660">
        <v>849</v>
      </c>
      <c r="C2660" t="s">
        <v>487</v>
      </c>
      <c r="D2660" t="s">
        <v>231</v>
      </c>
      <c r="E2660" t="s">
        <v>531</v>
      </c>
      <c r="F2660" t="s">
        <v>1230</v>
      </c>
      <c r="G2660" s="25">
        <v>44235</v>
      </c>
      <c r="H2660">
        <v>8</v>
      </c>
      <c r="I2660">
        <v>39</v>
      </c>
      <c r="J2660" t="s">
        <v>432</v>
      </c>
      <c r="K2660" t="s">
        <v>490</v>
      </c>
      <c r="L2660" t="s">
        <v>65</v>
      </c>
      <c r="M2660" t="s">
        <v>434</v>
      </c>
      <c r="N2660" t="s">
        <v>64</v>
      </c>
      <c r="O2660" t="s">
        <v>235</v>
      </c>
      <c r="P2660" t="s">
        <v>442</v>
      </c>
      <c r="Q2660">
        <v>240000</v>
      </c>
      <c r="R2660" t="s">
        <v>237</v>
      </c>
    </row>
    <row r="2661" spans="1:18" x14ac:dyDescent="0.25">
      <c r="A2661" t="s">
        <v>4064</v>
      </c>
      <c r="B2661">
        <v>2059</v>
      </c>
      <c r="C2661" t="s">
        <v>487</v>
      </c>
      <c r="D2661" t="s">
        <v>322</v>
      </c>
      <c r="E2661" t="s">
        <v>537</v>
      </c>
      <c r="F2661" t="s">
        <v>2999</v>
      </c>
      <c r="G2661" s="25">
        <v>44290</v>
      </c>
      <c r="H2661">
        <v>19</v>
      </c>
      <c r="I2661">
        <v>94</v>
      </c>
      <c r="J2661" t="s">
        <v>432</v>
      </c>
      <c r="K2661" t="s">
        <v>490</v>
      </c>
      <c r="L2661" t="s">
        <v>65</v>
      </c>
      <c r="M2661" t="s">
        <v>434</v>
      </c>
      <c r="N2661" t="s">
        <v>64</v>
      </c>
      <c r="O2661" t="s">
        <v>235</v>
      </c>
      <c r="P2661" t="s">
        <v>442</v>
      </c>
      <c r="Q2661">
        <v>448000</v>
      </c>
      <c r="R2661" t="s">
        <v>237</v>
      </c>
    </row>
    <row r="2662" spans="1:18" x14ac:dyDescent="0.25">
      <c r="A2662" t="s">
        <v>2486</v>
      </c>
      <c r="B2662">
        <v>1685</v>
      </c>
      <c r="C2662" t="s">
        <v>487</v>
      </c>
      <c r="D2662" t="s">
        <v>261</v>
      </c>
      <c r="E2662" t="s">
        <v>534</v>
      </c>
      <c r="F2662" t="s">
        <v>1563</v>
      </c>
      <c r="G2662" s="25">
        <v>44273</v>
      </c>
      <c r="H2662">
        <v>16</v>
      </c>
      <c r="I2662">
        <v>77</v>
      </c>
      <c r="J2662" t="s">
        <v>432</v>
      </c>
      <c r="K2662" t="s">
        <v>490</v>
      </c>
      <c r="L2662" t="s">
        <v>65</v>
      </c>
      <c r="M2662" t="s">
        <v>434</v>
      </c>
      <c r="N2662" t="s">
        <v>64</v>
      </c>
      <c r="O2662" t="s">
        <v>235</v>
      </c>
      <c r="P2662" t="s">
        <v>442</v>
      </c>
      <c r="Q2662">
        <v>296000</v>
      </c>
      <c r="R2662" t="s">
        <v>237</v>
      </c>
    </row>
    <row r="2663" spans="1:18" x14ac:dyDescent="0.25">
      <c r="A2663" t="s">
        <v>2755</v>
      </c>
      <c r="B2663">
        <v>1157</v>
      </c>
      <c r="C2663" t="s">
        <v>487</v>
      </c>
      <c r="D2663" t="s">
        <v>256</v>
      </c>
      <c r="E2663" t="s">
        <v>512</v>
      </c>
      <c r="F2663" t="s">
        <v>1342</v>
      </c>
      <c r="G2663" s="25">
        <v>44249</v>
      </c>
      <c r="H2663">
        <v>11</v>
      </c>
      <c r="I2663">
        <v>53</v>
      </c>
      <c r="J2663" t="s">
        <v>432</v>
      </c>
      <c r="K2663" t="s">
        <v>490</v>
      </c>
      <c r="L2663" t="s">
        <v>65</v>
      </c>
      <c r="M2663" t="s">
        <v>434</v>
      </c>
      <c r="N2663" t="s">
        <v>64</v>
      </c>
      <c r="O2663" t="s">
        <v>235</v>
      </c>
      <c r="P2663" t="s">
        <v>442</v>
      </c>
      <c r="Q2663">
        <v>360000</v>
      </c>
      <c r="R2663" t="s">
        <v>237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397A-7007-41B8-A87D-1DF84300E279}">
  <sheetPr codeName="Sheet16">
    <tabColor rgb="FF00B050"/>
  </sheetPr>
  <dimension ref="A1:N19"/>
  <sheetViews>
    <sheetView topLeftCell="A7" workbookViewId="0">
      <selection activeCell="F17" sqref="F17"/>
    </sheetView>
  </sheetViews>
  <sheetFormatPr defaultRowHeight="15" x14ac:dyDescent="0.25"/>
  <cols>
    <col min="1" max="1" width="17" style="68" customWidth="1"/>
    <col min="2" max="2" width="23.5703125" style="68" customWidth="1"/>
    <col min="3" max="3" width="15" style="68" customWidth="1"/>
    <col min="4" max="4" width="15.7109375" style="68" customWidth="1"/>
    <col min="5" max="5" width="17.28515625" style="68" customWidth="1"/>
    <col min="6" max="6" width="16.5703125" style="68" customWidth="1"/>
    <col min="7" max="7" width="8.7109375" style="68" customWidth="1"/>
    <col min="8" max="8" width="12" style="68" customWidth="1"/>
    <col min="9" max="9" width="10.7109375" style="68" customWidth="1"/>
    <col min="10" max="10" width="11.7109375" style="68" customWidth="1"/>
    <col min="11" max="11" width="9.85546875" style="68" customWidth="1"/>
    <col min="12" max="12" width="9.140625" style="68"/>
    <col min="13" max="13" width="18.28515625" style="68" customWidth="1"/>
    <col min="14" max="14" width="10.140625" style="68" customWidth="1"/>
    <col min="15" max="16384" width="9.140625" style="68"/>
  </cols>
  <sheetData>
    <row r="1" spans="1:14" ht="37.5" x14ac:dyDescent="0.25">
      <c r="A1" s="96" t="s">
        <v>394</v>
      </c>
      <c r="B1" s="137" t="s">
        <v>4065</v>
      </c>
      <c r="D1" s="138" t="s">
        <v>2933</v>
      </c>
    </row>
    <row r="2" spans="1:14" x14ac:dyDescent="0.25">
      <c r="A2" s="177" t="s">
        <v>445</v>
      </c>
      <c r="B2" s="177"/>
    </row>
    <row r="3" spans="1:14" x14ac:dyDescent="0.25">
      <c r="A3" s="161" t="s">
        <v>446</v>
      </c>
      <c r="B3" s="161"/>
    </row>
    <row r="4" spans="1:14" x14ac:dyDescent="0.25">
      <c r="A4" s="178" t="s">
        <v>447</v>
      </c>
      <c r="B4" s="178"/>
    </row>
    <row r="5" spans="1:14" ht="15.75" thickBot="1" x14ac:dyDescent="0.3">
      <c r="A5" s="162" t="s">
        <v>448</v>
      </c>
      <c r="B5" s="162"/>
    </row>
    <row r="6" spans="1:14" ht="38.25" thickBot="1" x14ac:dyDescent="0.35">
      <c r="A6" s="67" t="s">
        <v>424</v>
      </c>
      <c r="G6" s="187" t="s">
        <v>423</v>
      </c>
      <c r="H6" s="188"/>
      <c r="I6" s="189"/>
      <c r="M6" s="145" t="s">
        <v>422</v>
      </c>
    </row>
    <row r="7" spans="1:14" ht="45.75" thickBot="1" x14ac:dyDescent="0.3">
      <c r="A7" s="55" t="s">
        <v>28</v>
      </c>
      <c r="B7" s="55" t="s">
        <v>29</v>
      </c>
      <c r="C7" s="55" t="s">
        <v>415</v>
      </c>
      <c r="D7" s="55" t="s">
        <v>416</v>
      </c>
      <c r="E7" s="55" t="s">
        <v>417</v>
      </c>
      <c r="F7" s="55" t="s">
        <v>418</v>
      </c>
      <c r="G7" s="55" t="s">
        <v>419</v>
      </c>
      <c r="H7" s="55" t="s">
        <v>420</v>
      </c>
      <c r="I7" s="55" t="s">
        <v>146</v>
      </c>
      <c r="J7" s="55" t="s">
        <v>421</v>
      </c>
      <c r="K7" s="55" t="s">
        <v>148</v>
      </c>
      <c r="L7" s="139"/>
      <c r="M7" s="61">
        <f>(COUNTIF(K8:K19,"OK"))/COUNTA(A8:A19)</f>
        <v>0.5</v>
      </c>
    </row>
    <row r="8" spans="1:14" x14ac:dyDescent="0.25">
      <c r="A8" s="65" t="s">
        <v>40</v>
      </c>
      <c r="B8" s="42" t="str">
        <f t="shared" ref="B8:B19" si="0">IFERROR(VLOOKUP(A8,MaterialMaster,2,FALSE),"Invalid Record")</f>
        <v>500g Nut Muesli</v>
      </c>
      <c r="C8" s="65" t="s">
        <v>12</v>
      </c>
      <c r="D8" s="140">
        <f>SUMIFS(Inventory__2[INVENTORY_OPENING_BALANCE],Inventory__2[SIM_ROUND],Inventory!$B$1,Inventory__2[SIM_STEP],1,Inventory__2[MATERIAL_CODE],Inventory!A8)</f>
        <v>0</v>
      </c>
      <c r="E8" s="154">
        <f>VLOOKUP(A8,ProductionPlan!$A$7:$J$19,7,FALSE)</f>
        <v>0</v>
      </c>
      <c r="F8" s="140">
        <f>SUMIFS(Inventory__2[INVENTORY_OPENING_BALANCE],Inventory__2[SIM_ROUND],Inventory!$B$1,Inventory__2[SIM_STEP],1,Inventory__2[MATERIAL_CODE],Inventory!A8)</f>
        <v>0</v>
      </c>
      <c r="G8" s="143">
        <f>F8-E8</f>
        <v>0</v>
      </c>
      <c r="H8" s="144">
        <f>G8*IFERROR(VLOOKUP(A8,MaterialMaster!$A$4:$Q$27,12,FALSE),"invalid value")</f>
        <v>0</v>
      </c>
      <c r="I8" s="45">
        <f>IF(AND(E8=0,F8=0),0,IF(AND(E8=0,F8&gt;0),1,(G8/E8)))</f>
        <v>0</v>
      </c>
      <c r="J8" s="45">
        <f t="shared" ref="J8:J19" si="1">ControlLimit</f>
        <v>0.05</v>
      </c>
      <c r="K8" s="42" t="str">
        <f>IF(ABS(I8)&lt;=J8,"OK","Error")</f>
        <v>OK</v>
      </c>
    </row>
    <row r="9" spans="1:14" x14ac:dyDescent="0.25">
      <c r="A9" s="65" t="s">
        <v>42</v>
      </c>
      <c r="B9" s="42" t="str">
        <f t="shared" si="0"/>
        <v>500g Blueberry Muesli</v>
      </c>
      <c r="C9" s="65" t="s">
        <v>12</v>
      </c>
      <c r="D9" s="140">
        <f>SUMIFS(Inventory__2[INVENTORY_OPENING_BALANCE],Inventory__2[SIM_ROUND],Inventory!$B$1,Inventory__2[SIM_STEP],1,Inventory__2[MATERIAL_CODE],Inventory!A9)</f>
        <v>0</v>
      </c>
      <c r="E9" s="154">
        <f>VLOOKUP(A9,ProductionPlan!$A$7:$J$19,7,FALSE)</f>
        <v>14000</v>
      </c>
      <c r="F9" s="140">
        <f>SUMIFS(Inventory__2[INVENTORY_OPENING_BALANCE],Inventory__2[SIM_ROUND],Inventory!$B$1,Inventory__2[SIM_STEP],1,Inventory__2[MATERIAL_CODE],Inventory!A9)</f>
        <v>0</v>
      </c>
      <c r="G9" s="143">
        <f t="shared" ref="G9:G19" si="2">F9-E9</f>
        <v>-14000</v>
      </c>
      <c r="H9" s="144">
        <f>G9*IFERROR(VLOOKUP(A9,MaterialMaster!$A$4:$Q$27,12,FALSE),"invalid value")</f>
        <v>-17220</v>
      </c>
      <c r="I9" s="45">
        <f t="shared" ref="I9:I19" si="3">IF(AND(E9=0,F9=0),0,IF(AND(E9=0,F9&gt;0),1,(G9/E9)))</f>
        <v>-1</v>
      </c>
      <c r="J9" s="45">
        <f t="shared" si="1"/>
        <v>0.05</v>
      </c>
      <c r="K9" s="42" t="str">
        <f t="shared" ref="K9:K19" si="4">IF(ABS(I9)&lt;=J9,"OK","Error")</f>
        <v>Error</v>
      </c>
    </row>
    <row r="10" spans="1:14" x14ac:dyDescent="0.25">
      <c r="A10" s="65" t="s">
        <v>44</v>
      </c>
      <c r="B10" s="42" t="str">
        <f t="shared" si="0"/>
        <v>500g Strawberry Muesli</v>
      </c>
      <c r="C10" s="65" t="s">
        <v>12</v>
      </c>
      <c r="D10" s="140">
        <f>SUMIFS(Inventory__2[INVENTORY_OPENING_BALANCE],Inventory__2[SIM_ROUND],Inventory!$B$1,Inventory__2[SIM_STEP],1,Inventory__2[MATERIAL_CODE],Inventory!A10)</f>
        <v>0</v>
      </c>
      <c r="E10" s="154">
        <f>VLOOKUP(A10,ProductionPlan!$A$7:$J$19,7,FALSE)</f>
        <v>14000</v>
      </c>
      <c r="F10" s="140">
        <f>SUMIFS(Inventory__2[INVENTORY_OPENING_BALANCE],Inventory__2[SIM_ROUND],Inventory!$B$1,Inventory__2[SIM_STEP],1,Inventory__2[MATERIAL_CODE],Inventory!A10)</f>
        <v>0</v>
      </c>
      <c r="G10" s="143">
        <f t="shared" si="2"/>
        <v>-14000</v>
      </c>
      <c r="H10" s="144">
        <f>G10*IFERROR(VLOOKUP(A10,MaterialMaster!$A$4:$Q$27,12,FALSE),"invalid value")</f>
        <v>-17220</v>
      </c>
      <c r="I10" s="45">
        <f t="shared" si="3"/>
        <v>-1</v>
      </c>
      <c r="J10" s="45">
        <f t="shared" si="1"/>
        <v>0.05</v>
      </c>
      <c r="K10" s="42" t="str">
        <f t="shared" si="4"/>
        <v>Error</v>
      </c>
      <c r="M10" s="141" t="s">
        <v>453</v>
      </c>
      <c r="N10" s="142"/>
    </row>
    <row r="11" spans="1:14" x14ac:dyDescent="0.25">
      <c r="A11" s="65" t="s">
        <v>46</v>
      </c>
      <c r="B11" s="42" t="str">
        <f t="shared" si="0"/>
        <v>500g Raisin Muesli</v>
      </c>
      <c r="C11" s="65" t="s">
        <v>12</v>
      </c>
      <c r="D11" s="140">
        <f>SUMIFS(Inventory__2[INVENTORY_OPENING_BALANCE],Inventory__2[SIM_ROUND],Inventory!$B$1,Inventory__2[SIM_STEP],1,Inventory__2[MATERIAL_CODE],Inventory!A11)</f>
        <v>0</v>
      </c>
      <c r="E11" s="154">
        <f>VLOOKUP(A11,ProductionPlan!$A$7:$J$19,7,FALSE)</f>
        <v>0</v>
      </c>
      <c r="F11" s="140">
        <f>SUMIFS(Inventory__2[INVENTORY_OPENING_BALANCE],Inventory__2[SIM_ROUND],Inventory!$B$1,Inventory__2[SIM_STEP],1,Inventory__2[MATERIAL_CODE],Inventory!A11)</f>
        <v>0</v>
      </c>
      <c r="G11" s="143">
        <f t="shared" si="2"/>
        <v>0</v>
      </c>
      <c r="H11" s="144">
        <f>G11*IFERROR(VLOOKUP(A11,MaterialMaster!$A$4:$Q$27,12,FALSE),"invalid value")</f>
        <v>0</v>
      </c>
      <c r="I11" s="45">
        <f t="shared" si="3"/>
        <v>0</v>
      </c>
      <c r="J11" s="45">
        <f t="shared" si="1"/>
        <v>0.05</v>
      </c>
      <c r="K11" s="42" t="str">
        <f t="shared" si="4"/>
        <v>OK</v>
      </c>
      <c r="M11" s="65" t="s">
        <v>454</v>
      </c>
      <c r="N11" s="146">
        <f>SUM(F8:F19)</f>
        <v>23354</v>
      </c>
    </row>
    <row r="12" spans="1:14" x14ac:dyDescent="0.25">
      <c r="A12" s="65" t="s">
        <v>48</v>
      </c>
      <c r="B12" s="42" t="str">
        <f t="shared" si="0"/>
        <v>500g Original Muesli</v>
      </c>
      <c r="C12" s="65" t="s">
        <v>12</v>
      </c>
      <c r="D12" s="140">
        <f>SUMIFS(Inventory__2[INVENTORY_OPENING_BALANCE],Inventory__2[SIM_ROUND],Inventory!$B$1,Inventory__2[SIM_STEP],1,Inventory__2[MATERIAL_CODE],Inventory!A12)</f>
        <v>0</v>
      </c>
      <c r="E12" s="154">
        <f>VLOOKUP(A12,ProductionPlan!$A$7:$J$19,7,FALSE)</f>
        <v>0</v>
      </c>
      <c r="F12" s="140">
        <f>SUMIFS(Inventory__2[INVENTORY_OPENING_BALANCE],Inventory__2[SIM_ROUND],Inventory!$B$1,Inventory__2[SIM_STEP],1,Inventory__2[MATERIAL_CODE],Inventory!A12)</f>
        <v>0</v>
      </c>
      <c r="G12" s="143">
        <f t="shared" si="2"/>
        <v>0</v>
      </c>
      <c r="H12" s="144">
        <f>G12*IFERROR(VLOOKUP(A12,MaterialMaster!$A$4:$Q$27,12,FALSE),"invalid value")</f>
        <v>0</v>
      </c>
      <c r="I12" s="45">
        <f t="shared" si="3"/>
        <v>0</v>
      </c>
      <c r="J12" s="45">
        <f t="shared" si="1"/>
        <v>0.05</v>
      </c>
      <c r="K12" s="42" t="str">
        <f t="shared" si="4"/>
        <v>OK</v>
      </c>
      <c r="M12" s="65" t="s">
        <v>457</v>
      </c>
      <c r="N12" s="90">
        <v>250000</v>
      </c>
    </row>
    <row r="13" spans="1:14" x14ac:dyDescent="0.25">
      <c r="A13" s="65" t="s">
        <v>50</v>
      </c>
      <c r="B13" s="42" t="str">
        <f t="shared" si="0"/>
        <v>500g Mixed Fruits Muesli</v>
      </c>
      <c r="C13" s="65" t="s">
        <v>12</v>
      </c>
      <c r="D13" s="140">
        <f>SUMIFS(Inventory__2[INVENTORY_OPENING_BALANCE],Inventory__2[SIM_ROUND],Inventory!$B$1,Inventory__2[SIM_STEP],1,Inventory__2[MATERIAL_CODE],Inventory!A13)</f>
        <v>0</v>
      </c>
      <c r="E13" s="154">
        <f>VLOOKUP(A13,ProductionPlan!$A$7:$J$19,7,FALSE)</f>
        <v>0</v>
      </c>
      <c r="F13" s="140">
        <f>SUMIFS(Inventory__2[INVENTORY_OPENING_BALANCE],Inventory__2[SIM_ROUND],Inventory!$B$1,Inventory__2[SIM_STEP],1,Inventory__2[MATERIAL_CODE],Inventory!A13)</f>
        <v>0</v>
      </c>
      <c r="G13" s="143">
        <f t="shared" si="2"/>
        <v>0</v>
      </c>
      <c r="H13" s="144">
        <f>G13*IFERROR(VLOOKUP(A13,MaterialMaster!$A$4:$Q$27,12,FALSE),"invalid value")</f>
        <v>0</v>
      </c>
      <c r="I13" s="45">
        <f t="shared" si="3"/>
        <v>0</v>
      </c>
      <c r="J13" s="45">
        <f t="shared" si="1"/>
        <v>0.05</v>
      </c>
      <c r="K13" s="42" t="str">
        <f t="shared" si="4"/>
        <v>OK</v>
      </c>
      <c r="M13" s="65" t="s">
        <v>455</v>
      </c>
      <c r="N13" s="66">
        <v>500</v>
      </c>
    </row>
    <row r="14" spans="1:14" x14ac:dyDescent="0.25">
      <c r="A14" s="65" t="s">
        <v>52</v>
      </c>
      <c r="B14" s="42" t="str">
        <f t="shared" si="0"/>
        <v>1000g Nut Muesli</v>
      </c>
      <c r="C14" s="65" t="s">
        <v>12</v>
      </c>
      <c r="D14" s="140">
        <f>SUMIFS(Inventory__2[INVENTORY_OPENING_BALANCE],Inventory__2[SIM_ROUND],Inventory!$B$1,Inventory__2[SIM_STEP],1,Inventory__2[MATERIAL_CODE],Inventory!A14)</f>
        <v>3229</v>
      </c>
      <c r="E14" s="154">
        <f>VLOOKUP(A14,ProductionPlan!$A$7:$J$19,7,FALSE)</f>
        <v>1229</v>
      </c>
      <c r="F14" s="140">
        <f>SUMIFS(Inventory__2[INVENTORY_OPENING_BALANCE],Inventory__2[SIM_ROUND],Inventory!$B$1,Inventory__2[SIM_STEP],1,Inventory__2[MATERIAL_CODE],Inventory!A14)</f>
        <v>3229</v>
      </c>
      <c r="G14" s="143">
        <f t="shared" si="2"/>
        <v>2000</v>
      </c>
      <c r="H14" s="144">
        <f>G14*IFERROR(VLOOKUP(A14,MaterialMaster!$A$4:$Q$27,12,FALSE),"invalid value")</f>
        <v>3220</v>
      </c>
      <c r="I14" s="45">
        <f t="shared" si="3"/>
        <v>1.627339300244101</v>
      </c>
      <c r="J14" s="45">
        <f t="shared" si="1"/>
        <v>0.05</v>
      </c>
      <c r="K14" s="42" t="str">
        <f t="shared" si="4"/>
        <v>Error</v>
      </c>
      <c r="M14" s="65" t="s">
        <v>458</v>
      </c>
      <c r="N14" s="90">
        <v>50000</v>
      </c>
    </row>
    <row r="15" spans="1:14" x14ac:dyDescent="0.25">
      <c r="A15" s="65" t="s">
        <v>54</v>
      </c>
      <c r="B15" s="42" t="str">
        <f t="shared" si="0"/>
        <v>1000g Blueberry Muesli</v>
      </c>
      <c r="C15" s="65" t="s">
        <v>12</v>
      </c>
      <c r="D15" s="140">
        <f>SUMIFS(Inventory__2[INVENTORY_OPENING_BALANCE],Inventory__2[SIM_ROUND],Inventory!$B$1,Inventory__2[SIM_STEP],1,Inventory__2[MATERIAL_CODE],Inventory!A15)</f>
        <v>5375</v>
      </c>
      <c r="E15" s="154">
        <f>VLOOKUP(A15,ProductionPlan!$A$7:$J$19,7,FALSE)</f>
        <v>51375</v>
      </c>
      <c r="F15" s="140">
        <f>SUMIFS(Inventory__2[INVENTORY_OPENING_BALANCE],Inventory__2[SIM_ROUND],Inventory!$B$1,Inventory__2[SIM_STEP],1,Inventory__2[MATERIAL_CODE],Inventory!A15)</f>
        <v>5375</v>
      </c>
      <c r="G15" s="143">
        <f t="shared" si="2"/>
        <v>-46000</v>
      </c>
      <c r="H15" s="144">
        <f>G15*IFERROR(VLOOKUP(A15,MaterialMaster!$A$4:$Q$27,12,FALSE),"invalid value")</f>
        <v>-103959.99999999999</v>
      </c>
      <c r="I15" s="45">
        <f t="shared" si="3"/>
        <v>-0.89537712895377131</v>
      </c>
      <c r="J15" s="45">
        <f t="shared" si="1"/>
        <v>0.05</v>
      </c>
      <c r="K15" s="42" t="str">
        <f t="shared" si="4"/>
        <v>Error</v>
      </c>
      <c r="M15" s="65" t="s">
        <v>456</v>
      </c>
      <c r="N15" s="147">
        <f>(CEILING((N11-N12),N14)/N14)*N13</f>
        <v>-2000</v>
      </c>
    </row>
    <row r="16" spans="1:14" x14ac:dyDescent="0.25">
      <c r="A16" s="65" t="s">
        <v>56</v>
      </c>
      <c r="B16" s="42" t="str">
        <f t="shared" si="0"/>
        <v>1000g Strawberry Muesli</v>
      </c>
      <c r="C16" s="65" t="s">
        <v>12</v>
      </c>
      <c r="D16" s="140">
        <f>SUMIFS(Inventory__2[INVENTORY_OPENING_BALANCE],Inventory__2[SIM_ROUND],Inventory!$B$1,Inventory__2[SIM_STEP],1,Inventory__2[MATERIAL_CODE],Inventory!A16)</f>
        <v>14750</v>
      </c>
      <c r="E16" s="154">
        <f>VLOOKUP(A16,ProductionPlan!$A$7:$J$19,7,FALSE)</f>
        <v>12750</v>
      </c>
      <c r="F16" s="140">
        <f>SUMIFS(Inventory__2[INVENTORY_OPENING_BALANCE],Inventory__2[SIM_ROUND],Inventory!$B$1,Inventory__2[SIM_STEP],1,Inventory__2[MATERIAL_CODE],Inventory!A16)</f>
        <v>14750</v>
      </c>
      <c r="G16" s="143">
        <f t="shared" si="2"/>
        <v>2000</v>
      </c>
      <c r="H16" s="144">
        <f>G16*IFERROR(VLOOKUP(A16,MaterialMaster!$A$4:$Q$27,12,FALSE),"invalid value")</f>
        <v>4540</v>
      </c>
      <c r="I16" s="45">
        <f t="shared" si="3"/>
        <v>0.15686274509803921</v>
      </c>
      <c r="J16" s="45">
        <f t="shared" si="1"/>
        <v>0.05</v>
      </c>
      <c r="K16" s="42" t="str">
        <f t="shared" si="4"/>
        <v>Error</v>
      </c>
    </row>
    <row r="17" spans="1:11" x14ac:dyDescent="0.25">
      <c r="A17" s="65" t="s">
        <v>58</v>
      </c>
      <c r="B17" s="42" t="str">
        <f t="shared" si="0"/>
        <v>1000g Raisin Muesli</v>
      </c>
      <c r="C17" s="65" t="s">
        <v>12</v>
      </c>
      <c r="D17" s="140">
        <f>SUMIFS(Inventory__2[INVENTORY_OPENING_BALANCE],Inventory__2[SIM_ROUND],Inventory!$B$1,Inventory__2[SIM_STEP],1,Inventory__2[MATERIAL_CODE],Inventory!A17)</f>
        <v>0</v>
      </c>
      <c r="E17" s="154">
        <f>VLOOKUP(A17,ProductionPlan!$A$7:$J$19,7,FALSE)</f>
        <v>46000</v>
      </c>
      <c r="F17" s="140">
        <f>SUMIFS(Inventory__2[INVENTORY_OPENING_BALANCE],Inventory__2[SIM_ROUND],Inventory!$B$1,Inventory__2[SIM_STEP],1,Inventory__2[MATERIAL_CODE],Inventory!A17)</f>
        <v>0</v>
      </c>
      <c r="G17" s="143">
        <f t="shared" si="2"/>
        <v>-46000</v>
      </c>
      <c r="H17" s="144">
        <f>G17*IFERROR(VLOOKUP(A17,MaterialMaster!$A$4:$Q$27,12,FALSE),"invalid value")</f>
        <v>-63479.999999999993</v>
      </c>
      <c r="I17" s="45">
        <f t="shared" si="3"/>
        <v>-1</v>
      </c>
      <c r="J17" s="45">
        <f t="shared" si="1"/>
        <v>0.05</v>
      </c>
      <c r="K17" s="42" t="str">
        <f t="shared" si="4"/>
        <v>Error</v>
      </c>
    </row>
    <row r="18" spans="1:11" x14ac:dyDescent="0.25">
      <c r="A18" s="65" t="s">
        <v>60</v>
      </c>
      <c r="B18" s="42" t="str">
        <f t="shared" si="0"/>
        <v>1000g Original Muesli</v>
      </c>
      <c r="C18" s="65" t="s">
        <v>12</v>
      </c>
      <c r="D18" s="140">
        <f>SUMIFS(Inventory__2[INVENTORY_OPENING_BALANCE],Inventory__2[SIM_ROUND],Inventory!$B$1,Inventory__2[SIM_STEP],1,Inventory__2[MATERIAL_CODE],Inventory!A18)</f>
        <v>0</v>
      </c>
      <c r="E18" s="154">
        <f>VLOOKUP(A18,ProductionPlan!$A$7:$J$19,7,FALSE)</f>
        <v>0</v>
      </c>
      <c r="F18" s="140">
        <f>SUMIFS(Inventory__2[INVENTORY_OPENING_BALANCE],Inventory__2[SIM_ROUND],Inventory!$B$1,Inventory__2[SIM_STEP],1,Inventory__2[MATERIAL_CODE],Inventory!A18)</f>
        <v>0</v>
      </c>
      <c r="G18" s="143">
        <f t="shared" si="2"/>
        <v>0</v>
      </c>
      <c r="H18" s="144">
        <f>G18*IFERROR(VLOOKUP(A18,MaterialMaster!$A$4:$Q$27,12,FALSE),"invalid value")</f>
        <v>0</v>
      </c>
      <c r="I18" s="45">
        <f t="shared" si="3"/>
        <v>0</v>
      </c>
      <c r="J18" s="45">
        <f t="shared" si="1"/>
        <v>0.05</v>
      </c>
      <c r="K18" s="42" t="str">
        <f t="shared" si="4"/>
        <v>OK</v>
      </c>
    </row>
    <row r="19" spans="1:11" x14ac:dyDescent="0.25">
      <c r="A19" s="65" t="s">
        <v>62</v>
      </c>
      <c r="B19" s="42" t="str">
        <f t="shared" si="0"/>
        <v>1000g Mixed Fruits Muesli</v>
      </c>
      <c r="C19" s="65" t="s">
        <v>12</v>
      </c>
      <c r="D19" s="140">
        <f>SUMIFS(Inventory__2[INVENTORY_OPENING_BALANCE],Inventory__2[SIM_ROUND],Inventory!$B$1,Inventory__2[SIM_STEP],1,Inventory__2[MATERIAL_CODE],Inventory!A19)</f>
        <v>0</v>
      </c>
      <c r="E19" s="154">
        <f>VLOOKUP(A19,ProductionPlan!$A$7:$J$19,7,FALSE)</f>
        <v>0</v>
      </c>
      <c r="F19" s="140">
        <f>SUMIFS(Inventory__2[INVENTORY_OPENING_BALANCE],Inventory__2[SIM_ROUND],Inventory!$B$1,Inventory__2[SIM_STEP],1,Inventory__2[MATERIAL_CODE],Inventory!A19)</f>
        <v>0</v>
      </c>
      <c r="G19" s="143">
        <f t="shared" si="2"/>
        <v>0</v>
      </c>
      <c r="H19" s="144">
        <f>G19*IFERROR(VLOOKUP(A19,MaterialMaster!$A$4:$Q$27,12,FALSE),"invalid value")</f>
        <v>0</v>
      </c>
      <c r="I19" s="45">
        <f t="shared" si="3"/>
        <v>0</v>
      </c>
      <c r="J19" s="45">
        <f t="shared" si="1"/>
        <v>0.05</v>
      </c>
      <c r="K19" s="42" t="str">
        <f t="shared" si="4"/>
        <v>OK</v>
      </c>
    </row>
  </sheetData>
  <sheetProtection sheet="1" objects="1" scenarios="1"/>
  <mergeCells count="5">
    <mergeCell ref="G6:I6"/>
    <mergeCell ref="A2:B2"/>
    <mergeCell ref="A3:B3"/>
    <mergeCell ref="A4:B4"/>
    <mergeCell ref="A5:B5"/>
  </mergeCells>
  <phoneticPr fontId="9" type="noConversion"/>
  <dataValidations count="2">
    <dataValidation type="list" allowBlank="1" showInputMessage="1" showErrorMessage="1" errorTitle="Invalid Code" error="See Documentation to add or modify existing codes." sqref="C8:C19" xr:uid="{D79458CD-05F1-4B1E-A652-B74D0416FB49}">
      <formula1>MaterialType</formula1>
    </dataValidation>
    <dataValidation type="list" allowBlank="1" showInputMessage="1" showErrorMessage="1" errorTitle="Invalid Item Number" error="See Material Master to add or modify existing items." sqref="A8:A19" xr:uid="{AB79A141-FE04-4D75-AD28-70F2F74EF491}">
      <formula1>ParentItems</formula1>
    </dataValidation>
  </dataValidations>
  <hyperlinks>
    <hyperlink ref="D1" location="MainNavigation!A1" display="MainNavigation" xr:uid="{0E959B65-1C91-40B0-AB40-8FF61DC232FC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4F664-CB53-4113-AAEB-19391A4A33A3}">
  <sheetPr codeName="Sheet13">
    <tabColor rgb="FFFF0000"/>
  </sheetPr>
  <dimension ref="A1:P1441"/>
  <sheetViews>
    <sheetView workbookViewId="0">
      <selection activeCell="I1" sqref="I1"/>
    </sheetView>
  </sheetViews>
  <sheetFormatPr defaultRowHeight="15" x14ac:dyDescent="0.25"/>
  <cols>
    <col min="1" max="1" width="7.5703125" bestFit="1" customWidth="1"/>
    <col min="2" max="2" width="17" bestFit="1" customWidth="1"/>
    <col min="3" max="3" width="18.7109375" bestFit="1" customWidth="1"/>
    <col min="4" max="4" width="14.42578125" bestFit="1" customWidth="1"/>
    <col min="5" max="5" width="11.85546875" bestFit="1" customWidth="1"/>
    <col min="6" max="6" width="12.28515625" bestFit="1" customWidth="1"/>
    <col min="7" max="7" width="23" bestFit="1" customWidth="1"/>
    <col min="8" max="8" width="14.28515625" bestFit="1" customWidth="1"/>
    <col min="9" max="9" width="21.7109375" bestFit="1" customWidth="1"/>
    <col min="10" max="10" width="21.5703125" bestFit="1" customWidth="1"/>
    <col min="11" max="11" width="25.42578125" bestFit="1" customWidth="1"/>
    <col min="12" max="12" width="17" bestFit="1" customWidth="1"/>
    <col min="13" max="13" width="18.5703125" bestFit="1" customWidth="1"/>
    <col min="14" max="14" width="18.28515625" bestFit="1" customWidth="1"/>
    <col min="15" max="15" width="8.140625" bestFit="1" customWidth="1"/>
    <col min="16" max="16" width="7.7109375" bestFit="1" customWidth="1"/>
  </cols>
  <sheetData>
    <row r="1" spans="1:16" x14ac:dyDescent="0.25">
      <c r="A1" t="s">
        <v>194</v>
      </c>
      <c r="B1" t="s">
        <v>195</v>
      </c>
      <c r="C1" t="s">
        <v>443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213</v>
      </c>
      <c r="K1" t="s">
        <v>214</v>
      </c>
      <c r="L1" t="s">
        <v>217</v>
      </c>
      <c r="M1" t="s">
        <v>218</v>
      </c>
      <c r="N1" t="s">
        <v>216</v>
      </c>
      <c r="O1" t="s">
        <v>444</v>
      </c>
      <c r="P1" t="s">
        <v>221</v>
      </c>
    </row>
    <row r="2" spans="1:16" x14ac:dyDescent="0.25">
      <c r="A2" t="s">
        <v>2030</v>
      </c>
      <c r="B2">
        <v>1413</v>
      </c>
      <c r="C2" t="s">
        <v>487</v>
      </c>
      <c r="D2" t="s">
        <v>247</v>
      </c>
      <c r="E2" t="s">
        <v>552</v>
      </c>
      <c r="F2" t="s">
        <v>3170</v>
      </c>
      <c r="G2" s="25">
        <v>44314</v>
      </c>
      <c r="H2">
        <v>24</v>
      </c>
      <c r="I2">
        <v>118</v>
      </c>
      <c r="J2" t="s">
        <v>491</v>
      </c>
      <c r="K2" t="s">
        <v>233</v>
      </c>
      <c r="L2" t="s">
        <v>235</v>
      </c>
      <c r="M2" t="s">
        <v>236</v>
      </c>
      <c r="N2" t="s">
        <v>54</v>
      </c>
      <c r="O2">
        <v>0</v>
      </c>
      <c r="P2" t="s">
        <v>237</v>
      </c>
    </row>
    <row r="3" spans="1:16" x14ac:dyDescent="0.25">
      <c r="A3" t="s">
        <v>2011</v>
      </c>
      <c r="B3">
        <v>1007</v>
      </c>
      <c r="C3" t="s">
        <v>487</v>
      </c>
      <c r="D3" t="s">
        <v>322</v>
      </c>
      <c r="E3" t="s">
        <v>261</v>
      </c>
      <c r="F3" t="s">
        <v>2956</v>
      </c>
      <c r="G3" s="25">
        <v>44280</v>
      </c>
      <c r="H3">
        <v>17</v>
      </c>
      <c r="I3">
        <v>84</v>
      </c>
      <c r="J3" t="s">
        <v>491</v>
      </c>
      <c r="K3" t="s">
        <v>233</v>
      </c>
      <c r="L3" t="s">
        <v>235</v>
      </c>
      <c r="M3" t="s">
        <v>236</v>
      </c>
      <c r="N3" t="s">
        <v>54</v>
      </c>
      <c r="O3">
        <v>1875</v>
      </c>
      <c r="P3" t="s">
        <v>237</v>
      </c>
    </row>
    <row r="4" spans="1:16" x14ac:dyDescent="0.25">
      <c r="A4" t="s">
        <v>2349</v>
      </c>
      <c r="B4">
        <v>1044</v>
      </c>
      <c r="C4" t="s">
        <v>487</v>
      </c>
      <c r="D4" t="s">
        <v>322</v>
      </c>
      <c r="E4" t="s">
        <v>326</v>
      </c>
      <c r="F4" t="s">
        <v>2967</v>
      </c>
      <c r="G4" s="25">
        <v>44283</v>
      </c>
      <c r="H4">
        <v>18</v>
      </c>
      <c r="I4">
        <v>87</v>
      </c>
      <c r="J4" t="s">
        <v>491</v>
      </c>
      <c r="K4" t="s">
        <v>233</v>
      </c>
      <c r="L4" t="s">
        <v>235</v>
      </c>
      <c r="M4" t="s">
        <v>236</v>
      </c>
      <c r="N4" t="s">
        <v>54</v>
      </c>
      <c r="O4">
        <v>24000</v>
      </c>
      <c r="P4" t="s">
        <v>237</v>
      </c>
    </row>
    <row r="5" spans="1:16" x14ac:dyDescent="0.25">
      <c r="A5" t="s">
        <v>694</v>
      </c>
      <c r="B5">
        <v>252</v>
      </c>
      <c r="C5" t="s">
        <v>487</v>
      </c>
      <c r="D5" t="s">
        <v>231</v>
      </c>
      <c r="E5" t="s">
        <v>229</v>
      </c>
      <c r="F5" t="s">
        <v>541</v>
      </c>
      <c r="G5" s="25">
        <v>44217</v>
      </c>
      <c r="H5">
        <v>5</v>
      </c>
      <c r="I5">
        <v>21</v>
      </c>
      <c r="J5" t="s">
        <v>491</v>
      </c>
      <c r="K5" t="s">
        <v>233</v>
      </c>
      <c r="L5" t="s">
        <v>235</v>
      </c>
      <c r="M5" t="s">
        <v>236</v>
      </c>
      <c r="N5" t="s">
        <v>54</v>
      </c>
      <c r="O5">
        <v>4250</v>
      </c>
      <c r="P5" t="s">
        <v>237</v>
      </c>
    </row>
    <row r="6" spans="1:16" x14ac:dyDescent="0.25">
      <c r="A6" t="s">
        <v>2466</v>
      </c>
      <c r="B6">
        <v>1363</v>
      </c>
      <c r="C6" t="s">
        <v>487</v>
      </c>
      <c r="D6" t="s">
        <v>247</v>
      </c>
      <c r="E6" t="s">
        <v>537</v>
      </c>
      <c r="F6" t="s">
        <v>3153</v>
      </c>
      <c r="G6" s="25">
        <v>44310</v>
      </c>
      <c r="H6">
        <v>23</v>
      </c>
      <c r="I6">
        <v>114</v>
      </c>
      <c r="J6" t="s">
        <v>491</v>
      </c>
      <c r="K6" t="s">
        <v>233</v>
      </c>
      <c r="L6" t="s">
        <v>235</v>
      </c>
      <c r="M6" t="s">
        <v>236</v>
      </c>
      <c r="N6" t="s">
        <v>54</v>
      </c>
      <c r="O6">
        <v>0</v>
      </c>
      <c r="P6" t="s">
        <v>237</v>
      </c>
    </row>
    <row r="7" spans="1:16" x14ac:dyDescent="0.25">
      <c r="A7" t="s">
        <v>580</v>
      </c>
      <c r="B7">
        <v>301</v>
      </c>
      <c r="C7" t="s">
        <v>487</v>
      </c>
      <c r="D7" t="s">
        <v>231</v>
      </c>
      <c r="E7" t="s">
        <v>247</v>
      </c>
      <c r="F7" t="s">
        <v>1088</v>
      </c>
      <c r="G7" s="25">
        <v>44222</v>
      </c>
      <c r="H7">
        <v>6</v>
      </c>
      <c r="I7">
        <v>26</v>
      </c>
      <c r="J7" t="s">
        <v>491</v>
      </c>
      <c r="K7" t="s">
        <v>233</v>
      </c>
      <c r="L7" t="s">
        <v>235</v>
      </c>
      <c r="M7" t="s">
        <v>236</v>
      </c>
      <c r="N7" t="s">
        <v>54</v>
      </c>
      <c r="O7">
        <v>0</v>
      </c>
      <c r="P7" t="s">
        <v>237</v>
      </c>
    </row>
    <row r="8" spans="1:16" x14ac:dyDescent="0.25">
      <c r="A8" t="s">
        <v>571</v>
      </c>
      <c r="B8">
        <v>450</v>
      </c>
      <c r="C8" t="s">
        <v>487</v>
      </c>
      <c r="D8" t="s">
        <v>231</v>
      </c>
      <c r="E8" t="s">
        <v>552</v>
      </c>
      <c r="F8" t="s">
        <v>1222</v>
      </c>
      <c r="G8" s="25">
        <v>44234</v>
      </c>
      <c r="H8">
        <v>8</v>
      </c>
      <c r="I8">
        <v>38</v>
      </c>
      <c r="J8" t="s">
        <v>491</v>
      </c>
      <c r="K8" t="s">
        <v>233</v>
      </c>
      <c r="L8" t="s">
        <v>235</v>
      </c>
      <c r="M8" t="s">
        <v>236</v>
      </c>
      <c r="N8" t="s">
        <v>54</v>
      </c>
      <c r="O8">
        <v>0</v>
      </c>
      <c r="P8" t="s">
        <v>237</v>
      </c>
    </row>
    <row r="9" spans="1:16" x14ac:dyDescent="0.25">
      <c r="A9" t="s">
        <v>2580</v>
      </c>
      <c r="B9">
        <v>602</v>
      </c>
      <c r="C9" t="s">
        <v>487</v>
      </c>
      <c r="D9" t="s">
        <v>256</v>
      </c>
      <c r="E9" t="s">
        <v>515</v>
      </c>
      <c r="F9" t="s">
        <v>1329</v>
      </c>
      <c r="G9" s="25">
        <v>44247</v>
      </c>
      <c r="H9">
        <v>11</v>
      </c>
      <c r="I9">
        <v>51</v>
      </c>
      <c r="J9" t="s">
        <v>491</v>
      </c>
      <c r="K9" t="s">
        <v>233</v>
      </c>
      <c r="L9" t="s">
        <v>235</v>
      </c>
      <c r="M9" t="s">
        <v>236</v>
      </c>
      <c r="N9" t="s">
        <v>54</v>
      </c>
      <c r="O9">
        <v>0</v>
      </c>
      <c r="P9" t="s">
        <v>237</v>
      </c>
    </row>
    <row r="10" spans="1:16" x14ac:dyDescent="0.25">
      <c r="A10" t="s">
        <v>1837</v>
      </c>
      <c r="B10">
        <v>638</v>
      </c>
      <c r="C10" t="s">
        <v>487</v>
      </c>
      <c r="D10" t="s">
        <v>256</v>
      </c>
      <c r="E10" t="s">
        <v>537</v>
      </c>
      <c r="F10" t="s">
        <v>1348</v>
      </c>
      <c r="G10" s="25">
        <v>44250</v>
      </c>
      <c r="H10">
        <v>11</v>
      </c>
      <c r="I10">
        <v>54</v>
      </c>
      <c r="J10" t="s">
        <v>491</v>
      </c>
      <c r="K10" t="s">
        <v>233</v>
      </c>
      <c r="L10" t="s">
        <v>235</v>
      </c>
      <c r="M10" t="s">
        <v>236</v>
      </c>
      <c r="N10" t="s">
        <v>54</v>
      </c>
      <c r="O10">
        <v>0</v>
      </c>
      <c r="P10" t="s">
        <v>237</v>
      </c>
    </row>
    <row r="11" spans="1:16" x14ac:dyDescent="0.25">
      <c r="A11" t="s">
        <v>2599</v>
      </c>
      <c r="B11">
        <v>996</v>
      </c>
      <c r="C11" t="s">
        <v>487</v>
      </c>
      <c r="D11" t="s">
        <v>322</v>
      </c>
      <c r="E11" t="s">
        <v>256</v>
      </c>
      <c r="F11" t="s">
        <v>2952</v>
      </c>
      <c r="G11" s="25">
        <v>44279</v>
      </c>
      <c r="H11">
        <v>17</v>
      </c>
      <c r="I11">
        <v>83</v>
      </c>
      <c r="J11" t="s">
        <v>491</v>
      </c>
      <c r="K11" t="s">
        <v>233</v>
      </c>
      <c r="L11" t="s">
        <v>235</v>
      </c>
      <c r="M11" t="s">
        <v>236</v>
      </c>
      <c r="N11" t="s">
        <v>54</v>
      </c>
      <c r="O11">
        <v>24000</v>
      </c>
      <c r="P11" t="s">
        <v>237</v>
      </c>
    </row>
    <row r="12" spans="1:16" x14ac:dyDescent="0.25">
      <c r="A12" t="s">
        <v>270</v>
      </c>
      <c r="B12">
        <v>120</v>
      </c>
      <c r="C12" t="s">
        <v>487</v>
      </c>
      <c r="D12" t="s">
        <v>229</v>
      </c>
      <c r="E12" t="s">
        <v>239</v>
      </c>
      <c r="F12" t="s">
        <v>578</v>
      </c>
      <c r="G12" s="25">
        <v>44206</v>
      </c>
      <c r="H12">
        <v>2</v>
      </c>
      <c r="I12">
        <v>10</v>
      </c>
      <c r="J12" t="s">
        <v>491</v>
      </c>
      <c r="K12" t="s">
        <v>233</v>
      </c>
      <c r="L12" t="s">
        <v>235</v>
      </c>
      <c r="M12" t="s">
        <v>236</v>
      </c>
      <c r="N12" t="s">
        <v>54</v>
      </c>
      <c r="O12">
        <v>9000</v>
      </c>
      <c r="P12" t="s">
        <v>237</v>
      </c>
    </row>
    <row r="13" spans="1:16" x14ac:dyDescent="0.25">
      <c r="A13" t="s">
        <v>2514</v>
      </c>
      <c r="B13">
        <v>561</v>
      </c>
      <c r="C13" t="s">
        <v>487</v>
      </c>
      <c r="D13" t="s">
        <v>256</v>
      </c>
      <c r="E13" t="s">
        <v>326</v>
      </c>
      <c r="F13" t="s">
        <v>1305</v>
      </c>
      <c r="G13" s="25">
        <v>44243</v>
      </c>
      <c r="H13">
        <v>10</v>
      </c>
      <c r="I13">
        <v>47</v>
      </c>
      <c r="J13" t="s">
        <v>491</v>
      </c>
      <c r="K13" t="s">
        <v>233</v>
      </c>
      <c r="L13" t="s">
        <v>235</v>
      </c>
      <c r="M13" t="s">
        <v>236</v>
      </c>
      <c r="N13" t="s">
        <v>54</v>
      </c>
      <c r="O13">
        <v>0</v>
      </c>
      <c r="P13" t="s">
        <v>237</v>
      </c>
    </row>
    <row r="14" spans="1:16" x14ac:dyDescent="0.25">
      <c r="A14" t="s">
        <v>296</v>
      </c>
      <c r="B14">
        <v>12</v>
      </c>
      <c r="C14" t="s">
        <v>487</v>
      </c>
      <c r="D14" t="s">
        <v>229</v>
      </c>
      <c r="E14" t="s">
        <v>229</v>
      </c>
      <c r="F14" t="s">
        <v>230</v>
      </c>
      <c r="G14" s="25">
        <v>44197</v>
      </c>
      <c r="H14">
        <v>1</v>
      </c>
      <c r="I14">
        <v>1</v>
      </c>
      <c r="J14" t="s">
        <v>491</v>
      </c>
      <c r="K14" t="s">
        <v>233</v>
      </c>
      <c r="L14" t="s">
        <v>235</v>
      </c>
      <c r="M14" t="s">
        <v>236</v>
      </c>
      <c r="N14" t="s">
        <v>54</v>
      </c>
      <c r="O14">
        <v>0</v>
      </c>
      <c r="P14" t="s">
        <v>237</v>
      </c>
    </row>
    <row r="15" spans="1:16" x14ac:dyDescent="0.25">
      <c r="A15" t="s">
        <v>1825</v>
      </c>
      <c r="B15">
        <v>1396</v>
      </c>
      <c r="C15" t="s">
        <v>487</v>
      </c>
      <c r="D15" t="s">
        <v>247</v>
      </c>
      <c r="E15" t="s">
        <v>534</v>
      </c>
      <c r="F15" t="s">
        <v>3166</v>
      </c>
      <c r="G15" s="25">
        <v>44313</v>
      </c>
      <c r="H15">
        <v>24</v>
      </c>
      <c r="I15">
        <v>117</v>
      </c>
      <c r="J15" t="s">
        <v>491</v>
      </c>
      <c r="K15" t="s">
        <v>233</v>
      </c>
      <c r="L15" t="s">
        <v>235</v>
      </c>
      <c r="M15" t="s">
        <v>236</v>
      </c>
      <c r="N15" t="s">
        <v>54</v>
      </c>
      <c r="O15">
        <v>0</v>
      </c>
      <c r="P15" t="s">
        <v>237</v>
      </c>
    </row>
    <row r="16" spans="1:16" x14ac:dyDescent="0.25">
      <c r="A16" t="s">
        <v>2165</v>
      </c>
      <c r="B16">
        <v>581</v>
      </c>
      <c r="C16" t="s">
        <v>487</v>
      </c>
      <c r="D16" t="s">
        <v>256</v>
      </c>
      <c r="E16" t="s">
        <v>371</v>
      </c>
      <c r="F16" t="s">
        <v>1318</v>
      </c>
      <c r="G16" s="25">
        <v>44245</v>
      </c>
      <c r="H16">
        <v>10</v>
      </c>
      <c r="I16">
        <v>49</v>
      </c>
      <c r="J16" t="s">
        <v>491</v>
      </c>
      <c r="K16" t="s">
        <v>233</v>
      </c>
      <c r="L16" t="s">
        <v>235</v>
      </c>
      <c r="M16" t="s">
        <v>236</v>
      </c>
      <c r="N16" t="s">
        <v>54</v>
      </c>
      <c r="O16">
        <v>0</v>
      </c>
      <c r="P16" t="s">
        <v>237</v>
      </c>
    </row>
    <row r="17" spans="1:16" x14ac:dyDescent="0.25">
      <c r="A17" t="s">
        <v>643</v>
      </c>
      <c r="B17">
        <v>258</v>
      </c>
      <c r="C17" t="s">
        <v>487</v>
      </c>
      <c r="D17" t="s">
        <v>231</v>
      </c>
      <c r="E17" t="s">
        <v>231</v>
      </c>
      <c r="F17" t="s">
        <v>1080</v>
      </c>
      <c r="G17" s="25">
        <v>44218</v>
      </c>
      <c r="H17">
        <v>5</v>
      </c>
      <c r="I17">
        <v>22</v>
      </c>
      <c r="J17" t="s">
        <v>491</v>
      </c>
      <c r="K17" t="s">
        <v>233</v>
      </c>
      <c r="L17" t="s">
        <v>235</v>
      </c>
      <c r="M17" t="s">
        <v>236</v>
      </c>
      <c r="N17" t="s">
        <v>54</v>
      </c>
      <c r="O17">
        <v>0</v>
      </c>
      <c r="P17" t="s">
        <v>237</v>
      </c>
    </row>
    <row r="18" spans="1:16" x14ac:dyDescent="0.25">
      <c r="A18" t="s">
        <v>386</v>
      </c>
      <c r="B18">
        <v>21</v>
      </c>
      <c r="C18" t="s">
        <v>487</v>
      </c>
      <c r="D18" t="s">
        <v>229</v>
      </c>
      <c r="E18" t="s">
        <v>231</v>
      </c>
      <c r="F18" t="s">
        <v>568</v>
      </c>
      <c r="G18" s="25">
        <v>44198</v>
      </c>
      <c r="H18">
        <v>1</v>
      </c>
      <c r="I18">
        <v>2</v>
      </c>
      <c r="J18" t="s">
        <v>491</v>
      </c>
      <c r="K18" t="s">
        <v>233</v>
      </c>
      <c r="L18" t="s">
        <v>235</v>
      </c>
      <c r="M18" t="s">
        <v>236</v>
      </c>
      <c r="N18" t="s">
        <v>54</v>
      </c>
      <c r="O18">
        <v>0</v>
      </c>
      <c r="P18" t="s">
        <v>237</v>
      </c>
    </row>
    <row r="19" spans="1:16" x14ac:dyDescent="0.25">
      <c r="A19" t="s">
        <v>2199</v>
      </c>
      <c r="B19">
        <v>567</v>
      </c>
      <c r="C19" t="s">
        <v>487</v>
      </c>
      <c r="D19" t="s">
        <v>256</v>
      </c>
      <c r="E19" t="s">
        <v>381</v>
      </c>
      <c r="F19" t="s">
        <v>1311</v>
      </c>
      <c r="G19" s="25">
        <v>44244</v>
      </c>
      <c r="H19">
        <v>10</v>
      </c>
      <c r="I19">
        <v>48</v>
      </c>
      <c r="J19" t="s">
        <v>491</v>
      </c>
      <c r="K19" t="s">
        <v>233</v>
      </c>
      <c r="L19" t="s">
        <v>235</v>
      </c>
      <c r="M19" t="s">
        <v>236</v>
      </c>
      <c r="N19" t="s">
        <v>54</v>
      </c>
      <c r="O19">
        <v>0</v>
      </c>
      <c r="P19" t="s">
        <v>237</v>
      </c>
    </row>
    <row r="20" spans="1:16" x14ac:dyDescent="0.25">
      <c r="A20" t="s">
        <v>2174</v>
      </c>
      <c r="B20">
        <v>649</v>
      </c>
      <c r="C20" t="s">
        <v>487</v>
      </c>
      <c r="D20" t="s">
        <v>256</v>
      </c>
      <c r="E20" t="s">
        <v>575</v>
      </c>
      <c r="F20" t="s">
        <v>1668</v>
      </c>
      <c r="G20" s="25">
        <v>44251</v>
      </c>
      <c r="H20">
        <v>11</v>
      </c>
      <c r="I20">
        <v>55</v>
      </c>
      <c r="J20" t="s">
        <v>491</v>
      </c>
      <c r="K20" t="s">
        <v>233</v>
      </c>
      <c r="L20" t="s">
        <v>235</v>
      </c>
      <c r="M20" t="s">
        <v>236</v>
      </c>
      <c r="N20" t="s">
        <v>54</v>
      </c>
      <c r="O20">
        <v>0</v>
      </c>
      <c r="P20" t="s">
        <v>237</v>
      </c>
    </row>
    <row r="21" spans="1:16" x14ac:dyDescent="0.25">
      <c r="A21" t="s">
        <v>2891</v>
      </c>
      <c r="B21">
        <v>593</v>
      </c>
      <c r="C21" t="s">
        <v>487</v>
      </c>
      <c r="D21" t="s">
        <v>256</v>
      </c>
      <c r="E21" t="s">
        <v>239</v>
      </c>
      <c r="F21" t="s">
        <v>1322</v>
      </c>
      <c r="G21" s="25">
        <v>44246</v>
      </c>
      <c r="H21">
        <v>10</v>
      </c>
      <c r="I21">
        <v>50</v>
      </c>
      <c r="J21" t="s">
        <v>491</v>
      </c>
      <c r="K21" t="s">
        <v>233</v>
      </c>
      <c r="L21" t="s">
        <v>235</v>
      </c>
      <c r="M21" t="s">
        <v>236</v>
      </c>
      <c r="N21" t="s">
        <v>54</v>
      </c>
      <c r="O21">
        <v>0</v>
      </c>
      <c r="P21" t="s">
        <v>237</v>
      </c>
    </row>
    <row r="22" spans="1:16" x14ac:dyDescent="0.25">
      <c r="A22" t="s">
        <v>652</v>
      </c>
      <c r="B22">
        <v>351</v>
      </c>
      <c r="C22" t="s">
        <v>487</v>
      </c>
      <c r="D22" t="s">
        <v>231</v>
      </c>
      <c r="E22" t="s">
        <v>239</v>
      </c>
      <c r="F22" t="s">
        <v>1139</v>
      </c>
      <c r="G22" s="25">
        <v>44226</v>
      </c>
      <c r="H22">
        <v>6</v>
      </c>
      <c r="I22">
        <v>30</v>
      </c>
      <c r="J22" t="s">
        <v>491</v>
      </c>
      <c r="K22" t="s">
        <v>233</v>
      </c>
      <c r="L22" t="s">
        <v>235</v>
      </c>
      <c r="M22" t="s">
        <v>236</v>
      </c>
      <c r="N22" t="s">
        <v>54</v>
      </c>
      <c r="O22">
        <v>0</v>
      </c>
      <c r="P22" t="s">
        <v>237</v>
      </c>
    </row>
    <row r="23" spans="1:16" x14ac:dyDescent="0.25">
      <c r="A23" t="s">
        <v>2739</v>
      </c>
      <c r="B23">
        <v>1423</v>
      </c>
      <c r="C23" t="s">
        <v>487</v>
      </c>
      <c r="D23" t="s">
        <v>247</v>
      </c>
      <c r="E23" t="s">
        <v>531</v>
      </c>
      <c r="F23" t="s">
        <v>3173</v>
      </c>
      <c r="G23" s="25">
        <v>44315</v>
      </c>
      <c r="H23">
        <v>24</v>
      </c>
      <c r="I23">
        <v>119</v>
      </c>
      <c r="J23" t="s">
        <v>491</v>
      </c>
      <c r="K23" t="s">
        <v>233</v>
      </c>
      <c r="L23" t="s">
        <v>235</v>
      </c>
      <c r="M23" t="s">
        <v>236</v>
      </c>
      <c r="N23" t="s">
        <v>54</v>
      </c>
      <c r="O23">
        <v>0</v>
      </c>
      <c r="P23" t="s">
        <v>237</v>
      </c>
    </row>
    <row r="24" spans="1:16" x14ac:dyDescent="0.25">
      <c r="A24" t="s">
        <v>2467</v>
      </c>
      <c r="B24">
        <v>1009</v>
      </c>
      <c r="C24" t="s">
        <v>487</v>
      </c>
      <c r="D24" t="s">
        <v>322</v>
      </c>
      <c r="E24" t="s">
        <v>322</v>
      </c>
      <c r="F24" t="s">
        <v>2960</v>
      </c>
      <c r="G24" s="25">
        <v>44281</v>
      </c>
      <c r="H24">
        <v>17</v>
      </c>
      <c r="I24">
        <v>85</v>
      </c>
      <c r="J24" t="s">
        <v>491</v>
      </c>
      <c r="K24" t="s">
        <v>233</v>
      </c>
      <c r="L24" t="s">
        <v>235</v>
      </c>
      <c r="M24" t="s">
        <v>236</v>
      </c>
      <c r="N24" t="s">
        <v>54</v>
      </c>
      <c r="O24">
        <v>0</v>
      </c>
      <c r="P24" t="s">
        <v>237</v>
      </c>
    </row>
    <row r="25" spans="1:16" x14ac:dyDescent="0.25">
      <c r="A25" t="s">
        <v>2472</v>
      </c>
      <c r="B25">
        <v>632</v>
      </c>
      <c r="C25" t="s">
        <v>487</v>
      </c>
      <c r="D25" t="s">
        <v>256</v>
      </c>
      <c r="E25" t="s">
        <v>512</v>
      </c>
      <c r="F25" t="s">
        <v>1342</v>
      </c>
      <c r="G25" s="25">
        <v>44249</v>
      </c>
      <c r="H25">
        <v>11</v>
      </c>
      <c r="I25">
        <v>53</v>
      </c>
      <c r="J25" t="s">
        <v>491</v>
      </c>
      <c r="K25" t="s">
        <v>233</v>
      </c>
      <c r="L25" t="s">
        <v>235</v>
      </c>
      <c r="M25" t="s">
        <v>236</v>
      </c>
      <c r="N25" t="s">
        <v>54</v>
      </c>
      <c r="O25">
        <v>0</v>
      </c>
      <c r="P25" t="s">
        <v>237</v>
      </c>
    </row>
    <row r="26" spans="1:16" x14ac:dyDescent="0.25">
      <c r="A26" t="s">
        <v>672</v>
      </c>
      <c r="B26">
        <v>457</v>
      </c>
      <c r="C26" t="s">
        <v>487</v>
      </c>
      <c r="D26" t="s">
        <v>231</v>
      </c>
      <c r="E26" t="s">
        <v>531</v>
      </c>
      <c r="F26" t="s">
        <v>1230</v>
      </c>
      <c r="G26" s="25">
        <v>44235</v>
      </c>
      <c r="H26">
        <v>8</v>
      </c>
      <c r="I26">
        <v>39</v>
      </c>
      <c r="J26" t="s">
        <v>491</v>
      </c>
      <c r="K26" t="s">
        <v>233</v>
      </c>
      <c r="L26" t="s">
        <v>235</v>
      </c>
      <c r="M26" t="s">
        <v>236</v>
      </c>
      <c r="N26" t="s">
        <v>54</v>
      </c>
      <c r="O26">
        <v>0</v>
      </c>
      <c r="P26" t="s">
        <v>237</v>
      </c>
    </row>
    <row r="27" spans="1:16" x14ac:dyDescent="0.25">
      <c r="A27" t="s">
        <v>638</v>
      </c>
      <c r="B27">
        <v>340</v>
      </c>
      <c r="C27" t="s">
        <v>487</v>
      </c>
      <c r="D27" t="s">
        <v>231</v>
      </c>
      <c r="E27" t="s">
        <v>371</v>
      </c>
      <c r="F27" t="s">
        <v>1124</v>
      </c>
      <c r="G27" s="25">
        <v>44225</v>
      </c>
      <c r="H27">
        <v>6</v>
      </c>
      <c r="I27">
        <v>29</v>
      </c>
      <c r="J27" t="s">
        <v>491</v>
      </c>
      <c r="K27" t="s">
        <v>233</v>
      </c>
      <c r="L27" t="s">
        <v>235</v>
      </c>
      <c r="M27" t="s">
        <v>236</v>
      </c>
      <c r="N27" t="s">
        <v>54</v>
      </c>
      <c r="O27">
        <v>0</v>
      </c>
      <c r="P27" t="s">
        <v>237</v>
      </c>
    </row>
    <row r="28" spans="1:16" x14ac:dyDescent="0.25">
      <c r="A28" t="s">
        <v>768</v>
      </c>
      <c r="B28">
        <v>240</v>
      </c>
      <c r="C28" t="s">
        <v>487</v>
      </c>
      <c r="D28" t="s">
        <v>229</v>
      </c>
      <c r="E28" t="s">
        <v>408</v>
      </c>
      <c r="F28" t="s">
        <v>527</v>
      </c>
      <c r="G28" s="25">
        <v>44216</v>
      </c>
      <c r="H28">
        <v>4</v>
      </c>
      <c r="I28">
        <v>20</v>
      </c>
      <c r="J28" t="s">
        <v>491</v>
      </c>
      <c r="K28" t="s">
        <v>233</v>
      </c>
      <c r="L28" t="s">
        <v>235</v>
      </c>
      <c r="M28" t="s">
        <v>236</v>
      </c>
      <c r="N28" t="s">
        <v>54</v>
      </c>
      <c r="O28">
        <v>19750</v>
      </c>
      <c r="P28" t="s">
        <v>237</v>
      </c>
    </row>
    <row r="29" spans="1:16" x14ac:dyDescent="0.25">
      <c r="A29" t="s">
        <v>2059</v>
      </c>
      <c r="B29">
        <v>984</v>
      </c>
      <c r="C29" t="s">
        <v>487</v>
      </c>
      <c r="D29" t="s">
        <v>322</v>
      </c>
      <c r="E29" t="s">
        <v>231</v>
      </c>
      <c r="F29" t="s">
        <v>2945</v>
      </c>
      <c r="G29" s="25">
        <v>44278</v>
      </c>
      <c r="H29">
        <v>17</v>
      </c>
      <c r="I29">
        <v>82</v>
      </c>
      <c r="J29" t="s">
        <v>491</v>
      </c>
      <c r="K29" t="s">
        <v>233</v>
      </c>
      <c r="L29" t="s">
        <v>235</v>
      </c>
      <c r="M29" t="s">
        <v>236</v>
      </c>
      <c r="N29" t="s">
        <v>54</v>
      </c>
      <c r="O29">
        <v>12125</v>
      </c>
      <c r="P29" t="s">
        <v>237</v>
      </c>
    </row>
    <row r="30" spans="1:16" x14ac:dyDescent="0.25">
      <c r="A30" t="s">
        <v>2335</v>
      </c>
      <c r="B30">
        <v>1369</v>
      </c>
      <c r="C30" t="s">
        <v>487</v>
      </c>
      <c r="D30" t="s">
        <v>247</v>
      </c>
      <c r="E30" t="s">
        <v>575</v>
      </c>
      <c r="F30" t="s">
        <v>3158</v>
      </c>
      <c r="G30" s="25">
        <v>44311</v>
      </c>
      <c r="H30">
        <v>23</v>
      </c>
      <c r="I30">
        <v>115</v>
      </c>
      <c r="J30" t="s">
        <v>491</v>
      </c>
      <c r="K30" t="s">
        <v>233</v>
      </c>
      <c r="L30" t="s">
        <v>235</v>
      </c>
      <c r="M30" t="s">
        <v>236</v>
      </c>
      <c r="N30" t="s">
        <v>54</v>
      </c>
      <c r="O30">
        <v>0</v>
      </c>
      <c r="P30" t="s">
        <v>237</v>
      </c>
    </row>
    <row r="31" spans="1:16" x14ac:dyDescent="0.25">
      <c r="A31" t="s">
        <v>1676</v>
      </c>
      <c r="B31">
        <v>1055</v>
      </c>
      <c r="C31" t="s">
        <v>487</v>
      </c>
      <c r="D31" t="s">
        <v>322</v>
      </c>
      <c r="E31" t="s">
        <v>381</v>
      </c>
      <c r="F31" t="s">
        <v>2971</v>
      </c>
      <c r="G31" s="25">
        <v>44284</v>
      </c>
      <c r="H31">
        <v>18</v>
      </c>
      <c r="I31">
        <v>88</v>
      </c>
      <c r="J31" t="s">
        <v>491</v>
      </c>
      <c r="K31" t="s">
        <v>233</v>
      </c>
      <c r="L31" t="s">
        <v>235</v>
      </c>
      <c r="M31" t="s">
        <v>236</v>
      </c>
      <c r="N31" t="s">
        <v>54</v>
      </c>
      <c r="O31">
        <v>9625</v>
      </c>
      <c r="P31" t="s">
        <v>237</v>
      </c>
    </row>
    <row r="32" spans="1:16" x14ac:dyDescent="0.25">
      <c r="A32" t="s">
        <v>292</v>
      </c>
      <c r="B32">
        <v>132</v>
      </c>
      <c r="C32" t="s">
        <v>487</v>
      </c>
      <c r="D32" t="s">
        <v>229</v>
      </c>
      <c r="E32" t="s">
        <v>515</v>
      </c>
      <c r="F32" t="s">
        <v>516</v>
      </c>
      <c r="G32" s="25">
        <v>44207</v>
      </c>
      <c r="H32">
        <v>3</v>
      </c>
      <c r="I32">
        <v>11</v>
      </c>
      <c r="J32" t="s">
        <v>491</v>
      </c>
      <c r="K32" t="s">
        <v>233</v>
      </c>
      <c r="L32" t="s">
        <v>235</v>
      </c>
      <c r="M32" t="s">
        <v>236</v>
      </c>
      <c r="N32" t="s">
        <v>54</v>
      </c>
      <c r="O32">
        <v>15000</v>
      </c>
      <c r="P32" t="s">
        <v>237</v>
      </c>
    </row>
    <row r="33" spans="1:16" x14ac:dyDescent="0.25">
      <c r="A33" t="s">
        <v>2338</v>
      </c>
      <c r="B33">
        <v>617</v>
      </c>
      <c r="C33" t="s">
        <v>487</v>
      </c>
      <c r="D33" t="s">
        <v>256</v>
      </c>
      <c r="E33" t="s">
        <v>232</v>
      </c>
      <c r="F33" t="s">
        <v>1337</v>
      </c>
      <c r="G33" s="25">
        <v>44248</v>
      </c>
      <c r="H33">
        <v>11</v>
      </c>
      <c r="I33">
        <v>52</v>
      </c>
      <c r="J33" t="s">
        <v>491</v>
      </c>
      <c r="K33" t="s">
        <v>233</v>
      </c>
      <c r="L33" t="s">
        <v>235</v>
      </c>
      <c r="M33" t="s">
        <v>236</v>
      </c>
      <c r="N33" t="s">
        <v>54</v>
      </c>
      <c r="O33">
        <v>0</v>
      </c>
      <c r="P33" t="s">
        <v>237</v>
      </c>
    </row>
    <row r="34" spans="1:16" x14ac:dyDescent="0.25">
      <c r="A34" t="s">
        <v>2864</v>
      </c>
      <c r="B34">
        <v>1390</v>
      </c>
      <c r="C34" t="s">
        <v>487</v>
      </c>
      <c r="D34" t="s">
        <v>247</v>
      </c>
      <c r="E34" t="s">
        <v>620</v>
      </c>
      <c r="F34" t="s">
        <v>3162</v>
      </c>
      <c r="G34" s="25">
        <v>44312</v>
      </c>
      <c r="H34">
        <v>24</v>
      </c>
      <c r="I34">
        <v>116</v>
      </c>
      <c r="J34" t="s">
        <v>491</v>
      </c>
      <c r="K34" t="s">
        <v>233</v>
      </c>
      <c r="L34" t="s">
        <v>235</v>
      </c>
      <c r="M34" t="s">
        <v>236</v>
      </c>
      <c r="N34" t="s">
        <v>54</v>
      </c>
      <c r="O34">
        <v>0</v>
      </c>
      <c r="P34" t="s">
        <v>237</v>
      </c>
    </row>
    <row r="35" spans="1:16" x14ac:dyDescent="0.25">
      <c r="A35" t="s">
        <v>2777</v>
      </c>
      <c r="B35">
        <v>1432</v>
      </c>
      <c r="C35" t="s">
        <v>487</v>
      </c>
      <c r="D35" t="s">
        <v>247</v>
      </c>
      <c r="E35" t="s">
        <v>408</v>
      </c>
      <c r="F35" t="s">
        <v>3178</v>
      </c>
      <c r="G35" s="25">
        <v>44316</v>
      </c>
      <c r="H35">
        <v>24</v>
      </c>
      <c r="I35">
        <v>120</v>
      </c>
      <c r="J35" t="s">
        <v>491</v>
      </c>
      <c r="K35" t="s">
        <v>233</v>
      </c>
      <c r="L35" t="s">
        <v>235</v>
      </c>
      <c r="M35" t="s">
        <v>236</v>
      </c>
      <c r="N35" t="s">
        <v>54</v>
      </c>
      <c r="O35">
        <v>0</v>
      </c>
      <c r="P35" t="s">
        <v>237</v>
      </c>
    </row>
    <row r="36" spans="1:16" x14ac:dyDescent="0.25">
      <c r="A36" t="s">
        <v>2800</v>
      </c>
      <c r="B36">
        <v>1032</v>
      </c>
      <c r="C36" t="s">
        <v>487</v>
      </c>
      <c r="D36" t="s">
        <v>322</v>
      </c>
      <c r="E36" t="s">
        <v>247</v>
      </c>
      <c r="F36" t="s">
        <v>2963</v>
      </c>
      <c r="G36" s="25">
        <v>44282</v>
      </c>
      <c r="H36">
        <v>18</v>
      </c>
      <c r="I36">
        <v>86</v>
      </c>
      <c r="J36" t="s">
        <v>491</v>
      </c>
      <c r="K36" t="s">
        <v>233</v>
      </c>
      <c r="L36" t="s">
        <v>235</v>
      </c>
      <c r="M36" t="s">
        <v>236</v>
      </c>
      <c r="N36" t="s">
        <v>54</v>
      </c>
      <c r="O36">
        <v>14375</v>
      </c>
      <c r="P36" t="s">
        <v>237</v>
      </c>
    </row>
    <row r="37" spans="1:16" x14ac:dyDescent="0.25">
      <c r="A37" t="s">
        <v>1987</v>
      </c>
      <c r="B37">
        <v>552</v>
      </c>
      <c r="C37" t="s">
        <v>487</v>
      </c>
      <c r="D37" t="s">
        <v>256</v>
      </c>
      <c r="E37" t="s">
        <v>247</v>
      </c>
      <c r="F37" t="s">
        <v>1299</v>
      </c>
      <c r="G37" s="25">
        <v>44242</v>
      </c>
      <c r="H37">
        <v>10</v>
      </c>
      <c r="I37">
        <v>46</v>
      </c>
      <c r="J37" t="s">
        <v>491</v>
      </c>
      <c r="K37" t="s">
        <v>233</v>
      </c>
      <c r="L37" t="s">
        <v>235</v>
      </c>
      <c r="M37" t="s">
        <v>236</v>
      </c>
      <c r="N37" t="s">
        <v>54</v>
      </c>
      <c r="O37">
        <v>16000</v>
      </c>
      <c r="P37" t="s">
        <v>237</v>
      </c>
    </row>
    <row r="38" spans="1:16" x14ac:dyDescent="0.25">
      <c r="A38" t="s">
        <v>2096</v>
      </c>
      <c r="B38">
        <v>1212</v>
      </c>
      <c r="C38" t="s">
        <v>487</v>
      </c>
      <c r="D38" t="s">
        <v>247</v>
      </c>
      <c r="E38" t="s">
        <v>229</v>
      </c>
      <c r="F38" t="s">
        <v>3063</v>
      </c>
      <c r="G38" s="25">
        <v>44297</v>
      </c>
      <c r="H38">
        <v>21</v>
      </c>
      <c r="I38">
        <v>101</v>
      </c>
      <c r="J38" t="s">
        <v>491</v>
      </c>
      <c r="K38" t="s">
        <v>233</v>
      </c>
      <c r="L38" t="s">
        <v>235</v>
      </c>
      <c r="M38" t="s">
        <v>236</v>
      </c>
      <c r="N38" t="s">
        <v>54</v>
      </c>
      <c r="O38">
        <v>24000</v>
      </c>
      <c r="P38" t="s">
        <v>237</v>
      </c>
    </row>
    <row r="39" spans="1:16" x14ac:dyDescent="0.25">
      <c r="A39" t="s">
        <v>2659</v>
      </c>
      <c r="B39">
        <v>508</v>
      </c>
      <c r="C39" t="s">
        <v>487</v>
      </c>
      <c r="D39" t="s">
        <v>256</v>
      </c>
      <c r="E39" t="s">
        <v>256</v>
      </c>
      <c r="F39" t="s">
        <v>1263</v>
      </c>
      <c r="G39" s="25">
        <v>44239</v>
      </c>
      <c r="H39">
        <v>9</v>
      </c>
      <c r="I39">
        <v>43</v>
      </c>
      <c r="J39" t="s">
        <v>491</v>
      </c>
      <c r="K39" t="s">
        <v>233</v>
      </c>
      <c r="L39" t="s">
        <v>235</v>
      </c>
      <c r="M39" t="s">
        <v>236</v>
      </c>
      <c r="N39" t="s">
        <v>54</v>
      </c>
      <c r="O39">
        <v>0</v>
      </c>
      <c r="P39" t="s">
        <v>237</v>
      </c>
    </row>
    <row r="40" spans="1:16" x14ac:dyDescent="0.25">
      <c r="A40" t="s">
        <v>2064</v>
      </c>
      <c r="B40">
        <v>814</v>
      </c>
      <c r="C40" t="s">
        <v>487</v>
      </c>
      <c r="D40" t="s">
        <v>261</v>
      </c>
      <c r="E40" t="s">
        <v>381</v>
      </c>
      <c r="F40" t="s">
        <v>1458</v>
      </c>
      <c r="G40" s="25">
        <v>44264</v>
      </c>
      <c r="H40">
        <v>14</v>
      </c>
      <c r="I40">
        <v>68</v>
      </c>
      <c r="J40" t="s">
        <v>491</v>
      </c>
      <c r="K40" t="s">
        <v>233</v>
      </c>
      <c r="L40" t="s">
        <v>235</v>
      </c>
      <c r="M40" t="s">
        <v>236</v>
      </c>
      <c r="N40" t="s">
        <v>54</v>
      </c>
      <c r="O40">
        <v>0</v>
      </c>
      <c r="P40" t="s">
        <v>237</v>
      </c>
    </row>
    <row r="41" spans="1:16" x14ac:dyDescent="0.25">
      <c r="A41" t="s">
        <v>1654</v>
      </c>
      <c r="B41">
        <v>1132</v>
      </c>
      <c r="C41" t="s">
        <v>487</v>
      </c>
      <c r="D41" t="s">
        <v>322</v>
      </c>
      <c r="E41" t="s">
        <v>575</v>
      </c>
      <c r="F41" t="s">
        <v>3014</v>
      </c>
      <c r="G41" s="25">
        <v>44291</v>
      </c>
      <c r="H41">
        <v>19</v>
      </c>
      <c r="I41">
        <v>95</v>
      </c>
      <c r="J41" t="s">
        <v>491</v>
      </c>
      <c r="K41" t="s">
        <v>233</v>
      </c>
      <c r="L41" t="s">
        <v>235</v>
      </c>
      <c r="M41" t="s">
        <v>236</v>
      </c>
      <c r="N41" t="s">
        <v>54</v>
      </c>
      <c r="O41">
        <v>0</v>
      </c>
      <c r="P41" t="s">
        <v>237</v>
      </c>
    </row>
    <row r="42" spans="1:16" x14ac:dyDescent="0.25">
      <c r="A42" t="s">
        <v>1962</v>
      </c>
      <c r="B42">
        <v>1223</v>
      </c>
      <c r="C42" t="s">
        <v>487</v>
      </c>
      <c r="D42" t="s">
        <v>247</v>
      </c>
      <c r="E42" t="s">
        <v>231</v>
      </c>
      <c r="F42" t="s">
        <v>3070</v>
      </c>
      <c r="G42" s="25">
        <v>44298</v>
      </c>
      <c r="H42">
        <v>21</v>
      </c>
      <c r="I42">
        <v>102</v>
      </c>
      <c r="J42" t="s">
        <v>491</v>
      </c>
      <c r="K42" t="s">
        <v>233</v>
      </c>
      <c r="L42" t="s">
        <v>235</v>
      </c>
      <c r="M42" t="s">
        <v>236</v>
      </c>
      <c r="N42" t="s">
        <v>54</v>
      </c>
      <c r="O42">
        <v>625</v>
      </c>
      <c r="P42" t="s">
        <v>237</v>
      </c>
    </row>
    <row r="43" spans="1:16" x14ac:dyDescent="0.25">
      <c r="A43" t="s">
        <v>606</v>
      </c>
      <c r="B43">
        <v>314</v>
      </c>
      <c r="C43" t="s">
        <v>487</v>
      </c>
      <c r="D43" t="s">
        <v>231</v>
      </c>
      <c r="E43" t="s">
        <v>326</v>
      </c>
      <c r="F43" t="s">
        <v>1095</v>
      </c>
      <c r="G43" s="25">
        <v>44223</v>
      </c>
      <c r="H43">
        <v>6</v>
      </c>
      <c r="I43">
        <v>27</v>
      </c>
      <c r="J43" t="s">
        <v>491</v>
      </c>
      <c r="K43" t="s">
        <v>233</v>
      </c>
      <c r="L43" t="s">
        <v>235</v>
      </c>
      <c r="M43" t="s">
        <v>236</v>
      </c>
      <c r="N43" t="s">
        <v>54</v>
      </c>
      <c r="O43">
        <v>0</v>
      </c>
      <c r="P43" t="s">
        <v>237</v>
      </c>
    </row>
    <row r="44" spans="1:16" x14ac:dyDescent="0.25">
      <c r="A44" t="s">
        <v>847</v>
      </c>
      <c r="B44">
        <v>165</v>
      </c>
      <c r="C44" t="s">
        <v>487</v>
      </c>
      <c r="D44" t="s">
        <v>229</v>
      </c>
      <c r="E44" t="s">
        <v>537</v>
      </c>
      <c r="F44" t="s">
        <v>538</v>
      </c>
      <c r="G44" s="25">
        <v>44210</v>
      </c>
      <c r="H44">
        <v>3</v>
      </c>
      <c r="I44">
        <v>14</v>
      </c>
      <c r="J44" t="s">
        <v>491</v>
      </c>
      <c r="K44" t="s">
        <v>233</v>
      </c>
      <c r="L44" t="s">
        <v>235</v>
      </c>
      <c r="M44" t="s">
        <v>236</v>
      </c>
      <c r="N44" t="s">
        <v>54</v>
      </c>
      <c r="O44">
        <v>0</v>
      </c>
      <c r="P44" t="s">
        <v>237</v>
      </c>
    </row>
    <row r="45" spans="1:16" x14ac:dyDescent="0.25">
      <c r="A45" t="s">
        <v>2900</v>
      </c>
      <c r="B45">
        <v>1226</v>
      </c>
      <c r="C45" t="s">
        <v>487</v>
      </c>
      <c r="D45" t="s">
        <v>247</v>
      </c>
      <c r="E45" t="s">
        <v>256</v>
      </c>
      <c r="F45" t="s">
        <v>3073</v>
      </c>
      <c r="G45" s="25">
        <v>44299</v>
      </c>
      <c r="H45">
        <v>21</v>
      </c>
      <c r="I45">
        <v>103</v>
      </c>
      <c r="J45" t="s">
        <v>491</v>
      </c>
      <c r="K45" t="s">
        <v>233</v>
      </c>
      <c r="L45" t="s">
        <v>235</v>
      </c>
      <c r="M45" t="s">
        <v>236</v>
      </c>
      <c r="N45" t="s">
        <v>54</v>
      </c>
      <c r="O45">
        <v>0</v>
      </c>
      <c r="P45" t="s">
        <v>237</v>
      </c>
    </row>
    <row r="46" spans="1:16" x14ac:dyDescent="0.25">
      <c r="A46" t="s">
        <v>2821</v>
      </c>
      <c r="B46">
        <v>905</v>
      </c>
      <c r="C46" t="s">
        <v>487</v>
      </c>
      <c r="D46" t="s">
        <v>261</v>
      </c>
      <c r="E46" t="s">
        <v>620</v>
      </c>
      <c r="F46" t="s">
        <v>1545</v>
      </c>
      <c r="G46" s="25">
        <v>44272</v>
      </c>
      <c r="H46">
        <v>16</v>
      </c>
      <c r="I46">
        <v>76</v>
      </c>
      <c r="J46" t="s">
        <v>491</v>
      </c>
      <c r="K46" t="s">
        <v>233</v>
      </c>
      <c r="L46" t="s">
        <v>235</v>
      </c>
      <c r="M46" t="s">
        <v>236</v>
      </c>
      <c r="N46" t="s">
        <v>54</v>
      </c>
      <c r="O46">
        <v>0</v>
      </c>
      <c r="P46" t="s">
        <v>237</v>
      </c>
    </row>
    <row r="47" spans="1:16" x14ac:dyDescent="0.25">
      <c r="A47" t="s">
        <v>2228</v>
      </c>
      <c r="B47">
        <v>1124</v>
      </c>
      <c r="C47" t="s">
        <v>487</v>
      </c>
      <c r="D47" t="s">
        <v>322</v>
      </c>
      <c r="E47" t="s">
        <v>537</v>
      </c>
      <c r="F47" t="s">
        <v>2999</v>
      </c>
      <c r="G47" s="25">
        <v>44290</v>
      </c>
      <c r="H47">
        <v>19</v>
      </c>
      <c r="I47">
        <v>94</v>
      </c>
      <c r="J47" t="s">
        <v>491</v>
      </c>
      <c r="K47" t="s">
        <v>233</v>
      </c>
      <c r="L47" t="s">
        <v>235</v>
      </c>
      <c r="M47" t="s">
        <v>236</v>
      </c>
      <c r="N47" t="s">
        <v>54</v>
      </c>
      <c r="O47">
        <v>0</v>
      </c>
      <c r="P47" t="s">
        <v>237</v>
      </c>
    </row>
    <row r="48" spans="1:16" x14ac:dyDescent="0.25">
      <c r="A48" t="s">
        <v>2770</v>
      </c>
      <c r="B48">
        <v>797</v>
      </c>
      <c r="C48" t="s">
        <v>487</v>
      </c>
      <c r="D48" t="s">
        <v>261</v>
      </c>
      <c r="E48" t="s">
        <v>326</v>
      </c>
      <c r="F48" t="s">
        <v>1440</v>
      </c>
      <c r="G48" s="25">
        <v>44263</v>
      </c>
      <c r="H48">
        <v>14</v>
      </c>
      <c r="I48">
        <v>67</v>
      </c>
      <c r="J48" t="s">
        <v>491</v>
      </c>
      <c r="K48" t="s">
        <v>233</v>
      </c>
      <c r="L48" t="s">
        <v>235</v>
      </c>
      <c r="M48" t="s">
        <v>236</v>
      </c>
      <c r="N48" t="s">
        <v>54</v>
      </c>
      <c r="O48">
        <v>0</v>
      </c>
      <c r="P48" t="s">
        <v>237</v>
      </c>
    </row>
    <row r="49" spans="1:16" x14ac:dyDescent="0.25">
      <c r="A49" t="s">
        <v>614</v>
      </c>
      <c r="B49">
        <v>289</v>
      </c>
      <c r="C49" t="s">
        <v>487</v>
      </c>
      <c r="D49" t="s">
        <v>231</v>
      </c>
      <c r="E49" t="s">
        <v>322</v>
      </c>
      <c r="F49" t="s">
        <v>1085</v>
      </c>
      <c r="G49" s="25">
        <v>44221</v>
      </c>
      <c r="H49">
        <v>5</v>
      </c>
      <c r="I49">
        <v>25</v>
      </c>
      <c r="J49" t="s">
        <v>491</v>
      </c>
      <c r="K49" t="s">
        <v>233</v>
      </c>
      <c r="L49" t="s">
        <v>235</v>
      </c>
      <c r="M49" t="s">
        <v>236</v>
      </c>
      <c r="N49" t="s">
        <v>54</v>
      </c>
      <c r="O49">
        <v>0</v>
      </c>
      <c r="P49" t="s">
        <v>237</v>
      </c>
    </row>
    <row r="50" spans="1:16" x14ac:dyDescent="0.25">
      <c r="A50" t="s">
        <v>543</v>
      </c>
      <c r="B50">
        <v>423</v>
      </c>
      <c r="C50" t="s">
        <v>487</v>
      </c>
      <c r="D50" t="s">
        <v>231</v>
      </c>
      <c r="E50" t="s">
        <v>620</v>
      </c>
      <c r="F50" t="s">
        <v>1215</v>
      </c>
      <c r="G50" s="25">
        <v>44232</v>
      </c>
      <c r="H50">
        <v>8</v>
      </c>
      <c r="I50">
        <v>36</v>
      </c>
      <c r="J50" t="s">
        <v>491</v>
      </c>
      <c r="K50" t="s">
        <v>233</v>
      </c>
      <c r="L50" t="s">
        <v>235</v>
      </c>
      <c r="M50" t="s">
        <v>236</v>
      </c>
      <c r="N50" t="s">
        <v>54</v>
      </c>
      <c r="O50">
        <v>0</v>
      </c>
      <c r="P50" t="s">
        <v>237</v>
      </c>
    </row>
    <row r="51" spans="1:16" x14ac:dyDescent="0.25">
      <c r="A51" t="s">
        <v>243</v>
      </c>
      <c r="B51">
        <v>61</v>
      </c>
      <c r="C51" t="s">
        <v>487</v>
      </c>
      <c r="D51" t="s">
        <v>229</v>
      </c>
      <c r="E51" t="s">
        <v>247</v>
      </c>
      <c r="F51" t="s">
        <v>524</v>
      </c>
      <c r="G51" s="25">
        <v>44202</v>
      </c>
      <c r="H51">
        <v>2</v>
      </c>
      <c r="I51">
        <v>6</v>
      </c>
      <c r="J51" t="s">
        <v>491</v>
      </c>
      <c r="K51" t="s">
        <v>233</v>
      </c>
      <c r="L51" t="s">
        <v>235</v>
      </c>
      <c r="M51" t="s">
        <v>236</v>
      </c>
      <c r="N51" t="s">
        <v>54</v>
      </c>
      <c r="O51">
        <v>0</v>
      </c>
      <c r="P51" t="s">
        <v>237</v>
      </c>
    </row>
    <row r="52" spans="1:16" x14ac:dyDescent="0.25">
      <c r="A52" t="s">
        <v>2631</v>
      </c>
      <c r="B52">
        <v>787</v>
      </c>
      <c r="C52" t="s">
        <v>487</v>
      </c>
      <c r="D52" t="s">
        <v>261</v>
      </c>
      <c r="E52" t="s">
        <v>247</v>
      </c>
      <c r="F52" t="s">
        <v>1425</v>
      </c>
      <c r="G52" s="25">
        <v>44262</v>
      </c>
      <c r="H52">
        <v>14</v>
      </c>
      <c r="I52">
        <v>66</v>
      </c>
      <c r="J52" t="s">
        <v>491</v>
      </c>
      <c r="K52" t="s">
        <v>233</v>
      </c>
      <c r="L52" t="s">
        <v>235</v>
      </c>
      <c r="M52" t="s">
        <v>236</v>
      </c>
      <c r="N52" t="s">
        <v>54</v>
      </c>
      <c r="O52">
        <v>0</v>
      </c>
      <c r="P52" t="s">
        <v>237</v>
      </c>
    </row>
    <row r="53" spans="1:16" x14ac:dyDescent="0.25">
      <c r="A53" t="s">
        <v>2729</v>
      </c>
      <c r="B53">
        <v>914</v>
      </c>
      <c r="C53" t="s">
        <v>487</v>
      </c>
      <c r="D53" t="s">
        <v>261</v>
      </c>
      <c r="E53" t="s">
        <v>534</v>
      </c>
      <c r="F53" t="s">
        <v>1563</v>
      </c>
      <c r="G53" s="25">
        <v>44273</v>
      </c>
      <c r="H53">
        <v>16</v>
      </c>
      <c r="I53">
        <v>77</v>
      </c>
      <c r="J53" t="s">
        <v>491</v>
      </c>
      <c r="K53" t="s">
        <v>233</v>
      </c>
      <c r="L53" t="s">
        <v>235</v>
      </c>
      <c r="M53" t="s">
        <v>236</v>
      </c>
      <c r="N53" t="s">
        <v>54</v>
      </c>
      <c r="O53">
        <v>0</v>
      </c>
      <c r="P53" t="s">
        <v>237</v>
      </c>
    </row>
    <row r="54" spans="1:16" x14ac:dyDescent="0.25">
      <c r="A54" t="s">
        <v>2146</v>
      </c>
      <c r="B54">
        <v>1245</v>
      </c>
      <c r="C54" t="s">
        <v>487</v>
      </c>
      <c r="D54" t="s">
        <v>247</v>
      </c>
      <c r="E54" t="s">
        <v>261</v>
      </c>
      <c r="F54" t="s">
        <v>3078</v>
      </c>
      <c r="G54" s="25">
        <v>44300</v>
      </c>
      <c r="H54">
        <v>21</v>
      </c>
      <c r="I54">
        <v>104</v>
      </c>
      <c r="J54" t="s">
        <v>491</v>
      </c>
      <c r="K54" t="s">
        <v>233</v>
      </c>
      <c r="L54" t="s">
        <v>235</v>
      </c>
      <c r="M54" t="s">
        <v>236</v>
      </c>
      <c r="N54" t="s">
        <v>54</v>
      </c>
      <c r="O54">
        <v>0</v>
      </c>
      <c r="P54" t="s">
        <v>237</v>
      </c>
    </row>
    <row r="55" spans="1:16" x14ac:dyDescent="0.25">
      <c r="A55" t="s">
        <v>773</v>
      </c>
      <c r="B55">
        <v>387</v>
      </c>
      <c r="C55" t="s">
        <v>487</v>
      </c>
      <c r="D55" t="s">
        <v>231</v>
      </c>
      <c r="E55" t="s">
        <v>512</v>
      </c>
      <c r="F55" t="s">
        <v>1174</v>
      </c>
      <c r="G55" s="25">
        <v>44229</v>
      </c>
      <c r="H55">
        <v>7</v>
      </c>
      <c r="I55">
        <v>33</v>
      </c>
      <c r="J55" t="s">
        <v>491</v>
      </c>
      <c r="K55" t="s">
        <v>233</v>
      </c>
      <c r="L55" t="s">
        <v>235</v>
      </c>
      <c r="M55" t="s">
        <v>236</v>
      </c>
      <c r="N55" t="s">
        <v>54</v>
      </c>
      <c r="O55">
        <v>0</v>
      </c>
      <c r="P55" t="s">
        <v>237</v>
      </c>
    </row>
    <row r="56" spans="1:16" x14ac:dyDescent="0.25">
      <c r="A56" t="s">
        <v>838</v>
      </c>
      <c r="B56">
        <v>200</v>
      </c>
      <c r="C56" t="s">
        <v>487</v>
      </c>
      <c r="D56" t="s">
        <v>229</v>
      </c>
      <c r="E56" t="s">
        <v>534</v>
      </c>
      <c r="F56" t="s">
        <v>535</v>
      </c>
      <c r="G56" s="25">
        <v>44213</v>
      </c>
      <c r="H56">
        <v>4</v>
      </c>
      <c r="I56">
        <v>17</v>
      </c>
      <c r="J56" t="s">
        <v>491</v>
      </c>
      <c r="K56" t="s">
        <v>233</v>
      </c>
      <c r="L56" t="s">
        <v>235</v>
      </c>
      <c r="M56" t="s">
        <v>236</v>
      </c>
      <c r="N56" t="s">
        <v>54</v>
      </c>
      <c r="O56">
        <v>0</v>
      </c>
      <c r="P56" t="s">
        <v>237</v>
      </c>
    </row>
    <row r="57" spans="1:16" x14ac:dyDescent="0.25">
      <c r="A57" t="s">
        <v>2780</v>
      </c>
      <c r="B57">
        <v>772</v>
      </c>
      <c r="C57" t="s">
        <v>487</v>
      </c>
      <c r="D57" t="s">
        <v>261</v>
      </c>
      <c r="E57" t="s">
        <v>322</v>
      </c>
      <c r="F57" t="s">
        <v>1417</v>
      </c>
      <c r="G57" s="25">
        <v>44261</v>
      </c>
      <c r="H57">
        <v>13</v>
      </c>
      <c r="I57">
        <v>65</v>
      </c>
      <c r="J57" t="s">
        <v>491</v>
      </c>
      <c r="K57" t="s">
        <v>233</v>
      </c>
      <c r="L57" t="s">
        <v>235</v>
      </c>
      <c r="M57" t="s">
        <v>236</v>
      </c>
      <c r="N57" t="s">
        <v>54</v>
      </c>
      <c r="O57">
        <v>0</v>
      </c>
      <c r="P57" t="s">
        <v>237</v>
      </c>
    </row>
    <row r="58" spans="1:16" x14ac:dyDescent="0.25">
      <c r="A58" t="s">
        <v>1584</v>
      </c>
      <c r="B58">
        <v>479</v>
      </c>
      <c r="C58" t="s">
        <v>487</v>
      </c>
      <c r="D58" t="s">
        <v>231</v>
      </c>
      <c r="E58" t="s">
        <v>408</v>
      </c>
      <c r="F58" t="s">
        <v>1234</v>
      </c>
      <c r="G58" s="25">
        <v>44236</v>
      </c>
      <c r="H58">
        <v>8</v>
      </c>
      <c r="I58">
        <v>40</v>
      </c>
      <c r="J58" t="s">
        <v>491</v>
      </c>
      <c r="K58" t="s">
        <v>233</v>
      </c>
      <c r="L58" t="s">
        <v>235</v>
      </c>
      <c r="M58" t="s">
        <v>236</v>
      </c>
      <c r="N58" t="s">
        <v>54</v>
      </c>
      <c r="O58">
        <v>1250</v>
      </c>
      <c r="P58" t="s">
        <v>237</v>
      </c>
    </row>
    <row r="59" spans="1:16" x14ac:dyDescent="0.25">
      <c r="A59" t="s">
        <v>323</v>
      </c>
      <c r="B59">
        <v>85</v>
      </c>
      <c r="C59" t="s">
        <v>487</v>
      </c>
      <c r="D59" t="s">
        <v>229</v>
      </c>
      <c r="E59" t="s">
        <v>381</v>
      </c>
      <c r="F59" t="s">
        <v>518</v>
      </c>
      <c r="G59" s="25">
        <v>44204</v>
      </c>
      <c r="H59">
        <v>2</v>
      </c>
      <c r="I59">
        <v>8</v>
      </c>
      <c r="J59" t="s">
        <v>491</v>
      </c>
      <c r="K59" t="s">
        <v>233</v>
      </c>
      <c r="L59" t="s">
        <v>235</v>
      </c>
      <c r="M59" t="s">
        <v>236</v>
      </c>
      <c r="N59" t="s">
        <v>54</v>
      </c>
      <c r="O59">
        <v>0</v>
      </c>
      <c r="P59" t="s">
        <v>237</v>
      </c>
    </row>
    <row r="60" spans="1:16" x14ac:dyDescent="0.25">
      <c r="A60" t="s">
        <v>767</v>
      </c>
      <c r="B60">
        <v>284</v>
      </c>
      <c r="C60" t="s">
        <v>487</v>
      </c>
      <c r="D60" t="s">
        <v>231</v>
      </c>
      <c r="E60" t="s">
        <v>261</v>
      </c>
      <c r="F60" t="s">
        <v>1065</v>
      </c>
      <c r="G60" s="25">
        <v>44220</v>
      </c>
      <c r="H60">
        <v>5</v>
      </c>
      <c r="I60">
        <v>24</v>
      </c>
      <c r="J60" t="s">
        <v>491</v>
      </c>
      <c r="K60" t="s">
        <v>233</v>
      </c>
      <c r="L60" t="s">
        <v>235</v>
      </c>
      <c r="M60" t="s">
        <v>236</v>
      </c>
      <c r="N60" t="s">
        <v>54</v>
      </c>
      <c r="O60">
        <v>0</v>
      </c>
      <c r="P60" t="s">
        <v>237</v>
      </c>
    </row>
    <row r="61" spans="1:16" x14ac:dyDescent="0.25">
      <c r="A61" t="s">
        <v>654</v>
      </c>
      <c r="B61">
        <v>175</v>
      </c>
      <c r="C61" t="s">
        <v>487</v>
      </c>
      <c r="D61" t="s">
        <v>229</v>
      </c>
      <c r="E61" t="s">
        <v>575</v>
      </c>
      <c r="F61" t="s">
        <v>576</v>
      </c>
      <c r="G61" s="25">
        <v>44211</v>
      </c>
      <c r="H61">
        <v>3</v>
      </c>
      <c r="I61">
        <v>15</v>
      </c>
      <c r="J61" t="s">
        <v>491</v>
      </c>
      <c r="K61" t="s">
        <v>233</v>
      </c>
      <c r="L61" t="s">
        <v>235</v>
      </c>
      <c r="M61" t="s">
        <v>236</v>
      </c>
      <c r="N61" t="s">
        <v>54</v>
      </c>
      <c r="O61">
        <v>0</v>
      </c>
      <c r="P61" t="s">
        <v>237</v>
      </c>
    </row>
    <row r="62" spans="1:16" x14ac:dyDescent="0.25">
      <c r="A62" t="s">
        <v>2330</v>
      </c>
      <c r="B62">
        <v>861</v>
      </c>
      <c r="C62" t="s">
        <v>487</v>
      </c>
      <c r="D62" t="s">
        <v>261</v>
      </c>
      <c r="E62" t="s">
        <v>232</v>
      </c>
      <c r="F62" t="s">
        <v>1500</v>
      </c>
      <c r="G62" s="25">
        <v>44268</v>
      </c>
      <c r="H62">
        <v>15</v>
      </c>
      <c r="I62">
        <v>72</v>
      </c>
      <c r="J62" t="s">
        <v>491</v>
      </c>
      <c r="K62" t="s">
        <v>233</v>
      </c>
      <c r="L62" t="s">
        <v>235</v>
      </c>
      <c r="M62" t="s">
        <v>236</v>
      </c>
      <c r="N62" t="s">
        <v>54</v>
      </c>
      <c r="O62">
        <v>0</v>
      </c>
      <c r="P62" t="s">
        <v>237</v>
      </c>
    </row>
    <row r="63" spans="1:16" x14ac:dyDescent="0.25">
      <c r="A63" t="s">
        <v>1611</v>
      </c>
      <c r="B63">
        <v>492</v>
      </c>
      <c r="C63" t="s">
        <v>487</v>
      </c>
      <c r="D63" t="s">
        <v>256</v>
      </c>
      <c r="E63" t="s">
        <v>229</v>
      </c>
      <c r="F63" t="s">
        <v>1241</v>
      </c>
      <c r="G63" s="25">
        <v>44237</v>
      </c>
      <c r="H63">
        <v>9</v>
      </c>
      <c r="I63">
        <v>41</v>
      </c>
      <c r="J63" t="s">
        <v>491</v>
      </c>
      <c r="K63" t="s">
        <v>233</v>
      </c>
      <c r="L63" t="s">
        <v>235</v>
      </c>
      <c r="M63" t="s">
        <v>236</v>
      </c>
      <c r="N63" t="s">
        <v>54</v>
      </c>
      <c r="O63">
        <v>24000</v>
      </c>
      <c r="P63" t="s">
        <v>237</v>
      </c>
    </row>
    <row r="64" spans="1:16" x14ac:dyDescent="0.25">
      <c r="A64" t="s">
        <v>1933</v>
      </c>
      <c r="B64">
        <v>1155</v>
      </c>
      <c r="C64" t="s">
        <v>487</v>
      </c>
      <c r="D64" t="s">
        <v>322</v>
      </c>
      <c r="E64" t="s">
        <v>534</v>
      </c>
      <c r="F64" t="s">
        <v>3031</v>
      </c>
      <c r="G64" s="25">
        <v>44293</v>
      </c>
      <c r="H64">
        <v>20</v>
      </c>
      <c r="I64">
        <v>97</v>
      </c>
      <c r="J64" t="s">
        <v>491</v>
      </c>
      <c r="K64" t="s">
        <v>233</v>
      </c>
      <c r="L64" t="s">
        <v>235</v>
      </c>
      <c r="M64" t="s">
        <v>236</v>
      </c>
      <c r="N64" t="s">
        <v>54</v>
      </c>
      <c r="O64">
        <v>0</v>
      </c>
      <c r="P64" t="s">
        <v>237</v>
      </c>
    </row>
    <row r="65" spans="1:16" x14ac:dyDescent="0.25">
      <c r="A65" t="s">
        <v>2012</v>
      </c>
      <c r="B65">
        <v>875</v>
      </c>
      <c r="C65" t="s">
        <v>487</v>
      </c>
      <c r="D65" t="s">
        <v>261</v>
      </c>
      <c r="E65" t="s">
        <v>512</v>
      </c>
      <c r="F65" t="s">
        <v>1518</v>
      </c>
      <c r="G65" s="25">
        <v>44269</v>
      </c>
      <c r="H65">
        <v>15</v>
      </c>
      <c r="I65">
        <v>73</v>
      </c>
      <c r="J65" t="s">
        <v>491</v>
      </c>
      <c r="K65" t="s">
        <v>233</v>
      </c>
      <c r="L65" t="s">
        <v>235</v>
      </c>
      <c r="M65" t="s">
        <v>236</v>
      </c>
      <c r="N65" t="s">
        <v>54</v>
      </c>
      <c r="O65">
        <v>0</v>
      </c>
      <c r="P65" t="s">
        <v>237</v>
      </c>
    </row>
    <row r="66" spans="1:16" x14ac:dyDescent="0.25">
      <c r="A66" t="s">
        <v>2880</v>
      </c>
      <c r="B66">
        <v>1175</v>
      </c>
      <c r="C66" t="s">
        <v>487</v>
      </c>
      <c r="D66" t="s">
        <v>322</v>
      </c>
      <c r="E66" t="s">
        <v>552</v>
      </c>
      <c r="F66" t="s">
        <v>3045</v>
      </c>
      <c r="G66" s="25">
        <v>44294</v>
      </c>
      <c r="H66">
        <v>20</v>
      </c>
      <c r="I66">
        <v>98</v>
      </c>
      <c r="J66" t="s">
        <v>491</v>
      </c>
      <c r="K66" t="s">
        <v>233</v>
      </c>
      <c r="L66" t="s">
        <v>235</v>
      </c>
      <c r="M66" t="s">
        <v>236</v>
      </c>
      <c r="N66" t="s">
        <v>54</v>
      </c>
      <c r="O66">
        <v>0</v>
      </c>
      <c r="P66" t="s">
        <v>237</v>
      </c>
    </row>
    <row r="67" spans="1:16" x14ac:dyDescent="0.25">
      <c r="A67" t="s">
        <v>2741</v>
      </c>
      <c r="B67">
        <v>1181</v>
      </c>
      <c r="C67" t="s">
        <v>487</v>
      </c>
      <c r="D67" t="s">
        <v>322</v>
      </c>
      <c r="E67" t="s">
        <v>531</v>
      </c>
      <c r="F67" t="s">
        <v>3056</v>
      </c>
      <c r="G67" s="25">
        <v>44295</v>
      </c>
      <c r="H67">
        <v>20</v>
      </c>
      <c r="I67">
        <v>99</v>
      </c>
      <c r="J67" t="s">
        <v>491</v>
      </c>
      <c r="K67" t="s">
        <v>233</v>
      </c>
      <c r="L67" t="s">
        <v>235</v>
      </c>
      <c r="M67" t="s">
        <v>236</v>
      </c>
      <c r="N67" t="s">
        <v>54</v>
      </c>
      <c r="O67">
        <v>0</v>
      </c>
      <c r="P67" t="s">
        <v>237</v>
      </c>
    </row>
    <row r="68" spans="1:16" x14ac:dyDescent="0.25">
      <c r="A68" t="s">
        <v>334</v>
      </c>
      <c r="B68">
        <v>79</v>
      </c>
      <c r="C68" t="s">
        <v>487</v>
      </c>
      <c r="D68" t="s">
        <v>229</v>
      </c>
      <c r="E68" t="s">
        <v>326</v>
      </c>
      <c r="F68" t="s">
        <v>522</v>
      </c>
      <c r="G68" s="25">
        <v>44203</v>
      </c>
      <c r="H68">
        <v>2</v>
      </c>
      <c r="I68">
        <v>7</v>
      </c>
      <c r="J68" t="s">
        <v>491</v>
      </c>
      <c r="K68" t="s">
        <v>233</v>
      </c>
      <c r="L68" t="s">
        <v>235</v>
      </c>
      <c r="M68" t="s">
        <v>236</v>
      </c>
      <c r="N68" t="s">
        <v>54</v>
      </c>
      <c r="O68">
        <v>0</v>
      </c>
      <c r="P68" t="s">
        <v>237</v>
      </c>
    </row>
    <row r="69" spans="1:16" x14ac:dyDescent="0.25">
      <c r="A69" t="s">
        <v>2042</v>
      </c>
      <c r="B69">
        <v>845</v>
      </c>
      <c r="C69" t="s">
        <v>487</v>
      </c>
      <c r="D69" t="s">
        <v>261</v>
      </c>
      <c r="E69" t="s">
        <v>515</v>
      </c>
      <c r="F69" t="s">
        <v>1493</v>
      </c>
      <c r="G69" s="25">
        <v>44267</v>
      </c>
      <c r="H69">
        <v>15</v>
      </c>
      <c r="I69">
        <v>71</v>
      </c>
      <c r="J69" t="s">
        <v>491</v>
      </c>
      <c r="K69" t="s">
        <v>233</v>
      </c>
      <c r="L69" t="s">
        <v>235</v>
      </c>
      <c r="M69" t="s">
        <v>236</v>
      </c>
      <c r="N69" t="s">
        <v>54</v>
      </c>
      <c r="O69">
        <v>0</v>
      </c>
      <c r="P69" t="s">
        <v>237</v>
      </c>
    </row>
    <row r="70" spans="1:16" x14ac:dyDescent="0.25">
      <c r="A70" t="s">
        <v>687</v>
      </c>
      <c r="B70">
        <v>403</v>
      </c>
      <c r="C70" t="s">
        <v>487</v>
      </c>
      <c r="D70" t="s">
        <v>231</v>
      </c>
      <c r="E70" t="s">
        <v>537</v>
      </c>
      <c r="F70" t="s">
        <v>1192</v>
      </c>
      <c r="G70" s="25">
        <v>44230</v>
      </c>
      <c r="H70">
        <v>7</v>
      </c>
      <c r="I70">
        <v>34</v>
      </c>
      <c r="J70" t="s">
        <v>491</v>
      </c>
      <c r="K70" t="s">
        <v>233</v>
      </c>
      <c r="L70" t="s">
        <v>235</v>
      </c>
      <c r="M70" t="s">
        <v>236</v>
      </c>
      <c r="N70" t="s">
        <v>54</v>
      </c>
      <c r="O70">
        <v>0</v>
      </c>
      <c r="P70" t="s">
        <v>237</v>
      </c>
    </row>
    <row r="71" spans="1:16" x14ac:dyDescent="0.25">
      <c r="A71" t="s">
        <v>2827</v>
      </c>
      <c r="B71">
        <v>1149</v>
      </c>
      <c r="C71" t="s">
        <v>487</v>
      </c>
      <c r="D71" t="s">
        <v>322</v>
      </c>
      <c r="E71" t="s">
        <v>620</v>
      </c>
      <c r="F71" t="s">
        <v>3025</v>
      </c>
      <c r="G71" s="25">
        <v>44292</v>
      </c>
      <c r="H71">
        <v>20</v>
      </c>
      <c r="I71">
        <v>96</v>
      </c>
      <c r="J71" t="s">
        <v>491</v>
      </c>
      <c r="K71" t="s">
        <v>233</v>
      </c>
      <c r="L71" t="s">
        <v>235</v>
      </c>
      <c r="M71" t="s">
        <v>236</v>
      </c>
      <c r="N71" t="s">
        <v>54</v>
      </c>
      <c r="O71">
        <v>0</v>
      </c>
      <c r="P71" t="s">
        <v>237</v>
      </c>
    </row>
    <row r="72" spans="1:16" x14ac:dyDescent="0.25">
      <c r="A72" t="s">
        <v>2710</v>
      </c>
      <c r="B72">
        <v>884</v>
      </c>
      <c r="C72" t="s">
        <v>487</v>
      </c>
      <c r="D72" t="s">
        <v>261</v>
      </c>
      <c r="E72" t="s">
        <v>537</v>
      </c>
      <c r="F72" t="s">
        <v>1530</v>
      </c>
      <c r="G72" s="25">
        <v>44270</v>
      </c>
      <c r="H72">
        <v>15</v>
      </c>
      <c r="I72">
        <v>74</v>
      </c>
      <c r="J72" t="s">
        <v>491</v>
      </c>
      <c r="K72" t="s">
        <v>233</v>
      </c>
      <c r="L72" t="s">
        <v>235</v>
      </c>
      <c r="M72" t="s">
        <v>236</v>
      </c>
      <c r="N72" t="s">
        <v>54</v>
      </c>
      <c r="O72">
        <v>0</v>
      </c>
      <c r="P72" t="s">
        <v>237</v>
      </c>
    </row>
    <row r="73" spans="1:16" x14ac:dyDescent="0.25">
      <c r="A73" t="s">
        <v>1693</v>
      </c>
      <c r="B73">
        <v>834</v>
      </c>
      <c r="C73" t="s">
        <v>487</v>
      </c>
      <c r="D73" t="s">
        <v>261</v>
      </c>
      <c r="E73" t="s">
        <v>239</v>
      </c>
      <c r="F73" t="s">
        <v>1703</v>
      </c>
      <c r="G73" s="25">
        <v>44266</v>
      </c>
      <c r="H73">
        <v>14</v>
      </c>
      <c r="I73">
        <v>70</v>
      </c>
      <c r="J73" t="s">
        <v>491</v>
      </c>
      <c r="K73" t="s">
        <v>233</v>
      </c>
      <c r="L73" t="s">
        <v>235</v>
      </c>
      <c r="M73" t="s">
        <v>236</v>
      </c>
      <c r="N73" t="s">
        <v>54</v>
      </c>
      <c r="O73">
        <v>0</v>
      </c>
      <c r="P73" t="s">
        <v>237</v>
      </c>
    </row>
    <row r="74" spans="1:16" x14ac:dyDescent="0.25">
      <c r="A74" t="s">
        <v>690</v>
      </c>
      <c r="B74">
        <v>183</v>
      </c>
      <c r="C74" t="s">
        <v>487</v>
      </c>
      <c r="D74" t="s">
        <v>229</v>
      </c>
      <c r="E74" t="s">
        <v>620</v>
      </c>
      <c r="F74" t="s">
        <v>621</v>
      </c>
      <c r="G74" s="25">
        <v>44212</v>
      </c>
      <c r="H74">
        <v>4</v>
      </c>
      <c r="I74">
        <v>16</v>
      </c>
      <c r="J74" t="s">
        <v>491</v>
      </c>
      <c r="K74" t="s">
        <v>233</v>
      </c>
      <c r="L74" t="s">
        <v>235</v>
      </c>
      <c r="M74" t="s">
        <v>236</v>
      </c>
      <c r="N74" t="s">
        <v>54</v>
      </c>
      <c r="O74">
        <v>0</v>
      </c>
      <c r="P74" t="s">
        <v>237</v>
      </c>
    </row>
    <row r="75" spans="1:16" x14ac:dyDescent="0.25">
      <c r="A75" t="s">
        <v>2352</v>
      </c>
      <c r="B75">
        <v>1199</v>
      </c>
      <c r="C75" t="s">
        <v>487</v>
      </c>
      <c r="D75" t="s">
        <v>322</v>
      </c>
      <c r="E75" t="s">
        <v>408</v>
      </c>
      <c r="F75" t="s">
        <v>3059</v>
      </c>
      <c r="G75" s="25">
        <v>44296</v>
      </c>
      <c r="H75">
        <v>20</v>
      </c>
      <c r="I75">
        <v>100</v>
      </c>
      <c r="J75" t="s">
        <v>491</v>
      </c>
      <c r="K75" t="s">
        <v>233</v>
      </c>
      <c r="L75" t="s">
        <v>235</v>
      </c>
      <c r="M75" t="s">
        <v>236</v>
      </c>
      <c r="N75" t="s">
        <v>54</v>
      </c>
      <c r="O75">
        <v>5375</v>
      </c>
      <c r="P75" t="s">
        <v>237</v>
      </c>
    </row>
    <row r="76" spans="1:16" x14ac:dyDescent="0.25">
      <c r="A76" t="s">
        <v>2062</v>
      </c>
      <c r="B76">
        <v>504</v>
      </c>
      <c r="C76" t="s">
        <v>487</v>
      </c>
      <c r="D76" t="s">
        <v>256</v>
      </c>
      <c r="E76" t="s">
        <v>231</v>
      </c>
      <c r="F76" t="s">
        <v>1249</v>
      </c>
      <c r="G76" s="25">
        <v>44238</v>
      </c>
      <c r="H76">
        <v>9</v>
      </c>
      <c r="I76">
        <v>42</v>
      </c>
      <c r="J76" t="s">
        <v>491</v>
      </c>
      <c r="K76" t="s">
        <v>233</v>
      </c>
      <c r="L76" t="s">
        <v>235</v>
      </c>
      <c r="M76" t="s">
        <v>236</v>
      </c>
      <c r="N76" t="s">
        <v>54</v>
      </c>
      <c r="O76">
        <v>22750</v>
      </c>
      <c r="P76" t="s">
        <v>237</v>
      </c>
    </row>
    <row r="77" spans="1:16" x14ac:dyDescent="0.25">
      <c r="A77" t="s">
        <v>2544</v>
      </c>
      <c r="B77">
        <v>820</v>
      </c>
      <c r="C77" t="s">
        <v>487</v>
      </c>
      <c r="D77" t="s">
        <v>261</v>
      </c>
      <c r="E77" t="s">
        <v>371</v>
      </c>
      <c r="F77" t="s">
        <v>1478</v>
      </c>
      <c r="G77" s="25">
        <v>44265</v>
      </c>
      <c r="H77">
        <v>14</v>
      </c>
      <c r="I77">
        <v>69</v>
      </c>
      <c r="J77" t="s">
        <v>491</v>
      </c>
      <c r="K77" t="s">
        <v>233</v>
      </c>
      <c r="L77" t="s">
        <v>235</v>
      </c>
      <c r="M77" t="s">
        <v>236</v>
      </c>
      <c r="N77" t="s">
        <v>54</v>
      </c>
      <c r="O77">
        <v>0</v>
      </c>
      <c r="P77" t="s">
        <v>237</v>
      </c>
    </row>
    <row r="78" spans="1:16" x14ac:dyDescent="0.25">
      <c r="A78" t="s">
        <v>839</v>
      </c>
      <c r="B78">
        <v>419</v>
      </c>
      <c r="C78" t="s">
        <v>487</v>
      </c>
      <c r="D78" t="s">
        <v>231</v>
      </c>
      <c r="E78" t="s">
        <v>575</v>
      </c>
      <c r="F78" t="s">
        <v>1210</v>
      </c>
      <c r="G78" s="25">
        <v>44231</v>
      </c>
      <c r="H78">
        <v>7</v>
      </c>
      <c r="I78">
        <v>35</v>
      </c>
      <c r="J78" t="s">
        <v>491</v>
      </c>
      <c r="K78" t="s">
        <v>233</v>
      </c>
      <c r="L78" t="s">
        <v>235</v>
      </c>
      <c r="M78" t="s">
        <v>236</v>
      </c>
      <c r="N78" t="s">
        <v>54</v>
      </c>
      <c r="O78">
        <v>0</v>
      </c>
      <c r="P78" t="s">
        <v>237</v>
      </c>
    </row>
    <row r="79" spans="1:16" x14ac:dyDescent="0.25">
      <c r="A79" t="s">
        <v>2721</v>
      </c>
      <c r="B79">
        <v>890</v>
      </c>
      <c r="C79" t="s">
        <v>487</v>
      </c>
      <c r="D79" t="s">
        <v>261</v>
      </c>
      <c r="E79" t="s">
        <v>575</v>
      </c>
      <c r="F79" t="s">
        <v>1537</v>
      </c>
      <c r="G79" s="25">
        <v>44271</v>
      </c>
      <c r="H79">
        <v>15</v>
      </c>
      <c r="I79">
        <v>75</v>
      </c>
      <c r="J79" t="s">
        <v>491</v>
      </c>
      <c r="K79" t="s">
        <v>233</v>
      </c>
      <c r="L79" t="s">
        <v>235</v>
      </c>
      <c r="M79" t="s">
        <v>236</v>
      </c>
      <c r="N79" t="s">
        <v>54</v>
      </c>
      <c r="O79">
        <v>0</v>
      </c>
      <c r="P79" t="s">
        <v>237</v>
      </c>
    </row>
    <row r="80" spans="1:16" x14ac:dyDescent="0.25">
      <c r="A80" t="s">
        <v>1715</v>
      </c>
      <c r="B80">
        <v>718</v>
      </c>
      <c r="C80" t="s">
        <v>487</v>
      </c>
      <c r="D80" t="s">
        <v>256</v>
      </c>
      <c r="E80" t="s">
        <v>408</v>
      </c>
      <c r="F80" t="s">
        <v>1383</v>
      </c>
      <c r="G80" s="25">
        <v>44256</v>
      </c>
      <c r="H80">
        <v>12</v>
      </c>
      <c r="I80">
        <v>60</v>
      </c>
      <c r="J80" t="s">
        <v>491</v>
      </c>
      <c r="K80" t="s">
        <v>233</v>
      </c>
      <c r="L80" t="s">
        <v>235</v>
      </c>
      <c r="M80" t="s">
        <v>236</v>
      </c>
      <c r="N80" t="s">
        <v>54</v>
      </c>
      <c r="O80">
        <v>0</v>
      </c>
      <c r="P80" t="s">
        <v>237</v>
      </c>
    </row>
    <row r="81" spans="1:16" x14ac:dyDescent="0.25">
      <c r="A81" t="s">
        <v>2452</v>
      </c>
      <c r="B81">
        <v>1309</v>
      </c>
      <c r="C81" t="s">
        <v>487</v>
      </c>
      <c r="D81" t="s">
        <v>247</v>
      </c>
      <c r="E81" t="s">
        <v>239</v>
      </c>
      <c r="F81" t="s">
        <v>3118</v>
      </c>
      <c r="G81" s="25">
        <v>44306</v>
      </c>
      <c r="H81">
        <v>22</v>
      </c>
      <c r="I81">
        <v>110</v>
      </c>
      <c r="J81" t="s">
        <v>491</v>
      </c>
      <c r="K81" t="s">
        <v>233</v>
      </c>
      <c r="L81" t="s">
        <v>235</v>
      </c>
      <c r="M81" t="s">
        <v>236</v>
      </c>
      <c r="N81" t="s">
        <v>54</v>
      </c>
      <c r="O81">
        <v>0</v>
      </c>
      <c r="P81" t="s">
        <v>237</v>
      </c>
    </row>
    <row r="82" spans="1:16" x14ac:dyDescent="0.25">
      <c r="A82" t="s">
        <v>2350</v>
      </c>
      <c r="B82">
        <v>956</v>
      </c>
      <c r="C82" t="s">
        <v>487</v>
      </c>
      <c r="D82" t="s">
        <v>261</v>
      </c>
      <c r="E82" t="s">
        <v>408</v>
      </c>
      <c r="F82" t="s">
        <v>1595</v>
      </c>
      <c r="G82" s="25">
        <v>44276</v>
      </c>
      <c r="H82">
        <v>16</v>
      </c>
      <c r="I82">
        <v>80</v>
      </c>
      <c r="J82" t="s">
        <v>491</v>
      </c>
      <c r="K82" t="s">
        <v>233</v>
      </c>
      <c r="L82" t="s">
        <v>235</v>
      </c>
      <c r="M82" t="s">
        <v>236</v>
      </c>
      <c r="N82" t="s">
        <v>54</v>
      </c>
      <c r="O82">
        <v>0</v>
      </c>
      <c r="P82" t="s">
        <v>237</v>
      </c>
    </row>
    <row r="83" spans="1:16" x14ac:dyDescent="0.25">
      <c r="A83" t="s">
        <v>836</v>
      </c>
      <c r="B83">
        <v>273</v>
      </c>
      <c r="C83" t="s">
        <v>487</v>
      </c>
      <c r="D83" t="s">
        <v>231</v>
      </c>
      <c r="E83" t="s">
        <v>256</v>
      </c>
      <c r="F83" t="s">
        <v>1064</v>
      </c>
      <c r="G83" s="25">
        <v>44219</v>
      </c>
      <c r="H83">
        <v>5</v>
      </c>
      <c r="I83">
        <v>23</v>
      </c>
      <c r="J83" t="s">
        <v>491</v>
      </c>
      <c r="K83" t="s">
        <v>233</v>
      </c>
      <c r="L83" t="s">
        <v>235</v>
      </c>
      <c r="M83" t="s">
        <v>236</v>
      </c>
      <c r="N83" t="s">
        <v>54</v>
      </c>
      <c r="O83">
        <v>0</v>
      </c>
      <c r="P83" t="s">
        <v>237</v>
      </c>
    </row>
    <row r="84" spans="1:16" x14ac:dyDescent="0.25">
      <c r="A84" t="s">
        <v>2076</v>
      </c>
      <c r="B84">
        <v>700</v>
      </c>
      <c r="C84" t="s">
        <v>487</v>
      </c>
      <c r="D84" t="s">
        <v>256</v>
      </c>
      <c r="E84" t="s">
        <v>531</v>
      </c>
      <c r="F84" t="s">
        <v>1373</v>
      </c>
      <c r="G84" s="25">
        <v>44255</v>
      </c>
      <c r="H84">
        <v>12</v>
      </c>
      <c r="I84">
        <v>59</v>
      </c>
      <c r="J84" t="s">
        <v>491</v>
      </c>
      <c r="K84" t="s">
        <v>233</v>
      </c>
      <c r="L84" t="s">
        <v>235</v>
      </c>
      <c r="M84" t="s">
        <v>236</v>
      </c>
      <c r="N84" t="s">
        <v>54</v>
      </c>
      <c r="O84">
        <v>0</v>
      </c>
      <c r="P84" t="s">
        <v>237</v>
      </c>
    </row>
    <row r="85" spans="1:16" x14ac:dyDescent="0.25">
      <c r="A85" t="s">
        <v>603</v>
      </c>
      <c r="B85">
        <v>435</v>
      </c>
      <c r="C85" t="s">
        <v>487</v>
      </c>
      <c r="D85" t="s">
        <v>231</v>
      </c>
      <c r="E85" t="s">
        <v>534</v>
      </c>
      <c r="F85" t="s">
        <v>1731</v>
      </c>
      <c r="G85" s="25">
        <v>44233</v>
      </c>
      <c r="H85">
        <v>8</v>
      </c>
      <c r="I85">
        <v>37</v>
      </c>
      <c r="J85" t="s">
        <v>491</v>
      </c>
      <c r="K85" t="s">
        <v>233</v>
      </c>
      <c r="L85" t="s">
        <v>235</v>
      </c>
      <c r="M85" t="s">
        <v>236</v>
      </c>
      <c r="N85" t="s">
        <v>54</v>
      </c>
      <c r="O85">
        <v>0</v>
      </c>
      <c r="P85" t="s">
        <v>237</v>
      </c>
    </row>
    <row r="86" spans="1:16" x14ac:dyDescent="0.25">
      <c r="A86" t="s">
        <v>2293</v>
      </c>
      <c r="B86">
        <v>538</v>
      </c>
      <c r="C86" t="s">
        <v>487</v>
      </c>
      <c r="D86" t="s">
        <v>256</v>
      </c>
      <c r="E86" t="s">
        <v>322</v>
      </c>
      <c r="F86" t="s">
        <v>1288</v>
      </c>
      <c r="G86" s="25">
        <v>44241</v>
      </c>
      <c r="H86">
        <v>9</v>
      </c>
      <c r="I86">
        <v>45</v>
      </c>
      <c r="J86" t="s">
        <v>491</v>
      </c>
      <c r="K86" t="s">
        <v>233</v>
      </c>
      <c r="L86" t="s">
        <v>235</v>
      </c>
      <c r="M86" t="s">
        <v>236</v>
      </c>
      <c r="N86" t="s">
        <v>54</v>
      </c>
      <c r="O86">
        <v>0</v>
      </c>
      <c r="P86" t="s">
        <v>237</v>
      </c>
    </row>
    <row r="87" spans="1:16" x14ac:dyDescent="0.25">
      <c r="A87" t="s">
        <v>835</v>
      </c>
      <c r="B87">
        <v>224</v>
      </c>
      <c r="C87" t="s">
        <v>487</v>
      </c>
      <c r="D87" t="s">
        <v>229</v>
      </c>
      <c r="E87" t="s">
        <v>531</v>
      </c>
      <c r="F87" t="s">
        <v>532</v>
      </c>
      <c r="G87" s="25">
        <v>44215</v>
      </c>
      <c r="H87">
        <v>4</v>
      </c>
      <c r="I87">
        <v>19</v>
      </c>
      <c r="J87" t="s">
        <v>491</v>
      </c>
      <c r="K87" t="s">
        <v>233</v>
      </c>
      <c r="L87" t="s">
        <v>235</v>
      </c>
      <c r="M87" t="s">
        <v>236</v>
      </c>
      <c r="N87" t="s">
        <v>54</v>
      </c>
      <c r="O87">
        <v>0</v>
      </c>
      <c r="P87" t="s">
        <v>237</v>
      </c>
    </row>
    <row r="88" spans="1:16" x14ac:dyDescent="0.25">
      <c r="A88" t="s">
        <v>1808</v>
      </c>
      <c r="B88">
        <v>688</v>
      </c>
      <c r="C88" t="s">
        <v>487</v>
      </c>
      <c r="D88" t="s">
        <v>256</v>
      </c>
      <c r="E88" t="s">
        <v>552</v>
      </c>
      <c r="F88" t="s">
        <v>1365</v>
      </c>
      <c r="G88" s="25">
        <v>44254</v>
      </c>
      <c r="H88">
        <v>12</v>
      </c>
      <c r="I88">
        <v>58</v>
      </c>
      <c r="J88" t="s">
        <v>491</v>
      </c>
      <c r="K88" t="s">
        <v>233</v>
      </c>
      <c r="L88" t="s">
        <v>235</v>
      </c>
      <c r="M88" t="s">
        <v>236</v>
      </c>
      <c r="N88" t="s">
        <v>54</v>
      </c>
      <c r="O88">
        <v>0</v>
      </c>
      <c r="P88" t="s">
        <v>237</v>
      </c>
    </row>
    <row r="89" spans="1:16" x14ac:dyDescent="0.25">
      <c r="A89" t="s">
        <v>2906</v>
      </c>
      <c r="B89">
        <v>1073</v>
      </c>
      <c r="C89" t="s">
        <v>487</v>
      </c>
      <c r="D89" t="s">
        <v>322</v>
      </c>
      <c r="E89" t="s">
        <v>239</v>
      </c>
      <c r="F89" t="s">
        <v>2979</v>
      </c>
      <c r="G89" s="25">
        <v>44286</v>
      </c>
      <c r="H89">
        <v>18</v>
      </c>
      <c r="I89">
        <v>90</v>
      </c>
      <c r="J89" t="s">
        <v>491</v>
      </c>
      <c r="K89" t="s">
        <v>233</v>
      </c>
      <c r="L89" t="s">
        <v>235</v>
      </c>
      <c r="M89" t="s">
        <v>236</v>
      </c>
      <c r="N89" t="s">
        <v>54</v>
      </c>
      <c r="O89">
        <v>0</v>
      </c>
      <c r="P89" t="s">
        <v>237</v>
      </c>
    </row>
    <row r="90" spans="1:16" x14ac:dyDescent="0.25">
      <c r="A90" t="s">
        <v>1735</v>
      </c>
      <c r="B90">
        <v>1331</v>
      </c>
      <c r="C90" t="s">
        <v>487</v>
      </c>
      <c r="D90" t="s">
        <v>247</v>
      </c>
      <c r="E90" t="s">
        <v>515</v>
      </c>
      <c r="F90" t="s">
        <v>3134</v>
      </c>
      <c r="G90" s="25">
        <v>44307</v>
      </c>
      <c r="H90">
        <v>23</v>
      </c>
      <c r="I90">
        <v>111</v>
      </c>
      <c r="J90" t="s">
        <v>491</v>
      </c>
      <c r="K90" t="s">
        <v>233</v>
      </c>
      <c r="L90" t="s">
        <v>235</v>
      </c>
      <c r="M90" t="s">
        <v>236</v>
      </c>
      <c r="N90" t="s">
        <v>54</v>
      </c>
      <c r="O90">
        <v>9125</v>
      </c>
      <c r="P90" t="s">
        <v>237</v>
      </c>
    </row>
    <row r="91" spans="1:16" x14ac:dyDescent="0.25">
      <c r="A91" t="s">
        <v>693</v>
      </c>
      <c r="B91">
        <v>362</v>
      </c>
      <c r="C91" t="s">
        <v>487</v>
      </c>
      <c r="D91" t="s">
        <v>231</v>
      </c>
      <c r="E91" t="s">
        <v>515</v>
      </c>
      <c r="F91" t="s">
        <v>1150</v>
      </c>
      <c r="G91" s="25">
        <v>44227</v>
      </c>
      <c r="H91">
        <v>7</v>
      </c>
      <c r="I91">
        <v>31</v>
      </c>
      <c r="J91" t="s">
        <v>491</v>
      </c>
      <c r="K91" t="s">
        <v>233</v>
      </c>
      <c r="L91" t="s">
        <v>235</v>
      </c>
      <c r="M91" t="s">
        <v>236</v>
      </c>
      <c r="N91" t="s">
        <v>54</v>
      </c>
      <c r="O91">
        <v>0</v>
      </c>
      <c r="P91" t="s">
        <v>237</v>
      </c>
    </row>
    <row r="92" spans="1:16" x14ac:dyDescent="0.25">
      <c r="A92" t="s">
        <v>276</v>
      </c>
      <c r="B92">
        <v>33</v>
      </c>
      <c r="C92" t="s">
        <v>487</v>
      </c>
      <c r="D92" t="s">
        <v>229</v>
      </c>
      <c r="E92" t="s">
        <v>256</v>
      </c>
      <c r="F92" t="s">
        <v>525</v>
      </c>
      <c r="G92" s="25">
        <v>44199</v>
      </c>
      <c r="H92">
        <v>1</v>
      </c>
      <c r="I92">
        <v>3</v>
      </c>
      <c r="J92" t="s">
        <v>491</v>
      </c>
      <c r="K92" t="s">
        <v>233</v>
      </c>
      <c r="L92" t="s">
        <v>235</v>
      </c>
      <c r="M92" t="s">
        <v>236</v>
      </c>
      <c r="N92" t="s">
        <v>54</v>
      </c>
      <c r="O92">
        <v>0</v>
      </c>
      <c r="P92" t="s">
        <v>237</v>
      </c>
    </row>
    <row r="93" spans="1:16" x14ac:dyDescent="0.25">
      <c r="A93" t="s">
        <v>1698</v>
      </c>
      <c r="B93">
        <v>968</v>
      </c>
      <c r="C93" t="s">
        <v>487</v>
      </c>
      <c r="D93" t="s">
        <v>322</v>
      </c>
      <c r="E93" t="s">
        <v>229</v>
      </c>
      <c r="F93" t="s">
        <v>1643</v>
      </c>
      <c r="G93" s="25">
        <v>44277</v>
      </c>
      <c r="H93">
        <v>17</v>
      </c>
      <c r="I93">
        <v>81</v>
      </c>
      <c r="J93" t="s">
        <v>491</v>
      </c>
      <c r="K93" t="s">
        <v>233</v>
      </c>
      <c r="L93" t="s">
        <v>235</v>
      </c>
      <c r="M93" t="s">
        <v>236</v>
      </c>
      <c r="N93" t="s">
        <v>54</v>
      </c>
      <c r="O93">
        <v>0</v>
      </c>
      <c r="P93" t="s">
        <v>237</v>
      </c>
    </row>
    <row r="94" spans="1:16" x14ac:dyDescent="0.25">
      <c r="A94" t="s">
        <v>2432</v>
      </c>
      <c r="B94">
        <v>674</v>
      </c>
      <c r="C94" t="s">
        <v>487</v>
      </c>
      <c r="D94" t="s">
        <v>256</v>
      </c>
      <c r="E94" t="s">
        <v>534</v>
      </c>
      <c r="F94" t="s">
        <v>1357</v>
      </c>
      <c r="G94" s="25">
        <v>44253</v>
      </c>
      <c r="H94">
        <v>12</v>
      </c>
      <c r="I94">
        <v>57</v>
      </c>
      <c r="J94" t="s">
        <v>491</v>
      </c>
      <c r="K94" t="s">
        <v>233</v>
      </c>
      <c r="L94" t="s">
        <v>235</v>
      </c>
      <c r="M94" t="s">
        <v>236</v>
      </c>
      <c r="N94" t="s">
        <v>54</v>
      </c>
      <c r="O94">
        <v>0</v>
      </c>
      <c r="P94" t="s">
        <v>237</v>
      </c>
    </row>
    <row r="95" spans="1:16" x14ac:dyDescent="0.25">
      <c r="A95" t="s">
        <v>573</v>
      </c>
      <c r="B95">
        <v>142</v>
      </c>
      <c r="C95" t="s">
        <v>487</v>
      </c>
      <c r="D95" t="s">
        <v>229</v>
      </c>
      <c r="E95" t="s">
        <v>232</v>
      </c>
      <c r="F95" t="s">
        <v>520</v>
      </c>
      <c r="G95" s="25">
        <v>44208</v>
      </c>
      <c r="H95">
        <v>3</v>
      </c>
      <c r="I95">
        <v>12</v>
      </c>
      <c r="J95" t="s">
        <v>491</v>
      </c>
      <c r="K95" t="s">
        <v>233</v>
      </c>
      <c r="L95" t="s">
        <v>235</v>
      </c>
      <c r="M95" t="s">
        <v>236</v>
      </c>
      <c r="N95" t="s">
        <v>54</v>
      </c>
      <c r="O95">
        <v>0</v>
      </c>
      <c r="P95" t="s">
        <v>237</v>
      </c>
    </row>
    <row r="96" spans="1:16" x14ac:dyDescent="0.25">
      <c r="A96" t="s">
        <v>2872</v>
      </c>
      <c r="B96">
        <v>1344</v>
      </c>
      <c r="C96" t="s">
        <v>487</v>
      </c>
      <c r="D96" t="s">
        <v>247</v>
      </c>
      <c r="E96" t="s">
        <v>232</v>
      </c>
      <c r="F96" t="s">
        <v>3140</v>
      </c>
      <c r="G96" s="25">
        <v>44308</v>
      </c>
      <c r="H96">
        <v>23</v>
      </c>
      <c r="I96">
        <v>112</v>
      </c>
      <c r="J96" t="s">
        <v>491</v>
      </c>
      <c r="K96" t="s">
        <v>233</v>
      </c>
      <c r="L96" t="s">
        <v>235</v>
      </c>
      <c r="M96" t="s">
        <v>236</v>
      </c>
      <c r="N96" t="s">
        <v>54</v>
      </c>
      <c r="O96">
        <v>24000</v>
      </c>
      <c r="P96" t="s">
        <v>237</v>
      </c>
    </row>
    <row r="97" spans="1:16" x14ac:dyDescent="0.25">
      <c r="A97" t="s">
        <v>604</v>
      </c>
      <c r="B97">
        <v>325</v>
      </c>
      <c r="C97" t="s">
        <v>487</v>
      </c>
      <c r="D97" t="s">
        <v>231</v>
      </c>
      <c r="E97" t="s">
        <v>381</v>
      </c>
      <c r="F97" t="s">
        <v>1099</v>
      </c>
      <c r="G97" s="25">
        <v>44224</v>
      </c>
      <c r="H97">
        <v>6</v>
      </c>
      <c r="I97">
        <v>28</v>
      </c>
      <c r="J97" t="s">
        <v>491</v>
      </c>
      <c r="K97" t="s">
        <v>233</v>
      </c>
      <c r="L97" t="s">
        <v>235</v>
      </c>
      <c r="M97" t="s">
        <v>236</v>
      </c>
      <c r="N97" t="s">
        <v>54</v>
      </c>
      <c r="O97">
        <v>0</v>
      </c>
      <c r="P97" t="s">
        <v>237</v>
      </c>
    </row>
    <row r="98" spans="1:16" x14ac:dyDescent="0.25">
      <c r="A98" t="s">
        <v>1827</v>
      </c>
      <c r="B98">
        <v>670</v>
      </c>
      <c r="C98" t="s">
        <v>487</v>
      </c>
      <c r="D98" t="s">
        <v>256</v>
      </c>
      <c r="E98" t="s">
        <v>620</v>
      </c>
      <c r="F98" t="s">
        <v>1350</v>
      </c>
      <c r="G98" s="25">
        <v>44252</v>
      </c>
      <c r="H98">
        <v>12</v>
      </c>
      <c r="I98">
        <v>56</v>
      </c>
      <c r="J98" t="s">
        <v>491</v>
      </c>
      <c r="K98" t="s">
        <v>233</v>
      </c>
      <c r="L98" t="s">
        <v>235</v>
      </c>
      <c r="M98" t="s">
        <v>236</v>
      </c>
      <c r="N98" t="s">
        <v>54</v>
      </c>
      <c r="O98">
        <v>0</v>
      </c>
      <c r="P98" t="s">
        <v>237</v>
      </c>
    </row>
    <row r="99" spans="1:16" x14ac:dyDescent="0.25">
      <c r="A99" t="s">
        <v>1994</v>
      </c>
      <c r="B99">
        <v>1063</v>
      </c>
      <c r="C99" t="s">
        <v>487</v>
      </c>
      <c r="D99" t="s">
        <v>322</v>
      </c>
      <c r="E99" t="s">
        <v>371</v>
      </c>
      <c r="F99" t="s">
        <v>2976</v>
      </c>
      <c r="G99" s="25">
        <v>44285</v>
      </c>
      <c r="H99">
        <v>18</v>
      </c>
      <c r="I99">
        <v>89</v>
      </c>
      <c r="J99" t="s">
        <v>491</v>
      </c>
      <c r="K99" t="s">
        <v>233</v>
      </c>
      <c r="L99" t="s">
        <v>235</v>
      </c>
      <c r="M99" t="s">
        <v>236</v>
      </c>
      <c r="N99" t="s">
        <v>54</v>
      </c>
      <c r="O99">
        <v>0</v>
      </c>
      <c r="P99" t="s">
        <v>237</v>
      </c>
    </row>
    <row r="100" spans="1:16" x14ac:dyDescent="0.25">
      <c r="A100" t="s">
        <v>1714</v>
      </c>
      <c r="B100">
        <v>1356</v>
      </c>
      <c r="C100" t="s">
        <v>487</v>
      </c>
      <c r="D100" t="s">
        <v>247</v>
      </c>
      <c r="E100" t="s">
        <v>512</v>
      </c>
      <c r="F100" t="s">
        <v>3146</v>
      </c>
      <c r="G100" s="25">
        <v>44309</v>
      </c>
      <c r="H100">
        <v>23</v>
      </c>
      <c r="I100">
        <v>113</v>
      </c>
      <c r="J100" t="s">
        <v>491</v>
      </c>
      <c r="K100" t="s">
        <v>233</v>
      </c>
      <c r="L100" t="s">
        <v>235</v>
      </c>
      <c r="M100" t="s">
        <v>236</v>
      </c>
      <c r="N100" t="s">
        <v>54</v>
      </c>
      <c r="O100">
        <v>14875</v>
      </c>
      <c r="P100" t="s">
        <v>237</v>
      </c>
    </row>
    <row r="101" spans="1:16" x14ac:dyDescent="0.25">
      <c r="A101" t="s">
        <v>2873</v>
      </c>
      <c r="B101">
        <v>1256</v>
      </c>
      <c r="C101" t="s">
        <v>487</v>
      </c>
      <c r="D101" t="s">
        <v>247</v>
      </c>
      <c r="E101" t="s">
        <v>322</v>
      </c>
      <c r="F101" t="s">
        <v>3083</v>
      </c>
      <c r="G101" s="25">
        <v>44301</v>
      </c>
      <c r="H101">
        <v>21</v>
      </c>
      <c r="I101">
        <v>105</v>
      </c>
      <c r="J101" t="s">
        <v>491</v>
      </c>
      <c r="K101" t="s">
        <v>233</v>
      </c>
      <c r="L101" t="s">
        <v>235</v>
      </c>
      <c r="M101" t="s">
        <v>236</v>
      </c>
      <c r="N101" t="s">
        <v>54</v>
      </c>
      <c r="O101">
        <v>0</v>
      </c>
      <c r="P101" t="s">
        <v>237</v>
      </c>
    </row>
    <row r="102" spans="1:16" x14ac:dyDescent="0.25">
      <c r="A102" t="s">
        <v>776</v>
      </c>
      <c r="B102">
        <v>382</v>
      </c>
      <c r="C102" t="s">
        <v>487</v>
      </c>
      <c r="D102" t="s">
        <v>231</v>
      </c>
      <c r="E102" t="s">
        <v>232</v>
      </c>
      <c r="F102" t="s">
        <v>1162</v>
      </c>
      <c r="G102" s="25">
        <v>44228</v>
      </c>
      <c r="H102">
        <v>7</v>
      </c>
      <c r="I102">
        <v>32</v>
      </c>
      <c r="J102" t="s">
        <v>491</v>
      </c>
      <c r="K102" t="s">
        <v>233</v>
      </c>
      <c r="L102" t="s">
        <v>235</v>
      </c>
      <c r="M102" t="s">
        <v>236</v>
      </c>
      <c r="N102" t="s">
        <v>54</v>
      </c>
      <c r="O102">
        <v>0</v>
      </c>
      <c r="P102" t="s">
        <v>237</v>
      </c>
    </row>
    <row r="103" spans="1:16" x14ac:dyDescent="0.25">
      <c r="A103" t="s">
        <v>1845</v>
      </c>
      <c r="B103">
        <v>1262</v>
      </c>
      <c r="C103" t="s">
        <v>487</v>
      </c>
      <c r="D103" t="s">
        <v>247</v>
      </c>
      <c r="E103" t="s">
        <v>247</v>
      </c>
      <c r="F103" t="s">
        <v>3085</v>
      </c>
      <c r="G103" s="25">
        <v>44302</v>
      </c>
      <c r="H103">
        <v>22</v>
      </c>
      <c r="I103">
        <v>106</v>
      </c>
      <c r="J103" t="s">
        <v>491</v>
      </c>
      <c r="K103" t="s">
        <v>233</v>
      </c>
      <c r="L103" t="s">
        <v>235</v>
      </c>
      <c r="M103" t="s">
        <v>236</v>
      </c>
      <c r="N103" t="s">
        <v>54</v>
      </c>
      <c r="O103">
        <v>0</v>
      </c>
      <c r="P103" t="s">
        <v>237</v>
      </c>
    </row>
    <row r="104" spans="1:16" x14ac:dyDescent="0.25">
      <c r="A104" t="s">
        <v>2774</v>
      </c>
      <c r="B104">
        <v>930</v>
      </c>
      <c r="C104" t="s">
        <v>487</v>
      </c>
      <c r="D104" t="s">
        <v>261</v>
      </c>
      <c r="E104" t="s">
        <v>552</v>
      </c>
      <c r="F104" t="s">
        <v>1585</v>
      </c>
      <c r="G104" s="25">
        <v>44274</v>
      </c>
      <c r="H104">
        <v>16</v>
      </c>
      <c r="I104">
        <v>78</v>
      </c>
      <c r="J104" t="s">
        <v>491</v>
      </c>
      <c r="K104" t="s">
        <v>233</v>
      </c>
      <c r="L104" t="s">
        <v>235</v>
      </c>
      <c r="M104" t="s">
        <v>236</v>
      </c>
      <c r="N104" t="s">
        <v>54</v>
      </c>
      <c r="O104">
        <v>0</v>
      </c>
      <c r="P104" t="s">
        <v>237</v>
      </c>
    </row>
    <row r="105" spans="1:16" x14ac:dyDescent="0.25">
      <c r="A105" t="s">
        <v>2416</v>
      </c>
      <c r="B105">
        <v>523</v>
      </c>
      <c r="C105" t="s">
        <v>487</v>
      </c>
      <c r="D105" t="s">
        <v>256</v>
      </c>
      <c r="E105" t="s">
        <v>261</v>
      </c>
      <c r="F105" t="s">
        <v>1276</v>
      </c>
      <c r="G105" s="25">
        <v>44240</v>
      </c>
      <c r="H105">
        <v>9</v>
      </c>
      <c r="I105">
        <v>44</v>
      </c>
      <c r="J105" t="s">
        <v>491</v>
      </c>
      <c r="K105" t="s">
        <v>233</v>
      </c>
      <c r="L105" t="s">
        <v>235</v>
      </c>
      <c r="M105" t="s">
        <v>236</v>
      </c>
      <c r="N105" t="s">
        <v>54</v>
      </c>
      <c r="O105">
        <v>0</v>
      </c>
      <c r="P105" t="s">
        <v>237</v>
      </c>
    </row>
    <row r="106" spans="1:16" x14ac:dyDescent="0.25">
      <c r="A106" t="s">
        <v>1776</v>
      </c>
      <c r="B106">
        <v>758</v>
      </c>
      <c r="C106" t="s">
        <v>487</v>
      </c>
      <c r="D106" t="s">
        <v>261</v>
      </c>
      <c r="E106" t="s">
        <v>261</v>
      </c>
      <c r="F106" t="s">
        <v>1410</v>
      </c>
      <c r="G106" s="25">
        <v>44260</v>
      </c>
      <c r="H106">
        <v>13</v>
      </c>
      <c r="I106">
        <v>64</v>
      </c>
      <c r="J106" t="s">
        <v>491</v>
      </c>
      <c r="K106" t="s">
        <v>233</v>
      </c>
      <c r="L106" t="s">
        <v>235</v>
      </c>
      <c r="M106" t="s">
        <v>236</v>
      </c>
      <c r="N106" t="s">
        <v>54</v>
      </c>
      <c r="O106">
        <v>0</v>
      </c>
      <c r="P106" t="s">
        <v>237</v>
      </c>
    </row>
    <row r="107" spans="1:16" x14ac:dyDescent="0.25">
      <c r="A107" t="s">
        <v>354</v>
      </c>
      <c r="B107">
        <v>52</v>
      </c>
      <c r="C107" t="s">
        <v>487</v>
      </c>
      <c r="D107" t="s">
        <v>229</v>
      </c>
      <c r="E107" t="s">
        <v>322</v>
      </c>
      <c r="F107" t="s">
        <v>529</v>
      </c>
      <c r="G107" s="25">
        <v>44201</v>
      </c>
      <c r="H107">
        <v>1</v>
      </c>
      <c r="I107">
        <v>5</v>
      </c>
      <c r="J107" t="s">
        <v>491</v>
      </c>
      <c r="K107" t="s">
        <v>233</v>
      </c>
      <c r="L107" t="s">
        <v>235</v>
      </c>
      <c r="M107" t="s">
        <v>236</v>
      </c>
      <c r="N107" t="s">
        <v>54</v>
      </c>
      <c r="O107">
        <v>0</v>
      </c>
      <c r="P107" t="s">
        <v>237</v>
      </c>
    </row>
    <row r="108" spans="1:16" x14ac:dyDescent="0.25">
      <c r="A108" t="s">
        <v>1802</v>
      </c>
      <c r="B108">
        <v>1105</v>
      </c>
      <c r="C108" t="s">
        <v>487</v>
      </c>
      <c r="D108" t="s">
        <v>322</v>
      </c>
      <c r="E108" t="s">
        <v>512</v>
      </c>
      <c r="F108" t="s">
        <v>2991</v>
      </c>
      <c r="G108" s="25">
        <v>44289</v>
      </c>
      <c r="H108">
        <v>19</v>
      </c>
      <c r="I108">
        <v>93</v>
      </c>
      <c r="J108" t="s">
        <v>491</v>
      </c>
      <c r="K108" t="s">
        <v>233</v>
      </c>
      <c r="L108" t="s">
        <v>235</v>
      </c>
      <c r="M108" t="s">
        <v>236</v>
      </c>
      <c r="N108" t="s">
        <v>54</v>
      </c>
      <c r="O108">
        <v>0</v>
      </c>
      <c r="P108" t="s">
        <v>237</v>
      </c>
    </row>
    <row r="109" spans="1:16" x14ac:dyDescent="0.25">
      <c r="A109" t="s">
        <v>1729</v>
      </c>
      <c r="B109">
        <v>1102</v>
      </c>
      <c r="C109" t="s">
        <v>487</v>
      </c>
      <c r="D109" t="s">
        <v>322</v>
      </c>
      <c r="E109" t="s">
        <v>232</v>
      </c>
      <c r="F109" t="s">
        <v>2987</v>
      </c>
      <c r="G109" s="25">
        <v>44288</v>
      </c>
      <c r="H109">
        <v>19</v>
      </c>
      <c r="I109">
        <v>92</v>
      </c>
      <c r="J109" t="s">
        <v>491</v>
      </c>
      <c r="K109" t="s">
        <v>233</v>
      </c>
      <c r="L109" t="s">
        <v>235</v>
      </c>
      <c r="M109" t="s">
        <v>236</v>
      </c>
      <c r="N109" t="s">
        <v>54</v>
      </c>
      <c r="O109">
        <v>0</v>
      </c>
      <c r="P109" t="s">
        <v>237</v>
      </c>
    </row>
    <row r="110" spans="1:16" x14ac:dyDescent="0.25">
      <c r="A110" t="s">
        <v>1694</v>
      </c>
      <c r="B110">
        <v>1276</v>
      </c>
      <c r="C110" t="s">
        <v>487</v>
      </c>
      <c r="D110" t="s">
        <v>247</v>
      </c>
      <c r="E110" t="s">
        <v>326</v>
      </c>
      <c r="F110" t="s">
        <v>3091</v>
      </c>
      <c r="G110" s="25">
        <v>44303</v>
      </c>
      <c r="H110">
        <v>22</v>
      </c>
      <c r="I110">
        <v>107</v>
      </c>
      <c r="J110" t="s">
        <v>491</v>
      </c>
      <c r="K110" t="s">
        <v>233</v>
      </c>
      <c r="L110" t="s">
        <v>235</v>
      </c>
      <c r="M110" t="s">
        <v>236</v>
      </c>
      <c r="N110" t="s">
        <v>54</v>
      </c>
      <c r="O110">
        <v>0</v>
      </c>
      <c r="P110" t="s">
        <v>237</v>
      </c>
    </row>
    <row r="111" spans="1:16" x14ac:dyDescent="0.25">
      <c r="A111" t="s">
        <v>2674</v>
      </c>
      <c r="B111">
        <v>745</v>
      </c>
      <c r="C111" t="s">
        <v>487</v>
      </c>
      <c r="D111" t="s">
        <v>261</v>
      </c>
      <c r="E111" t="s">
        <v>256</v>
      </c>
      <c r="F111" t="s">
        <v>1402</v>
      </c>
      <c r="G111" s="25">
        <v>44259</v>
      </c>
      <c r="H111">
        <v>13</v>
      </c>
      <c r="I111">
        <v>63</v>
      </c>
      <c r="J111" t="s">
        <v>491</v>
      </c>
      <c r="K111" t="s">
        <v>233</v>
      </c>
      <c r="L111" t="s">
        <v>235</v>
      </c>
      <c r="M111" t="s">
        <v>236</v>
      </c>
      <c r="N111" t="s">
        <v>54</v>
      </c>
      <c r="O111">
        <v>0</v>
      </c>
      <c r="P111" t="s">
        <v>237</v>
      </c>
    </row>
    <row r="112" spans="1:16" x14ac:dyDescent="0.25">
      <c r="A112" t="s">
        <v>585</v>
      </c>
      <c r="B112">
        <v>151</v>
      </c>
      <c r="C112" t="s">
        <v>487</v>
      </c>
      <c r="D112" t="s">
        <v>229</v>
      </c>
      <c r="E112" t="s">
        <v>512</v>
      </c>
      <c r="F112" t="s">
        <v>513</v>
      </c>
      <c r="G112" s="25">
        <v>44209</v>
      </c>
      <c r="H112">
        <v>3</v>
      </c>
      <c r="I112">
        <v>13</v>
      </c>
      <c r="J112" t="s">
        <v>491</v>
      </c>
      <c r="K112" t="s">
        <v>233</v>
      </c>
      <c r="L112" t="s">
        <v>235</v>
      </c>
      <c r="M112" t="s">
        <v>236</v>
      </c>
      <c r="N112" t="s">
        <v>54</v>
      </c>
      <c r="O112">
        <v>0</v>
      </c>
      <c r="P112" t="s">
        <v>237</v>
      </c>
    </row>
    <row r="113" spans="1:16" x14ac:dyDescent="0.25">
      <c r="A113" t="s">
        <v>253</v>
      </c>
      <c r="B113">
        <v>103</v>
      </c>
      <c r="C113" t="s">
        <v>487</v>
      </c>
      <c r="D113" t="s">
        <v>229</v>
      </c>
      <c r="E113" t="s">
        <v>371</v>
      </c>
      <c r="F113" t="s">
        <v>557</v>
      </c>
      <c r="G113" s="25">
        <v>44205</v>
      </c>
      <c r="H113">
        <v>2</v>
      </c>
      <c r="I113">
        <v>9</v>
      </c>
      <c r="J113" t="s">
        <v>491</v>
      </c>
      <c r="K113" t="s">
        <v>233</v>
      </c>
      <c r="L113" t="s">
        <v>235</v>
      </c>
      <c r="M113" t="s">
        <v>236</v>
      </c>
      <c r="N113" t="s">
        <v>54</v>
      </c>
      <c r="O113">
        <v>0</v>
      </c>
      <c r="P113" t="s">
        <v>237</v>
      </c>
    </row>
    <row r="114" spans="1:16" x14ac:dyDescent="0.25">
      <c r="A114" t="s">
        <v>1840</v>
      </c>
      <c r="B114">
        <v>941</v>
      </c>
      <c r="C114" t="s">
        <v>487</v>
      </c>
      <c r="D114" t="s">
        <v>261</v>
      </c>
      <c r="E114" t="s">
        <v>531</v>
      </c>
      <c r="F114" t="s">
        <v>1588</v>
      </c>
      <c r="G114" s="25">
        <v>44275</v>
      </c>
      <c r="H114">
        <v>16</v>
      </c>
      <c r="I114">
        <v>79</v>
      </c>
      <c r="J114" t="s">
        <v>491</v>
      </c>
      <c r="K114" t="s">
        <v>233</v>
      </c>
      <c r="L114" t="s">
        <v>235</v>
      </c>
      <c r="M114" t="s">
        <v>236</v>
      </c>
      <c r="N114" t="s">
        <v>54</v>
      </c>
      <c r="O114">
        <v>0</v>
      </c>
      <c r="P114" t="s">
        <v>237</v>
      </c>
    </row>
    <row r="115" spans="1:16" x14ac:dyDescent="0.25">
      <c r="A115" t="s">
        <v>2669</v>
      </c>
      <c r="B115">
        <v>1288</v>
      </c>
      <c r="C115" t="s">
        <v>487</v>
      </c>
      <c r="D115" t="s">
        <v>247</v>
      </c>
      <c r="E115" t="s">
        <v>381</v>
      </c>
      <c r="F115" t="s">
        <v>3107</v>
      </c>
      <c r="G115" s="25">
        <v>44304</v>
      </c>
      <c r="H115">
        <v>22</v>
      </c>
      <c r="I115">
        <v>108</v>
      </c>
      <c r="J115" t="s">
        <v>491</v>
      </c>
      <c r="K115" t="s">
        <v>233</v>
      </c>
      <c r="L115" t="s">
        <v>235</v>
      </c>
      <c r="M115" t="s">
        <v>236</v>
      </c>
      <c r="N115" t="s">
        <v>54</v>
      </c>
      <c r="O115">
        <v>0</v>
      </c>
      <c r="P115" t="s">
        <v>237</v>
      </c>
    </row>
    <row r="116" spans="1:16" x14ac:dyDescent="0.25">
      <c r="A116" t="s">
        <v>2373</v>
      </c>
      <c r="B116">
        <v>734</v>
      </c>
      <c r="C116" t="s">
        <v>487</v>
      </c>
      <c r="D116" t="s">
        <v>261</v>
      </c>
      <c r="E116" t="s">
        <v>231</v>
      </c>
      <c r="F116" t="s">
        <v>1400</v>
      </c>
      <c r="G116" s="25">
        <v>44258</v>
      </c>
      <c r="H116">
        <v>13</v>
      </c>
      <c r="I116">
        <v>62</v>
      </c>
      <c r="J116" t="s">
        <v>491</v>
      </c>
      <c r="K116" t="s">
        <v>233</v>
      </c>
      <c r="L116" t="s">
        <v>235</v>
      </c>
      <c r="M116" t="s">
        <v>236</v>
      </c>
      <c r="N116" t="s">
        <v>54</v>
      </c>
      <c r="O116">
        <v>0</v>
      </c>
      <c r="P116" t="s">
        <v>237</v>
      </c>
    </row>
    <row r="117" spans="1:16" x14ac:dyDescent="0.25">
      <c r="A117" t="s">
        <v>577</v>
      </c>
      <c r="B117">
        <v>214</v>
      </c>
      <c r="C117" t="s">
        <v>487</v>
      </c>
      <c r="D117" t="s">
        <v>229</v>
      </c>
      <c r="E117" t="s">
        <v>552</v>
      </c>
      <c r="F117" t="s">
        <v>553</v>
      </c>
      <c r="G117" s="25">
        <v>44214</v>
      </c>
      <c r="H117">
        <v>4</v>
      </c>
      <c r="I117">
        <v>18</v>
      </c>
      <c r="J117" t="s">
        <v>491</v>
      </c>
      <c r="K117" t="s">
        <v>233</v>
      </c>
      <c r="L117" t="s">
        <v>235</v>
      </c>
      <c r="M117" t="s">
        <v>236</v>
      </c>
      <c r="N117" t="s">
        <v>54</v>
      </c>
      <c r="O117">
        <v>0</v>
      </c>
      <c r="P117" t="s">
        <v>237</v>
      </c>
    </row>
    <row r="118" spans="1:16" x14ac:dyDescent="0.25">
      <c r="A118" t="s">
        <v>305</v>
      </c>
      <c r="B118">
        <v>44</v>
      </c>
      <c r="C118" t="s">
        <v>487</v>
      </c>
      <c r="D118" t="s">
        <v>229</v>
      </c>
      <c r="E118" t="s">
        <v>261</v>
      </c>
      <c r="F118" t="s">
        <v>549</v>
      </c>
      <c r="G118" s="25">
        <v>44200</v>
      </c>
      <c r="H118">
        <v>1</v>
      </c>
      <c r="I118">
        <v>4</v>
      </c>
      <c r="J118" t="s">
        <v>491</v>
      </c>
      <c r="K118" t="s">
        <v>233</v>
      </c>
      <c r="L118" t="s">
        <v>235</v>
      </c>
      <c r="M118" t="s">
        <v>236</v>
      </c>
      <c r="N118" t="s">
        <v>54</v>
      </c>
      <c r="O118">
        <v>0</v>
      </c>
      <c r="P118" t="s">
        <v>237</v>
      </c>
    </row>
    <row r="119" spans="1:16" x14ac:dyDescent="0.25">
      <c r="A119" t="s">
        <v>1964</v>
      </c>
      <c r="B119">
        <v>1091</v>
      </c>
      <c r="C119" t="s">
        <v>487</v>
      </c>
      <c r="D119" t="s">
        <v>322</v>
      </c>
      <c r="E119" t="s">
        <v>515</v>
      </c>
      <c r="F119" t="s">
        <v>2983</v>
      </c>
      <c r="G119" s="25">
        <v>44287</v>
      </c>
      <c r="H119">
        <v>19</v>
      </c>
      <c r="I119">
        <v>91</v>
      </c>
      <c r="J119" t="s">
        <v>491</v>
      </c>
      <c r="K119" t="s">
        <v>233</v>
      </c>
      <c r="L119" t="s">
        <v>235</v>
      </c>
      <c r="M119" t="s">
        <v>236</v>
      </c>
      <c r="N119" t="s">
        <v>54</v>
      </c>
      <c r="O119">
        <v>0</v>
      </c>
      <c r="P119" t="s">
        <v>237</v>
      </c>
    </row>
    <row r="120" spans="1:16" x14ac:dyDescent="0.25">
      <c r="A120" t="s">
        <v>2601</v>
      </c>
      <c r="B120">
        <v>1299</v>
      </c>
      <c r="C120" t="s">
        <v>487</v>
      </c>
      <c r="D120" t="s">
        <v>247</v>
      </c>
      <c r="E120" t="s">
        <v>371</v>
      </c>
      <c r="F120" t="s">
        <v>3112</v>
      </c>
      <c r="G120" s="25">
        <v>44305</v>
      </c>
      <c r="H120">
        <v>22</v>
      </c>
      <c r="I120">
        <v>109</v>
      </c>
      <c r="J120" t="s">
        <v>491</v>
      </c>
      <c r="K120" t="s">
        <v>233</v>
      </c>
      <c r="L120" t="s">
        <v>235</v>
      </c>
      <c r="M120" t="s">
        <v>236</v>
      </c>
      <c r="N120" t="s">
        <v>54</v>
      </c>
      <c r="O120">
        <v>0</v>
      </c>
      <c r="P120" t="s">
        <v>237</v>
      </c>
    </row>
    <row r="121" spans="1:16" x14ac:dyDescent="0.25">
      <c r="A121" t="s">
        <v>2136</v>
      </c>
      <c r="B121">
        <v>721</v>
      </c>
      <c r="C121" t="s">
        <v>487</v>
      </c>
      <c r="D121" t="s">
        <v>261</v>
      </c>
      <c r="E121" t="s">
        <v>229</v>
      </c>
      <c r="F121" t="s">
        <v>1388</v>
      </c>
      <c r="G121" s="25">
        <v>44257</v>
      </c>
      <c r="H121">
        <v>13</v>
      </c>
      <c r="I121">
        <v>61</v>
      </c>
      <c r="J121" t="s">
        <v>491</v>
      </c>
      <c r="K121" t="s">
        <v>233</v>
      </c>
      <c r="L121" t="s">
        <v>235</v>
      </c>
      <c r="M121" t="s">
        <v>236</v>
      </c>
      <c r="N121" t="s">
        <v>54</v>
      </c>
      <c r="O121">
        <v>0</v>
      </c>
      <c r="P121" t="s">
        <v>237</v>
      </c>
    </row>
    <row r="122" spans="1:16" x14ac:dyDescent="0.25">
      <c r="A122" t="s">
        <v>2389</v>
      </c>
      <c r="B122">
        <v>1106</v>
      </c>
      <c r="C122" t="s">
        <v>487</v>
      </c>
      <c r="D122" t="s">
        <v>322</v>
      </c>
      <c r="E122" t="s">
        <v>512</v>
      </c>
      <c r="F122" t="s">
        <v>2991</v>
      </c>
      <c r="G122" s="25">
        <v>44289</v>
      </c>
      <c r="H122">
        <v>19</v>
      </c>
      <c r="I122">
        <v>93</v>
      </c>
      <c r="J122" t="s">
        <v>499</v>
      </c>
      <c r="K122" t="s">
        <v>410</v>
      </c>
      <c r="L122" t="s">
        <v>235</v>
      </c>
      <c r="M122" t="s">
        <v>411</v>
      </c>
      <c r="N122" t="s">
        <v>62</v>
      </c>
      <c r="O122">
        <v>0</v>
      </c>
      <c r="P122" t="s">
        <v>237</v>
      </c>
    </row>
    <row r="123" spans="1:16" x14ac:dyDescent="0.25">
      <c r="A123" t="s">
        <v>1975</v>
      </c>
      <c r="B123">
        <v>554</v>
      </c>
      <c r="C123" t="s">
        <v>487</v>
      </c>
      <c r="D123" t="s">
        <v>256</v>
      </c>
      <c r="E123" t="s">
        <v>326</v>
      </c>
      <c r="F123" t="s">
        <v>1305</v>
      </c>
      <c r="G123" s="25">
        <v>44243</v>
      </c>
      <c r="H123">
        <v>10</v>
      </c>
      <c r="I123">
        <v>47</v>
      </c>
      <c r="J123" t="s">
        <v>499</v>
      </c>
      <c r="K123" t="s">
        <v>410</v>
      </c>
      <c r="L123" t="s">
        <v>235</v>
      </c>
      <c r="M123" t="s">
        <v>411</v>
      </c>
      <c r="N123" t="s">
        <v>62</v>
      </c>
      <c r="O123">
        <v>0</v>
      </c>
      <c r="P123" t="s">
        <v>237</v>
      </c>
    </row>
    <row r="124" spans="1:16" x14ac:dyDescent="0.25">
      <c r="A124" t="s">
        <v>1846</v>
      </c>
      <c r="B124">
        <v>651</v>
      </c>
      <c r="C124" t="s">
        <v>487</v>
      </c>
      <c r="D124" t="s">
        <v>256</v>
      </c>
      <c r="E124" t="s">
        <v>575</v>
      </c>
      <c r="F124" t="s">
        <v>1668</v>
      </c>
      <c r="G124" s="25">
        <v>44251</v>
      </c>
      <c r="H124">
        <v>11</v>
      </c>
      <c r="I124">
        <v>55</v>
      </c>
      <c r="J124" t="s">
        <v>499</v>
      </c>
      <c r="K124" t="s">
        <v>410</v>
      </c>
      <c r="L124" t="s">
        <v>235</v>
      </c>
      <c r="M124" t="s">
        <v>411</v>
      </c>
      <c r="N124" t="s">
        <v>62</v>
      </c>
      <c r="O124">
        <v>0</v>
      </c>
      <c r="P124" t="s">
        <v>237</v>
      </c>
    </row>
    <row r="125" spans="1:16" x14ac:dyDescent="0.25">
      <c r="A125" t="s">
        <v>1866</v>
      </c>
      <c r="B125">
        <v>1373</v>
      </c>
      <c r="C125" t="s">
        <v>487</v>
      </c>
      <c r="D125" t="s">
        <v>247</v>
      </c>
      <c r="E125" t="s">
        <v>575</v>
      </c>
      <c r="F125" t="s">
        <v>3158</v>
      </c>
      <c r="G125" s="25">
        <v>44311</v>
      </c>
      <c r="H125">
        <v>23</v>
      </c>
      <c r="I125">
        <v>115</v>
      </c>
      <c r="J125" t="s">
        <v>499</v>
      </c>
      <c r="K125" t="s">
        <v>410</v>
      </c>
      <c r="L125" t="s">
        <v>235</v>
      </c>
      <c r="M125" t="s">
        <v>411</v>
      </c>
      <c r="N125" t="s">
        <v>62</v>
      </c>
      <c r="O125">
        <v>0</v>
      </c>
      <c r="P125" t="s">
        <v>237</v>
      </c>
    </row>
    <row r="126" spans="1:16" x14ac:dyDescent="0.25">
      <c r="A126" t="s">
        <v>2257</v>
      </c>
      <c r="B126">
        <v>610</v>
      </c>
      <c r="C126" t="s">
        <v>487</v>
      </c>
      <c r="D126" t="s">
        <v>256</v>
      </c>
      <c r="E126" t="s">
        <v>515</v>
      </c>
      <c r="F126" t="s">
        <v>1329</v>
      </c>
      <c r="G126" s="25">
        <v>44247</v>
      </c>
      <c r="H126">
        <v>11</v>
      </c>
      <c r="I126">
        <v>51</v>
      </c>
      <c r="J126" t="s">
        <v>499</v>
      </c>
      <c r="K126" t="s">
        <v>410</v>
      </c>
      <c r="L126" t="s">
        <v>235</v>
      </c>
      <c r="M126" t="s">
        <v>411</v>
      </c>
      <c r="N126" t="s">
        <v>62</v>
      </c>
      <c r="O126">
        <v>0</v>
      </c>
      <c r="P126" t="s">
        <v>237</v>
      </c>
    </row>
    <row r="127" spans="1:16" x14ac:dyDescent="0.25">
      <c r="A127" t="s">
        <v>2327</v>
      </c>
      <c r="B127">
        <v>1004</v>
      </c>
      <c r="C127" t="s">
        <v>487</v>
      </c>
      <c r="D127" t="s">
        <v>322</v>
      </c>
      <c r="E127" t="s">
        <v>261</v>
      </c>
      <c r="F127" t="s">
        <v>2956</v>
      </c>
      <c r="G127" s="25">
        <v>44280</v>
      </c>
      <c r="H127">
        <v>17</v>
      </c>
      <c r="I127">
        <v>84</v>
      </c>
      <c r="J127" t="s">
        <v>499</v>
      </c>
      <c r="K127" t="s">
        <v>410</v>
      </c>
      <c r="L127" t="s">
        <v>235</v>
      </c>
      <c r="M127" t="s">
        <v>411</v>
      </c>
      <c r="N127" t="s">
        <v>62</v>
      </c>
      <c r="O127">
        <v>0</v>
      </c>
      <c r="P127" t="s">
        <v>237</v>
      </c>
    </row>
    <row r="128" spans="1:16" x14ac:dyDescent="0.25">
      <c r="A128" t="s">
        <v>257</v>
      </c>
      <c r="B128">
        <v>123</v>
      </c>
      <c r="C128" t="s">
        <v>487</v>
      </c>
      <c r="D128" t="s">
        <v>229</v>
      </c>
      <c r="E128" t="s">
        <v>515</v>
      </c>
      <c r="F128" t="s">
        <v>516</v>
      </c>
      <c r="G128" s="25">
        <v>44207</v>
      </c>
      <c r="H128">
        <v>3</v>
      </c>
      <c r="I128">
        <v>11</v>
      </c>
      <c r="J128" t="s">
        <v>499</v>
      </c>
      <c r="K128" t="s">
        <v>410</v>
      </c>
      <c r="L128" t="s">
        <v>235</v>
      </c>
      <c r="M128" t="s">
        <v>411</v>
      </c>
      <c r="N128" t="s">
        <v>62</v>
      </c>
      <c r="O128">
        <v>0</v>
      </c>
      <c r="P128" t="s">
        <v>237</v>
      </c>
    </row>
    <row r="129" spans="1:16" x14ac:dyDescent="0.25">
      <c r="A129" t="s">
        <v>619</v>
      </c>
      <c r="B129">
        <v>339</v>
      </c>
      <c r="C129" t="s">
        <v>487</v>
      </c>
      <c r="D129" t="s">
        <v>231</v>
      </c>
      <c r="E129" t="s">
        <v>371</v>
      </c>
      <c r="F129" t="s">
        <v>1124</v>
      </c>
      <c r="G129" s="25">
        <v>44225</v>
      </c>
      <c r="H129">
        <v>6</v>
      </c>
      <c r="I129">
        <v>29</v>
      </c>
      <c r="J129" t="s">
        <v>499</v>
      </c>
      <c r="K129" t="s">
        <v>410</v>
      </c>
      <c r="L129" t="s">
        <v>235</v>
      </c>
      <c r="M129" t="s">
        <v>411</v>
      </c>
      <c r="N129" t="s">
        <v>62</v>
      </c>
      <c r="O129">
        <v>0</v>
      </c>
      <c r="P129" t="s">
        <v>237</v>
      </c>
    </row>
    <row r="130" spans="1:16" x14ac:dyDescent="0.25">
      <c r="A130" t="s">
        <v>717</v>
      </c>
      <c r="B130">
        <v>453</v>
      </c>
      <c r="C130" t="s">
        <v>487</v>
      </c>
      <c r="D130" t="s">
        <v>231</v>
      </c>
      <c r="E130" t="s">
        <v>552</v>
      </c>
      <c r="F130" t="s">
        <v>1222</v>
      </c>
      <c r="G130" s="25">
        <v>44234</v>
      </c>
      <c r="H130">
        <v>8</v>
      </c>
      <c r="I130">
        <v>38</v>
      </c>
      <c r="J130" t="s">
        <v>499</v>
      </c>
      <c r="K130" t="s">
        <v>410</v>
      </c>
      <c r="L130" t="s">
        <v>235</v>
      </c>
      <c r="M130" t="s">
        <v>411</v>
      </c>
      <c r="N130" t="s">
        <v>62</v>
      </c>
      <c r="O130">
        <v>0</v>
      </c>
      <c r="P130" t="s">
        <v>237</v>
      </c>
    </row>
    <row r="131" spans="1:16" x14ac:dyDescent="0.25">
      <c r="A131" t="s">
        <v>711</v>
      </c>
      <c r="B131">
        <v>458</v>
      </c>
      <c r="C131" t="s">
        <v>487</v>
      </c>
      <c r="D131" t="s">
        <v>231</v>
      </c>
      <c r="E131" t="s">
        <v>531</v>
      </c>
      <c r="F131" t="s">
        <v>1230</v>
      </c>
      <c r="G131" s="25">
        <v>44235</v>
      </c>
      <c r="H131">
        <v>8</v>
      </c>
      <c r="I131">
        <v>39</v>
      </c>
      <c r="J131" t="s">
        <v>499</v>
      </c>
      <c r="K131" t="s">
        <v>410</v>
      </c>
      <c r="L131" t="s">
        <v>235</v>
      </c>
      <c r="M131" t="s">
        <v>411</v>
      </c>
      <c r="N131" t="s">
        <v>62</v>
      </c>
      <c r="O131">
        <v>0</v>
      </c>
      <c r="P131" t="s">
        <v>237</v>
      </c>
    </row>
    <row r="132" spans="1:16" x14ac:dyDescent="0.25">
      <c r="A132" t="s">
        <v>648</v>
      </c>
      <c r="B132">
        <v>327</v>
      </c>
      <c r="C132" t="s">
        <v>487</v>
      </c>
      <c r="D132" t="s">
        <v>231</v>
      </c>
      <c r="E132" t="s">
        <v>381</v>
      </c>
      <c r="F132" t="s">
        <v>1099</v>
      </c>
      <c r="G132" s="25">
        <v>44224</v>
      </c>
      <c r="H132">
        <v>6</v>
      </c>
      <c r="I132">
        <v>28</v>
      </c>
      <c r="J132" t="s">
        <v>499</v>
      </c>
      <c r="K132" t="s">
        <v>410</v>
      </c>
      <c r="L132" t="s">
        <v>235</v>
      </c>
      <c r="M132" t="s">
        <v>411</v>
      </c>
      <c r="N132" t="s">
        <v>62</v>
      </c>
      <c r="O132">
        <v>0</v>
      </c>
      <c r="P132" t="s">
        <v>237</v>
      </c>
    </row>
    <row r="133" spans="1:16" x14ac:dyDescent="0.25">
      <c r="A133" t="s">
        <v>2846</v>
      </c>
      <c r="B133">
        <v>1357</v>
      </c>
      <c r="C133" t="s">
        <v>487</v>
      </c>
      <c r="D133" t="s">
        <v>247</v>
      </c>
      <c r="E133" t="s">
        <v>537</v>
      </c>
      <c r="F133" t="s">
        <v>3153</v>
      </c>
      <c r="G133" s="25">
        <v>44310</v>
      </c>
      <c r="H133">
        <v>23</v>
      </c>
      <c r="I133">
        <v>114</v>
      </c>
      <c r="J133" t="s">
        <v>499</v>
      </c>
      <c r="K133" t="s">
        <v>410</v>
      </c>
      <c r="L133" t="s">
        <v>235</v>
      </c>
      <c r="M133" t="s">
        <v>411</v>
      </c>
      <c r="N133" t="s">
        <v>62</v>
      </c>
      <c r="O133">
        <v>0</v>
      </c>
      <c r="P133" t="s">
        <v>237</v>
      </c>
    </row>
    <row r="134" spans="1:16" x14ac:dyDescent="0.25">
      <c r="A134" t="s">
        <v>2763</v>
      </c>
      <c r="B134">
        <v>1411</v>
      </c>
      <c r="C134" t="s">
        <v>487</v>
      </c>
      <c r="D134" t="s">
        <v>247</v>
      </c>
      <c r="E134" t="s">
        <v>552</v>
      </c>
      <c r="F134" t="s">
        <v>3170</v>
      </c>
      <c r="G134" s="25">
        <v>44314</v>
      </c>
      <c r="H134">
        <v>24</v>
      </c>
      <c r="I134">
        <v>118</v>
      </c>
      <c r="J134" t="s">
        <v>499</v>
      </c>
      <c r="K134" t="s">
        <v>410</v>
      </c>
      <c r="L134" t="s">
        <v>235</v>
      </c>
      <c r="M134" t="s">
        <v>411</v>
      </c>
      <c r="N134" t="s">
        <v>62</v>
      </c>
      <c r="O134">
        <v>0</v>
      </c>
      <c r="P134" t="s">
        <v>237</v>
      </c>
    </row>
    <row r="135" spans="1:16" x14ac:dyDescent="0.25">
      <c r="A135" t="s">
        <v>1886</v>
      </c>
      <c r="B135">
        <v>1010</v>
      </c>
      <c r="C135" t="s">
        <v>487</v>
      </c>
      <c r="D135" t="s">
        <v>322</v>
      </c>
      <c r="E135" t="s">
        <v>322</v>
      </c>
      <c r="F135" t="s">
        <v>2960</v>
      </c>
      <c r="G135" s="25">
        <v>44281</v>
      </c>
      <c r="H135">
        <v>17</v>
      </c>
      <c r="I135">
        <v>85</v>
      </c>
      <c r="J135" t="s">
        <v>499</v>
      </c>
      <c r="K135" t="s">
        <v>410</v>
      </c>
      <c r="L135" t="s">
        <v>235</v>
      </c>
      <c r="M135" t="s">
        <v>411</v>
      </c>
      <c r="N135" t="s">
        <v>62</v>
      </c>
      <c r="O135">
        <v>0</v>
      </c>
      <c r="P135" t="s">
        <v>237</v>
      </c>
    </row>
    <row r="136" spans="1:16" x14ac:dyDescent="0.25">
      <c r="A136" t="s">
        <v>1658</v>
      </c>
      <c r="B136">
        <v>1023</v>
      </c>
      <c r="C136" t="s">
        <v>487</v>
      </c>
      <c r="D136" t="s">
        <v>322</v>
      </c>
      <c r="E136" t="s">
        <v>247</v>
      </c>
      <c r="F136" t="s">
        <v>2963</v>
      </c>
      <c r="G136" s="25">
        <v>44282</v>
      </c>
      <c r="H136">
        <v>18</v>
      </c>
      <c r="I136">
        <v>86</v>
      </c>
      <c r="J136" t="s">
        <v>499</v>
      </c>
      <c r="K136" t="s">
        <v>410</v>
      </c>
      <c r="L136" t="s">
        <v>235</v>
      </c>
      <c r="M136" t="s">
        <v>411</v>
      </c>
      <c r="N136" t="s">
        <v>62</v>
      </c>
      <c r="O136">
        <v>0</v>
      </c>
      <c r="P136" t="s">
        <v>237</v>
      </c>
    </row>
    <row r="137" spans="1:16" x14ac:dyDescent="0.25">
      <c r="A137" t="s">
        <v>2634</v>
      </c>
      <c r="B137">
        <v>668</v>
      </c>
      <c r="C137" t="s">
        <v>487</v>
      </c>
      <c r="D137" t="s">
        <v>256</v>
      </c>
      <c r="E137" t="s">
        <v>620</v>
      </c>
      <c r="F137" t="s">
        <v>1350</v>
      </c>
      <c r="G137" s="25">
        <v>44252</v>
      </c>
      <c r="H137">
        <v>12</v>
      </c>
      <c r="I137">
        <v>56</v>
      </c>
      <c r="J137" t="s">
        <v>499</v>
      </c>
      <c r="K137" t="s">
        <v>410</v>
      </c>
      <c r="L137" t="s">
        <v>235</v>
      </c>
      <c r="M137" t="s">
        <v>411</v>
      </c>
      <c r="N137" t="s">
        <v>62</v>
      </c>
      <c r="O137">
        <v>0</v>
      </c>
      <c r="P137" t="s">
        <v>237</v>
      </c>
    </row>
    <row r="138" spans="1:16" x14ac:dyDescent="0.25">
      <c r="A138" t="s">
        <v>2859</v>
      </c>
      <c r="B138">
        <v>1118</v>
      </c>
      <c r="C138" t="s">
        <v>487</v>
      </c>
      <c r="D138" t="s">
        <v>322</v>
      </c>
      <c r="E138" t="s">
        <v>537</v>
      </c>
      <c r="F138" t="s">
        <v>2999</v>
      </c>
      <c r="G138" s="25">
        <v>44290</v>
      </c>
      <c r="H138">
        <v>19</v>
      </c>
      <c r="I138">
        <v>94</v>
      </c>
      <c r="J138" t="s">
        <v>499</v>
      </c>
      <c r="K138" t="s">
        <v>410</v>
      </c>
      <c r="L138" t="s">
        <v>235</v>
      </c>
      <c r="M138" t="s">
        <v>411</v>
      </c>
      <c r="N138" t="s">
        <v>62</v>
      </c>
      <c r="O138">
        <v>0</v>
      </c>
      <c r="P138" t="s">
        <v>237</v>
      </c>
    </row>
    <row r="139" spans="1:16" x14ac:dyDescent="0.25">
      <c r="A139" t="s">
        <v>2725</v>
      </c>
      <c r="B139">
        <v>913</v>
      </c>
      <c r="C139" t="s">
        <v>487</v>
      </c>
      <c r="D139" t="s">
        <v>261</v>
      </c>
      <c r="E139" t="s">
        <v>534</v>
      </c>
      <c r="F139" t="s">
        <v>1563</v>
      </c>
      <c r="G139" s="25">
        <v>44273</v>
      </c>
      <c r="H139">
        <v>16</v>
      </c>
      <c r="I139">
        <v>77</v>
      </c>
      <c r="J139" t="s">
        <v>499</v>
      </c>
      <c r="K139" t="s">
        <v>410</v>
      </c>
      <c r="L139" t="s">
        <v>235</v>
      </c>
      <c r="M139" t="s">
        <v>411</v>
      </c>
      <c r="N139" t="s">
        <v>62</v>
      </c>
      <c r="O139">
        <v>0</v>
      </c>
      <c r="P139" t="s">
        <v>237</v>
      </c>
    </row>
    <row r="140" spans="1:16" x14ac:dyDescent="0.25">
      <c r="A140" t="s">
        <v>2020</v>
      </c>
      <c r="B140">
        <v>981</v>
      </c>
      <c r="C140" t="s">
        <v>487</v>
      </c>
      <c r="D140" t="s">
        <v>322</v>
      </c>
      <c r="E140" t="s">
        <v>231</v>
      </c>
      <c r="F140" t="s">
        <v>2945</v>
      </c>
      <c r="G140" s="25">
        <v>44278</v>
      </c>
      <c r="H140">
        <v>17</v>
      </c>
      <c r="I140">
        <v>82</v>
      </c>
      <c r="J140" t="s">
        <v>499</v>
      </c>
      <c r="K140" t="s">
        <v>410</v>
      </c>
      <c r="L140" t="s">
        <v>235</v>
      </c>
      <c r="M140" t="s">
        <v>411</v>
      </c>
      <c r="N140" t="s">
        <v>62</v>
      </c>
      <c r="O140">
        <v>0</v>
      </c>
      <c r="P140" t="s">
        <v>237</v>
      </c>
    </row>
    <row r="141" spans="1:16" x14ac:dyDescent="0.25">
      <c r="A141" t="s">
        <v>1807</v>
      </c>
      <c r="B141">
        <v>1347</v>
      </c>
      <c r="C141" t="s">
        <v>487</v>
      </c>
      <c r="D141" t="s">
        <v>247</v>
      </c>
      <c r="E141" t="s">
        <v>512</v>
      </c>
      <c r="F141" t="s">
        <v>3146</v>
      </c>
      <c r="G141" s="25">
        <v>44309</v>
      </c>
      <c r="H141">
        <v>23</v>
      </c>
      <c r="I141">
        <v>113</v>
      </c>
      <c r="J141" t="s">
        <v>499</v>
      </c>
      <c r="K141" t="s">
        <v>410</v>
      </c>
      <c r="L141" t="s">
        <v>235</v>
      </c>
      <c r="M141" t="s">
        <v>411</v>
      </c>
      <c r="N141" t="s">
        <v>62</v>
      </c>
      <c r="O141">
        <v>0</v>
      </c>
      <c r="P141" t="s">
        <v>237</v>
      </c>
    </row>
    <row r="142" spans="1:16" x14ac:dyDescent="0.25">
      <c r="A142" t="s">
        <v>2913</v>
      </c>
      <c r="B142">
        <v>1438</v>
      </c>
      <c r="C142" t="s">
        <v>487</v>
      </c>
      <c r="D142" t="s">
        <v>247</v>
      </c>
      <c r="E142" t="s">
        <v>408</v>
      </c>
      <c r="F142" t="s">
        <v>3178</v>
      </c>
      <c r="G142" s="25">
        <v>44316</v>
      </c>
      <c r="H142">
        <v>24</v>
      </c>
      <c r="I142">
        <v>120</v>
      </c>
      <c r="J142" t="s">
        <v>499</v>
      </c>
      <c r="K142" t="s">
        <v>410</v>
      </c>
      <c r="L142" t="s">
        <v>235</v>
      </c>
      <c r="M142" t="s">
        <v>411</v>
      </c>
      <c r="N142" t="s">
        <v>62</v>
      </c>
      <c r="O142">
        <v>0</v>
      </c>
      <c r="P142" t="s">
        <v>237</v>
      </c>
    </row>
    <row r="143" spans="1:16" x14ac:dyDescent="0.25">
      <c r="A143" t="s">
        <v>2545</v>
      </c>
      <c r="B143">
        <v>578</v>
      </c>
      <c r="C143" t="s">
        <v>487</v>
      </c>
      <c r="D143" t="s">
        <v>256</v>
      </c>
      <c r="E143" t="s">
        <v>371</v>
      </c>
      <c r="F143" t="s">
        <v>1318</v>
      </c>
      <c r="G143" s="25">
        <v>44245</v>
      </c>
      <c r="H143">
        <v>10</v>
      </c>
      <c r="I143">
        <v>49</v>
      </c>
      <c r="J143" t="s">
        <v>499</v>
      </c>
      <c r="K143" t="s">
        <v>410</v>
      </c>
      <c r="L143" t="s">
        <v>235</v>
      </c>
      <c r="M143" t="s">
        <v>411</v>
      </c>
      <c r="N143" t="s">
        <v>62</v>
      </c>
      <c r="O143">
        <v>0</v>
      </c>
      <c r="P143" t="s">
        <v>237</v>
      </c>
    </row>
    <row r="144" spans="1:16" x14ac:dyDescent="0.25">
      <c r="A144" t="s">
        <v>2530</v>
      </c>
      <c r="B144">
        <v>675</v>
      </c>
      <c r="C144" t="s">
        <v>487</v>
      </c>
      <c r="D144" t="s">
        <v>256</v>
      </c>
      <c r="E144" t="s">
        <v>534</v>
      </c>
      <c r="F144" t="s">
        <v>1357</v>
      </c>
      <c r="G144" s="25">
        <v>44253</v>
      </c>
      <c r="H144">
        <v>12</v>
      </c>
      <c r="I144">
        <v>57</v>
      </c>
      <c r="J144" t="s">
        <v>499</v>
      </c>
      <c r="K144" t="s">
        <v>410</v>
      </c>
      <c r="L144" t="s">
        <v>235</v>
      </c>
      <c r="M144" t="s">
        <v>411</v>
      </c>
      <c r="N144" t="s">
        <v>62</v>
      </c>
      <c r="O144">
        <v>0</v>
      </c>
      <c r="P144" t="s">
        <v>237</v>
      </c>
    </row>
    <row r="145" spans="1:16" x14ac:dyDescent="0.25">
      <c r="A145" t="s">
        <v>752</v>
      </c>
      <c r="B145">
        <v>231</v>
      </c>
      <c r="C145" t="s">
        <v>487</v>
      </c>
      <c r="D145" t="s">
        <v>229</v>
      </c>
      <c r="E145" t="s">
        <v>408</v>
      </c>
      <c r="F145" t="s">
        <v>527</v>
      </c>
      <c r="G145" s="25">
        <v>44216</v>
      </c>
      <c r="H145">
        <v>4</v>
      </c>
      <c r="I145">
        <v>20</v>
      </c>
      <c r="J145" t="s">
        <v>499</v>
      </c>
      <c r="K145" t="s">
        <v>410</v>
      </c>
      <c r="L145" t="s">
        <v>235</v>
      </c>
      <c r="M145" t="s">
        <v>411</v>
      </c>
      <c r="N145" t="s">
        <v>62</v>
      </c>
      <c r="O145">
        <v>0</v>
      </c>
      <c r="P145" t="s">
        <v>237</v>
      </c>
    </row>
    <row r="146" spans="1:16" x14ac:dyDescent="0.25">
      <c r="A146" t="s">
        <v>2061</v>
      </c>
      <c r="B146">
        <v>1054</v>
      </c>
      <c r="C146" t="s">
        <v>487</v>
      </c>
      <c r="D146" t="s">
        <v>322</v>
      </c>
      <c r="E146" t="s">
        <v>381</v>
      </c>
      <c r="F146" t="s">
        <v>2971</v>
      </c>
      <c r="G146" s="25">
        <v>44284</v>
      </c>
      <c r="H146">
        <v>18</v>
      </c>
      <c r="I146">
        <v>88</v>
      </c>
      <c r="J146" t="s">
        <v>499</v>
      </c>
      <c r="K146" t="s">
        <v>410</v>
      </c>
      <c r="L146" t="s">
        <v>235</v>
      </c>
      <c r="M146" t="s">
        <v>411</v>
      </c>
      <c r="N146" t="s">
        <v>62</v>
      </c>
      <c r="O146">
        <v>0</v>
      </c>
      <c r="P146" t="s">
        <v>237</v>
      </c>
    </row>
    <row r="147" spans="1:16" x14ac:dyDescent="0.25">
      <c r="A147" t="s">
        <v>2041</v>
      </c>
      <c r="B147">
        <v>904</v>
      </c>
      <c r="C147" t="s">
        <v>487</v>
      </c>
      <c r="D147" t="s">
        <v>261</v>
      </c>
      <c r="E147" t="s">
        <v>620</v>
      </c>
      <c r="F147" t="s">
        <v>1545</v>
      </c>
      <c r="G147" s="25">
        <v>44272</v>
      </c>
      <c r="H147">
        <v>16</v>
      </c>
      <c r="I147">
        <v>76</v>
      </c>
      <c r="J147" t="s">
        <v>499</v>
      </c>
      <c r="K147" t="s">
        <v>410</v>
      </c>
      <c r="L147" t="s">
        <v>235</v>
      </c>
      <c r="M147" t="s">
        <v>411</v>
      </c>
      <c r="N147" t="s">
        <v>62</v>
      </c>
      <c r="O147">
        <v>0</v>
      </c>
      <c r="P147" t="s">
        <v>237</v>
      </c>
    </row>
    <row r="148" spans="1:16" x14ac:dyDescent="0.25">
      <c r="A148" t="s">
        <v>1863</v>
      </c>
      <c r="B148">
        <v>574</v>
      </c>
      <c r="C148" t="s">
        <v>487</v>
      </c>
      <c r="D148" t="s">
        <v>256</v>
      </c>
      <c r="E148" t="s">
        <v>381</v>
      </c>
      <c r="F148" t="s">
        <v>1311</v>
      </c>
      <c r="G148" s="25">
        <v>44244</v>
      </c>
      <c r="H148">
        <v>10</v>
      </c>
      <c r="I148">
        <v>48</v>
      </c>
      <c r="J148" t="s">
        <v>499</v>
      </c>
      <c r="K148" t="s">
        <v>410</v>
      </c>
      <c r="L148" t="s">
        <v>235</v>
      </c>
      <c r="M148" t="s">
        <v>411</v>
      </c>
      <c r="N148" t="s">
        <v>62</v>
      </c>
      <c r="O148">
        <v>0</v>
      </c>
      <c r="P148" t="s">
        <v>237</v>
      </c>
    </row>
    <row r="149" spans="1:16" x14ac:dyDescent="0.25">
      <c r="A149" t="s">
        <v>2123</v>
      </c>
      <c r="B149">
        <v>543</v>
      </c>
      <c r="C149" t="s">
        <v>487</v>
      </c>
      <c r="D149" t="s">
        <v>256</v>
      </c>
      <c r="E149" t="s">
        <v>247</v>
      </c>
      <c r="F149" t="s">
        <v>1299</v>
      </c>
      <c r="G149" s="25">
        <v>44242</v>
      </c>
      <c r="H149">
        <v>10</v>
      </c>
      <c r="I149">
        <v>46</v>
      </c>
      <c r="J149" t="s">
        <v>499</v>
      </c>
      <c r="K149" t="s">
        <v>410</v>
      </c>
      <c r="L149" t="s">
        <v>235</v>
      </c>
      <c r="M149" t="s">
        <v>411</v>
      </c>
      <c r="N149" t="s">
        <v>62</v>
      </c>
      <c r="O149">
        <v>0</v>
      </c>
      <c r="P149" t="s">
        <v>237</v>
      </c>
    </row>
    <row r="150" spans="1:16" x14ac:dyDescent="0.25">
      <c r="A150" t="s">
        <v>2528</v>
      </c>
      <c r="B150">
        <v>1401</v>
      </c>
      <c r="C150" t="s">
        <v>487</v>
      </c>
      <c r="D150" t="s">
        <v>247</v>
      </c>
      <c r="E150" t="s">
        <v>534</v>
      </c>
      <c r="F150" t="s">
        <v>3166</v>
      </c>
      <c r="G150" s="25">
        <v>44313</v>
      </c>
      <c r="H150">
        <v>24</v>
      </c>
      <c r="I150">
        <v>117</v>
      </c>
      <c r="J150" t="s">
        <v>499</v>
      </c>
      <c r="K150" t="s">
        <v>410</v>
      </c>
      <c r="L150" t="s">
        <v>235</v>
      </c>
      <c r="M150" t="s">
        <v>411</v>
      </c>
      <c r="N150" t="s">
        <v>62</v>
      </c>
      <c r="O150">
        <v>0</v>
      </c>
      <c r="P150" t="s">
        <v>237</v>
      </c>
    </row>
    <row r="151" spans="1:16" x14ac:dyDescent="0.25">
      <c r="A151" t="s">
        <v>228</v>
      </c>
      <c r="B151">
        <v>8</v>
      </c>
      <c r="C151" t="s">
        <v>487</v>
      </c>
      <c r="D151" t="s">
        <v>229</v>
      </c>
      <c r="E151" t="s">
        <v>229</v>
      </c>
      <c r="F151" t="s">
        <v>230</v>
      </c>
      <c r="G151" s="25">
        <v>44197</v>
      </c>
      <c r="H151">
        <v>1</v>
      </c>
      <c r="I151">
        <v>1</v>
      </c>
      <c r="J151" t="s">
        <v>499</v>
      </c>
      <c r="K151" t="s">
        <v>410</v>
      </c>
      <c r="L151" t="s">
        <v>235</v>
      </c>
      <c r="M151" t="s">
        <v>411</v>
      </c>
      <c r="N151" t="s">
        <v>62</v>
      </c>
      <c r="O151">
        <v>0</v>
      </c>
      <c r="P151" t="s">
        <v>237</v>
      </c>
    </row>
    <row r="152" spans="1:16" x14ac:dyDescent="0.25">
      <c r="A152" t="s">
        <v>2623</v>
      </c>
      <c r="B152">
        <v>961</v>
      </c>
      <c r="C152" t="s">
        <v>487</v>
      </c>
      <c r="D152" t="s">
        <v>322</v>
      </c>
      <c r="E152" t="s">
        <v>229</v>
      </c>
      <c r="F152" t="s">
        <v>1643</v>
      </c>
      <c r="G152" s="25">
        <v>44277</v>
      </c>
      <c r="H152">
        <v>17</v>
      </c>
      <c r="I152">
        <v>81</v>
      </c>
      <c r="J152" t="s">
        <v>499</v>
      </c>
      <c r="K152" t="s">
        <v>410</v>
      </c>
      <c r="L152" t="s">
        <v>235</v>
      </c>
      <c r="M152" t="s">
        <v>411</v>
      </c>
      <c r="N152" t="s">
        <v>62</v>
      </c>
      <c r="O152">
        <v>0</v>
      </c>
      <c r="P152" t="s">
        <v>237</v>
      </c>
    </row>
    <row r="153" spans="1:16" x14ac:dyDescent="0.25">
      <c r="A153" t="s">
        <v>608</v>
      </c>
      <c r="B153">
        <v>247</v>
      </c>
      <c r="C153" t="s">
        <v>487</v>
      </c>
      <c r="D153" t="s">
        <v>231</v>
      </c>
      <c r="E153" t="s">
        <v>229</v>
      </c>
      <c r="F153" t="s">
        <v>541</v>
      </c>
      <c r="G153" s="25">
        <v>44217</v>
      </c>
      <c r="H153">
        <v>5</v>
      </c>
      <c r="I153">
        <v>21</v>
      </c>
      <c r="J153" t="s">
        <v>499</v>
      </c>
      <c r="K153" t="s">
        <v>410</v>
      </c>
      <c r="L153" t="s">
        <v>235</v>
      </c>
      <c r="M153" t="s">
        <v>411</v>
      </c>
      <c r="N153" t="s">
        <v>62</v>
      </c>
      <c r="O153">
        <v>0</v>
      </c>
      <c r="P153" t="s">
        <v>237</v>
      </c>
    </row>
    <row r="154" spans="1:16" x14ac:dyDescent="0.25">
      <c r="A154" t="s">
        <v>2258</v>
      </c>
      <c r="B154">
        <v>1076</v>
      </c>
      <c r="C154" t="s">
        <v>487</v>
      </c>
      <c r="D154" t="s">
        <v>322</v>
      </c>
      <c r="E154" t="s">
        <v>239</v>
      </c>
      <c r="F154" t="s">
        <v>2979</v>
      </c>
      <c r="G154" s="25">
        <v>44286</v>
      </c>
      <c r="H154">
        <v>18</v>
      </c>
      <c r="I154">
        <v>90</v>
      </c>
      <c r="J154" t="s">
        <v>499</v>
      </c>
      <c r="K154" t="s">
        <v>410</v>
      </c>
      <c r="L154" t="s">
        <v>235</v>
      </c>
      <c r="M154" t="s">
        <v>411</v>
      </c>
      <c r="N154" t="s">
        <v>62</v>
      </c>
      <c r="O154">
        <v>0</v>
      </c>
      <c r="P154" t="s">
        <v>237</v>
      </c>
    </row>
    <row r="155" spans="1:16" x14ac:dyDescent="0.25">
      <c r="A155" t="s">
        <v>2451</v>
      </c>
      <c r="B155">
        <v>1419</v>
      </c>
      <c r="C155" t="s">
        <v>487</v>
      </c>
      <c r="D155" t="s">
        <v>247</v>
      </c>
      <c r="E155" t="s">
        <v>531</v>
      </c>
      <c r="F155" t="s">
        <v>3173</v>
      </c>
      <c r="G155" s="25">
        <v>44315</v>
      </c>
      <c r="H155">
        <v>24</v>
      </c>
      <c r="I155">
        <v>119</v>
      </c>
      <c r="J155" t="s">
        <v>499</v>
      </c>
      <c r="K155" t="s">
        <v>410</v>
      </c>
      <c r="L155" t="s">
        <v>235</v>
      </c>
      <c r="M155" t="s">
        <v>411</v>
      </c>
      <c r="N155" t="s">
        <v>62</v>
      </c>
      <c r="O155">
        <v>0</v>
      </c>
      <c r="P155" t="s">
        <v>237</v>
      </c>
    </row>
    <row r="156" spans="1:16" x14ac:dyDescent="0.25">
      <c r="A156" t="s">
        <v>1957</v>
      </c>
      <c r="B156">
        <v>985</v>
      </c>
      <c r="C156" t="s">
        <v>487</v>
      </c>
      <c r="D156" t="s">
        <v>322</v>
      </c>
      <c r="E156" t="s">
        <v>256</v>
      </c>
      <c r="F156" t="s">
        <v>2952</v>
      </c>
      <c r="G156" s="25">
        <v>44279</v>
      </c>
      <c r="H156">
        <v>17</v>
      </c>
      <c r="I156">
        <v>83</v>
      </c>
      <c r="J156" t="s">
        <v>499</v>
      </c>
      <c r="K156" t="s">
        <v>410</v>
      </c>
      <c r="L156" t="s">
        <v>235</v>
      </c>
      <c r="M156" t="s">
        <v>411</v>
      </c>
      <c r="N156" t="s">
        <v>62</v>
      </c>
      <c r="O156">
        <v>0</v>
      </c>
      <c r="P156" t="s">
        <v>237</v>
      </c>
    </row>
    <row r="157" spans="1:16" x14ac:dyDescent="0.25">
      <c r="A157" t="s">
        <v>279</v>
      </c>
      <c r="B157">
        <v>116</v>
      </c>
      <c r="C157" t="s">
        <v>487</v>
      </c>
      <c r="D157" t="s">
        <v>229</v>
      </c>
      <c r="E157" t="s">
        <v>239</v>
      </c>
      <c r="F157" t="s">
        <v>578</v>
      </c>
      <c r="G157" s="25">
        <v>44206</v>
      </c>
      <c r="H157">
        <v>2</v>
      </c>
      <c r="I157">
        <v>10</v>
      </c>
      <c r="J157" t="s">
        <v>499</v>
      </c>
      <c r="K157" t="s">
        <v>410</v>
      </c>
      <c r="L157" t="s">
        <v>235</v>
      </c>
      <c r="M157" t="s">
        <v>411</v>
      </c>
      <c r="N157" t="s">
        <v>62</v>
      </c>
      <c r="O157">
        <v>0</v>
      </c>
      <c r="P157" t="s">
        <v>237</v>
      </c>
    </row>
    <row r="158" spans="1:16" x14ac:dyDescent="0.25">
      <c r="A158" t="s">
        <v>586</v>
      </c>
      <c r="B158">
        <v>439</v>
      </c>
      <c r="C158" t="s">
        <v>487</v>
      </c>
      <c r="D158" t="s">
        <v>231</v>
      </c>
      <c r="E158" t="s">
        <v>534</v>
      </c>
      <c r="F158" t="s">
        <v>1731</v>
      </c>
      <c r="G158" s="25">
        <v>44233</v>
      </c>
      <c r="H158">
        <v>8</v>
      </c>
      <c r="I158">
        <v>37</v>
      </c>
      <c r="J158" t="s">
        <v>499</v>
      </c>
      <c r="K158" t="s">
        <v>410</v>
      </c>
      <c r="L158" t="s">
        <v>235</v>
      </c>
      <c r="M158" t="s">
        <v>411</v>
      </c>
      <c r="N158" t="s">
        <v>62</v>
      </c>
      <c r="O158">
        <v>0</v>
      </c>
      <c r="P158" t="s">
        <v>237</v>
      </c>
    </row>
    <row r="159" spans="1:16" x14ac:dyDescent="0.25">
      <c r="A159" t="s">
        <v>2260</v>
      </c>
      <c r="B159">
        <v>1386</v>
      </c>
      <c r="C159" t="s">
        <v>487</v>
      </c>
      <c r="D159" t="s">
        <v>247</v>
      </c>
      <c r="E159" t="s">
        <v>620</v>
      </c>
      <c r="F159" t="s">
        <v>3162</v>
      </c>
      <c r="G159" s="25">
        <v>44312</v>
      </c>
      <c r="H159">
        <v>24</v>
      </c>
      <c r="I159">
        <v>116</v>
      </c>
      <c r="J159" t="s">
        <v>499</v>
      </c>
      <c r="K159" t="s">
        <v>410</v>
      </c>
      <c r="L159" t="s">
        <v>235</v>
      </c>
      <c r="M159" t="s">
        <v>411</v>
      </c>
      <c r="N159" t="s">
        <v>62</v>
      </c>
      <c r="O159">
        <v>0</v>
      </c>
      <c r="P159" t="s">
        <v>237</v>
      </c>
    </row>
    <row r="160" spans="1:16" x14ac:dyDescent="0.25">
      <c r="A160" t="s">
        <v>1891</v>
      </c>
      <c r="B160">
        <v>633</v>
      </c>
      <c r="C160" t="s">
        <v>487</v>
      </c>
      <c r="D160" t="s">
        <v>256</v>
      </c>
      <c r="E160" t="s">
        <v>512</v>
      </c>
      <c r="F160" t="s">
        <v>1342</v>
      </c>
      <c r="G160" s="25">
        <v>44249</v>
      </c>
      <c r="H160">
        <v>11</v>
      </c>
      <c r="I160">
        <v>53</v>
      </c>
      <c r="J160" t="s">
        <v>499</v>
      </c>
      <c r="K160" t="s">
        <v>410</v>
      </c>
      <c r="L160" t="s">
        <v>235</v>
      </c>
      <c r="M160" t="s">
        <v>411</v>
      </c>
      <c r="N160" t="s">
        <v>62</v>
      </c>
      <c r="O160">
        <v>0</v>
      </c>
      <c r="P160" t="s">
        <v>237</v>
      </c>
    </row>
    <row r="161" spans="1:16" x14ac:dyDescent="0.25">
      <c r="A161" t="s">
        <v>1752</v>
      </c>
      <c r="B161">
        <v>1064</v>
      </c>
      <c r="C161" t="s">
        <v>487</v>
      </c>
      <c r="D161" t="s">
        <v>322</v>
      </c>
      <c r="E161" t="s">
        <v>371</v>
      </c>
      <c r="F161" t="s">
        <v>2976</v>
      </c>
      <c r="G161" s="25">
        <v>44285</v>
      </c>
      <c r="H161">
        <v>18</v>
      </c>
      <c r="I161">
        <v>89</v>
      </c>
      <c r="J161" t="s">
        <v>499</v>
      </c>
      <c r="K161" t="s">
        <v>410</v>
      </c>
      <c r="L161" t="s">
        <v>235</v>
      </c>
      <c r="M161" t="s">
        <v>411</v>
      </c>
      <c r="N161" t="s">
        <v>62</v>
      </c>
      <c r="O161">
        <v>0</v>
      </c>
      <c r="P161" t="s">
        <v>237</v>
      </c>
    </row>
    <row r="162" spans="1:16" x14ac:dyDescent="0.25">
      <c r="A162" t="s">
        <v>1983</v>
      </c>
      <c r="B162">
        <v>952</v>
      </c>
      <c r="C162" t="s">
        <v>487</v>
      </c>
      <c r="D162" t="s">
        <v>261</v>
      </c>
      <c r="E162" t="s">
        <v>408</v>
      </c>
      <c r="F162" t="s">
        <v>1595</v>
      </c>
      <c r="G162" s="25">
        <v>44276</v>
      </c>
      <c r="H162">
        <v>16</v>
      </c>
      <c r="I162">
        <v>80</v>
      </c>
      <c r="J162" t="s">
        <v>499</v>
      </c>
      <c r="K162" t="s">
        <v>410</v>
      </c>
      <c r="L162" t="s">
        <v>235</v>
      </c>
      <c r="M162" t="s">
        <v>411</v>
      </c>
      <c r="N162" t="s">
        <v>62</v>
      </c>
      <c r="O162">
        <v>0</v>
      </c>
      <c r="P162" t="s">
        <v>237</v>
      </c>
    </row>
    <row r="163" spans="1:16" x14ac:dyDescent="0.25">
      <c r="A163" t="s">
        <v>1704</v>
      </c>
      <c r="B163">
        <v>1042</v>
      </c>
      <c r="C163" t="s">
        <v>487</v>
      </c>
      <c r="D163" t="s">
        <v>322</v>
      </c>
      <c r="E163" t="s">
        <v>326</v>
      </c>
      <c r="F163" t="s">
        <v>2967</v>
      </c>
      <c r="G163" s="25">
        <v>44283</v>
      </c>
      <c r="H163">
        <v>18</v>
      </c>
      <c r="I163">
        <v>87</v>
      </c>
      <c r="J163" t="s">
        <v>499</v>
      </c>
      <c r="K163" t="s">
        <v>410</v>
      </c>
      <c r="L163" t="s">
        <v>235</v>
      </c>
      <c r="M163" t="s">
        <v>411</v>
      </c>
      <c r="N163" t="s">
        <v>62</v>
      </c>
      <c r="O163">
        <v>0</v>
      </c>
      <c r="P163" t="s">
        <v>237</v>
      </c>
    </row>
    <row r="164" spans="1:16" x14ac:dyDescent="0.25">
      <c r="A164" t="s">
        <v>2391</v>
      </c>
      <c r="B164">
        <v>596</v>
      </c>
      <c r="C164" t="s">
        <v>487</v>
      </c>
      <c r="D164" t="s">
        <v>256</v>
      </c>
      <c r="E164" t="s">
        <v>239</v>
      </c>
      <c r="F164" t="s">
        <v>1322</v>
      </c>
      <c r="G164" s="25">
        <v>44246</v>
      </c>
      <c r="H164">
        <v>10</v>
      </c>
      <c r="I164">
        <v>50</v>
      </c>
      <c r="J164" t="s">
        <v>499</v>
      </c>
      <c r="K164" t="s">
        <v>410</v>
      </c>
      <c r="L164" t="s">
        <v>235</v>
      </c>
      <c r="M164" t="s">
        <v>411</v>
      </c>
      <c r="N164" t="s">
        <v>62</v>
      </c>
      <c r="O164">
        <v>0</v>
      </c>
      <c r="P164" t="s">
        <v>237</v>
      </c>
    </row>
    <row r="165" spans="1:16" x14ac:dyDescent="0.25">
      <c r="A165" t="s">
        <v>2101</v>
      </c>
      <c r="B165">
        <v>1087</v>
      </c>
      <c r="C165" t="s">
        <v>487</v>
      </c>
      <c r="D165" t="s">
        <v>322</v>
      </c>
      <c r="E165" t="s">
        <v>515</v>
      </c>
      <c r="F165" t="s">
        <v>2983</v>
      </c>
      <c r="G165" s="25">
        <v>44287</v>
      </c>
      <c r="H165">
        <v>19</v>
      </c>
      <c r="I165">
        <v>91</v>
      </c>
      <c r="J165" t="s">
        <v>499</v>
      </c>
      <c r="K165" t="s">
        <v>410</v>
      </c>
      <c r="L165" t="s">
        <v>235</v>
      </c>
      <c r="M165" t="s">
        <v>411</v>
      </c>
      <c r="N165" t="s">
        <v>62</v>
      </c>
      <c r="O165">
        <v>0</v>
      </c>
      <c r="P165" t="s">
        <v>237</v>
      </c>
    </row>
    <row r="166" spans="1:16" x14ac:dyDescent="0.25">
      <c r="A166" t="s">
        <v>658</v>
      </c>
      <c r="B166">
        <v>350</v>
      </c>
      <c r="C166" t="s">
        <v>487</v>
      </c>
      <c r="D166" t="s">
        <v>231</v>
      </c>
      <c r="E166" t="s">
        <v>239</v>
      </c>
      <c r="F166" t="s">
        <v>1139</v>
      </c>
      <c r="G166" s="25">
        <v>44226</v>
      </c>
      <c r="H166">
        <v>6</v>
      </c>
      <c r="I166">
        <v>30</v>
      </c>
      <c r="J166" t="s">
        <v>499</v>
      </c>
      <c r="K166" t="s">
        <v>410</v>
      </c>
      <c r="L166" t="s">
        <v>235</v>
      </c>
      <c r="M166" t="s">
        <v>411</v>
      </c>
      <c r="N166" t="s">
        <v>62</v>
      </c>
      <c r="O166">
        <v>0</v>
      </c>
      <c r="P166" t="s">
        <v>237</v>
      </c>
    </row>
    <row r="167" spans="1:16" x14ac:dyDescent="0.25">
      <c r="A167" t="s">
        <v>293</v>
      </c>
      <c r="B167">
        <v>133</v>
      </c>
      <c r="C167" t="s">
        <v>487</v>
      </c>
      <c r="D167" t="s">
        <v>229</v>
      </c>
      <c r="E167" t="s">
        <v>232</v>
      </c>
      <c r="F167" t="s">
        <v>520</v>
      </c>
      <c r="G167" s="25">
        <v>44208</v>
      </c>
      <c r="H167">
        <v>3</v>
      </c>
      <c r="I167">
        <v>12</v>
      </c>
      <c r="J167" t="s">
        <v>499</v>
      </c>
      <c r="K167" t="s">
        <v>410</v>
      </c>
      <c r="L167" t="s">
        <v>235</v>
      </c>
      <c r="M167" t="s">
        <v>411</v>
      </c>
      <c r="N167" t="s">
        <v>62</v>
      </c>
      <c r="O167">
        <v>0</v>
      </c>
      <c r="P167" t="s">
        <v>237</v>
      </c>
    </row>
    <row r="168" spans="1:16" x14ac:dyDescent="0.25">
      <c r="A168" t="s">
        <v>705</v>
      </c>
      <c r="B168">
        <v>263</v>
      </c>
      <c r="C168" t="s">
        <v>487</v>
      </c>
      <c r="D168" t="s">
        <v>231</v>
      </c>
      <c r="E168" t="s">
        <v>231</v>
      </c>
      <c r="F168" t="s">
        <v>1080</v>
      </c>
      <c r="G168" s="25">
        <v>44218</v>
      </c>
      <c r="H168">
        <v>5</v>
      </c>
      <c r="I168">
        <v>22</v>
      </c>
      <c r="J168" t="s">
        <v>499</v>
      </c>
      <c r="K168" t="s">
        <v>410</v>
      </c>
      <c r="L168" t="s">
        <v>235</v>
      </c>
      <c r="M168" t="s">
        <v>411</v>
      </c>
      <c r="N168" t="s">
        <v>62</v>
      </c>
      <c r="O168">
        <v>0</v>
      </c>
      <c r="P168" t="s">
        <v>237</v>
      </c>
    </row>
    <row r="169" spans="1:16" x14ac:dyDescent="0.25">
      <c r="A169" t="s">
        <v>254</v>
      </c>
      <c r="B169">
        <v>104</v>
      </c>
      <c r="C169" t="s">
        <v>487</v>
      </c>
      <c r="D169" t="s">
        <v>229</v>
      </c>
      <c r="E169" t="s">
        <v>371</v>
      </c>
      <c r="F169" t="s">
        <v>557</v>
      </c>
      <c r="G169" s="25">
        <v>44205</v>
      </c>
      <c r="H169">
        <v>2</v>
      </c>
      <c r="I169">
        <v>9</v>
      </c>
      <c r="J169" t="s">
        <v>499</v>
      </c>
      <c r="K169" t="s">
        <v>410</v>
      </c>
      <c r="L169" t="s">
        <v>235</v>
      </c>
      <c r="M169" t="s">
        <v>411</v>
      </c>
      <c r="N169" t="s">
        <v>62</v>
      </c>
      <c r="O169">
        <v>0</v>
      </c>
      <c r="P169" t="s">
        <v>237</v>
      </c>
    </row>
    <row r="170" spans="1:16" x14ac:dyDescent="0.25">
      <c r="A170" t="s">
        <v>1998</v>
      </c>
      <c r="B170">
        <v>945</v>
      </c>
      <c r="C170" t="s">
        <v>487</v>
      </c>
      <c r="D170" t="s">
        <v>261</v>
      </c>
      <c r="E170" t="s">
        <v>531</v>
      </c>
      <c r="F170" t="s">
        <v>1588</v>
      </c>
      <c r="G170" s="25">
        <v>44275</v>
      </c>
      <c r="H170">
        <v>16</v>
      </c>
      <c r="I170">
        <v>79</v>
      </c>
      <c r="J170" t="s">
        <v>499</v>
      </c>
      <c r="K170" t="s">
        <v>410</v>
      </c>
      <c r="L170" t="s">
        <v>235</v>
      </c>
      <c r="M170" t="s">
        <v>411</v>
      </c>
      <c r="N170" t="s">
        <v>62</v>
      </c>
      <c r="O170">
        <v>0</v>
      </c>
      <c r="P170" t="s">
        <v>237</v>
      </c>
    </row>
    <row r="171" spans="1:16" x14ac:dyDescent="0.25">
      <c r="A171" t="s">
        <v>756</v>
      </c>
      <c r="B171">
        <v>148</v>
      </c>
      <c r="C171" t="s">
        <v>487</v>
      </c>
      <c r="D171" t="s">
        <v>229</v>
      </c>
      <c r="E171" t="s">
        <v>512</v>
      </c>
      <c r="F171" t="s">
        <v>513</v>
      </c>
      <c r="G171" s="25">
        <v>44209</v>
      </c>
      <c r="H171">
        <v>3</v>
      </c>
      <c r="I171">
        <v>13</v>
      </c>
      <c r="J171" t="s">
        <v>499</v>
      </c>
      <c r="K171" t="s">
        <v>410</v>
      </c>
      <c r="L171" t="s">
        <v>235</v>
      </c>
      <c r="M171" t="s">
        <v>411</v>
      </c>
      <c r="N171" t="s">
        <v>62</v>
      </c>
      <c r="O171">
        <v>0</v>
      </c>
      <c r="P171" t="s">
        <v>237</v>
      </c>
    </row>
    <row r="172" spans="1:16" x14ac:dyDescent="0.25">
      <c r="A172" t="s">
        <v>744</v>
      </c>
      <c r="B172">
        <v>430</v>
      </c>
      <c r="C172" t="s">
        <v>487</v>
      </c>
      <c r="D172" t="s">
        <v>231</v>
      </c>
      <c r="E172" t="s">
        <v>620</v>
      </c>
      <c r="F172" t="s">
        <v>1215</v>
      </c>
      <c r="G172" s="25">
        <v>44232</v>
      </c>
      <c r="H172">
        <v>8</v>
      </c>
      <c r="I172">
        <v>36</v>
      </c>
      <c r="J172" t="s">
        <v>499</v>
      </c>
      <c r="K172" t="s">
        <v>410</v>
      </c>
      <c r="L172" t="s">
        <v>235</v>
      </c>
      <c r="M172" t="s">
        <v>411</v>
      </c>
      <c r="N172" t="s">
        <v>62</v>
      </c>
      <c r="O172">
        <v>0</v>
      </c>
      <c r="P172" t="s">
        <v>237</v>
      </c>
    </row>
    <row r="173" spans="1:16" x14ac:dyDescent="0.25">
      <c r="A173" t="s">
        <v>2134</v>
      </c>
      <c r="B173">
        <v>1095</v>
      </c>
      <c r="C173" t="s">
        <v>487</v>
      </c>
      <c r="D173" t="s">
        <v>322</v>
      </c>
      <c r="E173" t="s">
        <v>232</v>
      </c>
      <c r="F173" t="s">
        <v>2987</v>
      </c>
      <c r="G173" s="25">
        <v>44288</v>
      </c>
      <c r="H173">
        <v>19</v>
      </c>
      <c r="I173">
        <v>92</v>
      </c>
      <c r="J173" t="s">
        <v>499</v>
      </c>
      <c r="K173" t="s">
        <v>410</v>
      </c>
      <c r="L173" t="s">
        <v>235</v>
      </c>
      <c r="M173" t="s">
        <v>411</v>
      </c>
      <c r="N173" t="s">
        <v>62</v>
      </c>
      <c r="O173">
        <v>0</v>
      </c>
      <c r="P173" t="s">
        <v>237</v>
      </c>
    </row>
    <row r="174" spans="1:16" x14ac:dyDescent="0.25">
      <c r="A174" t="s">
        <v>1569</v>
      </c>
      <c r="B174">
        <v>472</v>
      </c>
      <c r="C174" t="s">
        <v>487</v>
      </c>
      <c r="D174" t="s">
        <v>231</v>
      </c>
      <c r="E174" t="s">
        <v>408</v>
      </c>
      <c r="F174" t="s">
        <v>1234</v>
      </c>
      <c r="G174" s="25">
        <v>44236</v>
      </c>
      <c r="H174">
        <v>8</v>
      </c>
      <c r="I174">
        <v>40</v>
      </c>
      <c r="J174" t="s">
        <v>499</v>
      </c>
      <c r="K174" t="s">
        <v>410</v>
      </c>
      <c r="L174" t="s">
        <v>235</v>
      </c>
      <c r="M174" t="s">
        <v>411</v>
      </c>
      <c r="N174" t="s">
        <v>62</v>
      </c>
      <c r="O174">
        <v>0</v>
      </c>
      <c r="P174" t="s">
        <v>237</v>
      </c>
    </row>
    <row r="175" spans="1:16" x14ac:dyDescent="0.25">
      <c r="A175" t="s">
        <v>269</v>
      </c>
      <c r="B175">
        <v>20</v>
      </c>
      <c r="C175" t="s">
        <v>487</v>
      </c>
      <c r="D175" t="s">
        <v>229</v>
      </c>
      <c r="E175" t="s">
        <v>231</v>
      </c>
      <c r="F175" t="s">
        <v>568</v>
      </c>
      <c r="G175" s="25">
        <v>44198</v>
      </c>
      <c r="H175">
        <v>1</v>
      </c>
      <c r="I175">
        <v>2</v>
      </c>
      <c r="J175" t="s">
        <v>499</v>
      </c>
      <c r="K175" t="s">
        <v>410</v>
      </c>
      <c r="L175" t="s">
        <v>235</v>
      </c>
      <c r="M175" t="s">
        <v>411</v>
      </c>
      <c r="N175" t="s">
        <v>62</v>
      </c>
      <c r="O175">
        <v>0</v>
      </c>
      <c r="P175" t="s">
        <v>237</v>
      </c>
    </row>
    <row r="176" spans="1:16" x14ac:dyDescent="0.25">
      <c r="A176" t="s">
        <v>2789</v>
      </c>
      <c r="B176">
        <v>645</v>
      </c>
      <c r="C176" t="s">
        <v>487</v>
      </c>
      <c r="D176" t="s">
        <v>256</v>
      </c>
      <c r="E176" t="s">
        <v>537</v>
      </c>
      <c r="F176" t="s">
        <v>1348</v>
      </c>
      <c r="G176" s="25">
        <v>44250</v>
      </c>
      <c r="H176">
        <v>11</v>
      </c>
      <c r="I176">
        <v>54</v>
      </c>
      <c r="J176" t="s">
        <v>499</v>
      </c>
      <c r="K176" t="s">
        <v>410</v>
      </c>
      <c r="L176" t="s">
        <v>235</v>
      </c>
      <c r="M176" t="s">
        <v>411</v>
      </c>
      <c r="N176" t="s">
        <v>62</v>
      </c>
      <c r="O176">
        <v>0</v>
      </c>
      <c r="P176" t="s">
        <v>237</v>
      </c>
    </row>
    <row r="177" spans="1:16" x14ac:dyDescent="0.25">
      <c r="A177" t="s">
        <v>1934</v>
      </c>
      <c r="B177">
        <v>935</v>
      </c>
      <c r="C177" t="s">
        <v>487</v>
      </c>
      <c r="D177" t="s">
        <v>261</v>
      </c>
      <c r="E177" t="s">
        <v>552</v>
      </c>
      <c r="F177" t="s">
        <v>1585</v>
      </c>
      <c r="G177" s="25">
        <v>44274</v>
      </c>
      <c r="H177">
        <v>16</v>
      </c>
      <c r="I177">
        <v>78</v>
      </c>
      <c r="J177" t="s">
        <v>499</v>
      </c>
      <c r="K177" t="s">
        <v>410</v>
      </c>
      <c r="L177" t="s">
        <v>235</v>
      </c>
      <c r="M177" t="s">
        <v>411</v>
      </c>
      <c r="N177" t="s">
        <v>62</v>
      </c>
      <c r="O177">
        <v>0</v>
      </c>
      <c r="P177" t="s">
        <v>237</v>
      </c>
    </row>
    <row r="178" spans="1:16" x14ac:dyDescent="0.25">
      <c r="A178" t="s">
        <v>803</v>
      </c>
      <c r="B178">
        <v>297</v>
      </c>
      <c r="C178" t="s">
        <v>487</v>
      </c>
      <c r="D178" t="s">
        <v>231</v>
      </c>
      <c r="E178" t="s">
        <v>322</v>
      </c>
      <c r="F178" t="s">
        <v>1085</v>
      </c>
      <c r="G178" s="25">
        <v>44221</v>
      </c>
      <c r="H178">
        <v>5</v>
      </c>
      <c r="I178">
        <v>25</v>
      </c>
      <c r="J178" t="s">
        <v>499</v>
      </c>
      <c r="K178" t="s">
        <v>410</v>
      </c>
      <c r="L178" t="s">
        <v>235</v>
      </c>
      <c r="M178" t="s">
        <v>411</v>
      </c>
      <c r="N178" t="s">
        <v>62</v>
      </c>
      <c r="O178">
        <v>0</v>
      </c>
      <c r="P178" t="s">
        <v>237</v>
      </c>
    </row>
    <row r="179" spans="1:16" x14ac:dyDescent="0.25">
      <c r="A179" t="s">
        <v>2675</v>
      </c>
      <c r="B179">
        <v>613</v>
      </c>
      <c r="C179" t="s">
        <v>487</v>
      </c>
      <c r="D179" t="s">
        <v>256</v>
      </c>
      <c r="E179" t="s">
        <v>232</v>
      </c>
      <c r="F179" t="s">
        <v>1337</v>
      </c>
      <c r="G179" s="25">
        <v>44248</v>
      </c>
      <c r="H179">
        <v>11</v>
      </c>
      <c r="I179">
        <v>52</v>
      </c>
      <c r="J179" t="s">
        <v>499</v>
      </c>
      <c r="K179" t="s">
        <v>410</v>
      </c>
      <c r="L179" t="s">
        <v>235</v>
      </c>
      <c r="M179" t="s">
        <v>411</v>
      </c>
      <c r="N179" t="s">
        <v>62</v>
      </c>
      <c r="O179">
        <v>0</v>
      </c>
      <c r="P179" t="s">
        <v>237</v>
      </c>
    </row>
    <row r="180" spans="1:16" x14ac:dyDescent="0.25">
      <c r="A180" t="s">
        <v>2487</v>
      </c>
      <c r="B180">
        <v>1201</v>
      </c>
      <c r="C180" t="s">
        <v>487</v>
      </c>
      <c r="D180" t="s">
        <v>247</v>
      </c>
      <c r="E180" t="s">
        <v>229</v>
      </c>
      <c r="F180" t="s">
        <v>3063</v>
      </c>
      <c r="G180" s="25">
        <v>44297</v>
      </c>
      <c r="H180">
        <v>21</v>
      </c>
      <c r="I180">
        <v>101</v>
      </c>
      <c r="J180" t="s">
        <v>499</v>
      </c>
      <c r="K180" t="s">
        <v>410</v>
      </c>
      <c r="L180" t="s">
        <v>235</v>
      </c>
      <c r="M180" t="s">
        <v>411</v>
      </c>
      <c r="N180" t="s">
        <v>62</v>
      </c>
      <c r="O180">
        <v>0</v>
      </c>
      <c r="P180" t="s">
        <v>237</v>
      </c>
    </row>
    <row r="181" spans="1:16" x14ac:dyDescent="0.25">
      <c r="A181" t="s">
        <v>2797</v>
      </c>
      <c r="B181">
        <v>829</v>
      </c>
      <c r="C181" t="s">
        <v>487</v>
      </c>
      <c r="D181" t="s">
        <v>261</v>
      </c>
      <c r="E181" t="s">
        <v>239</v>
      </c>
      <c r="F181" t="s">
        <v>1703</v>
      </c>
      <c r="G181" s="25">
        <v>44266</v>
      </c>
      <c r="H181">
        <v>14</v>
      </c>
      <c r="I181">
        <v>70</v>
      </c>
      <c r="J181" t="s">
        <v>499</v>
      </c>
      <c r="K181" t="s">
        <v>410</v>
      </c>
      <c r="L181" t="s">
        <v>235</v>
      </c>
      <c r="M181" t="s">
        <v>411</v>
      </c>
      <c r="N181" t="s">
        <v>62</v>
      </c>
      <c r="O181">
        <v>0</v>
      </c>
      <c r="P181" t="s">
        <v>237</v>
      </c>
    </row>
    <row r="182" spans="1:16" x14ac:dyDescent="0.25">
      <c r="A182" t="s">
        <v>674</v>
      </c>
      <c r="B182">
        <v>182</v>
      </c>
      <c r="C182" t="s">
        <v>487</v>
      </c>
      <c r="D182" t="s">
        <v>229</v>
      </c>
      <c r="E182" t="s">
        <v>620</v>
      </c>
      <c r="F182" t="s">
        <v>621</v>
      </c>
      <c r="G182" s="25">
        <v>44212</v>
      </c>
      <c r="H182">
        <v>4</v>
      </c>
      <c r="I182">
        <v>16</v>
      </c>
      <c r="J182" t="s">
        <v>499</v>
      </c>
      <c r="K182" t="s">
        <v>410</v>
      </c>
      <c r="L182" t="s">
        <v>235</v>
      </c>
      <c r="M182" t="s">
        <v>411</v>
      </c>
      <c r="N182" t="s">
        <v>62</v>
      </c>
      <c r="O182">
        <v>0</v>
      </c>
      <c r="P182" t="s">
        <v>237</v>
      </c>
    </row>
    <row r="183" spans="1:16" x14ac:dyDescent="0.25">
      <c r="A183" t="s">
        <v>667</v>
      </c>
      <c r="B183">
        <v>321</v>
      </c>
      <c r="C183" t="s">
        <v>487</v>
      </c>
      <c r="D183" t="s">
        <v>231</v>
      </c>
      <c r="E183" t="s">
        <v>326</v>
      </c>
      <c r="F183" t="s">
        <v>1095</v>
      </c>
      <c r="G183" s="25">
        <v>44223</v>
      </c>
      <c r="H183">
        <v>6</v>
      </c>
      <c r="I183">
        <v>27</v>
      </c>
      <c r="J183" t="s">
        <v>499</v>
      </c>
      <c r="K183" t="s">
        <v>410</v>
      </c>
      <c r="L183" t="s">
        <v>235</v>
      </c>
      <c r="M183" t="s">
        <v>411</v>
      </c>
      <c r="N183" t="s">
        <v>62</v>
      </c>
      <c r="O183">
        <v>0</v>
      </c>
      <c r="P183" t="s">
        <v>237</v>
      </c>
    </row>
    <row r="184" spans="1:16" x14ac:dyDescent="0.25">
      <c r="A184" t="s">
        <v>2437</v>
      </c>
      <c r="B184">
        <v>1192</v>
      </c>
      <c r="C184" t="s">
        <v>487</v>
      </c>
      <c r="D184" t="s">
        <v>322</v>
      </c>
      <c r="E184" t="s">
        <v>408</v>
      </c>
      <c r="F184" t="s">
        <v>3059</v>
      </c>
      <c r="G184" s="25">
        <v>44296</v>
      </c>
      <c r="H184">
        <v>20</v>
      </c>
      <c r="I184">
        <v>100</v>
      </c>
      <c r="J184" t="s">
        <v>499</v>
      </c>
      <c r="K184" t="s">
        <v>410</v>
      </c>
      <c r="L184" t="s">
        <v>235</v>
      </c>
      <c r="M184" t="s">
        <v>411</v>
      </c>
      <c r="N184" t="s">
        <v>62</v>
      </c>
      <c r="O184">
        <v>0</v>
      </c>
      <c r="P184" t="s">
        <v>237</v>
      </c>
    </row>
    <row r="185" spans="1:16" x14ac:dyDescent="0.25">
      <c r="A185" t="s">
        <v>656</v>
      </c>
      <c r="B185">
        <v>374</v>
      </c>
      <c r="C185" t="s">
        <v>487</v>
      </c>
      <c r="D185" t="s">
        <v>231</v>
      </c>
      <c r="E185" t="s">
        <v>232</v>
      </c>
      <c r="F185" t="s">
        <v>1162</v>
      </c>
      <c r="G185" s="25">
        <v>44228</v>
      </c>
      <c r="H185">
        <v>7</v>
      </c>
      <c r="I185">
        <v>32</v>
      </c>
      <c r="J185" t="s">
        <v>499</v>
      </c>
      <c r="K185" t="s">
        <v>410</v>
      </c>
      <c r="L185" t="s">
        <v>235</v>
      </c>
      <c r="M185" t="s">
        <v>411</v>
      </c>
      <c r="N185" t="s">
        <v>62</v>
      </c>
      <c r="O185">
        <v>0</v>
      </c>
      <c r="P185" t="s">
        <v>237</v>
      </c>
    </row>
    <row r="186" spans="1:16" x14ac:dyDescent="0.25">
      <c r="A186" t="s">
        <v>1824</v>
      </c>
      <c r="B186">
        <v>735</v>
      </c>
      <c r="C186" t="s">
        <v>487</v>
      </c>
      <c r="D186" t="s">
        <v>261</v>
      </c>
      <c r="E186" t="s">
        <v>231</v>
      </c>
      <c r="F186" t="s">
        <v>1400</v>
      </c>
      <c r="G186" s="25">
        <v>44258</v>
      </c>
      <c r="H186">
        <v>13</v>
      </c>
      <c r="I186">
        <v>62</v>
      </c>
      <c r="J186" t="s">
        <v>499</v>
      </c>
      <c r="K186" t="s">
        <v>410</v>
      </c>
      <c r="L186" t="s">
        <v>235</v>
      </c>
      <c r="M186" t="s">
        <v>411</v>
      </c>
      <c r="N186" t="s">
        <v>62</v>
      </c>
      <c r="O186">
        <v>0</v>
      </c>
      <c r="P186" t="s">
        <v>237</v>
      </c>
    </row>
    <row r="187" spans="1:16" x14ac:dyDescent="0.25">
      <c r="A187" t="s">
        <v>511</v>
      </c>
      <c r="B187">
        <v>282</v>
      </c>
      <c r="C187" t="s">
        <v>487</v>
      </c>
      <c r="D187" t="s">
        <v>231</v>
      </c>
      <c r="E187" t="s">
        <v>261</v>
      </c>
      <c r="F187" t="s">
        <v>1065</v>
      </c>
      <c r="G187" s="25">
        <v>44220</v>
      </c>
      <c r="H187">
        <v>5</v>
      </c>
      <c r="I187">
        <v>24</v>
      </c>
      <c r="J187" t="s">
        <v>499</v>
      </c>
      <c r="K187" t="s">
        <v>410</v>
      </c>
      <c r="L187" t="s">
        <v>235</v>
      </c>
      <c r="M187" t="s">
        <v>411</v>
      </c>
      <c r="N187" t="s">
        <v>62</v>
      </c>
      <c r="O187">
        <v>0</v>
      </c>
      <c r="P187" t="s">
        <v>237</v>
      </c>
    </row>
    <row r="188" spans="1:16" x14ac:dyDescent="0.25">
      <c r="A188" t="s">
        <v>2149</v>
      </c>
      <c r="B188">
        <v>1290</v>
      </c>
      <c r="C188" t="s">
        <v>487</v>
      </c>
      <c r="D188" t="s">
        <v>247</v>
      </c>
      <c r="E188" t="s">
        <v>381</v>
      </c>
      <c r="F188" t="s">
        <v>3107</v>
      </c>
      <c r="G188" s="25">
        <v>44304</v>
      </c>
      <c r="H188">
        <v>22</v>
      </c>
      <c r="I188">
        <v>108</v>
      </c>
      <c r="J188" t="s">
        <v>499</v>
      </c>
      <c r="K188" t="s">
        <v>410</v>
      </c>
      <c r="L188" t="s">
        <v>235</v>
      </c>
      <c r="M188" t="s">
        <v>411</v>
      </c>
      <c r="N188" t="s">
        <v>62</v>
      </c>
      <c r="O188">
        <v>0</v>
      </c>
      <c r="P188" t="s">
        <v>237</v>
      </c>
    </row>
    <row r="189" spans="1:16" x14ac:dyDescent="0.25">
      <c r="A189" t="s">
        <v>1768</v>
      </c>
      <c r="B189">
        <v>842</v>
      </c>
      <c r="C189" t="s">
        <v>487</v>
      </c>
      <c r="D189" t="s">
        <v>261</v>
      </c>
      <c r="E189" t="s">
        <v>515</v>
      </c>
      <c r="F189" t="s">
        <v>1493</v>
      </c>
      <c r="G189" s="25">
        <v>44267</v>
      </c>
      <c r="H189">
        <v>15</v>
      </c>
      <c r="I189">
        <v>71</v>
      </c>
      <c r="J189" t="s">
        <v>499</v>
      </c>
      <c r="K189" t="s">
        <v>410</v>
      </c>
      <c r="L189" t="s">
        <v>235</v>
      </c>
      <c r="M189" t="s">
        <v>411</v>
      </c>
      <c r="N189" t="s">
        <v>62</v>
      </c>
      <c r="O189">
        <v>0</v>
      </c>
      <c r="P189" t="s">
        <v>237</v>
      </c>
    </row>
    <row r="190" spans="1:16" x14ac:dyDescent="0.25">
      <c r="A190" t="s">
        <v>2658</v>
      </c>
      <c r="B190">
        <v>728</v>
      </c>
      <c r="C190" t="s">
        <v>487</v>
      </c>
      <c r="D190" t="s">
        <v>261</v>
      </c>
      <c r="E190" t="s">
        <v>229</v>
      </c>
      <c r="F190" t="s">
        <v>1388</v>
      </c>
      <c r="G190" s="25">
        <v>44257</v>
      </c>
      <c r="H190">
        <v>13</v>
      </c>
      <c r="I190">
        <v>61</v>
      </c>
      <c r="J190" t="s">
        <v>499</v>
      </c>
      <c r="K190" t="s">
        <v>410</v>
      </c>
      <c r="L190" t="s">
        <v>235</v>
      </c>
      <c r="M190" t="s">
        <v>411</v>
      </c>
      <c r="N190" t="s">
        <v>62</v>
      </c>
      <c r="O190">
        <v>0</v>
      </c>
      <c r="P190" t="s">
        <v>237</v>
      </c>
    </row>
    <row r="191" spans="1:16" x14ac:dyDescent="0.25">
      <c r="A191" t="s">
        <v>1963</v>
      </c>
      <c r="B191">
        <v>1179</v>
      </c>
      <c r="C191" t="s">
        <v>487</v>
      </c>
      <c r="D191" t="s">
        <v>322</v>
      </c>
      <c r="E191" t="s">
        <v>531</v>
      </c>
      <c r="F191" t="s">
        <v>3056</v>
      </c>
      <c r="G191" s="25">
        <v>44295</v>
      </c>
      <c r="H191">
        <v>20</v>
      </c>
      <c r="I191">
        <v>99</v>
      </c>
      <c r="J191" t="s">
        <v>499</v>
      </c>
      <c r="K191" t="s">
        <v>410</v>
      </c>
      <c r="L191" t="s">
        <v>235</v>
      </c>
      <c r="M191" t="s">
        <v>411</v>
      </c>
      <c r="N191" t="s">
        <v>62</v>
      </c>
      <c r="O191">
        <v>0</v>
      </c>
      <c r="P191" t="s">
        <v>237</v>
      </c>
    </row>
    <row r="192" spans="1:16" x14ac:dyDescent="0.25">
      <c r="A192" t="s">
        <v>340</v>
      </c>
      <c r="B192">
        <v>80</v>
      </c>
      <c r="C192" t="s">
        <v>487</v>
      </c>
      <c r="D192" t="s">
        <v>229</v>
      </c>
      <c r="E192" t="s">
        <v>326</v>
      </c>
      <c r="F192" t="s">
        <v>522</v>
      </c>
      <c r="G192" s="25">
        <v>44203</v>
      </c>
      <c r="H192">
        <v>2</v>
      </c>
      <c r="I192">
        <v>7</v>
      </c>
      <c r="J192" t="s">
        <v>499</v>
      </c>
      <c r="K192" t="s">
        <v>410</v>
      </c>
      <c r="L192" t="s">
        <v>235</v>
      </c>
      <c r="M192" t="s">
        <v>411</v>
      </c>
      <c r="N192" t="s">
        <v>62</v>
      </c>
      <c r="O192">
        <v>0</v>
      </c>
      <c r="P192" t="s">
        <v>237</v>
      </c>
    </row>
    <row r="193" spans="1:16" x14ac:dyDescent="0.25">
      <c r="A193" t="s">
        <v>1618</v>
      </c>
      <c r="B193">
        <v>498</v>
      </c>
      <c r="C193" t="s">
        <v>487</v>
      </c>
      <c r="D193" t="s">
        <v>256</v>
      </c>
      <c r="E193" t="s">
        <v>231</v>
      </c>
      <c r="F193" t="s">
        <v>1249</v>
      </c>
      <c r="G193" s="25">
        <v>44238</v>
      </c>
      <c r="H193">
        <v>9</v>
      </c>
      <c r="I193">
        <v>42</v>
      </c>
      <c r="J193" t="s">
        <v>499</v>
      </c>
      <c r="K193" t="s">
        <v>410</v>
      </c>
      <c r="L193" t="s">
        <v>235</v>
      </c>
      <c r="M193" t="s">
        <v>411</v>
      </c>
      <c r="N193" t="s">
        <v>62</v>
      </c>
      <c r="O193">
        <v>0</v>
      </c>
      <c r="P193" t="s">
        <v>237</v>
      </c>
    </row>
    <row r="194" spans="1:16" x14ac:dyDescent="0.25">
      <c r="A194" t="s">
        <v>862</v>
      </c>
      <c r="B194">
        <v>218</v>
      </c>
      <c r="C194" t="s">
        <v>487</v>
      </c>
      <c r="D194" t="s">
        <v>229</v>
      </c>
      <c r="E194" t="s">
        <v>531</v>
      </c>
      <c r="F194" t="s">
        <v>532</v>
      </c>
      <c r="G194" s="25">
        <v>44215</v>
      </c>
      <c r="H194">
        <v>4</v>
      </c>
      <c r="I194">
        <v>19</v>
      </c>
      <c r="J194" t="s">
        <v>499</v>
      </c>
      <c r="K194" t="s">
        <v>410</v>
      </c>
      <c r="L194" t="s">
        <v>235</v>
      </c>
      <c r="M194" t="s">
        <v>411</v>
      </c>
      <c r="N194" t="s">
        <v>62</v>
      </c>
      <c r="O194">
        <v>0</v>
      </c>
      <c r="P194" t="s">
        <v>237</v>
      </c>
    </row>
    <row r="195" spans="1:16" x14ac:dyDescent="0.25">
      <c r="A195" t="s">
        <v>1777</v>
      </c>
      <c r="B195">
        <v>1305</v>
      </c>
      <c r="C195" t="s">
        <v>487</v>
      </c>
      <c r="D195" t="s">
        <v>247</v>
      </c>
      <c r="E195" t="s">
        <v>371</v>
      </c>
      <c r="F195" t="s">
        <v>3112</v>
      </c>
      <c r="G195" s="25">
        <v>44305</v>
      </c>
      <c r="H195">
        <v>22</v>
      </c>
      <c r="I195">
        <v>109</v>
      </c>
      <c r="J195" t="s">
        <v>499</v>
      </c>
      <c r="K195" t="s">
        <v>410</v>
      </c>
      <c r="L195" t="s">
        <v>235</v>
      </c>
      <c r="M195" t="s">
        <v>411</v>
      </c>
      <c r="N195" t="s">
        <v>62</v>
      </c>
      <c r="O195">
        <v>0</v>
      </c>
      <c r="P195" t="s">
        <v>237</v>
      </c>
    </row>
    <row r="196" spans="1:16" x14ac:dyDescent="0.25">
      <c r="A196" t="s">
        <v>2037</v>
      </c>
      <c r="B196">
        <v>859</v>
      </c>
      <c r="C196" t="s">
        <v>487</v>
      </c>
      <c r="D196" t="s">
        <v>261</v>
      </c>
      <c r="E196" t="s">
        <v>232</v>
      </c>
      <c r="F196" t="s">
        <v>1500</v>
      </c>
      <c r="G196" s="25">
        <v>44268</v>
      </c>
      <c r="H196">
        <v>15</v>
      </c>
      <c r="I196">
        <v>72</v>
      </c>
      <c r="J196" t="s">
        <v>499</v>
      </c>
      <c r="K196" t="s">
        <v>410</v>
      </c>
      <c r="L196" t="s">
        <v>235</v>
      </c>
      <c r="M196" t="s">
        <v>411</v>
      </c>
      <c r="N196" t="s">
        <v>62</v>
      </c>
      <c r="O196">
        <v>0</v>
      </c>
      <c r="P196" t="s">
        <v>237</v>
      </c>
    </row>
    <row r="197" spans="1:16" x14ac:dyDescent="0.25">
      <c r="A197" t="s">
        <v>294</v>
      </c>
      <c r="B197">
        <v>40</v>
      </c>
      <c r="C197" t="s">
        <v>487</v>
      </c>
      <c r="D197" t="s">
        <v>229</v>
      </c>
      <c r="E197" t="s">
        <v>261</v>
      </c>
      <c r="F197" t="s">
        <v>549</v>
      </c>
      <c r="G197" s="25">
        <v>44200</v>
      </c>
      <c r="H197">
        <v>1</v>
      </c>
      <c r="I197">
        <v>4</v>
      </c>
      <c r="J197" t="s">
        <v>499</v>
      </c>
      <c r="K197" t="s">
        <v>410</v>
      </c>
      <c r="L197" t="s">
        <v>235</v>
      </c>
      <c r="M197" t="s">
        <v>411</v>
      </c>
      <c r="N197" t="s">
        <v>62</v>
      </c>
      <c r="O197">
        <v>0</v>
      </c>
      <c r="P197" t="s">
        <v>237</v>
      </c>
    </row>
    <row r="198" spans="1:16" x14ac:dyDescent="0.25">
      <c r="A198" t="s">
        <v>2173</v>
      </c>
      <c r="B198">
        <v>715</v>
      </c>
      <c r="C198" t="s">
        <v>487</v>
      </c>
      <c r="D198" t="s">
        <v>256</v>
      </c>
      <c r="E198" t="s">
        <v>408</v>
      </c>
      <c r="F198" t="s">
        <v>1383</v>
      </c>
      <c r="G198" s="25">
        <v>44256</v>
      </c>
      <c r="H198">
        <v>12</v>
      </c>
      <c r="I198">
        <v>60</v>
      </c>
      <c r="J198" t="s">
        <v>499</v>
      </c>
      <c r="K198" t="s">
        <v>410</v>
      </c>
      <c r="L198" t="s">
        <v>235</v>
      </c>
      <c r="M198" t="s">
        <v>411</v>
      </c>
      <c r="N198" t="s">
        <v>62</v>
      </c>
      <c r="O198">
        <v>0</v>
      </c>
      <c r="P198" t="s">
        <v>237</v>
      </c>
    </row>
    <row r="199" spans="1:16" x14ac:dyDescent="0.25">
      <c r="A199" t="s">
        <v>2565</v>
      </c>
      <c r="B199">
        <v>1165</v>
      </c>
      <c r="C199" t="s">
        <v>487</v>
      </c>
      <c r="D199" t="s">
        <v>322</v>
      </c>
      <c r="E199" t="s">
        <v>552</v>
      </c>
      <c r="F199" t="s">
        <v>3045</v>
      </c>
      <c r="G199" s="25">
        <v>44294</v>
      </c>
      <c r="H199">
        <v>20</v>
      </c>
      <c r="I199">
        <v>98</v>
      </c>
      <c r="J199" t="s">
        <v>499</v>
      </c>
      <c r="K199" t="s">
        <v>410</v>
      </c>
      <c r="L199" t="s">
        <v>235</v>
      </c>
      <c r="M199" t="s">
        <v>411</v>
      </c>
      <c r="N199" t="s">
        <v>62</v>
      </c>
      <c r="O199">
        <v>0</v>
      </c>
      <c r="P199" t="s">
        <v>237</v>
      </c>
    </row>
    <row r="200" spans="1:16" x14ac:dyDescent="0.25">
      <c r="A200" t="s">
        <v>2470</v>
      </c>
      <c r="B200">
        <v>785</v>
      </c>
      <c r="C200" t="s">
        <v>487</v>
      </c>
      <c r="D200" t="s">
        <v>261</v>
      </c>
      <c r="E200" t="s">
        <v>247</v>
      </c>
      <c r="F200" t="s">
        <v>1425</v>
      </c>
      <c r="G200" s="25">
        <v>44262</v>
      </c>
      <c r="H200">
        <v>14</v>
      </c>
      <c r="I200">
        <v>66</v>
      </c>
      <c r="J200" t="s">
        <v>499</v>
      </c>
      <c r="K200" t="s">
        <v>410</v>
      </c>
      <c r="L200" t="s">
        <v>235</v>
      </c>
      <c r="M200" t="s">
        <v>411</v>
      </c>
      <c r="N200" t="s">
        <v>62</v>
      </c>
      <c r="O200">
        <v>0</v>
      </c>
      <c r="P200" t="s">
        <v>237</v>
      </c>
    </row>
    <row r="201" spans="1:16" x14ac:dyDescent="0.25">
      <c r="A201" t="s">
        <v>307</v>
      </c>
      <c r="B201">
        <v>58</v>
      </c>
      <c r="C201" t="s">
        <v>487</v>
      </c>
      <c r="D201" t="s">
        <v>229</v>
      </c>
      <c r="E201" t="s">
        <v>322</v>
      </c>
      <c r="F201" t="s">
        <v>529</v>
      </c>
      <c r="G201" s="25">
        <v>44201</v>
      </c>
      <c r="H201">
        <v>1</v>
      </c>
      <c r="I201">
        <v>5</v>
      </c>
      <c r="J201" t="s">
        <v>499</v>
      </c>
      <c r="K201" t="s">
        <v>410</v>
      </c>
      <c r="L201" t="s">
        <v>235</v>
      </c>
      <c r="M201" t="s">
        <v>411</v>
      </c>
      <c r="N201" t="s">
        <v>62</v>
      </c>
      <c r="O201">
        <v>0</v>
      </c>
      <c r="P201" t="s">
        <v>237</v>
      </c>
    </row>
    <row r="202" spans="1:16" x14ac:dyDescent="0.25">
      <c r="A202" t="s">
        <v>2372</v>
      </c>
      <c r="B202">
        <v>778</v>
      </c>
      <c r="C202" t="s">
        <v>487</v>
      </c>
      <c r="D202" t="s">
        <v>261</v>
      </c>
      <c r="E202" t="s">
        <v>322</v>
      </c>
      <c r="F202" t="s">
        <v>1417</v>
      </c>
      <c r="G202" s="25">
        <v>44261</v>
      </c>
      <c r="H202">
        <v>13</v>
      </c>
      <c r="I202">
        <v>65</v>
      </c>
      <c r="J202" t="s">
        <v>499</v>
      </c>
      <c r="K202" t="s">
        <v>410</v>
      </c>
      <c r="L202" t="s">
        <v>235</v>
      </c>
      <c r="M202" t="s">
        <v>411</v>
      </c>
      <c r="N202" t="s">
        <v>62</v>
      </c>
      <c r="O202">
        <v>0</v>
      </c>
      <c r="P202" t="s">
        <v>237</v>
      </c>
    </row>
    <row r="203" spans="1:16" x14ac:dyDescent="0.25">
      <c r="A203" t="s">
        <v>611</v>
      </c>
      <c r="B203">
        <v>202</v>
      </c>
      <c r="C203" t="s">
        <v>487</v>
      </c>
      <c r="D203" t="s">
        <v>229</v>
      </c>
      <c r="E203" t="s">
        <v>534</v>
      </c>
      <c r="F203" t="s">
        <v>535</v>
      </c>
      <c r="G203" s="25">
        <v>44213</v>
      </c>
      <c r="H203">
        <v>4</v>
      </c>
      <c r="I203">
        <v>17</v>
      </c>
      <c r="J203" t="s">
        <v>499</v>
      </c>
      <c r="K203" t="s">
        <v>410</v>
      </c>
      <c r="L203" t="s">
        <v>235</v>
      </c>
      <c r="M203" t="s">
        <v>411</v>
      </c>
      <c r="N203" t="s">
        <v>62</v>
      </c>
      <c r="O203">
        <v>0</v>
      </c>
      <c r="P203" t="s">
        <v>237</v>
      </c>
    </row>
    <row r="204" spans="1:16" x14ac:dyDescent="0.25">
      <c r="A204" t="s">
        <v>2543</v>
      </c>
      <c r="B204">
        <v>1237</v>
      </c>
      <c r="C204" t="s">
        <v>487</v>
      </c>
      <c r="D204" t="s">
        <v>247</v>
      </c>
      <c r="E204" t="s">
        <v>261</v>
      </c>
      <c r="F204" t="s">
        <v>3078</v>
      </c>
      <c r="G204" s="25">
        <v>44300</v>
      </c>
      <c r="H204">
        <v>21</v>
      </c>
      <c r="I204">
        <v>104</v>
      </c>
      <c r="J204" t="s">
        <v>499</v>
      </c>
      <c r="K204" t="s">
        <v>410</v>
      </c>
      <c r="L204" t="s">
        <v>235</v>
      </c>
      <c r="M204" t="s">
        <v>411</v>
      </c>
      <c r="N204" t="s">
        <v>62</v>
      </c>
      <c r="O204">
        <v>0</v>
      </c>
      <c r="P204" t="s">
        <v>237</v>
      </c>
    </row>
    <row r="205" spans="1:16" x14ac:dyDescent="0.25">
      <c r="A205" t="s">
        <v>807</v>
      </c>
      <c r="B205">
        <v>390</v>
      </c>
      <c r="C205" t="s">
        <v>487</v>
      </c>
      <c r="D205" t="s">
        <v>231</v>
      </c>
      <c r="E205" t="s">
        <v>512</v>
      </c>
      <c r="F205" t="s">
        <v>1174</v>
      </c>
      <c r="G205" s="25">
        <v>44229</v>
      </c>
      <c r="H205">
        <v>7</v>
      </c>
      <c r="I205">
        <v>33</v>
      </c>
      <c r="J205" t="s">
        <v>499</v>
      </c>
      <c r="K205" t="s">
        <v>410</v>
      </c>
      <c r="L205" t="s">
        <v>235</v>
      </c>
      <c r="M205" t="s">
        <v>411</v>
      </c>
      <c r="N205" t="s">
        <v>62</v>
      </c>
      <c r="O205">
        <v>0</v>
      </c>
      <c r="P205" t="s">
        <v>237</v>
      </c>
    </row>
    <row r="206" spans="1:16" x14ac:dyDescent="0.25">
      <c r="A206" t="s">
        <v>2292</v>
      </c>
      <c r="B206">
        <v>1234</v>
      </c>
      <c r="C206" t="s">
        <v>487</v>
      </c>
      <c r="D206" t="s">
        <v>247</v>
      </c>
      <c r="E206" t="s">
        <v>256</v>
      </c>
      <c r="F206" t="s">
        <v>3073</v>
      </c>
      <c r="G206" s="25">
        <v>44299</v>
      </c>
      <c r="H206">
        <v>21</v>
      </c>
      <c r="I206">
        <v>103</v>
      </c>
      <c r="J206" t="s">
        <v>499</v>
      </c>
      <c r="K206" t="s">
        <v>410</v>
      </c>
      <c r="L206" t="s">
        <v>235</v>
      </c>
      <c r="M206" t="s">
        <v>411</v>
      </c>
      <c r="N206" t="s">
        <v>62</v>
      </c>
      <c r="O206">
        <v>0</v>
      </c>
      <c r="P206" t="s">
        <v>237</v>
      </c>
    </row>
    <row r="207" spans="1:16" x14ac:dyDescent="0.25">
      <c r="A207" t="s">
        <v>1923</v>
      </c>
      <c r="B207">
        <v>1255</v>
      </c>
      <c r="C207" t="s">
        <v>487</v>
      </c>
      <c r="D207" t="s">
        <v>247</v>
      </c>
      <c r="E207" t="s">
        <v>322</v>
      </c>
      <c r="F207" t="s">
        <v>3083</v>
      </c>
      <c r="G207" s="25">
        <v>44301</v>
      </c>
      <c r="H207">
        <v>21</v>
      </c>
      <c r="I207">
        <v>105</v>
      </c>
      <c r="J207" t="s">
        <v>499</v>
      </c>
      <c r="K207" t="s">
        <v>410</v>
      </c>
      <c r="L207" t="s">
        <v>235</v>
      </c>
      <c r="M207" t="s">
        <v>411</v>
      </c>
      <c r="N207" t="s">
        <v>62</v>
      </c>
      <c r="O207">
        <v>0</v>
      </c>
      <c r="P207" t="s">
        <v>237</v>
      </c>
    </row>
    <row r="208" spans="1:16" x14ac:dyDescent="0.25">
      <c r="A208" t="s">
        <v>310</v>
      </c>
      <c r="B208">
        <v>64</v>
      </c>
      <c r="C208" t="s">
        <v>487</v>
      </c>
      <c r="D208" t="s">
        <v>229</v>
      </c>
      <c r="E208" t="s">
        <v>247</v>
      </c>
      <c r="F208" t="s">
        <v>524</v>
      </c>
      <c r="G208" s="25">
        <v>44202</v>
      </c>
      <c r="H208">
        <v>2</v>
      </c>
      <c r="I208">
        <v>6</v>
      </c>
      <c r="J208" t="s">
        <v>499</v>
      </c>
      <c r="K208" t="s">
        <v>410</v>
      </c>
      <c r="L208" t="s">
        <v>235</v>
      </c>
      <c r="M208" t="s">
        <v>411</v>
      </c>
      <c r="N208" t="s">
        <v>62</v>
      </c>
      <c r="O208">
        <v>0</v>
      </c>
      <c r="P208" t="s">
        <v>237</v>
      </c>
    </row>
    <row r="209" spans="1:16" x14ac:dyDescent="0.25">
      <c r="A209" t="s">
        <v>2614</v>
      </c>
      <c r="B209">
        <v>1261</v>
      </c>
      <c r="C209" t="s">
        <v>487</v>
      </c>
      <c r="D209" t="s">
        <v>247</v>
      </c>
      <c r="E209" t="s">
        <v>247</v>
      </c>
      <c r="F209" t="s">
        <v>3085</v>
      </c>
      <c r="G209" s="25">
        <v>44302</v>
      </c>
      <c r="H209">
        <v>22</v>
      </c>
      <c r="I209">
        <v>106</v>
      </c>
      <c r="J209" t="s">
        <v>499</v>
      </c>
      <c r="K209" t="s">
        <v>410</v>
      </c>
      <c r="L209" t="s">
        <v>235</v>
      </c>
      <c r="M209" t="s">
        <v>411</v>
      </c>
      <c r="N209" t="s">
        <v>62</v>
      </c>
      <c r="O209">
        <v>0</v>
      </c>
      <c r="P209" t="s">
        <v>237</v>
      </c>
    </row>
    <row r="210" spans="1:16" x14ac:dyDescent="0.25">
      <c r="A210" t="s">
        <v>1869</v>
      </c>
      <c r="B210">
        <v>803</v>
      </c>
      <c r="C210" t="s">
        <v>487</v>
      </c>
      <c r="D210" t="s">
        <v>261</v>
      </c>
      <c r="E210" t="s">
        <v>326</v>
      </c>
      <c r="F210" t="s">
        <v>1440</v>
      </c>
      <c r="G210" s="25">
        <v>44263</v>
      </c>
      <c r="H210">
        <v>14</v>
      </c>
      <c r="I210">
        <v>67</v>
      </c>
      <c r="J210" t="s">
        <v>499</v>
      </c>
      <c r="K210" t="s">
        <v>410</v>
      </c>
      <c r="L210" t="s">
        <v>235</v>
      </c>
      <c r="M210" t="s">
        <v>411</v>
      </c>
      <c r="N210" t="s">
        <v>62</v>
      </c>
      <c r="O210">
        <v>0</v>
      </c>
      <c r="P210" t="s">
        <v>237</v>
      </c>
    </row>
    <row r="211" spans="1:16" x14ac:dyDescent="0.25">
      <c r="A211" t="s">
        <v>2772</v>
      </c>
      <c r="B211">
        <v>511</v>
      </c>
      <c r="C211" t="s">
        <v>487</v>
      </c>
      <c r="D211" t="s">
        <v>256</v>
      </c>
      <c r="E211" t="s">
        <v>256</v>
      </c>
      <c r="F211" t="s">
        <v>1263</v>
      </c>
      <c r="G211" s="25">
        <v>44239</v>
      </c>
      <c r="H211">
        <v>9</v>
      </c>
      <c r="I211">
        <v>43</v>
      </c>
      <c r="J211" t="s">
        <v>499</v>
      </c>
      <c r="K211" t="s">
        <v>410</v>
      </c>
      <c r="L211" t="s">
        <v>235</v>
      </c>
      <c r="M211" t="s">
        <v>411</v>
      </c>
      <c r="N211" t="s">
        <v>62</v>
      </c>
      <c r="O211">
        <v>0</v>
      </c>
      <c r="P211" t="s">
        <v>237</v>
      </c>
    </row>
    <row r="212" spans="1:16" x14ac:dyDescent="0.25">
      <c r="A212" t="s">
        <v>2680</v>
      </c>
      <c r="B212">
        <v>807</v>
      </c>
      <c r="C212" t="s">
        <v>487</v>
      </c>
      <c r="D212" t="s">
        <v>261</v>
      </c>
      <c r="E212" t="s">
        <v>381</v>
      </c>
      <c r="F212" t="s">
        <v>1458</v>
      </c>
      <c r="G212" s="25">
        <v>44264</v>
      </c>
      <c r="H212">
        <v>14</v>
      </c>
      <c r="I212">
        <v>68</v>
      </c>
      <c r="J212" t="s">
        <v>499</v>
      </c>
      <c r="K212" t="s">
        <v>410</v>
      </c>
      <c r="L212" t="s">
        <v>235</v>
      </c>
      <c r="M212" t="s">
        <v>411</v>
      </c>
      <c r="N212" t="s">
        <v>62</v>
      </c>
      <c r="O212">
        <v>0</v>
      </c>
      <c r="P212" t="s">
        <v>237</v>
      </c>
    </row>
    <row r="213" spans="1:16" x14ac:dyDescent="0.25">
      <c r="A213" t="s">
        <v>2569</v>
      </c>
      <c r="B213">
        <v>763</v>
      </c>
      <c r="C213" t="s">
        <v>487</v>
      </c>
      <c r="D213" t="s">
        <v>261</v>
      </c>
      <c r="E213" t="s">
        <v>261</v>
      </c>
      <c r="F213" t="s">
        <v>1410</v>
      </c>
      <c r="G213" s="25">
        <v>44260</v>
      </c>
      <c r="H213">
        <v>13</v>
      </c>
      <c r="I213">
        <v>64</v>
      </c>
      <c r="J213" t="s">
        <v>499</v>
      </c>
      <c r="K213" t="s">
        <v>410</v>
      </c>
      <c r="L213" t="s">
        <v>235</v>
      </c>
      <c r="M213" t="s">
        <v>411</v>
      </c>
      <c r="N213" t="s">
        <v>62</v>
      </c>
      <c r="O213">
        <v>0</v>
      </c>
      <c r="P213" t="s">
        <v>237</v>
      </c>
    </row>
    <row r="214" spans="1:16" x14ac:dyDescent="0.25">
      <c r="A214" t="s">
        <v>2598</v>
      </c>
      <c r="B214">
        <v>1216</v>
      </c>
      <c r="C214" t="s">
        <v>487</v>
      </c>
      <c r="D214" t="s">
        <v>247</v>
      </c>
      <c r="E214" t="s">
        <v>231</v>
      </c>
      <c r="F214" t="s">
        <v>3070</v>
      </c>
      <c r="G214" s="25">
        <v>44298</v>
      </c>
      <c r="H214">
        <v>21</v>
      </c>
      <c r="I214">
        <v>102</v>
      </c>
      <c r="J214" t="s">
        <v>499</v>
      </c>
      <c r="K214" t="s">
        <v>410</v>
      </c>
      <c r="L214" t="s">
        <v>235</v>
      </c>
      <c r="M214" t="s">
        <v>411</v>
      </c>
      <c r="N214" t="s">
        <v>62</v>
      </c>
      <c r="O214">
        <v>0</v>
      </c>
      <c r="P214" t="s">
        <v>237</v>
      </c>
    </row>
    <row r="215" spans="1:16" x14ac:dyDescent="0.25">
      <c r="A215" t="s">
        <v>795</v>
      </c>
      <c r="B215">
        <v>397</v>
      </c>
      <c r="C215" t="s">
        <v>487</v>
      </c>
      <c r="D215" t="s">
        <v>231</v>
      </c>
      <c r="E215" t="s">
        <v>537</v>
      </c>
      <c r="F215" t="s">
        <v>1192</v>
      </c>
      <c r="G215" s="25">
        <v>44230</v>
      </c>
      <c r="H215">
        <v>7</v>
      </c>
      <c r="I215">
        <v>34</v>
      </c>
      <c r="J215" t="s">
        <v>499</v>
      </c>
      <c r="K215" t="s">
        <v>410</v>
      </c>
      <c r="L215" t="s">
        <v>235</v>
      </c>
      <c r="M215" t="s">
        <v>411</v>
      </c>
      <c r="N215" t="s">
        <v>62</v>
      </c>
      <c r="O215">
        <v>0</v>
      </c>
      <c r="P215" t="s">
        <v>237</v>
      </c>
    </row>
    <row r="216" spans="1:16" x14ac:dyDescent="0.25">
      <c r="A216" t="s">
        <v>1737</v>
      </c>
      <c r="B216">
        <v>821</v>
      </c>
      <c r="C216" t="s">
        <v>487</v>
      </c>
      <c r="D216" t="s">
        <v>261</v>
      </c>
      <c r="E216" t="s">
        <v>371</v>
      </c>
      <c r="F216" t="s">
        <v>1478</v>
      </c>
      <c r="G216" s="25">
        <v>44265</v>
      </c>
      <c r="H216">
        <v>14</v>
      </c>
      <c r="I216">
        <v>69</v>
      </c>
      <c r="J216" t="s">
        <v>499</v>
      </c>
      <c r="K216" t="s">
        <v>410</v>
      </c>
      <c r="L216" t="s">
        <v>235</v>
      </c>
      <c r="M216" t="s">
        <v>411</v>
      </c>
      <c r="N216" t="s">
        <v>62</v>
      </c>
      <c r="O216">
        <v>0</v>
      </c>
      <c r="P216" t="s">
        <v>237</v>
      </c>
    </row>
    <row r="217" spans="1:16" x14ac:dyDescent="0.25">
      <c r="A217" t="s">
        <v>2896</v>
      </c>
      <c r="B217">
        <v>525</v>
      </c>
      <c r="C217" t="s">
        <v>487</v>
      </c>
      <c r="D217" t="s">
        <v>256</v>
      </c>
      <c r="E217" t="s">
        <v>261</v>
      </c>
      <c r="F217" t="s">
        <v>1276</v>
      </c>
      <c r="G217" s="25">
        <v>44240</v>
      </c>
      <c r="H217">
        <v>9</v>
      </c>
      <c r="I217">
        <v>44</v>
      </c>
      <c r="J217" t="s">
        <v>499</v>
      </c>
      <c r="K217" t="s">
        <v>410</v>
      </c>
      <c r="L217" t="s">
        <v>235</v>
      </c>
      <c r="M217" t="s">
        <v>411</v>
      </c>
      <c r="N217" t="s">
        <v>62</v>
      </c>
      <c r="O217">
        <v>0</v>
      </c>
      <c r="P217" t="s">
        <v>237</v>
      </c>
    </row>
    <row r="218" spans="1:16" x14ac:dyDescent="0.25">
      <c r="A218" t="s">
        <v>2370</v>
      </c>
      <c r="B218">
        <v>748</v>
      </c>
      <c r="C218" t="s">
        <v>487</v>
      </c>
      <c r="D218" t="s">
        <v>261</v>
      </c>
      <c r="E218" t="s">
        <v>256</v>
      </c>
      <c r="F218" t="s">
        <v>1402</v>
      </c>
      <c r="G218" s="25">
        <v>44259</v>
      </c>
      <c r="H218">
        <v>13</v>
      </c>
      <c r="I218">
        <v>63</v>
      </c>
      <c r="J218" t="s">
        <v>499</v>
      </c>
      <c r="K218" t="s">
        <v>410</v>
      </c>
      <c r="L218" t="s">
        <v>235</v>
      </c>
      <c r="M218" t="s">
        <v>411</v>
      </c>
      <c r="N218" t="s">
        <v>62</v>
      </c>
      <c r="O218">
        <v>0</v>
      </c>
      <c r="P218" t="s">
        <v>237</v>
      </c>
    </row>
    <row r="219" spans="1:16" x14ac:dyDescent="0.25">
      <c r="A219" t="s">
        <v>755</v>
      </c>
      <c r="B219">
        <v>208</v>
      </c>
      <c r="C219" t="s">
        <v>487</v>
      </c>
      <c r="D219" t="s">
        <v>229</v>
      </c>
      <c r="E219" t="s">
        <v>552</v>
      </c>
      <c r="F219" t="s">
        <v>553</v>
      </c>
      <c r="G219" s="25">
        <v>44214</v>
      </c>
      <c r="H219">
        <v>4</v>
      </c>
      <c r="I219">
        <v>18</v>
      </c>
      <c r="J219" t="s">
        <v>499</v>
      </c>
      <c r="K219" t="s">
        <v>410</v>
      </c>
      <c r="L219" t="s">
        <v>235</v>
      </c>
      <c r="M219" t="s">
        <v>411</v>
      </c>
      <c r="N219" t="s">
        <v>62</v>
      </c>
      <c r="O219">
        <v>0</v>
      </c>
      <c r="P219" t="s">
        <v>237</v>
      </c>
    </row>
    <row r="220" spans="1:16" x14ac:dyDescent="0.25">
      <c r="A220" t="s">
        <v>2224</v>
      </c>
      <c r="B220">
        <v>1282</v>
      </c>
      <c r="C220" t="s">
        <v>487</v>
      </c>
      <c r="D220" t="s">
        <v>247</v>
      </c>
      <c r="E220" t="s">
        <v>326</v>
      </c>
      <c r="F220" t="s">
        <v>3091</v>
      </c>
      <c r="G220" s="25">
        <v>44303</v>
      </c>
      <c r="H220">
        <v>22</v>
      </c>
      <c r="I220">
        <v>107</v>
      </c>
      <c r="J220" t="s">
        <v>499</v>
      </c>
      <c r="K220" t="s">
        <v>410</v>
      </c>
      <c r="L220" t="s">
        <v>235</v>
      </c>
      <c r="M220" t="s">
        <v>411</v>
      </c>
      <c r="N220" t="s">
        <v>62</v>
      </c>
      <c r="O220">
        <v>0</v>
      </c>
      <c r="P220" t="s">
        <v>237</v>
      </c>
    </row>
    <row r="221" spans="1:16" x14ac:dyDescent="0.25">
      <c r="A221" t="s">
        <v>2104</v>
      </c>
      <c r="B221">
        <v>691</v>
      </c>
      <c r="C221" t="s">
        <v>487</v>
      </c>
      <c r="D221" t="s">
        <v>256</v>
      </c>
      <c r="E221" t="s">
        <v>552</v>
      </c>
      <c r="F221" t="s">
        <v>1365</v>
      </c>
      <c r="G221" s="25">
        <v>44254</v>
      </c>
      <c r="H221">
        <v>12</v>
      </c>
      <c r="I221">
        <v>58</v>
      </c>
      <c r="J221" t="s">
        <v>499</v>
      </c>
      <c r="K221" t="s">
        <v>410</v>
      </c>
      <c r="L221" t="s">
        <v>235</v>
      </c>
      <c r="M221" t="s">
        <v>411</v>
      </c>
      <c r="N221" t="s">
        <v>62</v>
      </c>
      <c r="O221">
        <v>0</v>
      </c>
      <c r="P221" t="s">
        <v>237</v>
      </c>
    </row>
    <row r="222" spans="1:16" x14ac:dyDescent="0.25">
      <c r="A222" t="s">
        <v>2129</v>
      </c>
      <c r="B222">
        <v>1144</v>
      </c>
      <c r="C222" t="s">
        <v>487</v>
      </c>
      <c r="D222" t="s">
        <v>322</v>
      </c>
      <c r="E222" t="s">
        <v>620</v>
      </c>
      <c r="F222" t="s">
        <v>3025</v>
      </c>
      <c r="G222" s="25">
        <v>44292</v>
      </c>
      <c r="H222">
        <v>20</v>
      </c>
      <c r="I222">
        <v>96</v>
      </c>
      <c r="J222" t="s">
        <v>499</v>
      </c>
      <c r="K222" t="s">
        <v>410</v>
      </c>
      <c r="L222" t="s">
        <v>235</v>
      </c>
      <c r="M222" t="s">
        <v>411</v>
      </c>
      <c r="N222" t="s">
        <v>62</v>
      </c>
      <c r="O222">
        <v>0</v>
      </c>
      <c r="P222" t="s">
        <v>237</v>
      </c>
    </row>
    <row r="223" spans="1:16" x14ac:dyDescent="0.25">
      <c r="A223" t="s">
        <v>686</v>
      </c>
      <c r="B223">
        <v>364</v>
      </c>
      <c r="C223" t="s">
        <v>487</v>
      </c>
      <c r="D223" t="s">
        <v>231</v>
      </c>
      <c r="E223" t="s">
        <v>515</v>
      </c>
      <c r="F223" t="s">
        <v>1150</v>
      </c>
      <c r="G223" s="25">
        <v>44227</v>
      </c>
      <c r="H223">
        <v>7</v>
      </c>
      <c r="I223">
        <v>31</v>
      </c>
      <c r="J223" t="s">
        <v>499</v>
      </c>
      <c r="K223" t="s">
        <v>410</v>
      </c>
      <c r="L223" t="s">
        <v>235</v>
      </c>
      <c r="M223" t="s">
        <v>411</v>
      </c>
      <c r="N223" t="s">
        <v>62</v>
      </c>
      <c r="O223">
        <v>0</v>
      </c>
      <c r="P223" t="s">
        <v>237</v>
      </c>
    </row>
    <row r="224" spans="1:16" x14ac:dyDescent="0.25">
      <c r="A224" t="s">
        <v>1862</v>
      </c>
      <c r="B224">
        <v>882</v>
      </c>
      <c r="C224" t="s">
        <v>487</v>
      </c>
      <c r="D224" t="s">
        <v>261</v>
      </c>
      <c r="E224" t="s">
        <v>537</v>
      </c>
      <c r="F224" t="s">
        <v>1530</v>
      </c>
      <c r="G224" s="25">
        <v>44270</v>
      </c>
      <c r="H224">
        <v>15</v>
      </c>
      <c r="I224">
        <v>74</v>
      </c>
      <c r="J224" t="s">
        <v>499</v>
      </c>
      <c r="K224" t="s">
        <v>410</v>
      </c>
      <c r="L224" t="s">
        <v>235</v>
      </c>
      <c r="M224" t="s">
        <v>411</v>
      </c>
      <c r="N224" t="s">
        <v>62</v>
      </c>
      <c r="O224">
        <v>0</v>
      </c>
      <c r="P224" t="s">
        <v>237</v>
      </c>
    </row>
    <row r="225" spans="1:16" x14ac:dyDescent="0.25">
      <c r="A225" t="s">
        <v>2238</v>
      </c>
      <c r="B225">
        <v>891</v>
      </c>
      <c r="C225" t="s">
        <v>487</v>
      </c>
      <c r="D225" t="s">
        <v>261</v>
      </c>
      <c r="E225" t="s">
        <v>575</v>
      </c>
      <c r="F225" t="s">
        <v>1537</v>
      </c>
      <c r="G225" s="25">
        <v>44271</v>
      </c>
      <c r="H225">
        <v>15</v>
      </c>
      <c r="I225">
        <v>75</v>
      </c>
      <c r="J225" t="s">
        <v>499</v>
      </c>
      <c r="K225" t="s">
        <v>410</v>
      </c>
      <c r="L225" t="s">
        <v>235</v>
      </c>
      <c r="M225" t="s">
        <v>411</v>
      </c>
      <c r="N225" t="s">
        <v>62</v>
      </c>
      <c r="O225">
        <v>0</v>
      </c>
      <c r="P225" t="s">
        <v>237</v>
      </c>
    </row>
    <row r="226" spans="1:16" x14ac:dyDescent="0.25">
      <c r="A226" t="s">
        <v>2549</v>
      </c>
      <c r="B226">
        <v>1322</v>
      </c>
      <c r="C226" t="s">
        <v>487</v>
      </c>
      <c r="D226" t="s">
        <v>247</v>
      </c>
      <c r="E226" t="s">
        <v>515</v>
      </c>
      <c r="F226" t="s">
        <v>3134</v>
      </c>
      <c r="G226" s="25">
        <v>44307</v>
      </c>
      <c r="H226">
        <v>23</v>
      </c>
      <c r="I226">
        <v>111</v>
      </c>
      <c r="J226" t="s">
        <v>499</v>
      </c>
      <c r="K226" t="s">
        <v>410</v>
      </c>
      <c r="L226" t="s">
        <v>235</v>
      </c>
      <c r="M226" t="s">
        <v>411</v>
      </c>
      <c r="N226" t="s">
        <v>62</v>
      </c>
      <c r="O226">
        <v>0</v>
      </c>
      <c r="P226" t="s">
        <v>237</v>
      </c>
    </row>
    <row r="227" spans="1:16" x14ac:dyDescent="0.25">
      <c r="A227" t="s">
        <v>298</v>
      </c>
      <c r="B227">
        <v>36</v>
      </c>
      <c r="C227" t="s">
        <v>487</v>
      </c>
      <c r="D227" t="s">
        <v>229</v>
      </c>
      <c r="E227" t="s">
        <v>256</v>
      </c>
      <c r="F227" t="s">
        <v>525</v>
      </c>
      <c r="G227" s="25">
        <v>44199</v>
      </c>
      <c r="H227">
        <v>1</v>
      </c>
      <c r="I227">
        <v>3</v>
      </c>
      <c r="J227" t="s">
        <v>499</v>
      </c>
      <c r="K227" t="s">
        <v>410</v>
      </c>
      <c r="L227" t="s">
        <v>235</v>
      </c>
      <c r="M227" t="s">
        <v>411</v>
      </c>
      <c r="N227" t="s">
        <v>62</v>
      </c>
      <c r="O227">
        <v>0</v>
      </c>
      <c r="P227" t="s">
        <v>237</v>
      </c>
    </row>
    <row r="228" spans="1:16" x14ac:dyDescent="0.25">
      <c r="A228" t="s">
        <v>379</v>
      </c>
      <c r="B228">
        <v>93</v>
      </c>
      <c r="C228" t="s">
        <v>487</v>
      </c>
      <c r="D228" t="s">
        <v>229</v>
      </c>
      <c r="E228" t="s">
        <v>381</v>
      </c>
      <c r="F228" t="s">
        <v>518</v>
      </c>
      <c r="G228" s="25">
        <v>44204</v>
      </c>
      <c r="H228">
        <v>2</v>
      </c>
      <c r="I228">
        <v>8</v>
      </c>
      <c r="J228" t="s">
        <v>499</v>
      </c>
      <c r="K228" t="s">
        <v>410</v>
      </c>
      <c r="L228" t="s">
        <v>235</v>
      </c>
      <c r="M228" t="s">
        <v>411</v>
      </c>
      <c r="N228" t="s">
        <v>62</v>
      </c>
      <c r="O228">
        <v>0</v>
      </c>
      <c r="P228" t="s">
        <v>237</v>
      </c>
    </row>
    <row r="229" spans="1:16" x14ac:dyDescent="0.25">
      <c r="A229" t="s">
        <v>813</v>
      </c>
      <c r="B229">
        <v>307</v>
      </c>
      <c r="C229" t="s">
        <v>487</v>
      </c>
      <c r="D229" t="s">
        <v>231</v>
      </c>
      <c r="E229" t="s">
        <v>247</v>
      </c>
      <c r="F229" t="s">
        <v>1088</v>
      </c>
      <c r="G229" s="25">
        <v>44222</v>
      </c>
      <c r="H229">
        <v>6</v>
      </c>
      <c r="I229">
        <v>26</v>
      </c>
      <c r="J229" t="s">
        <v>499</v>
      </c>
      <c r="K229" t="s">
        <v>410</v>
      </c>
      <c r="L229" t="s">
        <v>235</v>
      </c>
      <c r="M229" t="s">
        <v>411</v>
      </c>
      <c r="N229" t="s">
        <v>62</v>
      </c>
      <c r="O229">
        <v>0</v>
      </c>
      <c r="P229" t="s">
        <v>237</v>
      </c>
    </row>
    <row r="230" spans="1:16" x14ac:dyDescent="0.25">
      <c r="A230" t="s">
        <v>1929</v>
      </c>
      <c r="B230">
        <v>1131</v>
      </c>
      <c r="C230" t="s">
        <v>487</v>
      </c>
      <c r="D230" t="s">
        <v>322</v>
      </c>
      <c r="E230" t="s">
        <v>575</v>
      </c>
      <c r="F230" t="s">
        <v>3014</v>
      </c>
      <c r="G230" s="25">
        <v>44291</v>
      </c>
      <c r="H230">
        <v>19</v>
      </c>
      <c r="I230">
        <v>95</v>
      </c>
      <c r="J230" t="s">
        <v>499</v>
      </c>
      <c r="K230" t="s">
        <v>410</v>
      </c>
      <c r="L230" t="s">
        <v>235</v>
      </c>
      <c r="M230" t="s">
        <v>411</v>
      </c>
      <c r="N230" t="s">
        <v>62</v>
      </c>
      <c r="O230">
        <v>0</v>
      </c>
      <c r="P230" t="s">
        <v>237</v>
      </c>
    </row>
    <row r="231" spans="1:16" x14ac:dyDescent="0.25">
      <c r="A231" t="s">
        <v>849</v>
      </c>
      <c r="B231">
        <v>274</v>
      </c>
      <c r="C231" t="s">
        <v>487</v>
      </c>
      <c r="D231" t="s">
        <v>231</v>
      </c>
      <c r="E231" t="s">
        <v>256</v>
      </c>
      <c r="F231" t="s">
        <v>1064</v>
      </c>
      <c r="G231" s="25">
        <v>44219</v>
      </c>
      <c r="H231">
        <v>5</v>
      </c>
      <c r="I231">
        <v>23</v>
      </c>
      <c r="J231" t="s">
        <v>499</v>
      </c>
      <c r="K231" t="s">
        <v>410</v>
      </c>
      <c r="L231" t="s">
        <v>235</v>
      </c>
      <c r="M231" t="s">
        <v>411</v>
      </c>
      <c r="N231" t="s">
        <v>62</v>
      </c>
      <c r="O231">
        <v>0</v>
      </c>
      <c r="P231" t="s">
        <v>237</v>
      </c>
    </row>
    <row r="232" spans="1:16" x14ac:dyDescent="0.25">
      <c r="A232" t="s">
        <v>640</v>
      </c>
      <c r="B232">
        <v>164</v>
      </c>
      <c r="C232" t="s">
        <v>487</v>
      </c>
      <c r="D232" t="s">
        <v>229</v>
      </c>
      <c r="E232" t="s">
        <v>537</v>
      </c>
      <c r="F232" t="s">
        <v>538</v>
      </c>
      <c r="G232" s="25">
        <v>44210</v>
      </c>
      <c r="H232">
        <v>3</v>
      </c>
      <c r="I232">
        <v>14</v>
      </c>
      <c r="J232" t="s">
        <v>499</v>
      </c>
      <c r="K232" t="s">
        <v>410</v>
      </c>
      <c r="L232" t="s">
        <v>235</v>
      </c>
      <c r="M232" t="s">
        <v>411</v>
      </c>
      <c r="N232" t="s">
        <v>62</v>
      </c>
      <c r="O232">
        <v>0</v>
      </c>
      <c r="P232" t="s">
        <v>237</v>
      </c>
    </row>
    <row r="233" spans="1:16" x14ac:dyDescent="0.25">
      <c r="A233" t="s">
        <v>2274</v>
      </c>
      <c r="B233">
        <v>1158</v>
      </c>
      <c r="C233" t="s">
        <v>487</v>
      </c>
      <c r="D233" t="s">
        <v>322</v>
      </c>
      <c r="E233" t="s">
        <v>534</v>
      </c>
      <c r="F233" t="s">
        <v>3031</v>
      </c>
      <c r="G233" s="25">
        <v>44293</v>
      </c>
      <c r="H233">
        <v>20</v>
      </c>
      <c r="I233">
        <v>97</v>
      </c>
      <c r="J233" t="s">
        <v>499</v>
      </c>
      <c r="K233" t="s">
        <v>410</v>
      </c>
      <c r="L233" t="s">
        <v>235</v>
      </c>
      <c r="M233" t="s">
        <v>411</v>
      </c>
      <c r="N233" t="s">
        <v>62</v>
      </c>
      <c r="O233">
        <v>0</v>
      </c>
      <c r="P233" t="s">
        <v>237</v>
      </c>
    </row>
    <row r="234" spans="1:16" x14ac:dyDescent="0.25">
      <c r="A234" t="s">
        <v>1928</v>
      </c>
      <c r="B234">
        <v>706</v>
      </c>
      <c r="C234" t="s">
        <v>487</v>
      </c>
      <c r="D234" t="s">
        <v>256</v>
      </c>
      <c r="E234" t="s">
        <v>531</v>
      </c>
      <c r="F234" t="s">
        <v>1373</v>
      </c>
      <c r="G234" s="25">
        <v>44255</v>
      </c>
      <c r="H234">
        <v>12</v>
      </c>
      <c r="I234">
        <v>59</v>
      </c>
      <c r="J234" t="s">
        <v>499</v>
      </c>
      <c r="K234" t="s">
        <v>410</v>
      </c>
      <c r="L234" t="s">
        <v>235</v>
      </c>
      <c r="M234" t="s">
        <v>411</v>
      </c>
      <c r="N234" t="s">
        <v>62</v>
      </c>
      <c r="O234">
        <v>0</v>
      </c>
      <c r="P234" t="s">
        <v>237</v>
      </c>
    </row>
    <row r="235" spans="1:16" x14ac:dyDescent="0.25">
      <c r="A235" t="s">
        <v>1832</v>
      </c>
      <c r="B235">
        <v>1313</v>
      </c>
      <c r="C235" t="s">
        <v>487</v>
      </c>
      <c r="D235" t="s">
        <v>247</v>
      </c>
      <c r="E235" t="s">
        <v>239</v>
      </c>
      <c r="F235" t="s">
        <v>3118</v>
      </c>
      <c r="G235" s="25">
        <v>44306</v>
      </c>
      <c r="H235">
        <v>22</v>
      </c>
      <c r="I235">
        <v>110</v>
      </c>
      <c r="J235" t="s">
        <v>499</v>
      </c>
      <c r="K235" t="s">
        <v>410</v>
      </c>
      <c r="L235" t="s">
        <v>235</v>
      </c>
      <c r="M235" t="s">
        <v>411</v>
      </c>
      <c r="N235" t="s">
        <v>62</v>
      </c>
      <c r="O235">
        <v>0</v>
      </c>
      <c r="P235" t="s">
        <v>237</v>
      </c>
    </row>
    <row r="236" spans="1:16" x14ac:dyDescent="0.25">
      <c r="A236" t="s">
        <v>1604</v>
      </c>
      <c r="B236">
        <v>487</v>
      </c>
      <c r="C236" t="s">
        <v>487</v>
      </c>
      <c r="D236" t="s">
        <v>256</v>
      </c>
      <c r="E236" t="s">
        <v>229</v>
      </c>
      <c r="F236" t="s">
        <v>1241</v>
      </c>
      <c r="G236" s="25">
        <v>44237</v>
      </c>
      <c r="H236">
        <v>9</v>
      </c>
      <c r="I236">
        <v>41</v>
      </c>
      <c r="J236" t="s">
        <v>499</v>
      </c>
      <c r="K236" t="s">
        <v>410</v>
      </c>
      <c r="L236" t="s">
        <v>235</v>
      </c>
      <c r="M236" t="s">
        <v>411</v>
      </c>
      <c r="N236" t="s">
        <v>62</v>
      </c>
      <c r="O236">
        <v>0</v>
      </c>
      <c r="P236" t="s">
        <v>237</v>
      </c>
    </row>
    <row r="237" spans="1:16" x14ac:dyDescent="0.25">
      <c r="A237" t="s">
        <v>698</v>
      </c>
      <c r="B237">
        <v>411</v>
      </c>
      <c r="C237" t="s">
        <v>487</v>
      </c>
      <c r="D237" t="s">
        <v>231</v>
      </c>
      <c r="E237" t="s">
        <v>575</v>
      </c>
      <c r="F237" t="s">
        <v>1210</v>
      </c>
      <c r="G237" s="25">
        <v>44231</v>
      </c>
      <c r="H237">
        <v>7</v>
      </c>
      <c r="I237">
        <v>35</v>
      </c>
      <c r="J237" t="s">
        <v>499</v>
      </c>
      <c r="K237" t="s">
        <v>410</v>
      </c>
      <c r="L237" t="s">
        <v>235</v>
      </c>
      <c r="M237" t="s">
        <v>411</v>
      </c>
      <c r="N237" t="s">
        <v>62</v>
      </c>
      <c r="O237">
        <v>0</v>
      </c>
      <c r="P237" t="s">
        <v>237</v>
      </c>
    </row>
    <row r="238" spans="1:16" x14ac:dyDescent="0.25">
      <c r="A238" t="s">
        <v>863</v>
      </c>
      <c r="B238">
        <v>174</v>
      </c>
      <c r="C238" t="s">
        <v>487</v>
      </c>
      <c r="D238" t="s">
        <v>229</v>
      </c>
      <c r="E238" t="s">
        <v>575</v>
      </c>
      <c r="F238" t="s">
        <v>576</v>
      </c>
      <c r="G238" s="25">
        <v>44211</v>
      </c>
      <c r="H238">
        <v>3</v>
      </c>
      <c r="I238">
        <v>15</v>
      </c>
      <c r="J238" t="s">
        <v>499</v>
      </c>
      <c r="K238" t="s">
        <v>410</v>
      </c>
      <c r="L238" t="s">
        <v>235</v>
      </c>
      <c r="M238" t="s">
        <v>411</v>
      </c>
      <c r="N238" t="s">
        <v>62</v>
      </c>
      <c r="O238">
        <v>0</v>
      </c>
      <c r="P238" t="s">
        <v>237</v>
      </c>
    </row>
    <row r="239" spans="1:16" x14ac:dyDescent="0.25">
      <c r="A239" t="s">
        <v>1709</v>
      </c>
      <c r="B239">
        <v>1333</v>
      </c>
      <c r="C239" t="s">
        <v>487</v>
      </c>
      <c r="D239" t="s">
        <v>247</v>
      </c>
      <c r="E239" t="s">
        <v>232</v>
      </c>
      <c r="F239" t="s">
        <v>3140</v>
      </c>
      <c r="G239" s="25">
        <v>44308</v>
      </c>
      <c r="H239">
        <v>23</v>
      </c>
      <c r="I239">
        <v>112</v>
      </c>
      <c r="J239" t="s">
        <v>499</v>
      </c>
      <c r="K239" t="s">
        <v>410</v>
      </c>
      <c r="L239" t="s">
        <v>235</v>
      </c>
      <c r="M239" t="s">
        <v>411</v>
      </c>
      <c r="N239" t="s">
        <v>62</v>
      </c>
      <c r="O239">
        <v>0</v>
      </c>
      <c r="P239" t="s">
        <v>237</v>
      </c>
    </row>
    <row r="240" spans="1:16" x14ac:dyDescent="0.25">
      <c r="A240" t="s">
        <v>1980</v>
      </c>
      <c r="B240">
        <v>533</v>
      </c>
      <c r="C240" t="s">
        <v>487</v>
      </c>
      <c r="D240" t="s">
        <v>256</v>
      </c>
      <c r="E240" t="s">
        <v>322</v>
      </c>
      <c r="F240" t="s">
        <v>1288</v>
      </c>
      <c r="G240" s="25">
        <v>44241</v>
      </c>
      <c r="H240">
        <v>9</v>
      </c>
      <c r="I240">
        <v>45</v>
      </c>
      <c r="J240" t="s">
        <v>499</v>
      </c>
      <c r="K240" t="s">
        <v>410</v>
      </c>
      <c r="L240" t="s">
        <v>235</v>
      </c>
      <c r="M240" t="s">
        <v>411</v>
      </c>
      <c r="N240" t="s">
        <v>62</v>
      </c>
      <c r="O240">
        <v>0</v>
      </c>
      <c r="P240" t="s">
        <v>237</v>
      </c>
    </row>
    <row r="241" spans="1:16" x14ac:dyDescent="0.25">
      <c r="A241" t="s">
        <v>2108</v>
      </c>
      <c r="B241">
        <v>869</v>
      </c>
      <c r="C241" t="s">
        <v>487</v>
      </c>
      <c r="D241" t="s">
        <v>261</v>
      </c>
      <c r="E241" t="s">
        <v>512</v>
      </c>
      <c r="F241" t="s">
        <v>1518</v>
      </c>
      <c r="G241" s="25">
        <v>44269</v>
      </c>
      <c r="H241">
        <v>15</v>
      </c>
      <c r="I241">
        <v>73</v>
      </c>
      <c r="J241" t="s">
        <v>499</v>
      </c>
      <c r="K241" t="s">
        <v>410</v>
      </c>
      <c r="L241" t="s">
        <v>235</v>
      </c>
      <c r="M241" t="s">
        <v>411</v>
      </c>
      <c r="N241" t="s">
        <v>62</v>
      </c>
      <c r="O241">
        <v>0</v>
      </c>
      <c r="P241" t="s">
        <v>237</v>
      </c>
    </row>
    <row r="242" spans="1:16" x14ac:dyDescent="0.25">
      <c r="A242" t="s">
        <v>2300</v>
      </c>
      <c r="B242">
        <v>672</v>
      </c>
      <c r="C242" t="s">
        <v>487</v>
      </c>
      <c r="D242" t="s">
        <v>256</v>
      </c>
      <c r="E242" t="s">
        <v>620</v>
      </c>
      <c r="F242" t="s">
        <v>1350</v>
      </c>
      <c r="G242" s="25">
        <v>44252</v>
      </c>
      <c r="H242">
        <v>12</v>
      </c>
      <c r="I242">
        <v>56</v>
      </c>
      <c r="J242" t="s">
        <v>500</v>
      </c>
      <c r="K242" t="s">
        <v>265</v>
      </c>
      <c r="L242" t="s">
        <v>235</v>
      </c>
      <c r="M242" t="s">
        <v>266</v>
      </c>
      <c r="N242" t="s">
        <v>52</v>
      </c>
      <c r="O242">
        <v>10375</v>
      </c>
      <c r="P242" t="s">
        <v>237</v>
      </c>
    </row>
    <row r="243" spans="1:16" x14ac:dyDescent="0.25">
      <c r="A243" t="s">
        <v>634</v>
      </c>
      <c r="B243">
        <v>227</v>
      </c>
      <c r="C243" t="s">
        <v>487</v>
      </c>
      <c r="D243" t="s">
        <v>229</v>
      </c>
      <c r="E243" t="s">
        <v>531</v>
      </c>
      <c r="F243" t="s">
        <v>532</v>
      </c>
      <c r="G243" s="25">
        <v>44215</v>
      </c>
      <c r="H243">
        <v>4</v>
      </c>
      <c r="I243">
        <v>19</v>
      </c>
      <c r="J243" t="s">
        <v>500</v>
      </c>
      <c r="K243" t="s">
        <v>265</v>
      </c>
      <c r="L243" t="s">
        <v>235</v>
      </c>
      <c r="M243" t="s">
        <v>266</v>
      </c>
      <c r="N243" t="s">
        <v>52</v>
      </c>
      <c r="O243">
        <v>0</v>
      </c>
      <c r="P243" t="s">
        <v>237</v>
      </c>
    </row>
    <row r="244" spans="1:16" x14ac:dyDescent="0.25">
      <c r="A244" t="s">
        <v>277</v>
      </c>
      <c r="B244">
        <v>114</v>
      </c>
      <c r="C244" t="s">
        <v>487</v>
      </c>
      <c r="D244" t="s">
        <v>229</v>
      </c>
      <c r="E244" t="s">
        <v>239</v>
      </c>
      <c r="F244" t="s">
        <v>578</v>
      </c>
      <c r="G244" s="25">
        <v>44206</v>
      </c>
      <c r="H244">
        <v>2</v>
      </c>
      <c r="I244">
        <v>10</v>
      </c>
      <c r="J244" t="s">
        <v>500</v>
      </c>
      <c r="K244" t="s">
        <v>265</v>
      </c>
      <c r="L244" t="s">
        <v>235</v>
      </c>
      <c r="M244" t="s">
        <v>266</v>
      </c>
      <c r="N244" t="s">
        <v>52</v>
      </c>
      <c r="O244">
        <v>0</v>
      </c>
      <c r="P244" t="s">
        <v>237</v>
      </c>
    </row>
    <row r="245" spans="1:16" x14ac:dyDescent="0.25">
      <c r="A245" t="s">
        <v>2226</v>
      </c>
      <c r="B245">
        <v>683</v>
      </c>
      <c r="C245" t="s">
        <v>487</v>
      </c>
      <c r="D245" t="s">
        <v>256</v>
      </c>
      <c r="E245" t="s">
        <v>534</v>
      </c>
      <c r="F245" t="s">
        <v>1357</v>
      </c>
      <c r="G245" s="25">
        <v>44253</v>
      </c>
      <c r="H245">
        <v>12</v>
      </c>
      <c r="I245">
        <v>57</v>
      </c>
      <c r="J245" t="s">
        <v>500</v>
      </c>
      <c r="K245" t="s">
        <v>265</v>
      </c>
      <c r="L245" t="s">
        <v>235</v>
      </c>
      <c r="M245" t="s">
        <v>266</v>
      </c>
      <c r="N245" t="s">
        <v>52</v>
      </c>
      <c r="O245">
        <v>5625</v>
      </c>
      <c r="P245" t="s">
        <v>237</v>
      </c>
    </row>
    <row r="246" spans="1:16" x14ac:dyDescent="0.25">
      <c r="A246" t="s">
        <v>2206</v>
      </c>
      <c r="B246">
        <v>1355</v>
      </c>
      <c r="C246" t="s">
        <v>487</v>
      </c>
      <c r="D246" t="s">
        <v>247</v>
      </c>
      <c r="E246" t="s">
        <v>512</v>
      </c>
      <c r="F246" t="s">
        <v>3146</v>
      </c>
      <c r="G246" s="25">
        <v>44309</v>
      </c>
      <c r="H246">
        <v>23</v>
      </c>
      <c r="I246">
        <v>113</v>
      </c>
      <c r="J246" t="s">
        <v>500</v>
      </c>
      <c r="K246" t="s">
        <v>265</v>
      </c>
      <c r="L246" t="s">
        <v>235</v>
      </c>
      <c r="M246" t="s">
        <v>266</v>
      </c>
      <c r="N246" t="s">
        <v>52</v>
      </c>
      <c r="O246">
        <v>5250</v>
      </c>
      <c r="P246" t="s">
        <v>237</v>
      </c>
    </row>
    <row r="247" spans="1:16" x14ac:dyDescent="0.25">
      <c r="A247" t="s">
        <v>2885</v>
      </c>
      <c r="B247">
        <v>582</v>
      </c>
      <c r="C247" t="s">
        <v>487</v>
      </c>
      <c r="D247" t="s">
        <v>256</v>
      </c>
      <c r="E247" t="s">
        <v>371</v>
      </c>
      <c r="F247" t="s">
        <v>1318</v>
      </c>
      <c r="G247" s="25">
        <v>44245</v>
      </c>
      <c r="H247">
        <v>10</v>
      </c>
      <c r="I247">
        <v>49</v>
      </c>
      <c r="J247" t="s">
        <v>500</v>
      </c>
      <c r="K247" t="s">
        <v>265</v>
      </c>
      <c r="L247" t="s">
        <v>235</v>
      </c>
      <c r="M247" t="s">
        <v>266</v>
      </c>
      <c r="N247" t="s">
        <v>52</v>
      </c>
      <c r="O247">
        <v>0</v>
      </c>
      <c r="P247" t="s">
        <v>237</v>
      </c>
    </row>
    <row r="248" spans="1:16" x14ac:dyDescent="0.25">
      <c r="A248" t="s">
        <v>2540</v>
      </c>
      <c r="B248">
        <v>687</v>
      </c>
      <c r="C248" t="s">
        <v>487</v>
      </c>
      <c r="D248" t="s">
        <v>256</v>
      </c>
      <c r="E248" t="s">
        <v>552</v>
      </c>
      <c r="F248" t="s">
        <v>1365</v>
      </c>
      <c r="G248" s="25">
        <v>44254</v>
      </c>
      <c r="H248">
        <v>12</v>
      </c>
      <c r="I248">
        <v>58</v>
      </c>
      <c r="J248" t="s">
        <v>500</v>
      </c>
      <c r="K248" t="s">
        <v>265</v>
      </c>
      <c r="L248" t="s">
        <v>235</v>
      </c>
      <c r="M248" t="s">
        <v>266</v>
      </c>
      <c r="N248" t="s">
        <v>52</v>
      </c>
      <c r="O248">
        <v>0</v>
      </c>
      <c r="P248" t="s">
        <v>237</v>
      </c>
    </row>
    <row r="249" spans="1:16" x14ac:dyDescent="0.25">
      <c r="A249" t="s">
        <v>2679</v>
      </c>
      <c r="B249">
        <v>1049</v>
      </c>
      <c r="C249" t="s">
        <v>487</v>
      </c>
      <c r="D249" t="s">
        <v>322</v>
      </c>
      <c r="E249" t="s">
        <v>381</v>
      </c>
      <c r="F249" t="s">
        <v>2971</v>
      </c>
      <c r="G249" s="25">
        <v>44284</v>
      </c>
      <c r="H249">
        <v>18</v>
      </c>
      <c r="I249">
        <v>88</v>
      </c>
      <c r="J249" t="s">
        <v>500</v>
      </c>
      <c r="K249" t="s">
        <v>265</v>
      </c>
      <c r="L249" t="s">
        <v>235</v>
      </c>
      <c r="M249" t="s">
        <v>266</v>
      </c>
      <c r="N249" t="s">
        <v>52</v>
      </c>
      <c r="O249">
        <v>0</v>
      </c>
      <c r="P249" t="s">
        <v>237</v>
      </c>
    </row>
    <row r="250" spans="1:16" x14ac:dyDescent="0.25">
      <c r="A250" t="s">
        <v>2114</v>
      </c>
      <c r="B250">
        <v>703</v>
      </c>
      <c r="C250" t="s">
        <v>487</v>
      </c>
      <c r="D250" t="s">
        <v>256</v>
      </c>
      <c r="E250" t="s">
        <v>531</v>
      </c>
      <c r="F250" t="s">
        <v>1373</v>
      </c>
      <c r="G250" s="25">
        <v>44255</v>
      </c>
      <c r="H250">
        <v>12</v>
      </c>
      <c r="I250">
        <v>59</v>
      </c>
      <c r="J250" t="s">
        <v>500</v>
      </c>
      <c r="K250" t="s">
        <v>265</v>
      </c>
      <c r="L250" t="s">
        <v>235</v>
      </c>
      <c r="M250" t="s">
        <v>266</v>
      </c>
      <c r="N250" t="s">
        <v>52</v>
      </c>
      <c r="O250">
        <v>0</v>
      </c>
      <c r="P250" t="s">
        <v>237</v>
      </c>
    </row>
    <row r="251" spans="1:16" x14ac:dyDescent="0.25">
      <c r="A251" t="s">
        <v>360</v>
      </c>
      <c r="B251">
        <v>29</v>
      </c>
      <c r="C251" t="s">
        <v>487</v>
      </c>
      <c r="D251" t="s">
        <v>229</v>
      </c>
      <c r="E251" t="s">
        <v>256</v>
      </c>
      <c r="F251" t="s">
        <v>525</v>
      </c>
      <c r="G251" s="25">
        <v>44199</v>
      </c>
      <c r="H251">
        <v>1</v>
      </c>
      <c r="I251">
        <v>3</v>
      </c>
      <c r="J251" t="s">
        <v>500</v>
      </c>
      <c r="K251" t="s">
        <v>265</v>
      </c>
      <c r="L251" t="s">
        <v>235</v>
      </c>
      <c r="M251" t="s">
        <v>266</v>
      </c>
      <c r="N251" t="s">
        <v>52</v>
      </c>
      <c r="O251">
        <v>0</v>
      </c>
      <c r="P251" t="s">
        <v>237</v>
      </c>
    </row>
    <row r="252" spans="1:16" x14ac:dyDescent="0.25">
      <c r="A252" t="s">
        <v>2788</v>
      </c>
      <c r="B252">
        <v>711</v>
      </c>
      <c r="C252" t="s">
        <v>487</v>
      </c>
      <c r="D252" t="s">
        <v>256</v>
      </c>
      <c r="E252" t="s">
        <v>408</v>
      </c>
      <c r="F252" t="s">
        <v>1383</v>
      </c>
      <c r="G252" s="25">
        <v>44256</v>
      </c>
      <c r="H252">
        <v>12</v>
      </c>
      <c r="I252">
        <v>60</v>
      </c>
      <c r="J252" t="s">
        <v>500</v>
      </c>
      <c r="K252" t="s">
        <v>265</v>
      </c>
      <c r="L252" t="s">
        <v>235</v>
      </c>
      <c r="M252" t="s">
        <v>266</v>
      </c>
      <c r="N252" t="s">
        <v>52</v>
      </c>
      <c r="O252">
        <v>0</v>
      </c>
      <c r="P252" t="s">
        <v>237</v>
      </c>
    </row>
    <row r="253" spans="1:16" x14ac:dyDescent="0.25">
      <c r="A253" t="s">
        <v>2412</v>
      </c>
      <c r="B253">
        <v>1120</v>
      </c>
      <c r="C253" t="s">
        <v>487</v>
      </c>
      <c r="D253" t="s">
        <v>322</v>
      </c>
      <c r="E253" t="s">
        <v>537</v>
      </c>
      <c r="F253" t="s">
        <v>2999</v>
      </c>
      <c r="G253" s="25">
        <v>44290</v>
      </c>
      <c r="H253">
        <v>19</v>
      </c>
      <c r="I253">
        <v>94</v>
      </c>
      <c r="J253" t="s">
        <v>500</v>
      </c>
      <c r="K253" t="s">
        <v>265</v>
      </c>
      <c r="L253" t="s">
        <v>235</v>
      </c>
      <c r="M253" t="s">
        <v>266</v>
      </c>
      <c r="N253" t="s">
        <v>52</v>
      </c>
      <c r="O253">
        <v>0</v>
      </c>
      <c r="P253" t="s">
        <v>237</v>
      </c>
    </row>
    <row r="254" spans="1:16" x14ac:dyDescent="0.25">
      <c r="A254" t="s">
        <v>2740</v>
      </c>
      <c r="B254">
        <v>1335</v>
      </c>
      <c r="C254" t="s">
        <v>487</v>
      </c>
      <c r="D254" t="s">
        <v>247</v>
      </c>
      <c r="E254" t="s">
        <v>232</v>
      </c>
      <c r="F254" t="s">
        <v>3140</v>
      </c>
      <c r="G254" s="25">
        <v>44308</v>
      </c>
      <c r="H254">
        <v>23</v>
      </c>
      <c r="I254">
        <v>112</v>
      </c>
      <c r="J254" t="s">
        <v>500</v>
      </c>
      <c r="K254" t="s">
        <v>265</v>
      </c>
      <c r="L254" t="s">
        <v>235</v>
      </c>
      <c r="M254" t="s">
        <v>266</v>
      </c>
      <c r="N254" t="s">
        <v>52</v>
      </c>
      <c r="O254">
        <v>0</v>
      </c>
      <c r="P254" t="s">
        <v>237</v>
      </c>
    </row>
    <row r="255" spans="1:16" x14ac:dyDescent="0.25">
      <c r="A255" t="s">
        <v>2696</v>
      </c>
      <c r="B255">
        <v>1328</v>
      </c>
      <c r="C255" t="s">
        <v>487</v>
      </c>
      <c r="D255" t="s">
        <v>247</v>
      </c>
      <c r="E255" t="s">
        <v>515</v>
      </c>
      <c r="F255" t="s">
        <v>3134</v>
      </c>
      <c r="G255" s="25">
        <v>44307</v>
      </c>
      <c r="H255">
        <v>23</v>
      </c>
      <c r="I255">
        <v>111</v>
      </c>
      <c r="J255" t="s">
        <v>500</v>
      </c>
      <c r="K255" t="s">
        <v>265</v>
      </c>
      <c r="L255" t="s">
        <v>235</v>
      </c>
      <c r="M255" t="s">
        <v>266</v>
      </c>
      <c r="N255" t="s">
        <v>52</v>
      </c>
      <c r="O255">
        <v>0</v>
      </c>
      <c r="P255" t="s">
        <v>237</v>
      </c>
    </row>
    <row r="256" spans="1:16" x14ac:dyDescent="0.25">
      <c r="A256" t="s">
        <v>662</v>
      </c>
      <c r="B256">
        <v>216</v>
      </c>
      <c r="C256" t="s">
        <v>487</v>
      </c>
      <c r="D256" t="s">
        <v>229</v>
      </c>
      <c r="E256" t="s">
        <v>552</v>
      </c>
      <c r="F256" t="s">
        <v>553</v>
      </c>
      <c r="G256" s="25">
        <v>44214</v>
      </c>
      <c r="H256">
        <v>4</v>
      </c>
      <c r="I256">
        <v>18</v>
      </c>
      <c r="J256" t="s">
        <v>500</v>
      </c>
      <c r="K256" t="s">
        <v>265</v>
      </c>
      <c r="L256" t="s">
        <v>235</v>
      </c>
      <c r="M256" t="s">
        <v>266</v>
      </c>
      <c r="N256" t="s">
        <v>52</v>
      </c>
      <c r="O256">
        <v>20500</v>
      </c>
      <c r="P256" t="s">
        <v>237</v>
      </c>
    </row>
    <row r="257" spans="1:16" x14ac:dyDescent="0.25">
      <c r="A257" t="s">
        <v>2769</v>
      </c>
      <c r="B257">
        <v>730</v>
      </c>
      <c r="C257" t="s">
        <v>487</v>
      </c>
      <c r="D257" t="s">
        <v>261</v>
      </c>
      <c r="E257" t="s">
        <v>229</v>
      </c>
      <c r="F257" t="s">
        <v>1388</v>
      </c>
      <c r="G257" s="25">
        <v>44257</v>
      </c>
      <c r="H257">
        <v>13</v>
      </c>
      <c r="I257">
        <v>61</v>
      </c>
      <c r="J257" t="s">
        <v>500</v>
      </c>
      <c r="K257" t="s">
        <v>265</v>
      </c>
      <c r="L257" t="s">
        <v>235</v>
      </c>
      <c r="M257" t="s">
        <v>266</v>
      </c>
      <c r="N257" t="s">
        <v>52</v>
      </c>
      <c r="O257">
        <v>0</v>
      </c>
      <c r="P257" t="s">
        <v>237</v>
      </c>
    </row>
    <row r="258" spans="1:16" x14ac:dyDescent="0.25">
      <c r="A258" t="s">
        <v>2515</v>
      </c>
      <c r="B258">
        <v>1085</v>
      </c>
      <c r="C258" t="s">
        <v>487</v>
      </c>
      <c r="D258" t="s">
        <v>322</v>
      </c>
      <c r="E258" t="s">
        <v>515</v>
      </c>
      <c r="F258" t="s">
        <v>2983</v>
      </c>
      <c r="G258" s="25">
        <v>44287</v>
      </c>
      <c r="H258">
        <v>19</v>
      </c>
      <c r="I258">
        <v>91</v>
      </c>
      <c r="J258" t="s">
        <v>500</v>
      </c>
      <c r="K258" t="s">
        <v>265</v>
      </c>
      <c r="L258" t="s">
        <v>235</v>
      </c>
      <c r="M258" t="s">
        <v>266</v>
      </c>
      <c r="N258" t="s">
        <v>52</v>
      </c>
      <c r="O258">
        <v>0</v>
      </c>
      <c r="P258" t="s">
        <v>237</v>
      </c>
    </row>
    <row r="259" spans="1:16" x14ac:dyDescent="0.25">
      <c r="A259" t="s">
        <v>2216</v>
      </c>
      <c r="B259">
        <v>1037</v>
      </c>
      <c r="C259" t="s">
        <v>487</v>
      </c>
      <c r="D259" t="s">
        <v>322</v>
      </c>
      <c r="E259" t="s">
        <v>326</v>
      </c>
      <c r="F259" t="s">
        <v>2967</v>
      </c>
      <c r="G259" s="25">
        <v>44283</v>
      </c>
      <c r="H259">
        <v>18</v>
      </c>
      <c r="I259">
        <v>87</v>
      </c>
      <c r="J259" t="s">
        <v>500</v>
      </c>
      <c r="K259" t="s">
        <v>265</v>
      </c>
      <c r="L259" t="s">
        <v>235</v>
      </c>
      <c r="M259" t="s">
        <v>266</v>
      </c>
      <c r="N259" t="s">
        <v>52</v>
      </c>
      <c r="O259">
        <v>0</v>
      </c>
      <c r="P259" t="s">
        <v>237</v>
      </c>
    </row>
    <row r="260" spans="1:16" x14ac:dyDescent="0.25">
      <c r="A260" t="s">
        <v>2126</v>
      </c>
      <c r="B260">
        <v>742</v>
      </c>
      <c r="C260" t="s">
        <v>487</v>
      </c>
      <c r="D260" t="s">
        <v>261</v>
      </c>
      <c r="E260" t="s">
        <v>231</v>
      </c>
      <c r="F260" t="s">
        <v>1400</v>
      </c>
      <c r="G260" s="25">
        <v>44258</v>
      </c>
      <c r="H260">
        <v>13</v>
      </c>
      <c r="I260">
        <v>62</v>
      </c>
      <c r="J260" t="s">
        <v>500</v>
      </c>
      <c r="K260" t="s">
        <v>265</v>
      </c>
      <c r="L260" t="s">
        <v>235</v>
      </c>
      <c r="M260" t="s">
        <v>266</v>
      </c>
      <c r="N260" t="s">
        <v>52</v>
      </c>
      <c r="O260">
        <v>0</v>
      </c>
      <c r="P260" t="s">
        <v>237</v>
      </c>
    </row>
    <row r="261" spans="1:16" x14ac:dyDescent="0.25">
      <c r="A261" t="s">
        <v>1953</v>
      </c>
      <c r="B261">
        <v>746</v>
      </c>
      <c r="C261" t="s">
        <v>487</v>
      </c>
      <c r="D261" t="s">
        <v>261</v>
      </c>
      <c r="E261" t="s">
        <v>256</v>
      </c>
      <c r="F261" t="s">
        <v>1402</v>
      </c>
      <c r="G261" s="25">
        <v>44259</v>
      </c>
      <c r="H261">
        <v>13</v>
      </c>
      <c r="I261">
        <v>63</v>
      </c>
      <c r="J261" t="s">
        <v>500</v>
      </c>
      <c r="K261" t="s">
        <v>265</v>
      </c>
      <c r="L261" t="s">
        <v>235</v>
      </c>
      <c r="M261" t="s">
        <v>266</v>
      </c>
      <c r="N261" t="s">
        <v>52</v>
      </c>
      <c r="O261">
        <v>0</v>
      </c>
      <c r="P261" t="s">
        <v>237</v>
      </c>
    </row>
    <row r="262" spans="1:16" x14ac:dyDescent="0.25">
      <c r="A262" t="s">
        <v>2425</v>
      </c>
      <c r="B262">
        <v>1311</v>
      </c>
      <c r="C262" t="s">
        <v>487</v>
      </c>
      <c r="D262" t="s">
        <v>247</v>
      </c>
      <c r="E262" t="s">
        <v>239</v>
      </c>
      <c r="F262" t="s">
        <v>3118</v>
      </c>
      <c r="G262" s="25">
        <v>44306</v>
      </c>
      <c r="H262">
        <v>22</v>
      </c>
      <c r="I262">
        <v>110</v>
      </c>
      <c r="J262" t="s">
        <v>500</v>
      </c>
      <c r="K262" t="s">
        <v>265</v>
      </c>
      <c r="L262" t="s">
        <v>235</v>
      </c>
      <c r="M262" t="s">
        <v>266</v>
      </c>
      <c r="N262" t="s">
        <v>52</v>
      </c>
      <c r="O262">
        <v>0</v>
      </c>
      <c r="P262" t="s">
        <v>237</v>
      </c>
    </row>
    <row r="263" spans="1:16" x14ac:dyDescent="0.25">
      <c r="A263" t="s">
        <v>2241</v>
      </c>
      <c r="B263">
        <v>601</v>
      </c>
      <c r="C263" t="s">
        <v>487</v>
      </c>
      <c r="D263" t="s">
        <v>256</v>
      </c>
      <c r="E263" t="s">
        <v>515</v>
      </c>
      <c r="F263" t="s">
        <v>1329</v>
      </c>
      <c r="G263" s="25">
        <v>44247</v>
      </c>
      <c r="H263">
        <v>11</v>
      </c>
      <c r="I263">
        <v>51</v>
      </c>
      <c r="J263" t="s">
        <v>500</v>
      </c>
      <c r="K263" t="s">
        <v>265</v>
      </c>
      <c r="L263" t="s">
        <v>235</v>
      </c>
      <c r="M263" t="s">
        <v>266</v>
      </c>
      <c r="N263" t="s">
        <v>52</v>
      </c>
      <c r="O263">
        <v>0</v>
      </c>
      <c r="P263" t="s">
        <v>237</v>
      </c>
    </row>
    <row r="264" spans="1:16" x14ac:dyDescent="0.25">
      <c r="A264" t="s">
        <v>792</v>
      </c>
      <c r="B264">
        <v>251</v>
      </c>
      <c r="C264" t="s">
        <v>487</v>
      </c>
      <c r="D264" t="s">
        <v>231</v>
      </c>
      <c r="E264" t="s">
        <v>229</v>
      </c>
      <c r="F264" t="s">
        <v>541</v>
      </c>
      <c r="G264" s="25">
        <v>44217</v>
      </c>
      <c r="H264">
        <v>5</v>
      </c>
      <c r="I264">
        <v>21</v>
      </c>
      <c r="J264" t="s">
        <v>500</v>
      </c>
      <c r="K264" t="s">
        <v>265</v>
      </c>
      <c r="L264" t="s">
        <v>235</v>
      </c>
      <c r="M264" t="s">
        <v>266</v>
      </c>
      <c r="N264" t="s">
        <v>52</v>
      </c>
      <c r="O264">
        <v>0</v>
      </c>
      <c r="P264" t="s">
        <v>237</v>
      </c>
    </row>
    <row r="265" spans="1:16" x14ac:dyDescent="0.25">
      <c r="A265" t="s">
        <v>2564</v>
      </c>
      <c r="B265">
        <v>1429</v>
      </c>
      <c r="C265" t="s">
        <v>487</v>
      </c>
      <c r="D265" t="s">
        <v>247</v>
      </c>
      <c r="E265" t="s">
        <v>408</v>
      </c>
      <c r="F265" t="s">
        <v>3178</v>
      </c>
      <c r="G265" s="25">
        <v>44316</v>
      </c>
      <c r="H265">
        <v>24</v>
      </c>
      <c r="I265">
        <v>120</v>
      </c>
      <c r="J265" t="s">
        <v>500</v>
      </c>
      <c r="K265" t="s">
        <v>265</v>
      </c>
      <c r="L265" t="s">
        <v>235</v>
      </c>
      <c r="M265" t="s">
        <v>266</v>
      </c>
      <c r="N265" t="s">
        <v>52</v>
      </c>
      <c r="O265">
        <v>0</v>
      </c>
      <c r="P265" t="s">
        <v>237</v>
      </c>
    </row>
    <row r="266" spans="1:16" x14ac:dyDescent="0.25">
      <c r="A266" t="s">
        <v>367</v>
      </c>
      <c r="B266">
        <v>107</v>
      </c>
      <c r="C266" t="s">
        <v>487</v>
      </c>
      <c r="D266" t="s">
        <v>229</v>
      </c>
      <c r="E266" t="s">
        <v>371</v>
      </c>
      <c r="F266" t="s">
        <v>557</v>
      </c>
      <c r="G266" s="25">
        <v>44205</v>
      </c>
      <c r="H266">
        <v>2</v>
      </c>
      <c r="I266">
        <v>9</v>
      </c>
      <c r="J266" t="s">
        <v>500</v>
      </c>
      <c r="K266" t="s">
        <v>265</v>
      </c>
      <c r="L266" t="s">
        <v>235</v>
      </c>
      <c r="M266" t="s">
        <v>266</v>
      </c>
      <c r="N266" t="s">
        <v>52</v>
      </c>
      <c r="O266">
        <v>0</v>
      </c>
      <c r="P266" t="s">
        <v>237</v>
      </c>
    </row>
    <row r="267" spans="1:16" x14ac:dyDescent="0.25">
      <c r="A267" t="s">
        <v>2875</v>
      </c>
      <c r="B267">
        <v>618</v>
      </c>
      <c r="C267" t="s">
        <v>487</v>
      </c>
      <c r="D267" t="s">
        <v>256</v>
      </c>
      <c r="E267" t="s">
        <v>232</v>
      </c>
      <c r="F267" t="s">
        <v>1337</v>
      </c>
      <c r="G267" s="25">
        <v>44248</v>
      </c>
      <c r="H267">
        <v>11</v>
      </c>
      <c r="I267">
        <v>52</v>
      </c>
      <c r="J267" t="s">
        <v>500</v>
      </c>
      <c r="K267" t="s">
        <v>265</v>
      </c>
      <c r="L267" t="s">
        <v>235</v>
      </c>
      <c r="M267" t="s">
        <v>266</v>
      </c>
      <c r="N267" t="s">
        <v>52</v>
      </c>
      <c r="O267">
        <v>0</v>
      </c>
      <c r="P267" t="s">
        <v>237</v>
      </c>
    </row>
    <row r="268" spans="1:16" x14ac:dyDescent="0.25">
      <c r="A268" t="s">
        <v>2424</v>
      </c>
      <c r="B268">
        <v>1421</v>
      </c>
      <c r="C268" t="s">
        <v>487</v>
      </c>
      <c r="D268" t="s">
        <v>247</v>
      </c>
      <c r="E268" t="s">
        <v>531</v>
      </c>
      <c r="F268" t="s">
        <v>3173</v>
      </c>
      <c r="G268" s="25">
        <v>44315</v>
      </c>
      <c r="H268">
        <v>24</v>
      </c>
      <c r="I268">
        <v>119</v>
      </c>
      <c r="J268" t="s">
        <v>500</v>
      </c>
      <c r="K268" t="s">
        <v>265</v>
      </c>
      <c r="L268" t="s">
        <v>235</v>
      </c>
      <c r="M268" t="s">
        <v>266</v>
      </c>
      <c r="N268" t="s">
        <v>52</v>
      </c>
      <c r="O268">
        <v>0</v>
      </c>
      <c r="P268" t="s">
        <v>237</v>
      </c>
    </row>
    <row r="269" spans="1:16" x14ac:dyDescent="0.25">
      <c r="A269" t="s">
        <v>2421</v>
      </c>
      <c r="B269">
        <v>629</v>
      </c>
      <c r="C269" t="s">
        <v>487</v>
      </c>
      <c r="D269" t="s">
        <v>256</v>
      </c>
      <c r="E269" t="s">
        <v>512</v>
      </c>
      <c r="F269" t="s">
        <v>1342</v>
      </c>
      <c r="G269" s="25">
        <v>44249</v>
      </c>
      <c r="H269">
        <v>11</v>
      </c>
      <c r="I269">
        <v>53</v>
      </c>
      <c r="J269" t="s">
        <v>500</v>
      </c>
      <c r="K269" t="s">
        <v>265</v>
      </c>
      <c r="L269" t="s">
        <v>235</v>
      </c>
      <c r="M269" t="s">
        <v>266</v>
      </c>
      <c r="N269" t="s">
        <v>52</v>
      </c>
      <c r="O269">
        <v>0</v>
      </c>
      <c r="P269" t="s">
        <v>237</v>
      </c>
    </row>
    <row r="270" spans="1:16" x14ac:dyDescent="0.25">
      <c r="A270" t="s">
        <v>1896</v>
      </c>
      <c r="B270">
        <v>1108</v>
      </c>
      <c r="C270" t="s">
        <v>487</v>
      </c>
      <c r="D270" t="s">
        <v>322</v>
      </c>
      <c r="E270" t="s">
        <v>512</v>
      </c>
      <c r="F270" t="s">
        <v>2991</v>
      </c>
      <c r="G270" s="25">
        <v>44289</v>
      </c>
      <c r="H270">
        <v>19</v>
      </c>
      <c r="I270">
        <v>93</v>
      </c>
      <c r="J270" t="s">
        <v>500</v>
      </c>
      <c r="K270" t="s">
        <v>265</v>
      </c>
      <c r="L270" t="s">
        <v>235</v>
      </c>
      <c r="M270" t="s">
        <v>266</v>
      </c>
      <c r="N270" t="s">
        <v>52</v>
      </c>
      <c r="O270">
        <v>0</v>
      </c>
      <c r="P270" t="s">
        <v>237</v>
      </c>
    </row>
    <row r="271" spans="1:16" x14ac:dyDescent="0.25">
      <c r="A271" t="s">
        <v>1785</v>
      </c>
      <c r="B271">
        <v>1405</v>
      </c>
      <c r="C271" t="s">
        <v>487</v>
      </c>
      <c r="D271" t="s">
        <v>247</v>
      </c>
      <c r="E271" t="s">
        <v>552</v>
      </c>
      <c r="F271" t="s">
        <v>3170</v>
      </c>
      <c r="G271" s="25">
        <v>44314</v>
      </c>
      <c r="H271">
        <v>24</v>
      </c>
      <c r="I271">
        <v>118</v>
      </c>
      <c r="J271" t="s">
        <v>500</v>
      </c>
      <c r="K271" t="s">
        <v>265</v>
      </c>
      <c r="L271" t="s">
        <v>235</v>
      </c>
      <c r="M271" t="s">
        <v>266</v>
      </c>
      <c r="N271" t="s">
        <v>52</v>
      </c>
      <c r="O271">
        <v>0</v>
      </c>
      <c r="P271" t="s">
        <v>237</v>
      </c>
    </row>
    <row r="272" spans="1:16" x14ac:dyDescent="0.25">
      <c r="A272" t="s">
        <v>2546</v>
      </c>
      <c r="B272">
        <v>639</v>
      </c>
      <c r="C272" t="s">
        <v>487</v>
      </c>
      <c r="D272" t="s">
        <v>256</v>
      </c>
      <c r="E272" t="s">
        <v>537</v>
      </c>
      <c r="F272" t="s">
        <v>1348</v>
      </c>
      <c r="G272" s="25">
        <v>44250</v>
      </c>
      <c r="H272">
        <v>11</v>
      </c>
      <c r="I272">
        <v>54</v>
      </c>
      <c r="J272" t="s">
        <v>500</v>
      </c>
      <c r="K272" t="s">
        <v>265</v>
      </c>
      <c r="L272" t="s">
        <v>235</v>
      </c>
      <c r="M272" t="s">
        <v>266</v>
      </c>
      <c r="N272" t="s">
        <v>52</v>
      </c>
      <c r="O272">
        <v>0</v>
      </c>
      <c r="P272" t="s">
        <v>237</v>
      </c>
    </row>
    <row r="273" spans="1:16" x14ac:dyDescent="0.25">
      <c r="A273" t="s">
        <v>377</v>
      </c>
      <c r="B273">
        <v>5</v>
      </c>
      <c r="C273" t="s">
        <v>487</v>
      </c>
      <c r="D273" t="s">
        <v>229</v>
      </c>
      <c r="E273" t="s">
        <v>229</v>
      </c>
      <c r="F273" t="s">
        <v>230</v>
      </c>
      <c r="G273" s="25">
        <v>44197</v>
      </c>
      <c r="H273">
        <v>1</v>
      </c>
      <c r="I273">
        <v>1</v>
      </c>
      <c r="J273" t="s">
        <v>500</v>
      </c>
      <c r="K273" t="s">
        <v>265</v>
      </c>
      <c r="L273" t="s">
        <v>235</v>
      </c>
      <c r="M273" t="s">
        <v>266</v>
      </c>
      <c r="N273" t="s">
        <v>52</v>
      </c>
      <c r="O273">
        <v>0</v>
      </c>
      <c r="P273" t="s">
        <v>237</v>
      </c>
    </row>
    <row r="274" spans="1:16" x14ac:dyDescent="0.25">
      <c r="A274" t="s">
        <v>1881</v>
      </c>
      <c r="B274">
        <v>1071</v>
      </c>
      <c r="C274" t="s">
        <v>487</v>
      </c>
      <c r="D274" t="s">
        <v>322</v>
      </c>
      <c r="E274" t="s">
        <v>239</v>
      </c>
      <c r="F274" t="s">
        <v>2979</v>
      </c>
      <c r="G274" s="25">
        <v>44286</v>
      </c>
      <c r="H274">
        <v>18</v>
      </c>
      <c r="I274">
        <v>90</v>
      </c>
      <c r="J274" t="s">
        <v>500</v>
      </c>
      <c r="K274" t="s">
        <v>265</v>
      </c>
      <c r="L274" t="s">
        <v>235</v>
      </c>
      <c r="M274" t="s">
        <v>266</v>
      </c>
      <c r="N274" t="s">
        <v>52</v>
      </c>
      <c r="O274">
        <v>0</v>
      </c>
      <c r="P274" t="s">
        <v>237</v>
      </c>
    </row>
    <row r="275" spans="1:16" x14ac:dyDescent="0.25">
      <c r="A275" t="s">
        <v>2703</v>
      </c>
      <c r="B275">
        <v>1400</v>
      </c>
      <c r="C275" t="s">
        <v>487</v>
      </c>
      <c r="D275" t="s">
        <v>247</v>
      </c>
      <c r="E275" t="s">
        <v>534</v>
      </c>
      <c r="F275" t="s">
        <v>3166</v>
      </c>
      <c r="G275" s="25">
        <v>44313</v>
      </c>
      <c r="H275">
        <v>24</v>
      </c>
      <c r="I275">
        <v>117</v>
      </c>
      <c r="J275" t="s">
        <v>500</v>
      </c>
      <c r="K275" t="s">
        <v>265</v>
      </c>
      <c r="L275" t="s">
        <v>235</v>
      </c>
      <c r="M275" t="s">
        <v>266</v>
      </c>
      <c r="N275" t="s">
        <v>52</v>
      </c>
      <c r="O275">
        <v>0</v>
      </c>
      <c r="P275" t="s">
        <v>237</v>
      </c>
    </row>
    <row r="276" spans="1:16" x14ac:dyDescent="0.25">
      <c r="A276" t="s">
        <v>1922</v>
      </c>
      <c r="B276">
        <v>1387</v>
      </c>
      <c r="C276" t="s">
        <v>487</v>
      </c>
      <c r="D276" t="s">
        <v>247</v>
      </c>
      <c r="E276" t="s">
        <v>620</v>
      </c>
      <c r="F276" t="s">
        <v>3162</v>
      </c>
      <c r="G276" s="25">
        <v>44312</v>
      </c>
      <c r="H276">
        <v>24</v>
      </c>
      <c r="I276">
        <v>116</v>
      </c>
      <c r="J276" t="s">
        <v>500</v>
      </c>
      <c r="K276" t="s">
        <v>265</v>
      </c>
      <c r="L276" t="s">
        <v>235</v>
      </c>
      <c r="M276" t="s">
        <v>266</v>
      </c>
      <c r="N276" t="s">
        <v>52</v>
      </c>
      <c r="O276">
        <v>0</v>
      </c>
      <c r="P276" t="s">
        <v>237</v>
      </c>
    </row>
    <row r="277" spans="1:16" x14ac:dyDescent="0.25">
      <c r="A277" t="s">
        <v>2137</v>
      </c>
      <c r="B277">
        <v>589</v>
      </c>
      <c r="C277" t="s">
        <v>487</v>
      </c>
      <c r="D277" t="s">
        <v>256</v>
      </c>
      <c r="E277" t="s">
        <v>239</v>
      </c>
      <c r="F277" t="s">
        <v>1322</v>
      </c>
      <c r="G277" s="25">
        <v>44246</v>
      </c>
      <c r="H277">
        <v>10</v>
      </c>
      <c r="I277">
        <v>50</v>
      </c>
      <c r="J277" t="s">
        <v>500</v>
      </c>
      <c r="K277" t="s">
        <v>265</v>
      </c>
      <c r="L277" t="s">
        <v>235</v>
      </c>
      <c r="M277" t="s">
        <v>266</v>
      </c>
      <c r="N277" t="s">
        <v>52</v>
      </c>
      <c r="O277">
        <v>0</v>
      </c>
      <c r="P277" t="s">
        <v>237</v>
      </c>
    </row>
    <row r="278" spans="1:16" x14ac:dyDescent="0.25">
      <c r="A278" t="s">
        <v>2006</v>
      </c>
      <c r="B278">
        <v>1094</v>
      </c>
      <c r="C278" t="s">
        <v>487</v>
      </c>
      <c r="D278" t="s">
        <v>322</v>
      </c>
      <c r="E278" t="s">
        <v>232</v>
      </c>
      <c r="F278" t="s">
        <v>2987</v>
      </c>
      <c r="G278" s="25">
        <v>44288</v>
      </c>
      <c r="H278">
        <v>19</v>
      </c>
      <c r="I278">
        <v>92</v>
      </c>
      <c r="J278" t="s">
        <v>500</v>
      </c>
      <c r="K278" t="s">
        <v>265</v>
      </c>
      <c r="L278" t="s">
        <v>235</v>
      </c>
      <c r="M278" t="s">
        <v>266</v>
      </c>
      <c r="N278" t="s">
        <v>52</v>
      </c>
      <c r="O278">
        <v>0</v>
      </c>
      <c r="P278" t="s">
        <v>237</v>
      </c>
    </row>
    <row r="279" spans="1:16" x14ac:dyDescent="0.25">
      <c r="A279" t="s">
        <v>2531</v>
      </c>
      <c r="B279">
        <v>653</v>
      </c>
      <c r="C279" t="s">
        <v>487</v>
      </c>
      <c r="D279" t="s">
        <v>256</v>
      </c>
      <c r="E279" t="s">
        <v>575</v>
      </c>
      <c r="F279" t="s">
        <v>1668</v>
      </c>
      <c r="G279" s="25">
        <v>44251</v>
      </c>
      <c r="H279">
        <v>11</v>
      </c>
      <c r="I279">
        <v>55</v>
      </c>
      <c r="J279" t="s">
        <v>500</v>
      </c>
      <c r="K279" t="s">
        <v>265</v>
      </c>
      <c r="L279" t="s">
        <v>235</v>
      </c>
      <c r="M279" t="s">
        <v>266</v>
      </c>
      <c r="N279" t="s">
        <v>52</v>
      </c>
      <c r="O279">
        <v>0</v>
      </c>
      <c r="P279" t="s">
        <v>237</v>
      </c>
    </row>
    <row r="280" spans="1:16" x14ac:dyDescent="0.25">
      <c r="A280" t="s">
        <v>356</v>
      </c>
      <c r="B280">
        <v>17</v>
      </c>
      <c r="C280" t="s">
        <v>487</v>
      </c>
      <c r="D280" t="s">
        <v>229</v>
      </c>
      <c r="E280" t="s">
        <v>231</v>
      </c>
      <c r="F280" t="s">
        <v>568</v>
      </c>
      <c r="G280" s="25">
        <v>44198</v>
      </c>
      <c r="H280">
        <v>1</v>
      </c>
      <c r="I280">
        <v>2</v>
      </c>
      <c r="J280" t="s">
        <v>500</v>
      </c>
      <c r="K280" t="s">
        <v>265</v>
      </c>
      <c r="L280" t="s">
        <v>235</v>
      </c>
      <c r="M280" t="s">
        <v>266</v>
      </c>
      <c r="N280" t="s">
        <v>52</v>
      </c>
      <c r="O280">
        <v>0</v>
      </c>
      <c r="P280" t="s">
        <v>237</v>
      </c>
    </row>
    <row r="281" spans="1:16" x14ac:dyDescent="0.25">
      <c r="A281" t="s">
        <v>811</v>
      </c>
      <c r="B281">
        <v>257</v>
      </c>
      <c r="C281" t="s">
        <v>487</v>
      </c>
      <c r="D281" t="s">
        <v>231</v>
      </c>
      <c r="E281" t="s">
        <v>231</v>
      </c>
      <c r="F281" t="s">
        <v>1080</v>
      </c>
      <c r="G281" s="25">
        <v>44218</v>
      </c>
      <c r="H281">
        <v>5</v>
      </c>
      <c r="I281">
        <v>22</v>
      </c>
      <c r="J281" t="s">
        <v>500</v>
      </c>
      <c r="K281" t="s">
        <v>265</v>
      </c>
      <c r="L281" t="s">
        <v>235</v>
      </c>
      <c r="M281" t="s">
        <v>266</v>
      </c>
      <c r="N281" t="s">
        <v>52</v>
      </c>
      <c r="O281">
        <v>0</v>
      </c>
      <c r="P281" t="s">
        <v>237</v>
      </c>
    </row>
    <row r="282" spans="1:16" x14ac:dyDescent="0.25">
      <c r="A282" t="s">
        <v>2005</v>
      </c>
      <c r="B282">
        <v>1380</v>
      </c>
      <c r="C282" t="s">
        <v>487</v>
      </c>
      <c r="D282" t="s">
        <v>247</v>
      </c>
      <c r="E282" t="s">
        <v>575</v>
      </c>
      <c r="F282" t="s">
        <v>3158</v>
      </c>
      <c r="G282" s="25">
        <v>44311</v>
      </c>
      <c r="H282">
        <v>23</v>
      </c>
      <c r="I282">
        <v>115</v>
      </c>
      <c r="J282" t="s">
        <v>500</v>
      </c>
      <c r="K282" t="s">
        <v>265</v>
      </c>
      <c r="L282" t="s">
        <v>235</v>
      </c>
      <c r="M282" t="s">
        <v>266</v>
      </c>
      <c r="N282" t="s">
        <v>52</v>
      </c>
      <c r="O282">
        <v>16750</v>
      </c>
      <c r="P282" t="s">
        <v>237</v>
      </c>
    </row>
    <row r="283" spans="1:16" x14ac:dyDescent="0.25">
      <c r="A283" t="s">
        <v>1823</v>
      </c>
      <c r="B283">
        <v>1065</v>
      </c>
      <c r="C283" t="s">
        <v>487</v>
      </c>
      <c r="D283" t="s">
        <v>322</v>
      </c>
      <c r="E283" t="s">
        <v>371</v>
      </c>
      <c r="F283" t="s">
        <v>2976</v>
      </c>
      <c r="G283" s="25">
        <v>44285</v>
      </c>
      <c r="H283">
        <v>18</v>
      </c>
      <c r="I283">
        <v>89</v>
      </c>
      <c r="J283" t="s">
        <v>500</v>
      </c>
      <c r="K283" t="s">
        <v>265</v>
      </c>
      <c r="L283" t="s">
        <v>235</v>
      </c>
      <c r="M283" t="s">
        <v>266</v>
      </c>
      <c r="N283" t="s">
        <v>52</v>
      </c>
      <c r="O283">
        <v>0</v>
      </c>
      <c r="P283" t="s">
        <v>237</v>
      </c>
    </row>
    <row r="284" spans="1:16" x14ac:dyDescent="0.25">
      <c r="A284" t="s">
        <v>1977</v>
      </c>
      <c r="B284">
        <v>1368</v>
      </c>
      <c r="C284" t="s">
        <v>487</v>
      </c>
      <c r="D284" t="s">
        <v>247</v>
      </c>
      <c r="E284" t="s">
        <v>537</v>
      </c>
      <c r="F284" t="s">
        <v>3153</v>
      </c>
      <c r="G284" s="25">
        <v>44310</v>
      </c>
      <c r="H284">
        <v>23</v>
      </c>
      <c r="I284">
        <v>114</v>
      </c>
      <c r="J284" t="s">
        <v>500</v>
      </c>
      <c r="K284" t="s">
        <v>265</v>
      </c>
      <c r="L284" t="s">
        <v>235</v>
      </c>
      <c r="M284" t="s">
        <v>266</v>
      </c>
      <c r="N284" t="s">
        <v>52</v>
      </c>
      <c r="O284">
        <v>24000</v>
      </c>
      <c r="P284" t="s">
        <v>237</v>
      </c>
    </row>
    <row r="285" spans="1:16" x14ac:dyDescent="0.25">
      <c r="A285" t="s">
        <v>746</v>
      </c>
      <c r="B285">
        <v>232</v>
      </c>
      <c r="C285" t="s">
        <v>487</v>
      </c>
      <c r="D285" t="s">
        <v>229</v>
      </c>
      <c r="E285" t="s">
        <v>408</v>
      </c>
      <c r="F285" t="s">
        <v>527</v>
      </c>
      <c r="G285" s="25">
        <v>44216</v>
      </c>
      <c r="H285">
        <v>4</v>
      </c>
      <c r="I285">
        <v>20</v>
      </c>
      <c r="J285" t="s">
        <v>500</v>
      </c>
      <c r="K285" t="s">
        <v>265</v>
      </c>
      <c r="L285" t="s">
        <v>235</v>
      </c>
      <c r="M285" t="s">
        <v>266</v>
      </c>
      <c r="N285" t="s">
        <v>52</v>
      </c>
      <c r="O285">
        <v>0</v>
      </c>
      <c r="P285" t="s">
        <v>237</v>
      </c>
    </row>
    <row r="286" spans="1:16" x14ac:dyDescent="0.25">
      <c r="A286" t="s">
        <v>2135</v>
      </c>
      <c r="B286">
        <v>853</v>
      </c>
      <c r="C286" t="s">
        <v>487</v>
      </c>
      <c r="D286" t="s">
        <v>261</v>
      </c>
      <c r="E286" t="s">
        <v>232</v>
      </c>
      <c r="F286" t="s">
        <v>1500</v>
      </c>
      <c r="G286" s="25">
        <v>44268</v>
      </c>
      <c r="H286">
        <v>15</v>
      </c>
      <c r="I286">
        <v>72</v>
      </c>
      <c r="J286" t="s">
        <v>500</v>
      </c>
      <c r="K286" t="s">
        <v>265</v>
      </c>
      <c r="L286" t="s">
        <v>235</v>
      </c>
      <c r="M286" t="s">
        <v>266</v>
      </c>
      <c r="N286" t="s">
        <v>52</v>
      </c>
      <c r="O286">
        <v>0</v>
      </c>
      <c r="P286" t="s">
        <v>237</v>
      </c>
    </row>
    <row r="287" spans="1:16" x14ac:dyDescent="0.25">
      <c r="A287" t="s">
        <v>2833</v>
      </c>
      <c r="B287">
        <v>978</v>
      </c>
      <c r="C287" t="s">
        <v>487</v>
      </c>
      <c r="D287" t="s">
        <v>322</v>
      </c>
      <c r="E287" t="s">
        <v>231</v>
      </c>
      <c r="F287" t="s">
        <v>2945</v>
      </c>
      <c r="G287" s="25">
        <v>44278</v>
      </c>
      <c r="H287">
        <v>17</v>
      </c>
      <c r="I287">
        <v>82</v>
      </c>
      <c r="J287" t="s">
        <v>500</v>
      </c>
      <c r="K287" t="s">
        <v>265</v>
      </c>
      <c r="L287" t="s">
        <v>235</v>
      </c>
      <c r="M287" t="s">
        <v>266</v>
      </c>
      <c r="N287" t="s">
        <v>52</v>
      </c>
      <c r="O287">
        <v>0</v>
      </c>
      <c r="P287" t="s">
        <v>237</v>
      </c>
    </row>
    <row r="288" spans="1:16" x14ac:dyDescent="0.25">
      <c r="A288" t="s">
        <v>1795</v>
      </c>
      <c r="B288">
        <v>866</v>
      </c>
      <c r="C288" t="s">
        <v>487</v>
      </c>
      <c r="D288" t="s">
        <v>261</v>
      </c>
      <c r="E288" t="s">
        <v>512</v>
      </c>
      <c r="F288" t="s">
        <v>1518</v>
      </c>
      <c r="G288" s="25">
        <v>44269</v>
      </c>
      <c r="H288">
        <v>15</v>
      </c>
      <c r="I288">
        <v>73</v>
      </c>
      <c r="J288" t="s">
        <v>500</v>
      </c>
      <c r="K288" t="s">
        <v>265</v>
      </c>
      <c r="L288" t="s">
        <v>235</v>
      </c>
      <c r="M288" t="s">
        <v>266</v>
      </c>
      <c r="N288" t="s">
        <v>52</v>
      </c>
      <c r="O288">
        <v>0</v>
      </c>
      <c r="P288" t="s">
        <v>237</v>
      </c>
    </row>
    <row r="289" spans="1:16" x14ac:dyDescent="0.25">
      <c r="A289" t="s">
        <v>302</v>
      </c>
      <c r="B289">
        <v>59</v>
      </c>
      <c r="C289" t="s">
        <v>487</v>
      </c>
      <c r="D289" t="s">
        <v>229</v>
      </c>
      <c r="E289" t="s">
        <v>322</v>
      </c>
      <c r="F289" t="s">
        <v>529</v>
      </c>
      <c r="G289" s="25">
        <v>44201</v>
      </c>
      <c r="H289">
        <v>1</v>
      </c>
      <c r="I289">
        <v>5</v>
      </c>
      <c r="J289" t="s">
        <v>500</v>
      </c>
      <c r="K289" t="s">
        <v>265</v>
      </c>
      <c r="L289" t="s">
        <v>235</v>
      </c>
      <c r="M289" t="s">
        <v>266</v>
      </c>
      <c r="N289" t="s">
        <v>52</v>
      </c>
      <c r="O289">
        <v>0</v>
      </c>
      <c r="P289" t="s">
        <v>237</v>
      </c>
    </row>
    <row r="290" spans="1:16" x14ac:dyDescent="0.25">
      <c r="A290" t="s">
        <v>1812</v>
      </c>
      <c r="B290">
        <v>1238</v>
      </c>
      <c r="C290" t="s">
        <v>487</v>
      </c>
      <c r="D290" t="s">
        <v>247</v>
      </c>
      <c r="E290" t="s">
        <v>261</v>
      </c>
      <c r="F290" t="s">
        <v>3078</v>
      </c>
      <c r="G290" s="25">
        <v>44300</v>
      </c>
      <c r="H290">
        <v>21</v>
      </c>
      <c r="I290">
        <v>104</v>
      </c>
      <c r="J290" t="s">
        <v>500</v>
      </c>
      <c r="K290" t="s">
        <v>265</v>
      </c>
      <c r="L290" t="s">
        <v>235</v>
      </c>
      <c r="M290" t="s">
        <v>266</v>
      </c>
      <c r="N290" t="s">
        <v>52</v>
      </c>
      <c r="O290">
        <v>0</v>
      </c>
      <c r="P290" t="s">
        <v>237</v>
      </c>
    </row>
    <row r="291" spans="1:16" x14ac:dyDescent="0.25">
      <c r="A291" t="s">
        <v>539</v>
      </c>
      <c r="B291">
        <v>138</v>
      </c>
      <c r="C291" t="s">
        <v>487</v>
      </c>
      <c r="D291" t="s">
        <v>229</v>
      </c>
      <c r="E291" t="s">
        <v>232</v>
      </c>
      <c r="F291" t="s">
        <v>520</v>
      </c>
      <c r="G291" s="25">
        <v>44208</v>
      </c>
      <c r="H291">
        <v>3</v>
      </c>
      <c r="I291">
        <v>12</v>
      </c>
      <c r="J291" t="s">
        <v>500</v>
      </c>
      <c r="K291" t="s">
        <v>265</v>
      </c>
      <c r="L291" t="s">
        <v>235</v>
      </c>
      <c r="M291" t="s">
        <v>266</v>
      </c>
      <c r="N291" t="s">
        <v>52</v>
      </c>
      <c r="O291">
        <v>0</v>
      </c>
      <c r="P291" t="s">
        <v>237</v>
      </c>
    </row>
    <row r="292" spans="1:16" x14ac:dyDescent="0.25">
      <c r="A292" t="s">
        <v>2835</v>
      </c>
      <c r="B292">
        <v>887</v>
      </c>
      <c r="C292" t="s">
        <v>487</v>
      </c>
      <c r="D292" t="s">
        <v>261</v>
      </c>
      <c r="E292" t="s">
        <v>537</v>
      </c>
      <c r="F292" t="s">
        <v>1530</v>
      </c>
      <c r="G292" s="25">
        <v>44270</v>
      </c>
      <c r="H292">
        <v>15</v>
      </c>
      <c r="I292">
        <v>74</v>
      </c>
      <c r="J292" t="s">
        <v>500</v>
      </c>
      <c r="K292" t="s">
        <v>265</v>
      </c>
      <c r="L292" t="s">
        <v>235</v>
      </c>
      <c r="M292" t="s">
        <v>266</v>
      </c>
      <c r="N292" t="s">
        <v>52</v>
      </c>
      <c r="O292">
        <v>7625</v>
      </c>
      <c r="P292" t="s">
        <v>237</v>
      </c>
    </row>
    <row r="293" spans="1:16" x14ac:dyDescent="0.25">
      <c r="A293" t="s">
        <v>1744</v>
      </c>
      <c r="B293">
        <v>1229</v>
      </c>
      <c r="C293" t="s">
        <v>487</v>
      </c>
      <c r="D293" t="s">
        <v>247</v>
      </c>
      <c r="E293" t="s">
        <v>256</v>
      </c>
      <c r="F293" t="s">
        <v>3073</v>
      </c>
      <c r="G293" s="25">
        <v>44299</v>
      </c>
      <c r="H293">
        <v>21</v>
      </c>
      <c r="I293">
        <v>103</v>
      </c>
      <c r="J293" t="s">
        <v>500</v>
      </c>
      <c r="K293" t="s">
        <v>265</v>
      </c>
      <c r="L293" t="s">
        <v>235</v>
      </c>
      <c r="M293" t="s">
        <v>266</v>
      </c>
      <c r="N293" t="s">
        <v>52</v>
      </c>
      <c r="O293">
        <v>0</v>
      </c>
      <c r="P293" t="s">
        <v>237</v>
      </c>
    </row>
    <row r="294" spans="1:16" x14ac:dyDescent="0.25">
      <c r="A294" t="s">
        <v>2195</v>
      </c>
      <c r="B294">
        <v>900</v>
      </c>
      <c r="C294" t="s">
        <v>487</v>
      </c>
      <c r="D294" t="s">
        <v>261</v>
      </c>
      <c r="E294" t="s">
        <v>575</v>
      </c>
      <c r="F294" t="s">
        <v>1537</v>
      </c>
      <c r="G294" s="25">
        <v>44271</v>
      </c>
      <c r="H294">
        <v>15</v>
      </c>
      <c r="I294">
        <v>75</v>
      </c>
      <c r="J294" t="s">
        <v>500</v>
      </c>
      <c r="K294" t="s">
        <v>265</v>
      </c>
      <c r="L294" t="s">
        <v>235</v>
      </c>
      <c r="M294" t="s">
        <v>266</v>
      </c>
      <c r="N294" t="s">
        <v>52</v>
      </c>
      <c r="O294">
        <v>24000</v>
      </c>
      <c r="P294" t="s">
        <v>237</v>
      </c>
    </row>
    <row r="295" spans="1:16" x14ac:dyDescent="0.25">
      <c r="A295" t="s">
        <v>2525</v>
      </c>
      <c r="B295">
        <v>1163</v>
      </c>
      <c r="C295" t="s">
        <v>487</v>
      </c>
      <c r="D295" t="s">
        <v>322</v>
      </c>
      <c r="E295" t="s">
        <v>534</v>
      </c>
      <c r="F295" t="s">
        <v>3031</v>
      </c>
      <c r="G295" s="25">
        <v>44293</v>
      </c>
      <c r="H295">
        <v>20</v>
      </c>
      <c r="I295">
        <v>97</v>
      </c>
      <c r="J295" t="s">
        <v>500</v>
      </c>
      <c r="K295" t="s">
        <v>265</v>
      </c>
      <c r="L295" t="s">
        <v>235</v>
      </c>
      <c r="M295" t="s">
        <v>266</v>
      </c>
      <c r="N295" t="s">
        <v>52</v>
      </c>
      <c r="O295">
        <v>1125</v>
      </c>
      <c r="P295" t="s">
        <v>237</v>
      </c>
    </row>
    <row r="296" spans="1:16" x14ac:dyDescent="0.25">
      <c r="A296" t="s">
        <v>346</v>
      </c>
      <c r="B296">
        <v>66</v>
      </c>
      <c r="C296" t="s">
        <v>487</v>
      </c>
      <c r="D296" t="s">
        <v>229</v>
      </c>
      <c r="E296" t="s">
        <v>247</v>
      </c>
      <c r="F296" t="s">
        <v>524</v>
      </c>
      <c r="G296" s="25">
        <v>44202</v>
      </c>
      <c r="H296">
        <v>2</v>
      </c>
      <c r="I296">
        <v>6</v>
      </c>
      <c r="J296" t="s">
        <v>500</v>
      </c>
      <c r="K296" t="s">
        <v>265</v>
      </c>
      <c r="L296" t="s">
        <v>235</v>
      </c>
      <c r="M296" t="s">
        <v>266</v>
      </c>
      <c r="N296" t="s">
        <v>52</v>
      </c>
      <c r="O296">
        <v>0</v>
      </c>
      <c r="P296" t="s">
        <v>237</v>
      </c>
    </row>
    <row r="297" spans="1:16" x14ac:dyDescent="0.25">
      <c r="A297" t="s">
        <v>2538</v>
      </c>
      <c r="B297">
        <v>1214</v>
      </c>
      <c r="C297" t="s">
        <v>487</v>
      </c>
      <c r="D297" t="s">
        <v>247</v>
      </c>
      <c r="E297" t="s">
        <v>231</v>
      </c>
      <c r="F297" t="s">
        <v>3070</v>
      </c>
      <c r="G297" s="25">
        <v>44298</v>
      </c>
      <c r="H297">
        <v>21</v>
      </c>
      <c r="I297">
        <v>102</v>
      </c>
      <c r="J297" t="s">
        <v>500</v>
      </c>
      <c r="K297" t="s">
        <v>265</v>
      </c>
      <c r="L297" t="s">
        <v>235</v>
      </c>
      <c r="M297" t="s">
        <v>266</v>
      </c>
      <c r="N297" t="s">
        <v>52</v>
      </c>
      <c r="O297">
        <v>0</v>
      </c>
      <c r="P297" t="s">
        <v>237</v>
      </c>
    </row>
    <row r="298" spans="1:16" x14ac:dyDescent="0.25">
      <c r="A298" t="s">
        <v>328</v>
      </c>
      <c r="B298">
        <v>83</v>
      </c>
      <c r="C298" t="s">
        <v>487</v>
      </c>
      <c r="D298" t="s">
        <v>229</v>
      </c>
      <c r="E298" t="s">
        <v>326</v>
      </c>
      <c r="F298" t="s">
        <v>522</v>
      </c>
      <c r="G298" s="25">
        <v>44203</v>
      </c>
      <c r="H298">
        <v>2</v>
      </c>
      <c r="I298">
        <v>7</v>
      </c>
      <c r="J298" t="s">
        <v>500</v>
      </c>
      <c r="K298" t="s">
        <v>265</v>
      </c>
      <c r="L298" t="s">
        <v>235</v>
      </c>
      <c r="M298" t="s">
        <v>266</v>
      </c>
      <c r="N298" t="s">
        <v>52</v>
      </c>
      <c r="O298">
        <v>0</v>
      </c>
      <c r="P298" t="s">
        <v>237</v>
      </c>
    </row>
    <row r="299" spans="1:16" x14ac:dyDescent="0.25">
      <c r="A299" t="s">
        <v>671</v>
      </c>
      <c r="B299">
        <v>162</v>
      </c>
      <c r="C299" t="s">
        <v>487</v>
      </c>
      <c r="D299" t="s">
        <v>229</v>
      </c>
      <c r="E299" t="s">
        <v>537</v>
      </c>
      <c r="F299" t="s">
        <v>538</v>
      </c>
      <c r="G299" s="25">
        <v>44210</v>
      </c>
      <c r="H299">
        <v>3</v>
      </c>
      <c r="I299">
        <v>14</v>
      </c>
      <c r="J299" t="s">
        <v>500</v>
      </c>
      <c r="K299" t="s">
        <v>265</v>
      </c>
      <c r="L299" t="s">
        <v>235</v>
      </c>
      <c r="M299" t="s">
        <v>266</v>
      </c>
      <c r="N299" t="s">
        <v>52</v>
      </c>
      <c r="O299">
        <v>0</v>
      </c>
      <c r="P299" t="s">
        <v>237</v>
      </c>
    </row>
    <row r="300" spans="1:16" x14ac:dyDescent="0.25">
      <c r="A300" t="s">
        <v>2612</v>
      </c>
      <c r="B300">
        <v>912</v>
      </c>
      <c r="C300" t="s">
        <v>487</v>
      </c>
      <c r="D300" t="s">
        <v>261</v>
      </c>
      <c r="E300" t="s">
        <v>620</v>
      </c>
      <c r="F300" t="s">
        <v>1545</v>
      </c>
      <c r="G300" s="25">
        <v>44272</v>
      </c>
      <c r="H300">
        <v>16</v>
      </c>
      <c r="I300">
        <v>76</v>
      </c>
      <c r="J300" t="s">
        <v>500</v>
      </c>
      <c r="K300" t="s">
        <v>265</v>
      </c>
      <c r="L300" t="s">
        <v>235</v>
      </c>
      <c r="M300" t="s">
        <v>266</v>
      </c>
      <c r="N300" t="s">
        <v>52</v>
      </c>
      <c r="O300">
        <v>16375</v>
      </c>
      <c r="P300" t="s">
        <v>237</v>
      </c>
    </row>
    <row r="301" spans="1:16" x14ac:dyDescent="0.25">
      <c r="A301" t="s">
        <v>2687</v>
      </c>
      <c r="B301">
        <v>922</v>
      </c>
      <c r="C301" t="s">
        <v>487</v>
      </c>
      <c r="D301" t="s">
        <v>261</v>
      </c>
      <c r="E301" t="s">
        <v>534</v>
      </c>
      <c r="F301" t="s">
        <v>1563</v>
      </c>
      <c r="G301" s="25">
        <v>44273</v>
      </c>
      <c r="H301">
        <v>16</v>
      </c>
      <c r="I301">
        <v>77</v>
      </c>
      <c r="J301" t="s">
        <v>500</v>
      </c>
      <c r="K301" t="s">
        <v>265</v>
      </c>
      <c r="L301" t="s">
        <v>235</v>
      </c>
      <c r="M301" t="s">
        <v>266</v>
      </c>
      <c r="N301" t="s">
        <v>52</v>
      </c>
      <c r="O301">
        <v>0</v>
      </c>
      <c r="P301" t="s">
        <v>237</v>
      </c>
    </row>
    <row r="302" spans="1:16" x14ac:dyDescent="0.25">
      <c r="A302" t="s">
        <v>2571</v>
      </c>
      <c r="B302">
        <v>1204</v>
      </c>
      <c r="C302" t="s">
        <v>487</v>
      </c>
      <c r="D302" t="s">
        <v>247</v>
      </c>
      <c r="E302" t="s">
        <v>229</v>
      </c>
      <c r="F302" t="s">
        <v>3063</v>
      </c>
      <c r="G302" s="25">
        <v>44297</v>
      </c>
      <c r="H302">
        <v>21</v>
      </c>
      <c r="I302">
        <v>101</v>
      </c>
      <c r="J302" t="s">
        <v>500</v>
      </c>
      <c r="K302" t="s">
        <v>265</v>
      </c>
      <c r="L302" t="s">
        <v>235</v>
      </c>
      <c r="M302" t="s">
        <v>266</v>
      </c>
      <c r="N302" t="s">
        <v>52</v>
      </c>
      <c r="O302">
        <v>0</v>
      </c>
      <c r="P302" t="s">
        <v>237</v>
      </c>
    </row>
    <row r="303" spans="1:16" x14ac:dyDescent="0.25">
      <c r="A303" t="s">
        <v>1820</v>
      </c>
      <c r="B303">
        <v>1190</v>
      </c>
      <c r="C303" t="s">
        <v>487</v>
      </c>
      <c r="D303" t="s">
        <v>322</v>
      </c>
      <c r="E303" t="s">
        <v>408</v>
      </c>
      <c r="F303" t="s">
        <v>3059</v>
      </c>
      <c r="G303" s="25">
        <v>44296</v>
      </c>
      <c r="H303">
        <v>20</v>
      </c>
      <c r="I303">
        <v>100</v>
      </c>
      <c r="J303" t="s">
        <v>500</v>
      </c>
      <c r="K303" t="s">
        <v>265</v>
      </c>
      <c r="L303" t="s">
        <v>235</v>
      </c>
      <c r="M303" t="s">
        <v>266</v>
      </c>
      <c r="N303" t="s">
        <v>52</v>
      </c>
      <c r="O303">
        <v>0</v>
      </c>
      <c r="P303" t="s">
        <v>237</v>
      </c>
    </row>
    <row r="304" spans="1:16" x14ac:dyDescent="0.25">
      <c r="A304" t="s">
        <v>2738</v>
      </c>
      <c r="B304">
        <v>965</v>
      </c>
      <c r="C304" t="s">
        <v>487</v>
      </c>
      <c r="D304" t="s">
        <v>322</v>
      </c>
      <c r="E304" t="s">
        <v>229</v>
      </c>
      <c r="F304" t="s">
        <v>1643</v>
      </c>
      <c r="G304" s="25">
        <v>44277</v>
      </c>
      <c r="H304">
        <v>17</v>
      </c>
      <c r="I304">
        <v>81</v>
      </c>
      <c r="J304" t="s">
        <v>500</v>
      </c>
      <c r="K304" t="s">
        <v>265</v>
      </c>
      <c r="L304" t="s">
        <v>235</v>
      </c>
      <c r="M304" t="s">
        <v>266</v>
      </c>
      <c r="N304" t="s">
        <v>52</v>
      </c>
      <c r="O304">
        <v>0</v>
      </c>
      <c r="P304" t="s">
        <v>237</v>
      </c>
    </row>
    <row r="305" spans="1:16" x14ac:dyDescent="0.25">
      <c r="A305" t="s">
        <v>2824</v>
      </c>
      <c r="B305">
        <v>929</v>
      </c>
      <c r="C305" t="s">
        <v>487</v>
      </c>
      <c r="D305" t="s">
        <v>261</v>
      </c>
      <c r="E305" t="s">
        <v>552</v>
      </c>
      <c r="F305" t="s">
        <v>1585</v>
      </c>
      <c r="G305" s="25">
        <v>44274</v>
      </c>
      <c r="H305">
        <v>16</v>
      </c>
      <c r="I305">
        <v>78</v>
      </c>
      <c r="J305" t="s">
        <v>500</v>
      </c>
      <c r="K305" t="s">
        <v>265</v>
      </c>
      <c r="L305" t="s">
        <v>235</v>
      </c>
      <c r="M305" t="s">
        <v>266</v>
      </c>
      <c r="N305" t="s">
        <v>52</v>
      </c>
      <c r="O305">
        <v>0</v>
      </c>
      <c r="P305" t="s">
        <v>237</v>
      </c>
    </row>
    <row r="306" spans="1:16" x14ac:dyDescent="0.25">
      <c r="A306" t="s">
        <v>2359</v>
      </c>
      <c r="B306">
        <v>1187</v>
      </c>
      <c r="C306" t="s">
        <v>487</v>
      </c>
      <c r="D306" t="s">
        <v>322</v>
      </c>
      <c r="E306" t="s">
        <v>531</v>
      </c>
      <c r="F306" t="s">
        <v>3056</v>
      </c>
      <c r="G306" s="25">
        <v>44295</v>
      </c>
      <c r="H306">
        <v>20</v>
      </c>
      <c r="I306">
        <v>99</v>
      </c>
      <c r="J306" t="s">
        <v>500</v>
      </c>
      <c r="K306" t="s">
        <v>265</v>
      </c>
      <c r="L306" t="s">
        <v>235</v>
      </c>
      <c r="M306" t="s">
        <v>266</v>
      </c>
      <c r="N306" t="s">
        <v>52</v>
      </c>
      <c r="O306">
        <v>4875</v>
      </c>
      <c r="P306" t="s">
        <v>237</v>
      </c>
    </row>
    <row r="307" spans="1:16" x14ac:dyDescent="0.25">
      <c r="A307" t="s">
        <v>820</v>
      </c>
      <c r="B307">
        <v>150</v>
      </c>
      <c r="C307" t="s">
        <v>487</v>
      </c>
      <c r="D307" t="s">
        <v>229</v>
      </c>
      <c r="E307" t="s">
        <v>512</v>
      </c>
      <c r="F307" t="s">
        <v>513</v>
      </c>
      <c r="G307" s="25">
        <v>44209</v>
      </c>
      <c r="H307">
        <v>3</v>
      </c>
      <c r="I307">
        <v>13</v>
      </c>
      <c r="J307" t="s">
        <v>500</v>
      </c>
      <c r="K307" t="s">
        <v>265</v>
      </c>
      <c r="L307" t="s">
        <v>235</v>
      </c>
      <c r="M307" t="s">
        <v>266</v>
      </c>
      <c r="N307" t="s">
        <v>52</v>
      </c>
      <c r="O307">
        <v>0</v>
      </c>
      <c r="P307" t="s">
        <v>237</v>
      </c>
    </row>
    <row r="308" spans="1:16" x14ac:dyDescent="0.25">
      <c r="A308" t="s">
        <v>2606</v>
      </c>
      <c r="B308">
        <v>948</v>
      </c>
      <c r="C308" t="s">
        <v>487</v>
      </c>
      <c r="D308" t="s">
        <v>261</v>
      </c>
      <c r="E308" t="s">
        <v>531</v>
      </c>
      <c r="F308" t="s">
        <v>1588</v>
      </c>
      <c r="G308" s="25">
        <v>44275</v>
      </c>
      <c r="H308">
        <v>16</v>
      </c>
      <c r="I308">
        <v>79</v>
      </c>
      <c r="J308" t="s">
        <v>500</v>
      </c>
      <c r="K308" t="s">
        <v>265</v>
      </c>
      <c r="L308" t="s">
        <v>235</v>
      </c>
      <c r="M308" t="s">
        <v>266</v>
      </c>
      <c r="N308" t="s">
        <v>52</v>
      </c>
      <c r="O308">
        <v>23875</v>
      </c>
      <c r="P308" t="s">
        <v>237</v>
      </c>
    </row>
    <row r="309" spans="1:16" x14ac:dyDescent="0.25">
      <c r="A309" t="s">
        <v>2348</v>
      </c>
      <c r="B309">
        <v>1176</v>
      </c>
      <c r="C309" t="s">
        <v>487</v>
      </c>
      <c r="D309" t="s">
        <v>322</v>
      </c>
      <c r="E309" t="s">
        <v>552</v>
      </c>
      <c r="F309" t="s">
        <v>3045</v>
      </c>
      <c r="G309" s="25">
        <v>44294</v>
      </c>
      <c r="H309">
        <v>20</v>
      </c>
      <c r="I309">
        <v>98</v>
      </c>
      <c r="J309" t="s">
        <v>500</v>
      </c>
      <c r="K309" t="s">
        <v>265</v>
      </c>
      <c r="L309" t="s">
        <v>235</v>
      </c>
      <c r="M309" t="s">
        <v>266</v>
      </c>
      <c r="N309" t="s">
        <v>52</v>
      </c>
      <c r="O309">
        <v>24000</v>
      </c>
      <c r="P309" t="s">
        <v>237</v>
      </c>
    </row>
    <row r="310" spans="1:16" x14ac:dyDescent="0.25">
      <c r="A310" t="s">
        <v>2588</v>
      </c>
      <c r="B310">
        <v>960</v>
      </c>
      <c r="C310" t="s">
        <v>487</v>
      </c>
      <c r="D310" t="s">
        <v>261</v>
      </c>
      <c r="E310" t="s">
        <v>408</v>
      </c>
      <c r="F310" t="s">
        <v>1595</v>
      </c>
      <c r="G310" s="25">
        <v>44276</v>
      </c>
      <c r="H310">
        <v>16</v>
      </c>
      <c r="I310">
        <v>80</v>
      </c>
      <c r="J310" t="s">
        <v>500</v>
      </c>
      <c r="K310" t="s">
        <v>265</v>
      </c>
      <c r="L310" t="s">
        <v>235</v>
      </c>
      <c r="M310" t="s">
        <v>266</v>
      </c>
      <c r="N310" t="s">
        <v>52</v>
      </c>
      <c r="O310">
        <v>14125</v>
      </c>
      <c r="P310" t="s">
        <v>237</v>
      </c>
    </row>
    <row r="311" spans="1:16" x14ac:dyDescent="0.25">
      <c r="A311" t="s">
        <v>2187</v>
      </c>
      <c r="B311">
        <v>1027</v>
      </c>
      <c r="C311" t="s">
        <v>487</v>
      </c>
      <c r="D311" t="s">
        <v>322</v>
      </c>
      <c r="E311" t="s">
        <v>247</v>
      </c>
      <c r="F311" t="s">
        <v>2963</v>
      </c>
      <c r="G311" s="25">
        <v>44282</v>
      </c>
      <c r="H311">
        <v>18</v>
      </c>
      <c r="I311">
        <v>86</v>
      </c>
      <c r="J311" t="s">
        <v>500</v>
      </c>
      <c r="K311" t="s">
        <v>265</v>
      </c>
      <c r="L311" t="s">
        <v>235</v>
      </c>
      <c r="M311" t="s">
        <v>266</v>
      </c>
      <c r="N311" t="s">
        <v>52</v>
      </c>
      <c r="O311">
        <v>0</v>
      </c>
      <c r="P311" t="s">
        <v>237</v>
      </c>
    </row>
    <row r="312" spans="1:16" x14ac:dyDescent="0.25">
      <c r="A312" t="s">
        <v>2582</v>
      </c>
      <c r="B312">
        <v>761</v>
      </c>
      <c r="C312" t="s">
        <v>487</v>
      </c>
      <c r="D312" t="s">
        <v>261</v>
      </c>
      <c r="E312" t="s">
        <v>261</v>
      </c>
      <c r="F312" t="s">
        <v>1410</v>
      </c>
      <c r="G312" s="25">
        <v>44260</v>
      </c>
      <c r="H312">
        <v>13</v>
      </c>
      <c r="I312">
        <v>64</v>
      </c>
      <c r="J312" t="s">
        <v>500</v>
      </c>
      <c r="K312" t="s">
        <v>265</v>
      </c>
      <c r="L312" t="s">
        <v>235</v>
      </c>
      <c r="M312" t="s">
        <v>266</v>
      </c>
      <c r="N312" t="s">
        <v>52</v>
      </c>
      <c r="O312">
        <v>0</v>
      </c>
      <c r="P312" t="s">
        <v>237</v>
      </c>
    </row>
    <row r="313" spans="1:16" x14ac:dyDescent="0.25">
      <c r="A313" t="s">
        <v>383</v>
      </c>
      <c r="B313">
        <v>96</v>
      </c>
      <c r="C313" t="s">
        <v>487</v>
      </c>
      <c r="D313" t="s">
        <v>229</v>
      </c>
      <c r="E313" t="s">
        <v>381</v>
      </c>
      <c r="F313" t="s">
        <v>518</v>
      </c>
      <c r="G313" s="25">
        <v>44204</v>
      </c>
      <c r="H313">
        <v>2</v>
      </c>
      <c r="I313">
        <v>8</v>
      </c>
      <c r="J313" t="s">
        <v>500</v>
      </c>
      <c r="K313" t="s">
        <v>265</v>
      </c>
      <c r="L313" t="s">
        <v>235</v>
      </c>
      <c r="M313" t="s">
        <v>266</v>
      </c>
      <c r="N313" t="s">
        <v>52</v>
      </c>
      <c r="O313">
        <v>24000</v>
      </c>
      <c r="P313" t="s">
        <v>237</v>
      </c>
    </row>
    <row r="314" spans="1:16" x14ac:dyDescent="0.25">
      <c r="A314" t="s">
        <v>2162</v>
      </c>
      <c r="B314">
        <v>1300</v>
      </c>
      <c r="C314" t="s">
        <v>487</v>
      </c>
      <c r="D314" t="s">
        <v>247</v>
      </c>
      <c r="E314" t="s">
        <v>371</v>
      </c>
      <c r="F314" t="s">
        <v>3112</v>
      </c>
      <c r="G314" s="25">
        <v>44305</v>
      </c>
      <c r="H314">
        <v>22</v>
      </c>
      <c r="I314">
        <v>109</v>
      </c>
      <c r="J314" t="s">
        <v>500</v>
      </c>
      <c r="K314" t="s">
        <v>265</v>
      </c>
      <c r="L314" t="s">
        <v>235</v>
      </c>
      <c r="M314" t="s">
        <v>266</v>
      </c>
      <c r="N314" t="s">
        <v>52</v>
      </c>
      <c r="O314">
        <v>0</v>
      </c>
      <c r="P314" t="s">
        <v>237</v>
      </c>
    </row>
    <row r="315" spans="1:16" x14ac:dyDescent="0.25">
      <c r="A315" t="s">
        <v>786</v>
      </c>
      <c r="B315">
        <v>203</v>
      </c>
      <c r="C315" t="s">
        <v>487</v>
      </c>
      <c r="D315" t="s">
        <v>229</v>
      </c>
      <c r="E315" t="s">
        <v>534</v>
      </c>
      <c r="F315" t="s">
        <v>535</v>
      </c>
      <c r="G315" s="25">
        <v>44213</v>
      </c>
      <c r="H315">
        <v>4</v>
      </c>
      <c r="I315">
        <v>17</v>
      </c>
      <c r="J315" t="s">
        <v>500</v>
      </c>
      <c r="K315" t="s">
        <v>265</v>
      </c>
      <c r="L315" t="s">
        <v>235</v>
      </c>
      <c r="M315" t="s">
        <v>266</v>
      </c>
      <c r="N315" t="s">
        <v>52</v>
      </c>
      <c r="O315">
        <v>3500</v>
      </c>
      <c r="P315" t="s">
        <v>237</v>
      </c>
    </row>
    <row r="316" spans="1:16" x14ac:dyDescent="0.25">
      <c r="A316" t="s">
        <v>2284</v>
      </c>
      <c r="B316">
        <v>775</v>
      </c>
      <c r="C316" t="s">
        <v>487</v>
      </c>
      <c r="D316" t="s">
        <v>261</v>
      </c>
      <c r="E316" t="s">
        <v>322</v>
      </c>
      <c r="F316" t="s">
        <v>1417</v>
      </c>
      <c r="G316" s="25">
        <v>44261</v>
      </c>
      <c r="H316">
        <v>13</v>
      </c>
      <c r="I316">
        <v>65</v>
      </c>
      <c r="J316" t="s">
        <v>500</v>
      </c>
      <c r="K316" t="s">
        <v>265</v>
      </c>
      <c r="L316" t="s">
        <v>235</v>
      </c>
      <c r="M316" t="s">
        <v>266</v>
      </c>
      <c r="N316" t="s">
        <v>52</v>
      </c>
      <c r="O316">
        <v>0</v>
      </c>
      <c r="P316" t="s">
        <v>237</v>
      </c>
    </row>
    <row r="317" spans="1:16" x14ac:dyDescent="0.25">
      <c r="A317" t="s">
        <v>2371</v>
      </c>
      <c r="B317">
        <v>1293</v>
      </c>
      <c r="C317" t="s">
        <v>487</v>
      </c>
      <c r="D317" t="s">
        <v>247</v>
      </c>
      <c r="E317" t="s">
        <v>381</v>
      </c>
      <c r="F317" t="s">
        <v>3107</v>
      </c>
      <c r="G317" s="25">
        <v>44304</v>
      </c>
      <c r="H317">
        <v>22</v>
      </c>
      <c r="I317">
        <v>108</v>
      </c>
      <c r="J317" t="s">
        <v>500</v>
      </c>
      <c r="K317" t="s">
        <v>265</v>
      </c>
      <c r="L317" t="s">
        <v>235</v>
      </c>
      <c r="M317" t="s">
        <v>266</v>
      </c>
      <c r="N317" t="s">
        <v>52</v>
      </c>
      <c r="O317">
        <v>0</v>
      </c>
      <c r="P317" t="s">
        <v>237</v>
      </c>
    </row>
    <row r="318" spans="1:16" x14ac:dyDescent="0.25">
      <c r="A318" t="s">
        <v>2189</v>
      </c>
      <c r="B318">
        <v>1138</v>
      </c>
      <c r="C318" t="s">
        <v>487</v>
      </c>
      <c r="D318" t="s">
        <v>322</v>
      </c>
      <c r="E318" t="s">
        <v>575</v>
      </c>
      <c r="F318" t="s">
        <v>3014</v>
      </c>
      <c r="G318" s="25">
        <v>44291</v>
      </c>
      <c r="H318">
        <v>19</v>
      </c>
      <c r="I318">
        <v>95</v>
      </c>
      <c r="J318" t="s">
        <v>500</v>
      </c>
      <c r="K318" t="s">
        <v>265</v>
      </c>
      <c r="L318" t="s">
        <v>235</v>
      </c>
      <c r="M318" t="s">
        <v>266</v>
      </c>
      <c r="N318" t="s">
        <v>52</v>
      </c>
      <c r="O318">
        <v>0</v>
      </c>
      <c r="P318" t="s">
        <v>237</v>
      </c>
    </row>
    <row r="319" spans="1:16" x14ac:dyDescent="0.25">
      <c r="A319" t="s">
        <v>2700</v>
      </c>
      <c r="B319">
        <v>783</v>
      </c>
      <c r="C319" t="s">
        <v>487</v>
      </c>
      <c r="D319" t="s">
        <v>261</v>
      </c>
      <c r="E319" t="s">
        <v>247</v>
      </c>
      <c r="F319" t="s">
        <v>1425</v>
      </c>
      <c r="G319" s="25">
        <v>44262</v>
      </c>
      <c r="H319">
        <v>14</v>
      </c>
      <c r="I319">
        <v>66</v>
      </c>
      <c r="J319" t="s">
        <v>500</v>
      </c>
      <c r="K319" t="s">
        <v>265</v>
      </c>
      <c r="L319" t="s">
        <v>235</v>
      </c>
      <c r="M319" t="s">
        <v>266</v>
      </c>
      <c r="N319" t="s">
        <v>52</v>
      </c>
      <c r="O319">
        <v>0</v>
      </c>
      <c r="P319" t="s">
        <v>237</v>
      </c>
    </row>
    <row r="320" spans="1:16" x14ac:dyDescent="0.25">
      <c r="A320" t="s">
        <v>290</v>
      </c>
      <c r="B320">
        <v>47</v>
      </c>
      <c r="C320" t="s">
        <v>487</v>
      </c>
      <c r="D320" t="s">
        <v>229</v>
      </c>
      <c r="E320" t="s">
        <v>261</v>
      </c>
      <c r="F320" t="s">
        <v>549</v>
      </c>
      <c r="G320" s="25">
        <v>44200</v>
      </c>
      <c r="H320">
        <v>1</v>
      </c>
      <c r="I320">
        <v>4</v>
      </c>
      <c r="J320" t="s">
        <v>500</v>
      </c>
      <c r="K320" t="s">
        <v>265</v>
      </c>
      <c r="L320" t="s">
        <v>235</v>
      </c>
      <c r="M320" t="s">
        <v>266</v>
      </c>
      <c r="N320" t="s">
        <v>52</v>
      </c>
      <c r="O320">
        <v>0</v>
      </c>
      <c r="P320" t="s">
        <v>237</v>
      </c>
    </row>
    <row r="321" spans="1:16" x14ac:dyDescent="0.25">
      <c r="A321" t="s">
        <v>2080</v>
      </c>
      <c r="B321">
        <v>1016</v>
      </c>
      <c r="C321" t="s">
        <v>487</v>
      </c>
      <c r="D321" t="s">
        <v>322</v>
      </c>
      <c r="E321" t="s">
        <v>322</v>
      </c>
      <c r="F321" t="s">
        <v>2960</v>
      </c>
      <c r="G321" s="25">
        <v>44281</v>
      </c>
      <c r="H321">
        <v>17</v>
      </c>
      <c r="I321">
        <v>85</v>
      </c>
      <c r="J321" t="s">
        <v>500</v>
      </c>
      <c r="K321" t="s">
        <v>265</v>
      </c>
      <c r="L321" t="s">
        <v>235</v>
      </c>
      <c r="M321" t="s">
        <v>266</v>
      </c>
      <c r="N321" t="s">
        <v>52</v>
      </c>
      <c r="O321">
        <v>0</v>
      </c>
      <c r="P321" t="s">
        <v>237</v>
      </c>
    </row>
    <row r="322" spans="1:16" x14ac:dyDescent="0.25">
      <c r="A322" t="s">
        <v>2516</v>
      </c>
      <c r="B322">
        <v>799</v>
      </c>
      <c r="C322" t="s">
        <v>487</v>
      </c>
      <c r="D322" t="s">
        <v>261</v>
      </c>
      <c r="E322" t="s">
        <v>326</v>
      </c>
      <c r="F322" t="s">
        <v>1440</v>
      </c>
      <c r="G322" s="25">
        <v>44263</v>
      </c>
      <c r="H322">
        <v>14</v>
      </c>
      <c r="I322">
        <v>67</v>
      </c>
      <c r="J322" t="s">
        <v>500</v>
      </c>
      <c r="K322" t="s">
        <v>265</v>
      </c>
      <c r="L322" t="s">
        <v>235</v>
      </c>
      <c r="M322" t="s">
        <v>266</v>
      </c>
      <c r="N322" t="s">
        <v>52</v>
      </c>
      <c r="O322">
        <v>0</v>
      </c>
      <c r="P322" t="s">
        <v>237</v>
      </c>
    </row>
    <row r="323" spans="1:16" x14ac:dyDescent="0.25">
      <c r="A323" t="s">
        <v>339</v>
      </c>
      <c r="B323">
        <v>129</v>
      </c>
      <c r="C323" t="s">
        <v>487</v>
      </c>
      <c r="D323" t="s">
        <v>229</v>
      </c>
      <c r="E323" t="s">
        <v>515</v>
      </c>
      <c r="F323" t="s">
        <v>516</v>
      </c>
      <c r="G323" s="25">
        <v>44207</v>
      </c>
      <c r="H323">
        <v>3</v>
      </c>
      <c r="I323">
        <v>11</v>
      </c>
      <c r="J323" t="s">
        <v>500</v>
      </c>
      <c r="K323" t="s">
        <v>265</v>
      </c>
      <c r="L323" t="s">
        <v>235</v>
      </c>
      <c r="M323" t="s">
        <v>266</v>
      </c>
      <c r="N323" t="s">
        <v>52</v>
      </c>
      <c r="O323">
        <v>0</v>
      </c>
      <c r="P323" t="s">
        <v>237</v>
      </c>
    </row>
    <row r="324" spans="1:16" x14ac:dyDescent="0.25">
      <c r="A324" t="s">
        <v>2779</v>
      </c>
      <c r="B324">
        <v>1278</v>
      </c>
      <c r="C324" t="s">
        <v>487</v>
      </c>
      <c r="D324" t="s">
        <v>247</v>
      </c>
      <c r="E324" t="s">
        <v>326</v>
      </c>
      <c r="F324" t="s">
        <v>3091</v>
      </c>
      <c r="G324" s="25">
        <v>44303</v>
      </c>
      <c r="H324">
        <v>22</v>
      </c>
      <c r="I324">
        <v>107</v>
      </c>
      <c r="J324" t="s">
        <v>500</v>
      </c>
      <c r="K324" t="s">
        <v>265</v>
      </c>
      <c r="L324" t="s">
        <v>235</v>
      </c>
      <c r="M324" t="s">
        <v>266</v>
      </c>
      <c r="N324" t="s">
        <v>52</v>
      </c>
      <c r="O324">
        <v>0</v>
      </c>
      <c r="P324" t="s">
        <v>237</v>
      </c>
    </row>
    <row r="325" spans="1:16" x14ac:dyDescent="0.25">
      <c r="A325" t="s">
        <v>2207</v>
      </c>
      <c r="B325">
        <v>1003</v>
      </c>
      <c r="C325" t="s">
        <v>487</v>
      </c>
      <c r="D325" t="s">
        <v>322</v>
      </c>
      <c r="E325" t="s">
        <v>261</v>
      </c>
      <c r="F325" t="s">
        <v>2956</v>
      </c>
      <c r="G325" s="25">
        <v>44280</v>
      </c>
      <c r="H325">
        <v>17</v>
      </c>
      <c r="I325">
        <v>84</v>
      </c>
      <c r="J325" t="s">
        <v>500</v>
      </c>
      <c r="K325" t="s">
        <v>265</v>
      </c>
      <c r="L325" t="s">
        <v>235</v>
      </c>
      <c r="M325" t="s">
        <v>266</v>
      </c>
      <c r="N325" t="s">
        <v>52</v>
      </c>
      <c r="O325">
        <v>0</v>
      </c>
      <c r="P325" t="s">
        <v>237</v>
      </c>
    </row>
    <row r="326" spans="1:16" x14ac:dyDescent="0.25">
      <c r="A326" t="s">
        <v>2341</v>
      </c>
      <c r="B326">
        <v>815</v>
      </c>
      <c r="C326" t="s">
        <v>487</v>
      </c>
      <c r="D326" t="s">
        <v>261</v>
      </c>
      <c r="E326" t="s">
        <v>381</v>
      </c>
      <c r="F326" t="s">
        <v>1458</v>
      </c>
      <c r="G326" s="25">
        <v>44264</v>
      </c>
      <c r="H326">
        <v>14</v>
      </c>
      <c r="I326">
        <v>68</v>
      </c>
      <c r="J326" t="s">
        <v>500</v>
      </c>
      <c r="K326" t="s">
        <v>265</v>
      </c>
      <c r="L326" t="s">
        <v>235</v>
      </c>
      <c r="M326" t="s">
        <v>266</v>
      </c>
      <c r="N326" t="s">
        <v>52</v>
      </c>
      <c r="O326">
        <v>0</v>
      </c>
      <c r="P326" t="s">
        <v>237</v>
      </c>
    </row>
    <row r="327" spans="1:16" x14ac:dyDescent="0.25">
      <c r="A327" t="s">
        <v>2145</v>
      </c>
      <c r="B327">
        <v>1267</v>
      </c>
      <c r="C327" t="s">
        <v>487</v>
      </c>
      <c r="D327" t="s">
        <v>247</v>
      </c>
      <c r="E327" t="s">
        <v>247</v>
      </c>
      <c r="F327" t="s">
        <v>3085</v>
      </c>
      <c r="G327" s="25">
        <v>44302</v>
      </c>
      <c r="H327">
        <v>22</v>
      </c>
      <c r="I327">
        <v>106</v>
      </c>
      <c r="J327" t="s">
        <v>500</v>
      </c>
      <c r="K327" t="s">
        <v>265</v>
      </c>
      <c r="L327" t="s">
        <v>235</v>
      </c>
      <c r="M327" t="s">
        <v>266</v>
      </c>
      <c r="N327" t="s">
        <v>52</v>
      </c>
      <c r="O327">
        <v>0</v>
      </c>
      <c r="P327" t="s">
        <v>237</v>
      </c>
    </row>
    <row r="328" spans="1:16" x14ac:dyDescent="0.25">
      <c r="A328" t="s">
        <v>695</v>
      </c>
      <c r="B328">
        <v>186</v>
      </c>
      <c r="C328" t="s">
        <v>487</v>
      </c>
      <c r="D328" t="s">
        <v>229</v>
      </c>
      <c r="E328" t="s">
        <v>620</v>
      </c>
      <c r="F328" t="s">
        <v>621</v>
      </c>
      <c r="G328" s="25">
        <v>44212</v>
      </c>
      <c r="H328">
        <v>4</v>
      </c>
      <c r="I328">
        <v>16</v>
      </c>
      <c r="J328" t="s">
        <v>500</v>
      </c>
      <c r="K328" t="s">
        <v>265</v>
      </c>
      <c r="L328" t="s">
        <v>235</v>
      </c>
      <c r="M328" t="s">
        <v>266</v>
      </c>
      <c r="N328" t="s">
        <v>52</v>
      </c>
      <c r="O328">
        <v>0</v>
      </c>
      <c r="P328" t="s">
        <v>237</v>
      </c>
    </row>
    <row r="329" spans="1:16" x14ac:dyDescent="0.25">
      <c r="A329" t="s">
        <v>1972</v>
      </c>
      <c r="B329">
        <v>1147</v>
      </c>
      <c r="C329" t="s">
        <v>487</v>
      </c>
      <c r="D329" t="s">
        <v>322</v>
      </c>
      <c r="E329" t="s">
        <v>620</v>
      </c>
      <c r="F329" t="s">
        <v>3025</v>
      </c>
      <c r="G329" s="25">
        <v>44292</v>
      </c>
      <c r="H329">
        <v>20</v>
      </c>
      <c r="I329">
        <v>96</v>
      </c>
      <c r="J329" t="s">
        <v>500</v>
      </c>
      <c r="K329" t="s">
        <v>265</v>
      </c>
      <c r="L329" t="s">
        <v>235</v>
      </c>
      <c r="M329" t="s">
        <v>266</v>
      </c>
      <c r="N329" t="s">
        <v>52</v>
      </c>
      <c r="O329">
        <v>0</v>
      </c>
      <c r="P329" t="s">
        <v>237</v>
      </c>
    </row>
    <row r="330" spans="1:16" x14ac:dyDescent="0.25">
      <c r="A330" t="s">
        <v>2399</v>
      </c>
      <c r="B330">
        <v>825</v>
      </c>
      <c r="C330" t="s">
        <v>487</v>
      </c>
      <c r="D330" t="s">
        <v>261</v>
      </c>
      <c r="E330" t="s">
        <v>371</v>
      </c>
      <c r="F330" t="s">
        <v>1478</v>
      </c>
      <c r="G330" s="25">
        <v>44265</v>
      </c>
      <c r="H330">
        <v>14</v>
      </c>
      <c r="I330">
        <v>69</v>
      </c>
      <c r="J330" t="s">
        <v>500</v>
      </c>
      <c r="K330" t="s">
        <v>265</v>
      </c>
      <c r="L330" t="s">
        <v>235</v>
      </c>
      <c r="M330" t="s">
        <v>266</v>
      </c>
      <c r="N330" t="s">
        <v>52</v>
      </c>
      <c r="O330">
        <v>0</v>
      </c>
      <c r="P330" t="s">
        <v>237</v>
      </c>
    </row>
    <row r="331" spans="1:16" x14ac:dyDescent="0.25">
      <c r="A331" t="s">
        <v>2313</v>
      </c>
      <c r="B331">
        <v>836</v>
      </c>
      <c r="C331" t="s">
        <v>487</v>
      </c>
      <c r="D331" t="s">
        <v>261</v>
      </c>
      <c r="E331" t="s">
        <v>239</v>
      </c>
      <c r="F331" t="s">
        <v>1703</v>
      </c>
      <c r="G331" s="25">
        <v>44266</v>
      </c>
      <c r="H331">
        <v>14</v>
      </c>
      <c r="I331">
        <v>70</v>
      </c>
      <c r="J331" t="s">
        <v>500</v>
      </c>
      <c r="K331" t="s">
        <v>265</v>
      </c>
      <c r="L331" t="s">
        <v>235</v>
      </c>
      <c r="M331" t="s">
        <v>266</v>
      </c>
      <c r="N331" t="s">
        <v>52</v>
      </c>
      <c r="O331">
        <v>0</v>
      </c>
      <c r="P331" t="s">
        <v>237</v>
      </c>
    </row>
    <row r="332" spans="1:16" x14ac:dyDescent="0.25">
      <c r="A332" t="s">
        <v>2249</v>
      </c>
      <c r="B332">
        <v>1251</v>
      </c>
      <c r="C332" t="s">
        <v>487</v>
      </c>
      <c r="D332" t="s">
        <v>247</v>
      </c>
      <c r="E332" t="s">
        <v>322</v>
      </c>
      <c r="F332" t="s">
        <v>3083</v>
      </c>
      <c r="G332" s="25">
        <v>44301</v>
      </c>
      <c r="H332">
        <v>21</v>
      </c>
      <c r="I332">
        <v>105</v>
      </c>
      <c r="J332" t="s">
        <v>500</v>
      </c>
      <c r="K332" t="s">
        <v>265</v>
      </c>
      <c r="L332" t="s">
        <v>235</v>
      </c>
      <c r="M332" t="s">
        <v>266</v>
      </c>
      <c r="N332" t="s">
        <v>52</v>
      </c>
      <c r="O332">
        <v>0</v>
      </c>
      <c r="P332" t="s">
        <v>237</v>
      </c>
    </row>
    <row r="333" spans="1:16" x14ac:dyDescent="0.25">
      <c r="A333" t="s">
        <v>2579</v>
      </c>
      <c r="B333">
        <v>844</v>
      </c>
      <c r="C333" t="s">
        <v>487</v>
      </c>
      <c r="D333" t="s">
        <v>261</v>
      </c>
      <c r="E333" t="s">
        <v>515</v>
      </c>
      <c r="F333" t="s">
        <v>1493</v>
      </c>
      <c r="G333" s="25">
        <v>44267</v>
      </c>
      <c r="H333">
        <v>15</v>
      </c>
      <c r="I333">
        <v>71</v>
      </c>
      <c r="J333" t="s">
        <v>500</v>
      </c>
      <c r="K333" t="s">
        <v>265</v>
      </c>
      <c r="L333" t="s">
        <v>235</v>
      </c>
      <c r="M333" t="s">
        <v>266</v>
      </c>
      <c r="N333" t="s">
        <v>52</v>
      </c>
      <c r="O333">
        <v>0</v>
      </c>
      <c r="P333" t="s">
        <v>237</v>
      </c>
    </row>
    <row r="334" spans="1:16" x14ac:dyDescent="0.25">
      <c r="A334" t="s">
        <v>2502</v>
      </c>
      <c r="B334">
        <v>993</v>
      </c>
      <c r="C334" t="s">
        <v>487</v>
      </c>
      <c r="D334" t="s">
        <v>322</v>
      </c>
      <c r="E334" t="s">
        <v>256</v>
      </c>
      <c r="F334" t="s">
        <v>2952</v>
      </c>
      <c r="G334" s="25">
        <v>44279</v>
      </c>
      <c r="H334">
        <v>17</v>
      </c>
      <c r="I334">
        <v>83</v>
      </c>
      <c r="J334" t="s">
        <v>500</v>
      </c>
      <c r="K334" t="s">
        <v>265</v>
      </c>
      <c r="L334" t="s">
        <v>235</v>
      </c>
      <c r="M334" t="s">
        <v>266</v>
      </c>
      <c r="N334" t="s">
        <v>52</v>
      </c>
      <c r="O334">
        <v>0</v>
      </c>
      <c r="P334" t="s">
        <v>237</v>
      </c>
    </row>
    <row r="335" spans="1:16" x14ac:dyDescent="0.25">
      <c r="A335" t="s">
        <v>794</v>
      </c>
      <c r="B335">
        <v>178</v>
      </c>
      <c r="C335" t="s">
        <v>487</v>
      </c>
      <c r="D335" t="s">
        <v>229</v>
      </c>
      <c r="E335" t="s">
        <v>575</v>
      </c>
      <c r="F335" t="s">
        <v>576</v>
      </c>
      <c r="G335" s="25">
        <v>44211</v>
      </c>
      <c r="H335">
        <v>3</v>
      </c>
      <c r="I335">
        <v>15</v>
      </c>
      <c r="J335" t="s">
        <v>500</v>
      </c>
      <c r="K335" t="s">
        <v>265</v>
      </c>
      <c r="L335" t="s">
        <v>235</v>
      </c>
      <c r="M335" t="s">
        <v>266</v>
      </c>
      <c r="N335" t="s">
        <v>52</v>
      </c>
      <c r="O335">
        <v>0</v>
      </c>
      <c r="P335" t="s">
        <v>237</v>
      </c>
    </row>
    <row r="336" spans="1:16" x14ac:dyDescent="0.25">
      <c r="A336" t="s">
        <v>562</v>
      </c>
      <c r="B336">
        <v>441</v>
      </c>
      <c r="C336" t="s">
        <v>487</v>
      </c>
      <c r="D336" t="s">
        <v>231</v>
      </c>
      <c r="E336" t="s">
        <v>534</v>
      </c>
      <c r="F336" t="s">
        <v>1731</v>
      </c>
      <c r="G336" s="25">
        <v>44233</v>
      </c>
      <c r="H336">
        <v>8</v>
      </c>
      <c r="I336">
        <v>37</v>
      </c>
      <c r="J336" t="s">
        <v>500</v>
      </c>
      <c r="K336" t="s">
        <v>265</v>
      </c>
      <c r="L336" t="s">
        <v>235</v>
      </c>
      <c r="M336" t="s">
        <v>266</v>
      </c>
      <c r="N336" t="s">
        <v>52</v>
      </c>
      <c r="O336">
        <v>0</v>
      </c>
      <c r="P336" t="s">
        <v>237</v>
      </c>
    </row>
    <row r="337" spans="1:16" x14ac:dyDescent="0.25">
      <c r="A337" t="s">
        <v>702</v>
      </c>
      <c r="B337">
        <v>461</v>
      </c>
      <c r="C337" t="s">
        <v>487</v>
      </c>
      <c r="D337" t="s">
        <v>231</v>
      </c>
      <c r="E337" t="s">
        <v>531</v>
      </c>
      <c r="F337" t="s">
        <v>1230</v>
      </c>
      <c r="G337" s="25">
        <v>44235</v>
      </c>
      <c r="H337">
        <v>8</v>
      </c>
      <c r="I337">
        <v>39</v>
      </c>
      <c r="J337" t="s">
        <v>500</v>
      </c>
      <c r="K337" t="s">
        <v>265</v>
      </c>
      <c r="L337" t="s">
        <v>235</v>
      </c>
      <c r="M337" t="s">
        <v>266</v>
      </c>
      <c r="N337" t="s">
        <v>52</v>
      </c>
      <c r="O337">
        <v>0</v>
      </c>
      <c r="P337" t="s">
        <v>237</v>
      </c>
    </row>
    <row r="338" spans="1:16" x14ac:dyDescent="0.25">
      <c r="A338" t="s">
        <v>589</v>
      </c>
      <c r="B338">
        <v>330</v>
      </c>
      <c r="C338" t="s">
        <v>487</v>
      </c>
      <c r="D338" t="s">
        <v>231</v>
      </c>
      <c r="E338" t="s">
        <v>381</v>
      </c>
      <c r="F338" t="s">
        <v>1099</v>
      </c>
      <c r="G338" s="25">
        <v>44224</v>
      </c>
      <c r="H338">
        <v>6</v>
      </c>
      <c r="I338">
        <v>28</v>
      </c>
      <c r="J338" t="s">
        <v>500</v>
      </c>
      <c r="K338" t="s">
        <v>265</v>
      </c>
      <c r="L338" t="s">
        <v>235</v>
      </c>
      <c r="M338" t="s">
        <v>266</v>
      </c>
      <c r="N338" t="s">
        <v>52</v>
      </c>
      <c r="O338">
        <v>0</v>
      </c>
      <c r="P338" t="s">
        <v>237</v>
      </c>
    </row>
    <row r="339" spans="1:16" x14ac:dyDescent="0.25">
      <c r="A339" t="s">
        <v>646</v>
      </c>
      <c r="B339">
        <v>345</v>
      </c>
      <c r="C339" t="s">
        <v>487</v>
      </c>
      <c r="D339" t="s">
        <v>231</v>
      </c>
      <c r="E339" t="s">
        <v>371</v>
      </c>
      <c r="F339" t="s">
        <v>1124</v>
      </c>
      <c r="G339" s="25">
        <v>44225</v>
      </c>
      <c r="H339">
        <v>6</v>
      </c>
      <c r="I339">
        <v>29</v>
      </c>
      <c r="J339" t="s">
        <v>500</v>
      </c>
      <c r="K339" t="s">
        <v>265</v>
      </c>
      <c r="L339" t="s">
        <v>235</v>
      </c>
      <c r="M339" t="s">
        <v>266</v>
      </c>
      <c r="N339" t="s">
        <v>52</v>
      </c>
      <c r="O339">
        <v>0</v>
      </c>
      <c r="P339" t="s">
        <v>237</v>
      </c>
    </row>
    <row r="340" spans="1:16" x14ac:dyDescent="0.25">
      <c r="A340" t="s">
        <v>536</v>
      </c>
      <c r="B340">
        <v>303</v>
      </c>
      <c r="C340" t="s">
        <v>487</v>
      </c>
      <c r="D340" t="s">
        <v>231</v>
      </c>
      <c r="E340" t="s">
        <v>247</v>
      </c>
      <c r="F340" t="s">
        <v>1088</v>
      </c>
      <c r="G340" s="25">
        <v>44222</v>
      </c>
      <c r="H340">
        <v>6</v>
      </c>
      <c r="I340">
        <v>26</v>
      </c>
      <c r="J340" t="s">
        <v>500</v>
      </c>
      <c r="K340" t="s">
        <v>265</v>
      </c>
      <c r="L340" t="s">
        <v>235</v>
      </c>
      <c r="M340" t="s">
        <v>266</v>
      </c>
      <c r="N340" t="s">
        <v>52</v>
      </c>
      <c r="O340">
        <v>0</v>
      </c>
      <c r="P340" t="s">
        <v>237</v>
      </c>
    </row>
    <row r="341" spans="1:16" x14ac:dyDescent="0.25">
      <c r="A341" t="s">
        <v>1568</v>
      </c>
      <c r="B341">
        <v>471</v>
      </c>
      <c r="C341" t="s">
        <v>487</v>
      </c>
      <c r="D341" t="s">
        <v>231</v>
      </c>
      <c r="E341" t="s">
        <v>408</v>
      </c>
      <c r="F341" t="s">
        <v>1234</v>
      </c>
      <c r="G341" s="25">
        <v>44236</v>
      </c>
      <c r="H341">
        <v>8</v>
      </c>
      <c r="I341">
        <v>40</v>
      </c>
      <c r="J341" t="s">
        <v>500</v>
      </c>
      <c r="K341" t="s">
        <v>265</v>
      </c>
      <c r="L341" t="s">
        <v>235</v>
      </c>
      <c r="M341" t="s">
        <v>266</v>
      </c>
      <c r="N341" t="s">
        <v>52</v>
      </c>
      <c r="O341">
        <v>0</v>
      </c>
      <c r="P341" t="s">
        <v>237</v>
      </c>
    </row>
    <row r="342" spans="1:16" x14ac:dyDescent="0.25">
      <c r="A342" t="s">
        <v>2086</v>
      </c>
      <c r="B342">
        <v>555</v>
      </c>
      <c r="C342" t="s">
        <v>487</v>
      </c>
      <c r="D342" t="s">
        <v>256</v>
      </c>
      <c r="E342" t="s">
        <v>326</v>
      </c>
      <c r="F342" t="s">
        <v>1305</v>
      </c>
      <c r="G342" s="25">
        <v>44243</v>
      </c>
      <c r="H342">
        <v>10</v>
      </c>
      <c r="I342">
        <v>47</v>
      </c>
      <c r="J342" t="s">
        <v>500</v>
      </c>
      <c r="K342" t="s">
        <v>265</v>
      </c>
      <c r="L342" t="s">
        <v>235</v>
      </c>
      <c r="M342" t="s">
        <v>266</v>
      </c>
      <c r="N342" t="s">
        <v>52</v>
      </c>
      <c r="O342">
        <v>0</v>
      </c>
      <c r="P342" t="s">
        <v>237</v>
      </c>
    </row>
    <row r="343" spans="1:16" x14ac:dyDescent="0.25">
      <c r="A343" t="s">
        <v>787</v>
      </c>
      <c r="B343">
        <v>356</v>
      </c>
      <c r="C343" t="s">
        <v>487</v>
      </c>
      <c r="D343" t="s">
        <v>231</v>
      </c>
      <c r="E343" t="s">
        <v>239</v>
      </c>
      <c r="F343" t="s">
        <v>1139</v>
      </c>
      <c r="G343" s="25">
        <v>44226</v>
      </c>
      <c r="H343">
        <v>6</v>
      </c>
      <c r="I343">
        <v>30</v>
      </c>
      <c r="J343" t="s">
        <v>500</v>
      </c>
      <c r="K343" t="s">
        <v>265</v>
      </c>
      <c r="L343" t="s">
        <v>235</v>
      </c>
      <c r="M343" t="s">
        <v>266</v>
      </c>
      <c r="N343" t="s">
        <v>52</v>
      </c>
      <c r="O343">
        <v>0</v>
      </c>
      <c r="P343" t="s">
        <v>237</v>
      </c>
    </row>
    <row r="344" spans="1:16" x14ac:dyDescent="0.25">
      <c r="A344" t="s">
        <v>609</v>
      </c>
      <c r="B344">
        <v>422</v>
      </c>
      <c r="C344" t="s">
        <v>487</v>
      </c>
      <c r="D344" t="s">
        <v>231</v>
      </c>
      <c r="E344" t="s">
        <v>620</v>
      </c>
      <c r="F344" t="s">
        <v>1215</v>
      </c>
      <c r="G344" s="25">
        <v>44232</v>
      </c>
      <c r="H344">
        <v>8</v>
      </c>
      <c r="I344">
        <v>36</v>
      </c>
      <c r="J344" t="s">
        <v>500</v>
      </c>
      <c r="K344" t="s">
        <v>265</v>
      </c>
      <c r="L344" t="s">
        <v>235</v>
      </c>
      <c r="M344" t="s">
        <v>266</v>
      </c>
      <c r="N344" t="s">
        <v>52</v>
      </c>
      <c r="O344">
        <v>0</v>
      </c>
      <c r="P344" t="s">
        <v>237</v>
      </c>
    </row>
    <row r="345" spans="1:16" x14ac:dyDescent="0.25">
      <c r="A345" t="s">
        <v>1749</v>
      </c>
      <c r="B345">
        <v>544</v>
      </c>
      <c r="C345" t="s">
        <v>487</v>
      </c>
      <c r="D345" t="s">
        <v>256</v>
      </c>
      <c r="E345" t="s">
        <v>247</v>
      </c>
      <c r="F345" t="s">
        <v>1299</v>
      </c>
      <c r="G345" s="25">
        <v>44242</v>
      </c>
      <c r="H345">
        <v>10</v>
      </c>
      <c r="I345">
        <v>46</v>
      </c>
      <c r="J345" t="s">
        <v>500</v>
      </c>
      <c r="K345" t="s">
        <v>265</v>
      </c>
      <c r="L345" t="s">
        <v>235</v>
      </c>
      <c r="M345" t="s">
        <v>266</v>
      </c>
      <c r="N345" t="s">
        <v>52</v>
      </c>
      <c r="O345">
        <v>0</v>
      </c>
      <c r="P345" t="s">
        <v>237</v>
      </c>
    </row>
    <row r="346" spans="1:16" x14ac:dyDescent="0.25">
      <c r="A346" t="s">
        <v>2401</v>
      </c>
      <c r="B346">
        <v>539</v>
      </c>
      <c r="C346" t="s">
        <v>487</v>
      </c>
      <c r="D346" t="s">
        <v>256</v>
      </c>
      <c r="E346" t="s">
        <v>322</v>
      </c>
      <c r="F346" t="s">
        <v>1288</v>
      </c>
      <c r="G346" s="25">
        <v>44241</v>
      </c>
      <c r="H346">
        <v>9</v>
      </c>
      <c r="I346">
        <v>45</v>
      </c>
      <c r="J346" t="s">
        <v>500</v>
      </c>
      <c r="K346" t="s">
        <v>265</v>
      </c>
      <c r="L346" t="s">
        <v>235</v>
      </c>
      <c r="M346" t="s">
        <v>266</v>
      </c>
      <c r="N346" t="s">
        <v>52</v>
      </c>
      <c r="O346">
        <v>2625</v>
      </c>
      <c r="P346" t="s">
        <v>237</v>
      </c>
    </row>
    <row r="347" spans="1:16" x14ac:dyDescent="0.25">
      <c r="A347" t="s">
        <v>1610</v>
      </c>
      <c r="B347">
        <v>491</v>
      </c>
      <c r="C347" t="s">
        <v>487</v>
      </c>
      <c r="D347" t="s">
        <v>256</v>
      </c>
      <c r="E347" t="s">
        <v>229</v>
      </c>
      <c r="F347" t="s">
        <v>1241</v>
      </c>
      <c r="G347" s="25">
        <v>44237</v>
      </c>
      <c r="H347">
        <v>9</v>
      </c>
      <c r="I347">
        <v>41</v>
      </c>
      <c r="J347" t="s">
        <v>500</v>
      </c>
      <c r="K347" t="s">
        <v>265</v>
      </c>
      <c r="L347" t="s">
        <v>235</v>
      </c>
      <c r="M347" t="s">
        <v>266</v>
      </c>
      <c r="N347" t="s">
        <v>52</v>
      </c>
      <c r="O347">
        <v>0</v>
      </c>
      <c r="P347" t="s">
        <v>237</v>
      </c>
    </row>
    <row r="348" spans="1:16" x14ac:dyDescent="0.25">
      <c r="A348" t="s">
        <v>712</v>
      </c>
      <c r="B348">
        <v>414</v>
      </c>
      <c r="C348" t="s">
        <v>487</v>
      </c>
      <c r="D348" t="s">
        <v>231</v>
      </c>
      <c r="E348" t="s">
        <v>575</v>
      </c>
      <c r="F348" t="s">
        <v>1210</v>
      </c>
      <c r="G348" s="25">
        <v>44231</v>
      </c>
      <c r="H348">
        <v>7</v>
      </c>
      <c r="I348">
        <v>35</v>
      </c>
      <c r="J348" t="s">
        <v>500</v>
      </c>
      <c r="K348" t="s">
        <v>265</v>
      </c>
      <c r="L348" t="s">
        <v>235</v>
      </c>
      <c r="M348" t="s">
        <v>266</v>
      </c>
      <c r="N348" t="s">
        <v>52</v>
      </c>
      <c r="O348">
        <v>0</v>
      </c>
      <c r="P348" t="s">
        <v>237</v>
      </c>
    </row>
    <row r="349" spans="1:16" x14ac:dyDescent="0.25">
      <c r="A349" t="s">
        <v>593</v>
      </c>
      <c r="B349">
        <v>370</v>
      </c>
      <c r="C349" t="s">
        <v>487</v>
      </c>
      <c r="D349" t="s">
        <v>231</v>
      </c>
      <c r="E349" t="s">
        <v>515</v>
      </c>
      <c r="F349" t="s">
        <v>1150</v>
      </c>
      <c r="G349" s="25">
        <v>44227</v>
      </c>
      <c r="H349">
        <v>7</v>
      </c>
      <c r="I349">
        <v>31</v>
      </c>
      <c r="J349" t="s">
        <v>500</v>
      </c>
      <c r="K349" t="s">
        <v>265</v>
      </c>
      <c r="L349" t="s">
        <v>235</v>
      </c>
      <c r="M349" t="s">
        <v>266</v>
      </c>
      <c r="N349" t="s">
        <v>52</v>
      </c>
      <c r="O349">
        <v>0</v>
      </c>
      <c r="P349" t="s">
        <v>237</v>
      </c>
    </row>
    <row r="350" spans="1:16" x14ac:dyDescent="0.25">
      <c r="A350" t="s">
        <v>1624</v>
      </c>
      <c r="B350">
        <v>500</v>
      </c>
      <c r="C350" t="s">
        <v>487</v>
      </c>
      <c r="D350" t="s">
        <v>256</v>
      </c>
      <c r="E350" t="s">
        <v>231</v>
      </c>
      <c r="F350" t="s">
        <v>1249</v>
      </c>
      <c r="G350" s="25">
        <v>44238</v>
      </c>
      <c r="H350">
        <v>9</v>
      </c>
      <c r="I350">
        <v>42</v>
      </c>
      <c r="J350" t="s">
        <v>500</v>
      </c>
      <c r="K350" t="s">
        <v>265</v>
      </c>
      <c r="L350" t="s">
        <v>235</v>
      </c>
      <c r="M350" t="s">
        <v>266</v>
      </c>
      <c r="N350" t="s">
        <v>52</v>
      </c>
      <c r="O350">
        <v>0</v>
      </c>
      <c r="P350" t="s">
        <v>237</v>
      </c>
    </row>
    <row r="351" spans="1:16" x14ac:dyDescent="0.25">
      <c r="A351" t="s">
        <v>782</v>
      </c>
      <c r="B351">
        <v>402</v>
      </c>
      <c r="C351" t="s">
        <v>487</v>
      </c>
      <c r="D351" t="s">
        <v>231</v>
      </c>
      <c r="E351" t="s">
        <v>537</v>
      </c>
      <c r="F351" t="s">
        <v>1192</v>
      </c>
      <c r="G351" s="25">
        <v>44230</v>
      </c>
      <c r="H351">
        <v>7</v>
      </c>
      <c r="I351">
        <v>34</v>
      </c>
      <c r="J351" t="s">
        <v>500</v>
      </c>
      <c r="K351" t="s">
        <v>265</v>
      </c>
      <c r="L351" t="s">
        <v>235</v>
      </c>
      <c r="M351" t="s">
        <v>266</v>
      </c>
      <c r="N351" t="s">
        <v>52</v>
      </c>
      <c r="O351">
        <v>0</v>
      </c>
      <c r="P351" t="s">
        <v>237</v>
      </c>
    </row>
    <row r="352" spans="1:16" x14ac:dyDescent="0.25">
      <c r="A352" t="s">
        <v>2197</v>
      </c>
      <c r="B352">
        <v>528</v>
      </c>
      <c r="C352" t="s">
        <v>487</v>
      </c>
      <c r="D352" t="s">
        <v>256</v>
      </c>
      <c r="E352" t="s">
        <v>261</v>
      </c>
      <c r="F352" t="s">
        <v>1276</v>
      </c>
      <c r="G352" s="25">
        <v>44240</v>
      </c>
      <c r="H352">
        <v>9</v>
      </c>
      <c r="I352">
        <v>44</v>
      </c>
      <c r="J352" t="s">
        <v>500</v>
      </c>
      <c r="K352" t="s">
        <v>265</v>
      </c>
      <c r="L352" t="s">
        <v>235</v>
      </c>
      <c r="M352" t="s">
        <v>266</v>
      </c>
      <c r="N352" t="s">
        <v>52</v>
      </c>
      <c r="O352">
        <v>24000</v>
      </c>
      <c r="P352" t="s">
        <v>237</v>
      </c>
    </row>
    <row r="353" spans="1:16" x14ac:dyDescent="0.25">
      <c r="A353" t="s">
        <v>846</v>
      </c>
      <c r="B353">
        <v>319</v>
      </c>
      <c r="C353" t="s">
        <v>487</v>
      </c>
      <c r="D353" t="s">
        <v>231</v>
      </c>
      <c r="E353" t="s">
        <v>326</v>
      </c>
      <c r="F353" t="s">
        <v>1095</v>
      </c>
      <c r="G353" s="25">
        <v>44223</v>
      </c>
      <c r="H353">
        <v>6</v>
      </c>
      <c r="I353">
        <v>27</v>
      </c>
      <c r="J353" t="s">
        <v>500</v>
      </c>
      <c r="K353" t="s">
        <v>265</v>
      </c>
      <c r="L353" t="s">
        <v>235</v>
      </c>
      <c r="M353" t="s">
        <v>266</v>
      </c>
      <c r="N353" t="s">
        <v>52</v>
      </c>
      <c r="O353">
        <v>0</v>
      </c>
      <c r="P353" t="s">
        <v>237</v>
      </c>
    </row>
    <row r="354" spans="1:16" x14ac:dyDescent="0.25">
      <c r="A354" t="s">
        <v>784</v>
      </c>
      <c r="B354">
        <v>379</v>
      </c>
      <c r="C354" t="s">
        <v>487</v>
      </c>
      <c r="D354" t="s">
        <v>231</v>
      </c>
      <c r="E354" t="s">
        <v>232</v>
      </c>
      <c r="F354" t="s">
        <v>1162</v>
      </c>
      <c r="G354" s="25">
        <v>44228</v>
      </c>
      <c r="H354">
        <v>7</v>
      </c>
      <c r="I354">
        <v>32</v>
      </c>
      <c r="J354" t="s">
        <v>500</v>
      </c>
      <c r="K354" t="s">
        <v>265</v>
      </c>
      <c r="L354" t="s">
        <v>235</v>
      </c>
      <c r="M354" t="s">
        <v>266</v>
      </c>
      <c r="N354" t="s">
        <v>52</v>
      </c>
      <c r="O354">
        <v>0</v>
      </c>
      <c r="P354" t="s">
        <v>237</v>
      </c>
    </row>
    <row r="355" spans="1:16" x14ac:dyDescent="0.25">
      <c r="A355" t="s">
        <v>751</v>
      </c>
      <c r="B355">
        <v>275</v>
      </c>
      <c r="C355" t="s">
        <v>487</v>
      </c>
      <c r="D355" t="s">
        <v>231</v>
      </c>
      <c r="E355" t="s">
        <v>256</v>
      </c>
      <c r="F355" t="s">
        <v>1064</v>
      </c>
      <c r="G355" s="25">
        <v>44219</v>
      </c>
      <c r="H355">
        <v>5</v>
      </c>
      <c r="I355">
        <v>23</v>
      </c>
      <c r="J355" t="s">
        <v>500</v>
      </c>
      <c r="K355" t="s">
        <v>265</v>
      </c>
      <c r="L355" t="s">
        <v>235</v>
      </c>
      <c r="M355" t="s">
        <v>266</v>
      </c>
      <c r="N355" t="s">
        <v>52</v>
      </c>
      <c r="O355">
        <v>0</v>
      </c>
      <c r="P355" t="s">
        <v>237</v>
      </c>
    </row>
    <row r="356" spans="1:16" x14ac:dyDescent="0.25">
      <c r="A356" t="s">
        <v>697</v>
      </c>
      <c r="B356">
        <v>280</v>
      </c>
      <c r="C356" t="s">
        <v>487</v>
      </c>
      <c r="D356" t="s">
        <v>231</v>
      </c>
      <c r="E356" t="s">
        <v>261</v>
      </c>
      <c r="F356" t="s">
        <v>1065</v>
      </c>
      <c r="G356" s="25">
        <v>44220</v>
      </c>
      <c r="H356">
        <v>5</v>
      </c>
      <c r="I356">
        <v>24</v>
      </c>
      <c r="J356" t="s">
        <v>500</v>
      </c>
      <c r="K356" t="s">
        <v>265</v>
      </c>
      <c r="L356" t="s">
        <v>235</v>
      </c>
      <c r="M356" t="s">
        <v>266</v>
      </c>
      <c r="N356" t="s">
        <v>52</v>
      </c>
      <c r="O356">
        <v>0</v>
      </c>
      <c r="P356" t="s">
        <v>237</v>
      </c>
    </row>
    <row r="357" spans="1:16" x14ac:dyDescent="0.25">
      <c r="A357" t="s">
        <v>2398</v>
      </c>
      <c r="B357">
        <v>516</v>
      </c>
      <c r="C357" t="s">
        <v>487</v>
      </c>
      <c r="D357" t="s">
        <v>256</v>
      </c>
      <c r="E357" t="s">
        <v>256</v>
      </c>
      <c r="F357" t="s">
        <v>1263</v>
      </c>
      <c r="G357" s="25">
        <v>44239</v>
      </c>
      <c r="H357">
        <v>9</v>
      </c>
      <c r="I357">
        <v>43</v>
      </c>
      <c r="J357" t="s">
        <v>500</v>
      </c>
      <c r="K357" t="s">
        <v>265</v>
      </c>
      <c r="L357" t="s">
        <v>235</v>
      </c>
      <c r="M357" t="s">
        <v>266</v>
      </c>
      <c r="N357" t="s">
        <v>52</v>
      </c>
      <c r="O357">
        <v>21375</v>
      </c>
      <c r="P357" t="s">
        <v>237</v>
      </c>
    </row>
    <row r="358" spans="1:16" x14ac:dyDescent="0.25">
      <c r="A358" t="s">
        <v>714</v>
      </c>
      <c r="B358">
        <v>388</v>
      </c>
      <c r="C358" t="s">
        <v>487</v>
      </c>
      <c r="D358" t="s">
        <v>231</v>
      </c>
      <c r="E358" t="s">
        <v>512</v>
      </c>
      <c r="F358" t="s">
        <v>1174</v>
      </c>
      <c r="G358" s="25">
        <v>44229</v>
      </c>
      <c r="H358">
        <v>7</v>
      </c>
      <c r="I358">
        <v>33</v>
      </c>
      <c r="J358" t="s">
        <v>500</v>
      </c>
      <c r="K358" t="s">
        <v>265</v>
      </c>
      <c r="L358" t="s">
        <v>235</v>
      </c>
      <c r="M358" t="s">
        <v>266</v>
      </c>
      <c r="N358" t="s">
        <v>52</v>
      </c>
      <c r="O358">
        <v>0</v>
      </c>
      <c r="P358" t="s">
        <v>237</v>
      </c>
    </row>
    <row r="359" spans="1:16" x14ac:dyDescent="0.25">
      <c r="A359" t="s">
        <v>1759</v>
      </c>
      <c r="B359">
        <v>575</v>
      </c>
      <c r="C359" t="s">
        <v>487</v>
      </c>
      <c r="D359" t="s">
        <v>256</v>
      </c>
      <c r="E359" t="s">
        <v>381</v>
      </c>
      <c r="F359" t="s">
        <v>1311</v>
      </c>
      <c r="G359" s="25">
        <v>44244</v>
      </c>
      <c r="H359">
        <v>10</v>
      </c>
      <c r="I359">
        <v>48</v>
      </c>
      <c r="J359" t="s">
        <v>500</v>
      </c>
      <c r="K359" t="s">
        <v>265</v>
      </c>
      <c r="L359" t="s">
        <v>235</v>
      </c>
      <c r="M359" t="s">
        <v>266</v>
      </c>
      <c r="N359" t="s">
        <v>52</v>
      </c>
      <c r="O359">
        <v>0</v>
      </c>
      <c r="P359" t="s">
        <v>237</v>
      </c>
    </row>
    <row r="360" spans="1:16" x14ac:dyDescent="0.25">
      <c r="A360" t="s">
        <v>665</v>
      </c>
      <c r="B360">
        <v>300</v>
      </c>
      <c r="C360" t="s">
        <v>487</v>
      </c>
      <c r="D360" t="s">
        <v>231</v>
      </c>
      <c r="E360" t="s">
        <v>322</v>
      </c>
      <c r="F360" t="s">
        <v>1085</v>
      </c>
      <c r="G360" s="25">
        <v>44221</v>
      </c>
      <c r="H360">
        <v>5</v>
      </c>
      <c r="I360">
        <v>25</v>
      </c>
      <c r="J360" t="s">
        <v>500</v>
      </c>
      <c r="K360" t="s">
        <v>265</v>
      </c>
      <c r="L360" t="s">
        <v>235</v>
      </c>
      <c r="M360" t="s">
        <v>266</v>
      </c>
      <c r="N360" t="s">
        <v>52</v>
      </c>
      <c r="O360">
        <v>16000</v>
      </c>
      <c r="P360" t="s">
        <v>237</v>
      </c>
    </row>
    <row r="361" spans="1:16" x14ac:dyDescent="0.25">
      <c r="A361" t="s">
        <v>802</v>
      </c>
      <c r="B361">
        <v>451</v>
      </c>
      <c r="C361" t="s">
        <v>487</v>
      </c>
      <c r="D361" t="s">
        <v>231</v>
      </c>
      <c r="E361" t="s">
        <v>552</v>
      </c>
      <c r="F361" t="s">
        <v>1222</v>
      </c>
      <c r="G361" s="25">
        <v>44234</v>
      </c>
      <c r="H361">
        <v>8</v>
      </c>
      <c r="I361">
        <v>38</v>
      </c>
      <c r="J361" t="s">
        <v>500</v>
      </c>
      <c r="K361" t="s">
        <v>265</v>
      </c>
      <c r="L361" t="s">
        <v>235</v>
      </c>
      <c r="M361" t="s">
        <v>266</v>
      </c>
      <c r="N361" t="s">
        <v>52</v>
      </c>
      <c r="O361">
        <v>0</v>
      </c>
      <c r="P361" t="s">
        <v>237</v>
      </c>
    </row>
    <row r="362" spans="1:16" x14ac:dyDescent="0.25">
      <c r="A362" t="s">
        <v>708</v>
      </c>
      <c r="B362">
        <v>154</v>
      </c>
      <c r="C362" t="s">
        <v>487</v>
      </c>
      <c r="D362" t="s">
        <v>229</v>
      </c>
      <c r="E362" t="s">
        <v>512</v>
      </c>
      <c r="F362" t="s">
        <v>513</v>
      </c>
      <c r="G362" s="25">
        <v>44209</v>
      </c>
      <c r="H362">
        <v>3</v>
      </c>
      <c r="I362">
        <v>13</v>
      </c>
      <c r="J362" t="s">
        <v>501</v>
      </c>
      <c r="K362" t="s">
        <v>412</v>
      </c>
      <c r="L362" t="s">
        <v>235</v>
      </c>
      <c r="M362" t="s">
        <v>413</v>
      </c>
      <c r="N362" t="s">
        <v>60</v>
      </c>
      <c r="O362">
        <v>0</v>
      </c>
      <c r="P362" t="s">
        <v>237</v>
      </c>
    </row>
    <row r="363" spans="1:16" x14ac:dyDescent="0.25">
      <c r="A363" t="s">
        <v>1861</v>
      </c>
      <c r="B363">
        <v>925</v>
      </c>
      <c r="C363" t="s">
        <v>487</v>
      </c>
      <c r="D363" t="s">
        <v>261</v>
      </c>
      <c r="E363" t="s">
        <v>552</v>
      </c>
      <c r="F363" t="s">
        <v>1585</v>
      </c>
      <c r="G363" s="25">
        <v>44274</v>
      </c>
      <c r="H363">
        <v>16</v>
      </c>
      <c r="I363">
        <v>78</v>
      </c>
      <c r="J363" t="s">
        <v>501</v>
      </c>
      <c r="K363" t="s">
        <v>412</v>
      </c>
      <c r="L363" t="s">
        <v>235</v>
      </c>
      <c r="M363" t="s">
        <v>413</v>
      </c>
      <c r="N363" t="s">
        <v>60</v>
      </c>
      <c r="O363">
        <v>0</v>
      </c>
      <c r="P363" t="s">
        <v>237</v>
      </c>
    </row>
    <row r="364" spans="1:16" x14ac:dyDescent="0.25">
      <c r="A364" t="s">
        <v>1636</v>
      </c>
      <c r="B364">
        <v>916</v>
      </c>
      <c r="C364" t="s">
        <v>487</v>
      </c>
      <c r="D364" t="s">
        <v>261</v>
      </c>
      <c r="E364" t="s">
        <v>534</v>
      </c>
      <c r="F364" t="s">
        <v>1563</v>
      </c>
      <c r="G364" s="25">
        <v>44273</v>
      </c>
      <c r="H364">
        <v>16</v>
      </c>
      <c r="I364">
        <v>77</v>
      </c>
      <c r="J364" t="s">
        <v>501</v>
      </c>
      <c r="K364" t="s">
        <v>412</v>
      </c>
      <c r="L364" t="s">
        <v>235</v>
      </c>
      <c r="M364" t="s">
        <v>413</v>
      </c>
      <c r="N364" t="s">
        <v>60</v>
      </c>
      <c r="O364">
        <v>0</v>
      </c>
      <c r="P364" t="s">
        <v>237</v>
      </c>
    </row>
    <row r="365" spans="1:16" x14ac:dyDescent="0.25">
      <c r="A365" t="s">
        <v>845</v>
      </c>
      <c r="B365">
        <v>161</v>
      </c>
      <c r="C365" t="s">
        <v>487</v>
      </c>
      <c r="D365" t="s">
        <v>229</v>
      </c>
      <c r="E365" t="s">
        <v>537</v>
      </c>
      <c r="F365" t="s">
        <v>538</v>
      </c>
      <c r="G365" s="25">
        <v>44210</v>
      </c>
      <c r="H365">
        <v>3</v>
      </c>
      <c r="I365">
        <v>14</v>
      </c>
      <c r="J365" t="s">
        <v>501</v>
      </c>
      <c r="K365" t="s">
        <v>412</v>
      </c>
      <c r="L365" t="s">
        <v>235</v>
      </c>
      <c r="M365" t="s">
        <v>413</v>
      </c>
      <c r="N365" t="s">
        <v>60</v>
      </c>
      <c r="O365">
        <v>0</v>
      </c>
      <c r="P365" t="s">
        <v>237</v>
      </c>
    </row>
    <row r="366" spans="1:16" x14ac:dyDescent="0.25">
      <c r="A366" t="s">
        <v>2304</v>
      </c>
      <c r="B366">
        <v>901</v>
      </c>
      <c r="C366" t="s">
        <v>487</v>
      </c>
      <c r="D366" t="s">
        <v>261</v>
      </c>
      <c r="E366" t="s">
        <v>620</v>
      </c>
      <c r="F366" t="s">
        <v>1545</v>
      </c>
      <c r="G366" s="25">
        <v>44272</v>
      </c>
      <c r="H366">
        <v>16</v>
      </c>
      <c r="I366">
        <v>76</v>
      </c>
      <c r="J366" t="s">
        <v>501</v>
      </c>
      <c r="K366" t="s">
        <v>412</v>
      </c>
      <c r="L366" t="s">
        <v>235</v>
      </c>
      <c r="M366" t="s">
        <v>413</v>
      </c>
      <c r="N366" t="s">
        <v>60</v>
      </c>
      <c r="O366">
        <v>0</v>
      </c>
      <c r="P366" t="s">
        <v>237</v>
      </c>
    </row>
    <row r="367" spans="1:16" x14ac:dyDescent="0.25">
      <c r="A367" t="s">
        <v>1747</v>
      </c>
      <c r="B367">
        <v>895</v>
      </c>
      <c r="C367" t="s">
        <v>487</v>
      </c>
      <c r="D367" t="s">
        <v>261</v>
      </c>
      <c r="E367" t="s">
        <v>575</v>
      </c>
      <c r="F367" t="s">
        <v>1537</v>
      </c>
      <c r="G367" s="25">
        <v>44271</v>
      </c>
      <c r="H367">
        <v>15</v>
      </c>
      <c r="I367">
        <v>75</v>
      </c>
      <c r="J367" t="s">
        <v>501</v>
      </c>
      <c r="K367" t="s">
        <v>412</v>
      </c>
      <c r="L367" t="s">
        <v>235</v>
      </c>
      <c r="M367" t="s">
        <v>413</v>
      </c>
      <c r="N367" t="s">
        <v>60</v>
      </c>
      <c r="O367">
        <v>0</v>
      </c>
      <c r="P367" t="s">
        <v>237</v>
      </c>
    </row>
    <row r="368" spans="1:16" x14ac:dyDescent="0.25">
      <c r="A368" t="s">
        <v>2478</v>
      </c>
      <c r="B368">
        <v>878</v>
      </c>
      <c r="C368" t="s">
        <v>487</v>
      </c>
      <c r="D368" t="s">
        <v>261</v>
      </c>
      <c r="E368" t="s">
        <v>537</v>
      </c>
      <c r="F368" t="s">
        <v>1530</v>
      </c>
      <c r="G368" s="25">
        <v>44270</v>
      </c>
      <c r="H368">
        <v>15</v>
      </c>
      <c r="I368">
        <v>74</v>
      </c>
      <c r="J368" t="s">
        <v>501</v>
      </c>
      <c r="K368" t="s">
        <v>412</v>
      </c>
      <c r="L368" t="s">
        <v>235</v>
      </c>
      <c r="M368" t="s">
        <v>413</v>
      </c>
      <c r="N368" t="s">
        <v>60</v>
      </c>
      <c r="O368">
        <v>0</v>
      </c>
      <c r="P368" t="s">
        <v>237</v>
      </c>
    </row>
    <row r="369" spans="1:16" x14ac:dyDescent="0.25">
      <c r="A369" t="s">
        <v>2551</v>
      </c>
      <c r="B369">
        <v>867</v>
      </c>
      <c r="C369" t="s">
        <v>487</v>
      </c>
      <c r="D369" t="s">
        <v>261</v>
      </c>
      <c r="E369" t="s">
        <v>512</v>
      </c>
      <c r="F369" t="s">
        <v>1518</v>
      </c>
      <c r="G369" s="25">
        <v>44269</v>
      </c>
      <c r="H369">
        <v>15</v>
      </c>
      <c r="I369">
        <v>73</v>
      </c>
      <c r="J369" t="s">
        <v>501</v>
      </c>
      <c r="K369" t="s">
        <v>412</v>
      </c>
      <c r="L369" t="s">
        <v>235</v>
      </c>
      <c r="M369" t="s">
        <v>413</v>
      </c>
      <c r="N369" t="s">
        <v>60</v>
      </c>
      <c r="O369">
        <v>0</v>
      </c>
      <c r="P369" t="s">
        <v>237</v>
      </c>
    </row>
    <row r="370" spans="1:16" x14ac:dyDescent="0.25">
      <c r="A370" t="s">
        <v>858</v>
      </c>
      <c r="B370">
        <v>176</v>
      </c>
      <c r="C370" t="s">
        <v>487</v>
      </c>
      <c r="D370" t="s">
        <v>229</v>
      </c>
      <c r="E370" t="s">
        <v>575</v>
      </c>
      <c r="F370" t="s">
        <v>576</v>
      </c>
      <c r="G370" s="25">
        <v>44211</v>
      </c>
      <c r="H370">
        <v>3</v>
      </c>
      <c r="I370">
        <v>15</v>
      </c>
      <c r="J370" t="s">
        <v>501</v>
      </c>
      <c r="K370" t="s">
        <v>412</v>
      </c>
      <c r="L370" t="s">
        <v>235</v>
      </c>
      <c r="M370" t="s">
        <v>413</v>
      </c>
      <c r="N370" t="s">
        <v>60</v>
      </c>
      <c r="O370">
        <v>0</v>
      </c>
      <c r="P370" t="s">
        <v>237</v>
      </c>
    </row>
    <row r="371" spans="1:16" x14ac:dyDescent="0.25">
      <c r="A371" t="s">
        <v>2841</v>
      </c>
      <c r="B371">
        <v>857</v>
      </c>
      <c r="C371" t="s">
        <v>487</v>
      </c>
      <c r="D371" t="s">
        <v>261</v>
      </c>
      <c r="E371" t="s">
        <v>232</v>
      </c>
      <c r="F371" t="s">
        <v>1500</v>
      </c>
      <c r="G371" s="25">
        <v>44268</v>
      </c>
      <c r="H371">
        <v>15</v>
      </c>
      <c r="I371">
        <v>72</v>
      </c>
      <c r="J371" t="s">
        <v>501</v>
      </c>
      <c r="K371" t="s">
        <v>412</v>
      </c>
      <c r="L371" t="s">
        <v>235</v>
      </c>
      <c r="M371" t="s">
        <v>413</v>
      </c>
      <c r="N371" t="s">
        <v>60</v>
      </c>
      <c r="O371">
        <v>0</v>
      </c>
      <c r="P371" t="s">
        <v>237</v>
      </c>
    </row>
    <row r="372" spans="1:16" x14ac:dyDescent="0.25">
      <c r="A372" t="s">
        <v>2889</v>
      </c>
      <c r="B372">
        <v>848</v>
      </c>
      <c r="C372" t="s">
        <v>487</v>
      </c>
      <c r="D372" t="s">
        <v>261</v>
      </c>
      <c r="E372" t="s">
        <v>515</v>
      </c>
      <c r="F372" t="s">
        <v>1493</v>
      </c>
      <c r="G372" s="25">
        <v>44267</v>
      </c>
      <c r="H372">
        <v>15</v>
      </c>
      <c r="I372">
        <v>71</v>
      </c>
      <c r="J372" t="s">
        <v>501</v>
      </c>
      <c r="K372" t="s">
        <v>412</v>
      </c>
      <c r="L372" t="s">
        <v>235</v>
      </c>
      <c r="M372" t="s">
        <v>413</v>
      </c>
      <c r="N372" t="s">
        <v>60</v>
      </c>
      <c r="O372">
        <v>0</v>
      </c>
      <c r="P372" t="s">
        <v>237</v>
      </c>
    </row>
    <row r="373" spans="1:16" x14ac:dyDescent="0.25">
      <c r="A373" t="s">
        <v>1748</v>
      </c>
      <c r="B373">
        <v>830</v>
      </c>
      <c r="C373" t="s">
        <v>487</v>
      </c>
      <c r="D373" t="s">
        <v>261</v>
      </c>
      <c r="E373" t="s">
        <v>239</v>
      </c>
      <c r="F373" t="s">
        <v>1703</v>
      </c>
      <c r="G373" s="25">
        <v>44266</v>
      </c>
      <c r="H373">
        <v>14</v>
      </c>
      <c r="I373">
        <v>70</v>
      </c>
      <c r="J373" t="s">
        <v>501</v>
      </c>
      <c r="K373" t="s">
        <v>412</v>
      </c>
      <c r="L373" t="s">
        <v>235</v>
      </c>
      <c r="M373" t="s">
        <v>413</v>
      </c>
      <c r="N373" t="s">
        <v>60</v>
      </c>
      <c r="O373">
        <v>0</v>
      </c>
      <c r="P373" t="s">
        <v>237</v>
      </c>
    </row>
    <row r="374" spans="1:16" x14ac:dyDescent="0.25">
      <c r="A374" t="s">
        <v>2503</v>
      </c>
      <c r="B374">
        <v>818</v>
      </c>
      <c r="C374" t="s">
        <v>487</v>
      </c>
      <c r="D374" t="s">
        <v>261</v>
      </c>
      <c r="E374" t="s">
        <v>371</v>
      </c>
      <c r="F374" t="s">
        <v>1478</v>
      </c>
      <c r="G374" s="25">
        <v>44265</v>
      </c>
      <c r="H374">
        <v>14</v>
      </c>
      <c r="I374">
        <v>69</v>
      </c>
      <c r="J374" t="s">
        <v>501</v>
      </c>
      <c r="K374" t="s">
        <v>412</v>
      </c>
      <c r="L374" t="s">
        <v>235</v>
      </c>
      <c r="M374" t="s">
        <v>413</v>
      </c>
      <c r="N374" t="s">
        <v>60</v>
      </c>
      <c r="O374">
        <v>0</v>
      </c>
      <c r="P374" t="s">
        <v>237</v>
      </c>
    </row>
    <row r="375" spans="1:16" x14ac:dyDescent="0.25">
      <c r="A375" t="s">
        <v>2053</v>
      </c>
      <c r="B375">
        <v>813</v>
      </c>
      <c r="C375" t="s">
        <v>487</v>
      </c>
      <c r="D375" t="s">
        <v>261</v>
      </c>
      <c r="E375" t="s">
        <v>381</v>
      </c>
      <c r="F375" t="s">
        <v>1458</v>
      </c>
      <c r="G375" s="25">
        <v>44264</v>
      </c>
      <c r="H375">
        <v>14</v>
      </c>
      <c r="I375">
        <v>68</v>
      </c>
      <c r="J375" t="s">
        <v>501</v>
      </c>
      <c r="K375" t="s">
        <v>412</v>
      </c>
      <c r="L375" t="s">
        <v>235</v>
      </c>
      <c r="M375" t="s">
        <v>413</v>
      </c>
      <c r="N375" t="s">
        <v>60</v>
      </c>
      <c r="O375">
        <v>0</v>
      </c>
      <c r="P375" t="s">
        <v>237</v>
      </c>
    </row>
    <row r="376" spans="1:16" x14ac:dyDescent="0.25">
      <c r="A376" t="s">
        <v>824</v>
      </c>
      <c r="B376">
        <v>189</v>
      </c>
      <c r="C376" t="s">
        <v>487</v>
      </c>
      <c r="D376" t="s">
        <v>229</v>
      </c>
      <c r="E376" t="s">
        <v>620</v>
      </c>
      <c r="F376" t="s">
        <v>621</v>
      </c>
      <c r="G376" s="25">
        <v>44212</v>
      </c>
      <c r="H376">
        <v>4</v>
      </c>
      <c r="I376">
        <v>16</v>
      </c>
      <c r="J376" t="s">
        <v>501</v>
      </c>
      <c r="K376" t="s">
        <v>412</v>
      </c>
      <c r="L376" t="s">
        <v>235</v>
      </c>
      <c r="M376" t="s">
        <v>413</v>
      </c>
      <c r="N376" t="s">
        <v>60</v>
      </c>
      <c r="O376">
        <v>0</v>
      </c>
      <c r="P376" t="s">
        <v>237</v>
      </c>
    </row>
    <row r="377" spans="1:16" x14ac:dyDescent="0.25">
      <c r="A377" t="s">
        <v>2854</v>
      </c>
      <c r="B377">
        <v>800</v>
      </c>
      <c r="C377" t="s">
        <v>487</v>
      </c>
      <c r="D377" t="s">
        <v>261</v>
      </c>
      <c r="E377" t="s">
        <v>326</v>
      </c>
      <c r="F377" t="s">
        <v>1440</v>
      </c>
      <c r="G377" s="25">
        <v>44263</v>
      </c>
      <c r="H377">
        <v>14</v>
      </c>
      <c r="I377">
        <v>67</v>
      </c>
      <c r="J377" t="s">
        <v>501</v>
      </c>
      <c r="K377" t="s">
        <v>412</v>
      </c>
      <c r="L377" t="s">
        <v>235</v>
      </c>
      <c r="M377" t="s">
        <v>413</v>
      </c>
      <c r="N377" t="s">
        <v>60</v>
      </c>
      <c r="O377">
        <v>0</v>
      </c>
      <c r="P377" t="s">
        <v>237</v>
      </c>
    </row>
    <row r="378" spans="1:16" x14ac:dyDescent="0.25">
      <c r="A378" t="s">
        <v>1967</v>
      </c>
      <c r="B378">
        <v>788</v>
      </c>
      <c r="C378" t="s">
        <v>487</v>
      </c>
      <c r="D378" t="s">
        <v>261</v>
      </c>
      <c r="E378" t="s">
        <v>247</v>
      </c>
      <c r="F378" t="s">
        <v>1425</v>
      </c>
      <c r="G378" s="25">
        <v>44262</v>
      </c>
      <c r="H378">
        <v>14</v>
      </c>
      <c r="I378">
        <v>66</v>
      </c>
      <c r="J378" t="s">
        <v>501</v>
      </c>
      <c r="K378" t="s">
        <v>412</v>
      </c>
      <c r="L378" t="s">
        <v>235</v>
      </c>
      <c r="M378" t="s">
        <v>413</v>
      </c>
      <c r="N378" t="s">
        <v>60</v>
      </c>
      <c r="O378">
        <v>0</v>
      </c>
      <c r="P378" t="s">
        <v>237</v>
      </c>
    </row>
    <row r="379" spans="1:16" x14ac:dyDescent="0.25">
      <c r="A379" t="s">
        <v>790</v>
      </c>
      <c r="B379">
        <v>201</v>
      </c>
      <c r="C379" t="s">
        <v>487</v>
      </c>
      <c r="D379" t="s">
        <v>229</v>
      </c>
      <c r="E379" t="s">
        <v>534</v>
      </c>
      <c r="F379" t="s">
        <v>535</v>
      </c>
      <c r="G379" s="25">
        <v>44213</v>
      </c>
      <c r="H379">
        <v>4</v>
      </c>
      <c r="I379">
        <v>17</v>
      </c>
      <c r="J379" t="s">
        <v>501</v>
      </c>
      <c r="K379" t="s">
        <v>412</v>
      </c>
      <c r="L379" t="s">
        <v>235</v>
      </c>
      <c r="M379" t="s">
        <v>413</v>
      </c>
      <c r="N379" t="s">
        <v>60</v>
      </c>
      <c r="O379">
        <v>0</v>
      </c>
      <c r="P379" t="s">
        <v>237</v>
      </c>
    </row>
    <row r="380" spans="1:16" x14ac:dyDescent="0.25">
      <c r="A380" t="s">
        <v>1924</v>
      </c>
      <c r="B380">
        <v>771</v>
      </c>
      <c r="C380" t="s">
        <v>487</v>
      </c>
      <c r="D380" t="s">
        <v>261</v>
      </c>
      <c r="E380" t="s">
        <v>322</v>
      </c>
      <c r="F380" t="s">
        <v>1417</v>
      </c>
      <c r="G380" s="25">
        <v>44261</v>
      </c>
      <c r="H380">
        <v>13</v>
      </c>
      <c r="I380">
        <v>65</v>
      </c>
      <c r="J380" t="s">
        <v>501</v>
      </c>
      <c r="K380" t="s">
        <v>412</v>
      </c>
      <c r="L380" t="s">
        <v>235</v>
      </c>
      <c r="M380" t="s">
        <v>413</v>
      </c>
      <c r="N380" t="s">
        <v>60</v>
      </c>
      <c r="O380">
        <v>0</v>
      </c>
      <c r="P380" t="s">
        <v>237</v>
      </c>
    </row>
    <row r="381" spans="1:16" x14ac:dyDescent="0.25">
      <c r="A381" t="s">
        <v>2533</v>
      </c>
      <c r="B381">
        <v>765</v>
      </c>
      <c r="C381" t="s">
        <v>487</v>
      </c>
      <c r="D381" t="s">
        <v>261</v>
      </c>
      <c r="E381" t="s">
        <v>261</v>
      </c>
      <c r="F381" t="s">
        <v>1410</v>
      </c>
      <c r="G381" s="25">
        <v>44260</v>
      </c>
      <c r="H381">
        <v>13</v>
      </c>
      <c r="I381">
        <v>64</v>
      </c>
      <c r="J381" t="s">
        <v>501</v>
      </c>
      <c r="K381" t="s">
        <v>412</v>
      </c>
      <c r="L381" t="s">
        <v>235</v>
      </c>
      <c r="M381" t="s">
        <v>413</v>
      </c>
      <c r="N381" t="s">
        <v>60</v>
      </c>
      <c r="O381">
        <v>0</v>
      </c>
      <c r="P381" t="s">
        <v>237</v>
      </c>
    </row>
    <row r="382" spans="1:16" x14ac:dyDescent="0.25">
      <c r="A382" t="s">
        <v>1678</v>
      </c>
      <c r="B382">
        <v>747</v>
      </c>
      <c r="C382" t="s">
        <v>487</v>
      </c>
      <c r="D382" t="s">
        <v>261</v>
      </c>
      <c r="E382" t="s">
        <v>256</v>
      </c>
      <c r="F382" t="s">
        <v>1402</v>
      </c>
      <c r="G382" s="25">
        <v>44259</v>
      </c>
      <c r="H382">
        <v>13</v>
      </c>
      <c r="I382">
        <v>63</v>
      </c>
      <c r="J382" t="s">
        <v>501</v>
      </c>
      <c r="K382" t="s">
        <v>412</v>
      </c>
      <c r="L382" t="s">
        <v>235</v>
      </c>
      <c r="M382" t="s">
        <v>413</v>
      </c>
      <c r="N382" t="s">
        <v>60</v>
      </c>
      <c r="O382">
        <v>0</v>
      </c>
      <c r="P382" t="s">
        <v>237</v>
      </c>
    </row>
    <row r="383" spans="1:16" x14ac:dyDescent="0.25">
      <c r="A383" t="s">
        <v>2013</v>
      </c>
      <c r="B383">
        <v>743</v>
      </c>
      <c r="C383" t="s">
        <v>487</v>
      </c>
      <c r="D383" t="s">
        <v>261</v>
      </c>
      <c r="E383" t="s">
        <v>231</v>
      </c>
      <c r="F383" t="s">
        <v>1400</v>
      </c>
      <c r="G383" s="25">
        <v>44258</v>
      </c>
      <c r="H383">
        <v>13</v>
      </c>
      <c r="I383">
        <v>62</v>
      </c>
      <c r="J383" t="s">
        <v>501</v>
      </c>
      <c r="K383" t="s">
        <v>412</v>
      </c>
      <c r="L383" t="s">
        <v>235</v>
      </c>
      <c r="M383" t="s">
        <v>413</v>
      </c>
      <c r="N383" t="s">
        <v>60</v>
      </c>
      <c r="O383">
        <v>0</v>
      </c>
      <c r="P383" t="s">
        <v>237</v>
      </c>
    </row>
    <row r="384" spans="1:16" x14ac:dyDescent="0.25">
      <c r="A384" t="s">
        <v>325</v>
      </c>
      <c r="B384">
        <v>91</v>
      </c>
      <c r="C384" t="s">
        <v>487</v>
      </c>
      <c r="D384" t="s">
        <v>229</v>
      </c>
      <c r="E384" t="s">
        <v>381</v>
      </c>
      <c r="F384" t="s">
        <v>518</v>
      </c>
      <c r="G384" s="25">
        <v>44204</v>
      </c>
      <c r="H384">
        <v>2</v>
      </c>
      <c r="I384">
        <v>8</v>
      </c>
      <c r="J384" t="s">
        <v>501</v>
      </c>
      <c r="K384" t="s">
        <v>412</v>
      </c>
      <c r="L384" t="s">
        <v>235</v>
      </c>
      <c r="M384" t="s">
        <v>413</v>
      </c>
      <c r="N384" t="s">
        <v>60</v>
      </c>
      <c r="O384">
        <v>0</v>
      </c>
      <c r="P384" t="s">
        <v>237</v>
      </c>
    </row>
    <row r="385" spans="1:16" x14ac:dyDescent="0.25">
      <c r="A385" t="s">
        <v>2860</v>
      </c>
      <c r="B385">
        <v>1136</v>
      </c>
      <c r="C385" t="s">
        <v>487</v>
      </c>
      <c r="D385" t="s">
        <v>322</v>
      </c>
      <c r="E385" t="s">
        <v>575</v>
      </c>
      <c r="F385" t="s">
        <v>3014</v>
      </c>
      <c r="G385" s="25">
        <v>44291</v>
      </c>
      <c r="H385">
        <v>19</v>
      </c>
      <c r="I385">
        <v>95</v>
      </c>
      <c r="J385" t="s">
        <v>501</v>
      </c>
      <c r="K385" t="s">
        <v>412</v>
      </c>
      <c r="L385" t="s">
        <v>235</v>
      </c>
      <c r="M385" t="s">
        <v>413</v>
      </c>
      <c r="N385" t="s">
        <v>60</v>
      </c>
      <c r="O385">
        <v>0</v>
      </c>
      <c r="P385" t="s">
        <v>237</v>
      </c>
    </row>
    <row r="386" spans="1:16" x14ac:dyDescent="0.25">
      <c r="A386" t="s">
        <v>2764</v>
      </c>
      <c r="B386">
        <v>1125</v>
      </c>
      <c r="C386" t="s">
        <v>487</v>
      </c>
      <c r="D386" t="s">
        <v>322</v>
      </c>
      <c r="E386" t="s">
        <v>537</v>
      </c>
      <c r="F386" t="s">
        <v>2999</v>
      </c>
      <c r="G386" s="25">
        <v>44290</v>
      </c>
      <c r="H386">
        <v>19</v>
      </c>
      <c r="I386">
        <v>94</v>
      </c>
      <c r="J386" t="s">
        <v>501</v>
      </c>
      <c r="K386" t="s">
        <v>412</v>
      </c>
      <c r="L386" t="s">
        <v>235</v>
      </c>
      <c r="M386" t="s">
        <v>413</v>
      </c>
      <c r="N386" t="s">
        <v>60</v>
      </c>
      <c r="O386">
        <v>0</v>
      </c>
      <c r="P386" t="s">
        <v>237</v>
      </c>
    </row>
    <row r="387" spans="1:16" x14ac:dyDescent="0.25">
      <c r="A387" t="s">
        <v>251</v>
      </c>
      <c r="B387">
        <v>99</v>
      </c>
      <c r="C387" t="s">
        <v>487</v>
      </c>
      <c r="D387" t="s">
        <v>229</v>
      </c>
      <c r="E387" t="s">
        <v>371</v>
      </c>
      <c r="F387" t="s">
        <v>557</v>
      </c>
      <c r="G387" s="25">
        <v>44205</v>
      </c>
      <c r="H387">
        <v>2</v>
      </c>
      <c r="I387">
        <v>9</v>
      </c>
      <c r="J387" t="s">
        <v>501</v>
      </c>
      <c r="K387" t="s">
        <v>412</v>
      </c>
      <c r="L387" t="s">
        <v>235</v>
      </c>
      <c r="M387" t="s">
        <v>413</v>
      </c>
      <c r="N387" t="s">
        <v>60</v>
      </c>
      <c r="O387">
        <v>0</v>
      </c>
      <c r="P387" t="s">
        <v>237</v>
      </c>
    </row>
    <row r="388" spans="1:16" x14ac:dyDescent="0.25">
      <c r="A388" t="s">
        <v>1648</v>
      </c>
      <c r="B388">
        <v>1109</v>
      </c>
      <c r="C388" t="s">
        <v>487</v>
      </c>
      <c r="D388" t="s">
        <v>322</v>
      </c>
      <c r="E388" t="s">
        <v>512</v>
      </c>
      <c r="F388" t="s">
        <v>2991</v>
      </c>
      <c r="G388" s="25">
        <v>44289</v>
      </c>
      <c r="H388">
        <v>19</v>
      </c>
      <c r="I388">
        <v>93</v>
      </c>
      <c r="J388" t="s">
        <v>501</v>
      </c>
      <c r="K388" t="s">
        <v>412</v>
      </c>
      <c r="L388" t="s">
        <v>235</v>
      </c>
      <c r="M388" t="s">
        <v>413</v>
      </c>
      <c r="N388" t="s">
        <v>60</v>
      </c>
      <c r="O388">
        <v>0</v>
      </c>
      <c r="P388" t="s">
        <v>237</v>
      </c>
    </row>
    <row r="389" spans="1:16" x14ac:dyDescent="0.25">
      <c r="A389" t="s">
        <v>2748</v>
      </c>
      <c r="B389">
        <v>1098</v>
      </c>
      <c r="C389" t="s">
        <v>487</v>
      </c>
      <c r="D389" t="s">
        <v>322</v>
      </c>
      <c r="E389" t="s">
        <v>232</v>
      </c>
      <c r="F389" t="s">
        <v>2987</v>
      </c>
      <c r="G389" s="25">
        <v>44288</v>
      </c>
      <c r="H389">
        <v>19</v>
      </c>
      <c r="I389">
        <v>92</v>
      </c>
      <c r="J389" t="s">
        <v>501</v>
      </c>
      <c r="K389" t="s">
        <v>412</v>
      </c>
      <c r="L389" t="s">
        <v>235</v>
      </c>
      <c r="M389" t="s">
        <v>413</v>
      </c>
      <c r="N389" t="s">
        <v>60</v>
      </c>
      <c r="O389">
        <v>0</v>
      </c>
      <c r="P389" t="s">
        <v>237</v>
      </c>
    </row>
    <row r="390" spans="1:16" x14ac:dyDescent="0.25">
      <c r="A390" t="s">
        <v>1910</v>
      </c>
      <c r="B390">
        <v>1081</v>
      </c>
      <c r="C390" t="s">
        <v>487</v>
      </c>
      <c r="D390" t="s">
        <v>322</v>
      </c>
      <c r="E390" t="s">
        <v>515</v>
      </c>
      <c r="F390" t="s">
        <v>2983</v>
      </c>
      <c r="G390" s="25">
        <v>44287</v>
      </c>
      <c r="H390">
        <v>19</v>
      </c>
      <c r="I390">
        <v>91</v>
      </c>
      <c r="J390" t="s">
        <v>501</v>
      </c>
      <c r="K390" t="s">
        <v>412</v>
      </c>
      <c r="L390" t="s">
        <v>235</v>
      </c>
      <c r="M390" t="s">
        <v>413</v>
      </c>
      <c r="N390" t="s">
        <v>60</v>
      </c>
      <c r="O390">
        <v>0</v>
      </c>
      <c r="P390" t="s">
        <v>237</v>
      </c>
    </row>
    <row r="391" spans="1:16" x14ac:dyDescent="0.25">
      <c r="A391" t="s">
        <v>2055</v>
      </c>
      <c r="B391">
        <v>1075</v>
      </c>
      <c r="C391" t="s">
        <v>487</v>
      </c>
      <c r="D391" t="s">
        <v>322</v>
      </c>
      <c r="E391" t="s">
        <v>239</v>
      </c>
      <c r="F391" t="s">
        <v>2979</v>
      </c>
      <c r="G391" s="25">
        <v>44286</v>
      </c>
      <c r="H391">
        <v>18</v>
      </c>
      <c r="I391">
        <v>90</v>
      </c>
      <c r="J391" t="s">
        <v>501</v>
      </c>
      <c r="K391" t="s">
        <v>412</v>
      </c>
      <c r="L391" t="s">
        <v>235</v>
      </c>
      <c r="M391" t="s">
        <v>413</v>
      </c>
      <c r="N391" t="s">
        <v>60</v>
      </c>
      <c r="O391">
        <v>0</v>
      </c>
      <c r="P391" t="s">
        <v>237</v>
      </c>
    </row>
    <row r="392" spans="1:16" x14ac:dyDescent="0.25">
      <c r="A392" t="s">
        <v>2283</v>
      </c>
      <c r="B392">
        <v>1061</v>
      </c>
      <c r="C392" t="s">
        <v>487</v>
      </c>
      <c r="D392" t="s">
        <v>322</v>
      </c>
      <c r="E392" t="s">
        <v>371</v>
      </c>
      <c r="F392" t="s">
        <v>2976</v>
      </c>
      <c r="G392" s="25">
        <v>44285</v>
      </c>
      <c r="H392">
        <v>18</v>
      </c>
      <c r="I392">
        <v>89</v>
      </c>
      <c r="J392" t="s">
        <v>501</v>
      </c>
      <c r="K392" t="s">
        <v>412</v>
      </c>
      <c r="L392" t="s">
        <v>235</v>
      </c>
      <c r="M392" t="s">
        <v>413</v>
      </c>
      <c r="N392" t="s">
        <v>60</v>
      </c>
      <c r="O392">
        <v>0</v>
      </c>
      <c r="P392" t="s">
        <v>237</v>
      </c>
    </row>
    <row r="393" spans="1:16" x14ac:dyDescent="0.25">
      <c r="A393" t="s">
        <v>2430</v>
      </c>
      <c r="B393">
        <v>1048</v>
      </c>
      <c r="C393" t="s">
        <v>487</v>
      </c>
      <c r="D393" t="s">
        <v>322</v>
      </c>
      <c r="E393" t="s">
        <v>381</v>
      </c>
      <c r="F393" t="s">
        <v>2971</v>
      </c>
      <c r="G393" s="25">
        <v>44284</v>
      </c>
      <c r="H393">
        <v>18</v>
      </c>
      <c r="I393">
        <v>88</v>
      </c>
      <c r="J393" t="s">
        <v>501</v>
      </c>
      <c r="K393" t="s">
        <v>412</v>
      </c>
      <c r="L393" t="s">
        <v>235</v>
      </c>
      <c r="M393" t="s">
        <v>413</v>
      </c>
      <c r="N393" t="s">
        <v>60</v>
      </c>
      <c r="O393">
        <v>0</v>
      </c>
      <c r="P393" t="s">
        <v>237</v>
      </c>
    </row>
    <row r="394" spans="1:16" x14ac:dyDescent="0.25">
      <c r="A394" t="s">
        <v>349</v>
      </c>
      <c r="B394">
        <v>117</v>
      </c>
      <c r="C394" t="s">
        <v>487</v>
      </c>
      <c r="D394" t="s">
        <v>229</v>
      </c>
      <c r="E394" t="s">
        <v>239</v>
      </c>
      <c r="F394" t="s">
        <v>578</v>
      </c>
      <c r="G394" s="25">
        <v>44206</v>
      </c>
      <c r="H394">
        <v>2</v>
      </c>
      <c r="I394">
        <v>10</v>
      </c>
      <c r="J394" t="s">
        <v>501</v>
      </c>
      <c r="K394" t="s">
        <v>412</v>
      </c>
      <c r="L394" t="s">
        <v>235</v>
      </c>
      <c r="M394" t="s">
        <v>413</v>
      </c>
      <c r="N394" t="s">
        <v>60</v>
      </c>
      <c r="O394">
        <v>0</v>
      </c>
      <c r="P394" t="s">
        <v>237</v>
      </c>
    </row>
    <row r="395" spans="1:16" x14ac:dyDescent="0.25">
      <c r="A395" t="s">
        <v>1764</v>
      </c>
      <c r="B395">
        <v>1039</v>
      </c>
      <c r="C395" t="s">
        <v>487</v>
      </c>
      <c r="D395" t="s">
        <v>322</v>
      </c>
      <c r="E395" t="s">
        <v>326</v>
      </c>
      <c r="F395" t="s">
        <v>2967</v>
      </c>
      <c r="G395" s="25">
        <v>44283</v>
      </c>
      <c r="H395">
        <v>18</v>
      </c>
      <c r="I395">
        <v>87</v>
      </c>
      <c r="J395" t="s">
        <v>501</v>
      </c>
      <c r="K395" t="s">
        <v>412</v>
      </c>
      <c r="L395" t="s">
        <v>235</v>
      </c>
      <c r="M395" t="s">
        <v>413</v>
      </c>
      <c r="N395" t="s">
        <v>60</v>
      </c>
      <c r="O395">
        <v>0</v>
      </c>
      <c r="P395" t="s">
        <v>237</v>
      </c>
    </row>
    <row r="396" spans="1:16" x14ac:dyDescent="0.25">
      <c r="A396" t="s">
        <v>363</v>
      </c>
      <c r="B396">
        <v>125</v>
      </c>
      <c r="C396" t="s">
        <v>487</v>
      </c>
      <c r="D396" t="s">
        <v>229</v>
      </c>
      <c r="E396" t="s">
        <v>515</v>
      </c>
      <c r="F396" t="s">
        <v>516</v>
      </c>
      <c r="G396" s="25">
        <v>44207</v>
      </c>
      <c r="H396">
        <v>3</v>
      </c>
      <c r="I396">
        <v>11</v>
      </c>
      <c r="J396" t="s">
        <v>501</v>
      </c>
      <c r="K396" t="s">
        <v>412</v>
      </c>
      <c r="L396" t="s">
        <v>235</v>
      </c>
      <c r="M396" t="s">
        <v>413</v>
      </c>
      <c r="N396" t="s">
        <v>60</v>
      </c>
      <c r="O396">
        <v>0</v>
      </c>
      <c r="P396" t="s">
        <v>237</v>
      </c>
    </row>
    <row r="397" spans="1:16" x14ac:dyDescent="0.25">
      <c r="A397" t="s">
        <v>2410</v>
      </c>
      <c r="B397">
        <v>1028</v>
      </c>
      <c r="C397" t="s">
        <v>487</v>
      </c>
      <c r="D397" t="s">
        <v>322</v>
      </c>
      <c r="E397" t="s">
        <v>247</v>
      </c>
      <c r="F397" t="s">
        <v>2963</v>
      </c>
      <c r="G397" s="25">
        <v>44282</v>
      </c>
      <c r="H397">
        <v>18</v>
      </c>
      <c r="I397">
        <v>86</v>
      </c>
      <c r="J397" t="s">
        <v>501</v>
      </c>
      <c r="K397" t="s">
        <v>412</v>
      </c>
      <c r="L397" t="s">
        <v>235</v>
      </c>
      <c r="M397" t="s">
        <v>413</v>
      </c>
      <c r="N397" t="s">
        <v>60</v>
      </c>
      <c r="O397">
        <v>0</v>
      </c>
      <c r="P397" t="s">
        <v>237</v>
      </c>
    </row>
    <row r="398" spans="1:16" x14ac:dyDescent="0.25">
      <c r="A398" t="s">
        <v>1813</v>
      </c>
      <c r="B398">
        <v>1018</v>
      </c>
      <c r="C398" t="s">
        <v>487</v>
      </c>
      <c r="D398" t="s">
        <v>322</v>
      </c>
      <c r="E398" t="s">
        <v>322</v>
      </c>
      <c r="F398" t="s">
        <v>2960</v>
      </c>
      <c r="G398" s="25">
        <v>44281</v>
      </c>
      <c r="H398">
        <v>17</v>
      </c>
      <c r="I398">
        <v>85</v>
      </c>
      <c r="J398" t="s">
        <v>501</v>
      </c>
      <c r="K398" t="s">
        <v>412</v>
      </c>
      <c r="L398" t="s">
        <v>235</v>
      </c>
      <c r="M398" t="s">
        <v>413</v>
      </c>
      <c r="N398" t="s">
        <v>60</v>
      </c>
      <c r="O398">
        <v>0</v>
      </c>
      <c r="P398" t="s">
        <v>237</v>
      </c>
    </row>
    <row r="399" spans="1:16" x14ac:dyDescent="0.25">
      <c r="A399" t="s">
        <v>2616</v>
      </c>
      <c r="B399">
        <v>997</v>
      </c>
      <c r="C399" t="s">
        <v>487</v>
      </c>
      <c r="D399" t="s">
        <v>322</v>
      </c>
      <c r="E399" t="s">
        <v>261</v>
      </c>
      <c r="F399" t="s">
        <v>2956</v>
      </c>
      <c r="G399" s="25">
        <v>44280</v>
      </c>
      <c r="H399">
        <v>17</v>
      </c>
      <c r="I399">
        <v>84</v>
      </c>
      <c r="J399" t="s">
        <v>501</v>
      </c>
      <c r="K399" t="s">
        <v>412</v>
      </c>
      <c r="L399" t="s">
        <v>235</v>
      </c>
      <c r="M399" t="s">
        <v>413</v>
      </c>
      <c r="N399" t="s">
        <v>60</v>
      </c>
      <c r="O399">
        <v>0</v>
      </c>
      <c r="P399" t="s">
        <v>237</v>
      </c>
    </row>
    <row r="400" spans="1:16" x14ac:dyDescent="0.25">
      <c r="A400" t="s">
        <v>2312</v>
      </c>
      <c r="B400">
        <v>990</v>
      </c>
      <c r="C400" t="s">
        <v>487</v>
      </c>
      <c r="D400" t="s">
        <v>322</v>
      </c>
      <c r="E400" t="s">
        <v>256</v>
      </c>
      <c r="F400" t="s">
        <v>2952</v>
      </c>
      <c r="G400" s="25">
        <v>44279</v>
      </c>
      <c r="H400">
        <v>17</v>
      </c>
      <c r="I400">
        <v>83</v>
      </c>
      <c r="J400" t="s">
        <v>501</v>
      </c>
      <c r="K400" t="s">
        <v>412</v>
      </c>
      <c r="L400" t="s">
        <v>235</v>
      </c>
      <c r="M400" t="s">
        <v>413</v>
      </c>
      <c r="N400" t="s">
        <v>60</v>
      </c>
      <c r="O400">
        <v>0</v>
      </c>
      <c r="P400" t="s">
        <v>237</v>
      </c>
    </row>
    <row r="401" spans="1:16" x14ac:dyDescent="0.25">
      <c r="A401" t="s">
        <v>2787</v>
      </c>
      <c r="B401">
        <v>975</v>
      </c>
      <c r="C401" t="s">
        <v>487</v>
      </c>
      <c r="D401" t="s">
        <v>322</v>
      </c>
      <c r="E401" t="s">
        <v>231</v>
      </c>
      <c r="F401" t="s">
        <v>2945</v>
      </c>
      <c r="G401" s="25">
        <v>44278</v>
      </c>
      <c r="H401">
        <v>17</v>
      </c>
      <c r="I401">
        <v>82</v>
      </c>
      <c r="J401" t="s">
        <v>501</v>
      </c>
      <c r="K401" t="s">
        <v>412</v>
      </c>
      <c r="L401" t="s">
        <v>235</v>
      </c>
      <c r="M401" t="s">
        <v>413</v>
      </c>
      <c r="N401" t="s">
        <v>60</v>
      </c>
      <c r="O401">
        <v>0</v>
      </c>
      <c r="P401" t="s">
        <v>237</v>
      </c>
    </row>
    <row r="402" spans="1:16" x14ac:dyDescent="0.25">
      <c r="A402" t="s">
        <v>801</v>
      </c>
      <c r="B402">
        <v>139</v>
      </c>
      <c r="C402" t="s">
        <v>487</v>
      </c>
      <c r="D402" t="s">
        <v>229</v>
      </c>
      <c r="E402" t="s">
        <v>232</v>
      </c>
      <c r="F402" t="s">
        <v>520</v>
      </c>
      <c r="G402" s="25">
        <v>44208</v>
      </c>
      <c r="H402">
        <v>3</v>
      </c>
      <c r="I402">
        <v>12</v>
      </c>
      <c r="J402" t="s">
        <v>501</v>
      </c>
      <c r="K402" t="s">
        <v>412</v>
      </c>
      <c r="L402" t="s">
        <v>235</v>
      </c>
      <c r="M402" t="s">
        <v>413</v>
      </c>
      <c r="N402" t="s">
        <v>60</v>
      </c>
      <c r="O402">
        <v>0</v>
      </c>
      <c r="P402" t="s">
        <v>237</v>
      </c>
    </row>
    <row r="403" spans="1:16" x14ac:dyDescent="0.25">
      <c r="A403" t="s">
        <v>1719</v>
      </c>
      <c r="B403">
        <v>971</v>
      </c>
      <c r="C403" t="s">
        <v>487</v>
      </c>
      <c r="D403" t="s">
        <v>322</v>
      </c>
      <c r="E403" t="s">
        <v>229</v>
      </c>
      <c r="F403" t="s">
        <v>1643</v>
      </c>
      <c r="G403" s="25">
        <v>44277</v>
      </c>
      <c r="H403">
        <v>17</v>
      </c>
      <c r="I403">
        <v>81</v>
      </c>
      <c r="J403" t="s">
        <v>501</v>
      </c>
      <c r="K403" t="s">
        <v>412</v>
      </c>
      <c r="L403" t="s">
        <v>235</v>
      </c>
      <c r="M403" t="s">
        <v>413</v>
      </c>
      <c r="N403" t="s">
        <v>60</v>
      </c>
      <c r="O403">
        <v>0</v>
      </c>
      <c r="P403" t="s">
        <v>237</v>
      </c>
    </row>
    <row r="404" spans="1:16" x14ac:dyDescent="0.25">
      <c r="A404" t="s">
        <v>1828</v>
      </c>
      <c r="B404">
        <v>957</v>
      </c>
      <c r="C404" t="s">
        <v>487</v>
      </c>
      <c r="D404" t="s">
        <v>261</v>
      </c>
      <c r="E404" t="s">
        <v>408</v>
      </c>
      <c r="F404" t="s">
        <v>1595</v>
      </c>
      <c r="G404" s="25">
        <v>44276</v>
      </c>
      <c r="H404">
        <v>16</v>
      </c>
      <c r="I404">
        <v>80</v>
      </c>
      <c r="J404" t="s">
        <v>501</v>
      </c>
      <c r="K404" t="s">
        <v>412</v>
      </c>
      <c r="L404" t="s">
        <v>235</v>
      </c>
      <c r="M404" t="s">
        <v>413</v>
      </c>
      <c r="N404" t="s">
        <v>60</v>
      </c>
      <c r="O404">
        <v>0</v>
      </c>
      <c r="P404" t="s">
        <v>237</v>
      </c>
    </row>
    <row r="405" spans="1:16" x14ac:dyDescent="0.25">
      <c r="A405" t="s">
        <v>1756</v>
      </c>
      <c r="B405">
        <v>938</v>
      </c>
      <c r="C405" t="s">
        <v>487</v>
      </c>
      <c r="D405" t="s">
        <v>261</v>
      </c>
      <c r="E405" t="s">
        <v>531</v>
      </c>
      <c r="F405" t="s">
        <v>1588</v>
      </c>
      <c r="G405" s="25">
        <v>44275</v>
      </c>
      <c r="H405">
        <v>16</v>
      </c>
      <c r="I405">
        <v>79</v>
      </c>
      <c r="J405" t="s">
        <v>501</v>
      </c>
      <c r="K405" t="s">
        <v>412</v>
      </c>
      <c r="L405" t="s">
        <v>235</v>
      </c>
      <c r="M405" t="s">
        <v>413</v>
      </c>
      <c r="N405" t="s">
        <v>60</v>
      </c>
      <c r="O405">
        <v>0</v>
      </c>
      <c r="P405" t="s">
        <v>237</v>
      </c>
    </row>
    <row r="406" spans="1:16" x14ac:dyDescent="0.25">
      <c r="A406" t="s">
        <v>2611</v>
      </c>
      <c r="B406">
        <v>537</v>
      </c>
      <c r="C406" t="s">
        <v>487</v>
      </c>
      <c r="D406" t="s">
        <v>256</v>
      </c>
      <c r="E406" t="s">
        <v>322</v>
      </c>
      <c r="F406" t="s">
        <v>1288</v>
      </c>
      <c r="G406" s="25">
        <v>44241</v>
      </c>
      <c r="H406">
        <v>9</v>
      </c>
      <c r="I406">
        <v>45</v>
      </c>
      <c r="J406" t="s">
        <v>501</v>
      </c>
      <c r="K406" t="s">
        <v>412</v>
      </c>
      <c r="L406" t="s">
        <v>235</v>
      </c>
      <c r="M406" t="s">
        <v>413</v>
      </c>
      <c r="N406" t="s">
        <v>60</v>
      </c>
      <c r="O406">
        <v>0</v>
      </c>
      <c r="P406" t="s">
        <v>237</v>
      </c>
    </row>
    <row r="407" spans="1:16" x14ac:dyDescent="0.25">
      <c r="A407" t="s">
        <v>1871</v>
      </c>
      <c r="B407">
        <v>517</v>
      </c>
      <c r="C407" t="s">
        <v>487</v>
      </c>
      <c r="D407" t="s">
        <v>256</v>
      </c>
      <c r="E407" t="s">
        <v>261</v>
      </c>
      <c r="F407" t="s">
        <v>1276</v>
      </c>
      <c r="G407" s="25">
        <v>44240</v>
      </c>
      <c r="H407">
        <v>9</v>
      </c>
      <c r="I407">
        <v>44</v>
      </c>
      <c r="J407" t="s">
        <v>501</v>
      </c>
      <c r="K407" t="s">
        <v>412</v>
      </c>
      <c r="L407" t="s">
        <v>235</v>
      </c>
      <c r="M407" t="s">
        <v>413</v>
      </c>
      <c r="N407" t="s">
        <v>60</v>
      </c>
      <c r="O407">
        <v>0</v>
      </c>
      <c r="P407" t="s">
        <v>237</v>
      </c>
    </row>
    <row r="408" spans="1:16" x14ac:dyDescent="0.25">
      <c r="A408" t="s">
        <v>2856</v>
      </c>
      <c r="B408">
        <v>514</v>
      </c>
      <c r="C408" t="s">
        <v>487</v>
      </c>
      <c r="D408" t="s">
        <v>256</v>
      </c>
      <c r="E408" t="s">
        <v>256</v>
      </c>
      <c r="F408" t="s">
        <v>1263</v>
      </c>
      <c r="G408" s="25">
        <v>44239</v>
      </c>
      <c r="H408">
        <v>9</v>
      </c>
      <c r="I408">
        <v>43</v>
      </c>
      <c r="J408" t="s">
        <v>501</v>
      </c>
      <c r="K408" t="s">
        <v>412</v>
      </c>
      <c r="L408" t="s">
        <v>235</v>
      </c>
      <c r="M408" t="s">
        <v>413</v>
      </c>
      <c r="N408" t="s">
        <v>60</v>
      </c>
      <c r="O408">
        <v>0</v>
      </c>
      <c r="P408" t="s">
        <v>237</v>
      </c>
    </row>
    <row r="409" spans="1:16" x14ac:dyDescent="0.25">
      <c r="A409" t="s">
        <v>1613</v>
      </c>
      <c r="B409">
        <v>494</v>
      </c>
      <c r="C409" t="s">
        <v>487</v>
      </c>
      <c r="D409" t="s">
        <v>256</v>
      </c>
      <c r="E409" t="s">
        <v>231</v>
      </c>
      <c r="F409" t="s">
        <v>1249</v>
      </c>
      <c r="G409" s="25">
        <v>44238</v>
      </c>
      <c r="H409">
        <v>9</v>
      </c>
      <c r="I409">
        <v>42</v>
      </c>
      <c r="J409" t="s">
        <v>501</v>
      </c>
      <c r="K409" t="s">
        <v>412</v>
      </c>
      <c r="L409" t="s">
        <v>235</v>
      </c>
      <c r="M409" t="s">
        <v>413</v>
      </c>
      <c r="N409" t="s">
        <v>60</v>
      </c>
      <c r="O409">
        <v>0</v>
      </c>
      <c r="P409" t="s">
        <v>237</v>
      </c>
    </row>
    <row r="410" spans="1:16" x14ac:dyDescent="0.25">
      <c r="A410" t="s">
        <v>765</v>
      </c>
      <c r="B410">
        <v>285</v>
      </c>
      <c r="C410" t="s">
        <v>487</v>
      </c>
      <c r="D410" t="s">
        <v>231</v>
      </c>
      <c r="E410" t="s">
        <v>261</v>
      </c>
      <c r="F410" t="s">
        <v>1065</v>
      </c>
      <c r="G410" s="25">
        <v>44220</v>
      </c>
      <c r="H410">
        <v>5</v>
      </c>
      <c r="I410">
        <v>24</v>
      </c>
      <c r="J410" t="s">
        <v>501</v>
      </c>
      <c r="K410" t="s">
        <v>412</v>
      </c>
      <c r="L410" t="s">
        <v>235</v>
      </c>
      <c r="M410" t="s">
        <v>413</v>
      </c>
      <c r="N410" t="s">
        <v>60</v>
      </c>
      <c r="O410">
        <v>0</v>
      </c>
      <c r="P410" t="s">
        <v>237</v>
      </c>
    </row>
    <row r="411" spans="1:16" x14ac:dyDescent="0.25">
      <c r="A411" t="s">
        <v>1600</v>
      </c>
      <c r="B411">
        <v>484</v>
      </c>
      <c r="C411" t="s">
        <v>487</v>
      </c>
      <c r="D411" t="s">
        <v>256</v>
      </c>
      <c r="E411" t="s">
        <v>229</v>
      </c>
      <c r="F411" t="s">
        <v>1241</v>
      </c>
      <c r="G411" s="25">
        <v>44237</v>
      </c>
      <c r="H411">
        <v>9</v>
      </c>
      <c r="I411">
        <v>41</v>
      </c>
      <c r="J411" t="s">
        <v>501</v>
      </c>
      <c r="K411" t="s">
        <v>412</v>
      </c>
      <c r="L411" t="s">
        <v>235</v>
      </c>
      <c r="M411" t="s">
        <v>413</v>
      </c>
      <c r="N411" t="s">
        <v>60</v>
      </c>
      <c r="O411">
        <v>0</v>
      </c>
      <c r="P411" t="s">
        <v>237</v>
      </c>
    </row>
    <row r="412" spans="1:16" x14ac:dyDescent="0.25">
      <c r="A412" t="s">
        <v>1573</v>
      </c>
      <c r="B412">
        <v>476</v>
      </c>
      <c r="C412" t="s">
        <v>487</v>
      </c>
      <c r="D412" t="s">
        <v>231</v>
      </c>
      <c r="E412" t="s">
        <v>408</v>
      </c>
      <c r="F412" t="s">
        <v>1234</v>
      </c>
      <c r="G412" s="25">
        <v>44236</v>
      </c>
      <c r="H412">
        <v>8</v>
      </c>
      <c r="I412">
        <v>40</v>
      </c>
      <c r="J412" t="s">
        <v>501</v>
      </c>
      <c r="K412" t="s">
        <v>412</v>
      </c>
      <c r="L412" t="s">
        <v>235</v>
      </c>
      <c r="M412" t="s">
        <v>413</v>
      </c>
      <c r="N412" t="s">
        <v>60</v>
      </c>
      <c r="O412">
        <v>0</v>
      </c>
      <c r="P412" t="s">
        <v>237</v>
      </c>
    </row>
    <row r="413" spans="1:16" x14ac:dyDescent="0.25">
      <c r="A413" t="s">
        <v>688</v>
      </c>
      <c r="B413">
        <v>293</v>
      </c>
      <c r="C413" t="s">
        <v>487</v>
      </c>
      <c r="D413" t="s">
        <v>231</v>
      </c>
      <c r="E413" t="s">
        <v>322</v>
      </c>
      <c r="F413" t="s">
        <v>1085</v>
      </c>
      <c r="G413" s="25">
        <v>44221</v>
      </c>
      <c r="H413">
        <v>5</v>
      </c>
      <c r="I413">
        <v>25</v>
      </c>
      <c r="J413" t="s">
        <v>501</v>
      </c>
      <c r="K413" t="s">
        <v>412</v>
      </c>
      <c r="L413" t="s">
        <v>235</v>
      </c>
      <c r="M413" t="s">
        <v>413</v>
      </c>
      <c r="N413" t="s">
        <v>60</v>
      </c>
      <c r="O413">
        <v>0</v>
      </c>
      <c r="P413" t="s">
        <v>237</v>
      </c>
    </row>
    <row r="414" spans="1:16" x14ac:dyDescent="0.25">
      <c r="A414" t="s">
        <v>1554</v>
      </c>
      <c r="B414">
        <v>465</v>
      </c>
      <c r="C414" t="s">
        <v>487</v>
      </c>
      <c r="D414" t="s">
        <v>231</v>
      </c>
      <c r="E414" t="s">
        <v>531</v>
      </c>
      <c r="F414" t="s">
        <v>1230</v>
      </c>
      <c r="G414" s="25">
        <v>44235</v>
      </c>
      <c r="H414">
        <v>8</v>
      </c>
      <c r="I414">
        <v>39</v>
      </c>
      <c r="J414" t="s">
        <v>501</v>
      </c>
      <c r="K414" t="s">
        <v>412</v>
      </c>
      <c r="L414" t="s">
        <v>235</v>
      </c>
      <c r="M414" t="s">
        <v>413</v>
      </c>
      <c r="N414" t="s">
        <v>60</v>
      </c>
      <c r="O414">
        <v>0</v>
      </c>
      <c r="P414" t="s">
        <v>237</v>
      </c>
    </row>
    <row r="415" spans="1:16" x14ac:dyDescent="0.25">
      <c r="A415" t="s">
        <v>770</v>
      </c>
      <c r="B415">
        <v>454</v>
      </c>
      <c r="C415" t="s">
        <v>487</v>
      </c>
      <c r="D415" t="s">
        <v>231</v>
      </c>
      <c r="E415" t="s">
        <v>552</v>
      </c>
      <c r="F415" t="s">
        <v>1222</v>
      </c>
      <c r="G415" s="25">
        <v>44234</v>
      </c>
      <c r="H415">
        <v>8</v>
      </c>
      <c r="I415">
        <v>38</v>
      </c>
      <c r="J415" t="s">
        <v>501</v>
      </c>
      <c r="K415" t="s">
        <v>412</v>
      </c>
      <c r="L415" t="s">
        <v>235</v>
      </c>
      <c r="M415" t="s">
        <v>413</v>
      </c>
      <c r="N415" t="s">
        <v>60</v>
      </c>
      <c r="O415">
        <v>0</v>
      </c>
      <c r="P415" t="s">
        <v>237</v>
      </c>
    </row>
    <row r="416" spans="1:16" x14ac:dyDescent="0.25">
      <c r="A416" t="s">
        <v>681</v>
      </c>
      <c r="B416">
        <v>442</v>
      </c>
      <c r="C416" t="s">
        <v>487</v>
      </c>
      <c r="D416" t="s">
        <v>231</v>
      </c>
      <c r="E416" t="s">
        <v>534</v>
      </c>
      <c r="F416" t="s">
        <v>1731</v>
      </c>
      <c r="G416" s="25">
        <v>44233</v>
      </c>
      <c r="H416">
        <v>8</v>
      </c>
      <c r="I416">
        <v>37</v>
      </c>
      <c r="J416" t="s">
        <v>501</v>
      </c>
      <c r="K416" t="s">
        <v>412</v>
      </c>
      <c r="L416" t="s">
        <v>235</v>
      </c>
      <c r="M416" t="s">
        <v>413</v>
      </c>
      <c r="N416" t="s">
        <v>60</v>
      </c>
      <c r="O416">
        <v>0</v>
      </c>
      <c r="P416" t="s">
        <v>237</v>
      </c>
    </row>
    <row r="417" spans="1:16" x14ac:dyDescent="0.25">
      <c r="A417" t="s">
        <v>633</v>
      </c>
      <c r="B417">
        <v>425</v>
      </c>
      <c r="C417" t="s">
        <v>487</v>
      </c>
      <c r="D417" t="s">
        <v>231</v>
      </c>
      <c r="E417" t="s">
        <v>620</v>
      </c>
      <c r="F417" t="s">
        <v>1215</v>
      </c>
      <c r="G417" s="25">
        <v>44232</v>
      </c>
      <c r="H417">
        <v>8</v>
      </c>
      <c r="I417">
        <v>36</v>
      </c>
      <c r="J417" t="s">
        <v>501</v>
      </c>
      <c r="K417" t="s">
        <v>412</v>
      </c>
      <c r="L417" t="s">
        <v>235</v>
      </c>
      <c r="M417" t="s">
        <v>413</v>
      </c>
      <c r="N417" t="s">
        <v>60</v>
      </c>
      <c r="O417">
        <v>0</v>
      </c>
      <c r="P417" t="s">
        <v>237</v>
      </c>
    </row>
    <row r="418" spans="1:16" x14ac:dyDescent="0.25">
      <c r="A418" t="s">
        <v>718</v>
      </c>
      <c r="B418">
        <v>409</v>
      </c>
      <c r="C418" t="s">
        <v>487</v>
      </c>
      <c r="D418" t="s">
        <v>231</v>
      </c>
      <c r="E418" t="s">
        <v>575</v>
      </c>
      <c r="F418" t="s">
        <v>1210</v>
      </c>
      <c r="G418" s="25">
        <v>44231</v>
      </c>
      <c r="H418">
        <v>7</v>
      </c>
      <c r="I418">
        <v>35</v>
      </c>
      <c r="J418" t="s">
        <v>501</v>
      </c>
      <c r="K418" t="s">
        <v>412</v>
      </c>
      <c r="L418" t="s">
        <v>235</v>
      </c>
      <c r="M418" t="s">
        <v>413</v>
      </c>
      <c r="N418" t="s">
        <v>60</v>
      </c>
      <c r="O418">
        <v>0</v>
      </c>
      <c r="P418" t="s">
        <v>237</v>
      </c>
    </row>
    <row r="419" spans="1:16" x14ac:dyDescent="0.25">
      <c r="A419" t="s">
        <v>805</v>
      </c>
      <c r="B419">
        <v>406</v>
      </c>
      <c r="C419" t="s">
        <v>487</v>
      </c>
      <c r="D419" t="s">
        <v>231</v>
      </c>
      <c r="E419" t="s">
        <v>537</v>
      </c>
      <c r="F419" t="s">
        <v>1192</v>
      </c>
      <c r="G419" s="25">
        <v>44230</v>
      </c>
      <c r="H419">
        <v>7</v>
      </c>
      <c r="I419">
        <v>34</v>
      </c>
      <c r="J419" t="s">
        <v>501</v>
      </c>
      <c r="K419" t="s">
        <v>412</v>
      </c>
      <c r="L419" t="s">
        <v>235</v>
      </c>
      <c r="M419" t="s">
        <v>413</v>
      </c>
      <c r="N419" t="s">
        <v>60</v>
      </c>
      <c r="O419">
        <v>0</v>
      </c>
      <c r="P419" t="s">
        <v>237</v>
      </c>
    </row>
    <row r="420" spans="1:16" x14ac:dyDescent="0.25">
      <c r="A420" t="s">
        <v>678</v>
      </c>
      <c r="B420">
        <v>311</v>
      </c>
      <c r="C420" t="s">
        <v>487</v>
      </c>
      <c r="D420" t="s">
        <v>231</v>
      </c>
      <c r="E420" t="s">
        <v>247</v>
      </c>
      <c r="F420" t="s">
        <v>1088</v>
      </c>
      <c r="G420" s="25">
        <v>44222</v>
      </c>
      <c r="H420">
        <v>6</v>
      </c>
      <c r="I420">
        <v>26</v>
      </c>
      <c r="J420" t="s">
        <v>501</v>
      </c>
      <c r="K420" t="s">
        <v>412</v>
      </c>
      <c r="L420" t="s">
        <v>235</v>
      </c>
      <c r="M420" t="s">
        <v>413</v>
      </c>
      <c r="N420" t="s">
        <v>60</v>
      </c>
      <c r="O420">
        <v>0</v>
      </c>
      <c r="P420" t="s">
        <v>237</v>
      </c>
    </row>
    <row r="421" spans="1:16" x14ac:dyDescent="0.25">
      <c r="A421" t="s">
        <v>647</v>
      </c>
      <c r="B421">
        <v>393</v>
      </c>
      <c r="C421" t="s">
        <v>487</v>
      </c>
      <c r="D421" t="s">
        <v>231</v>
      </c>
      <c r="E421" t="s">
        <v>512</v>
      </c>
      <c r="F421" t="s">
        <v>1174</v>
      </c>
      <c r="G421" s="25">
        <v>44229</v>
      </c>
      <c r="H421">
        <v>7</v>
      </c>
      <c r="I421">
        <v>33</v>
      </c>
      <c r="J421" t="s">
        <v>501</v>
      </c>
      <c r="K421" t="s">
        <v>412</v>
      </c>
      <c r="L421" t="s">
        <v>235</v>
      </c>
      <c r="M421" t="s">
        <v>413</v>
      </c>
      <c r="N421" t="s">
        <v>60</v>
      </c>
      <c r="O421">
        <v>0</v>
      </c>
      <c r="P421" t="s">
        <v>237</v>
      </c>
    </row>
    <row r="422" spans="1:16" x14ac:dyDescent="0.25">
      <c r="A422" t="s">
        <v>616</v>
      </c>
      <c r="B422">
        <v>317</v>
      </c>
      <c r="C422" t="s">
        <v>487</v>
      </c>
      <c r="D422" t="s">
        <v>231</v>
      </c>
      <c r="E422" t="s">
        <v>326</v>
      </c>
      <c r="F422" t="s">
        <v>1095</v>
      </c>
      <c r="G422" s="25">
        <v>44223</v>
      </c>
      <c r="H422">
        <v>6</v>
      </c>
      <c r="I422">
        <v>27</v>
      </c>
      <c r="J422" t="s">
        <v>501</v>
      </c>
      <c r="K422" t="s">
        <v>412</v>
      </c>
      <c r="L422" t="s">
        <v>235</v>
      </c>
      <c r="M422" t="s">
        <v>413</v>
      </c>
      <c r="N422" t="s">
        <v>60</v>
      </c>
      <c r="O422">
        <v>0</v>
      </c>
      <c r="P422" t="s">
        <v>237</v>
      </c>
    </row>
    <row r="423" spans="1:16" x14ac:dyDescent="0.25">
      <c r="A423" t="s">
        <v>837</v>
      </c>
      <c r="B423">
        <v>376</v>
      </c>
      <c r="C423" t="s">
        <v>487</v>
      </c>
      <c r="D423" t="s">
        <v>231</v>
      </c>
      <c r="E423" t="s">
        <v>232</v>
      </c>
      <c r="F423" t="s">
        <v>1162</v>
      </c>
      <c r="G423" s="25">
        <v>44228</v>
      </c>
      <c r="H423">
        <v>7</v>
      </c>
      <c r="I423">
        <v>32</v>
      </c>
      <c r="J423" t="s">
        <v>501</v>
      </c>
      <c r="K423" t="s">
        <v>412</v>
      </c>
      <c r="L423" t="s">
        <v>235</v>
      </c>
      <c r="M423" t="s">
        <v>413</v>
      </c>
      <c r="N423" t="s">
        <v>60</v>
      </c>
      <c r="O423">
        <v>0</v>
      </c>
      <c r="P423" t="s">
        <v>237</v>
      </c>
    </row>
    <row r="424" spans="1:16" x14ac:dyDescent="0.25">
      <c r="A424" t="s">
        <v>641</v>
      </c>
      <c r="B424">
        <v>368</v>
      </c>
      <c r="C424" t="s">
        <v>487</v>
      </c>
      <c r="D424" t="s">
        <v>231</v>
      </c>
      <c r="E424" t="s">
        <v>515</v>
      </c>
      <c r="F424" t="s">
        <v>1150</v>
      </c>
      <c r="G424" s="25">
        <v>44227</v>
      </c>
      <c r="H424">
        <v>7</v>
      </c>
      <c r="I424">
        <v>31</v>
      </c>
      <c r="J424" t="s">
        <v>501</v>
      </c>
      <c r="K424" t="s">
        <v>412</v>
      </c>
      <c r="L424" t="s">
        <v>235</v>
      </c>
      <c r="M424" t="s">
        <v>413</v>
      </c>
      <c r="N424" t="s">
        <v>60</v>
      </c>
      <c r="O424">
        <v>0</v>
      </c>
      <c r="P424" t="s">
        <v>237</v>
      </c>
    </row>
    <row r="425" spans="1:16" x14ac:dyDescent="0.25">
      <c r="A425" t="s">
        <v>561</v>
      </c>
      <c r="B425">
        <v>354</v>
      </c>
      <c r="C425" t="s">
        <v>487</v>
      </c>
      <c r="D425" t="s">
        <v>231</v>
      </c>
      <c r="E425" t="s">
        <v>239</v>
      </c>
      <c r="F425" t="s">
        <v>1139</v>
      </c>
      <c r="G425" s="25">
        <v>44226</v>
      </c>
      <c r="H425">
        <v>6</v>
      </c>
      <c r="I425">
        <v>30</v>
      </c>
      <c r="J425" t="s">
        <v>501</v>
      </c>
      <c r="K425" t="s">
        <v>412</v>
      </c>
      <c r="L425" t="s">
        <v>235</v>
      </c>
      <c r="M425" t="s">
        <v>413</v>
      </c>
      <c r="N425" t="s">
        <v>60</v>
      </c>
      <c r="O425">
        <v>0</v>
      </c>
      <c r="P425" t="s">
        <v>237</v>
      </c>
    </row>
    <row r="426" spans="1:16" x14ac:dyDescent="0.25">
      <c r="A426" t="s">
        <v>715</v>
      </c>
      <c r="B426">
        <v>344</v>
      </c>
      <c r="C426" t="s">
        <v>487</v>
      </c>
      <c r="D426" t="s">
        <v>231</v>
      </c>
      <c r="E426" t="s">
        <v>371</v>
      </c>
      <c r="F426" t="s">
        <v>1124</v>
      </c>
      <c r="G426" s="25">
        <v>44225</v>
      </c>
      <c r="H426">
        <v>6</v>
      </c>
      <c r="I426">
        <v>29</v>
      </c>
      <c r="J426" t="s">
        <v>501</v>
      </c>
      <c r="K426" t="s">
        <v>412</v>
      </c>
      <c r="L426" t="s">
        <v>235</v>
      </c>
      <c r="M426" t="s">
        <v>413</v>
      </c>
      <c r="N426" t="s">
        <v>60</v>
      </c>
      <c r="O426">
        <v>0</v>
      </c>
      <c r="P426" t="s">
        <v>237</v>
      </c>
    </row>
    <row r="427" spans="1:16" x14ac:dyDescent="0.25">
      <c r="A427" t="s">
        <v>789</v>
      </c>
      <c r="B427">
        <v>333</v>
      </c>
      <c r="C427" t="s">
        <v>487</v>
      </c>
      <c r="D427" t="s">
        <v>231</v>
      </c>
      <c r="E427" t="s">
        <v>381</v>
      </c>
      <c r="F427" t="s">
        <v>1099</v>
      </c>
      <c r="G427" s="25">
        <v>44224</v>
      </c>
      <c r="H427">
        <v>6</v>
      </c>
      <c r="I427">
        <v>28</v>
      </c>
      <c r="J427" t="s">
        <v>501</v>
      </c>
      <c r="K427" t="s">
        <v>412</v>
      </c>
      <c r="L427" t="s">
        <v>235</v>
      </c>
      <c r="M427" t="s">
        <v>413</v>
      </c>
      <c r="N427" t="s">
        <v>60</v>
      </c>
      <c r="O427">
        <v>0</v>
      </c>
      <c r="P427" t="s">
        <v>237</v>
      </c>
    </row>
    <row r="428" spans="1:16" x14ac:dyDescent="0.25">
      <c r="A428" t="s">
        <v>2709</v>
      </c>
      <c r="B428">
        <v>729</v>
      </c>
      <c r="C428" t="s">
        <v>487</v>
      </c>
      <c r="D428" t="s">
        <v>261</v>
      </c>
      <c r="E428" t="s">
        <v>229</v>
      </c>
      <c r="F428" t="s">
        <v>1388</v>
      </c>
      <c r="G428" s="25">
        <v>44257</v>
      </c>
      <c r="H428">
        <v>13</v>
      </c>
      <c r="I428">
        <v>61</v>
      </c>
      <c r="J428" t="s">
        <v>501</v>
      </c>
      <c r="K428" t="s">
        <v>412</v>
      </c>
      <c r="L428" t="s">
        <v>235</v>
      </c>
      <c r="M428" t="s">
        <v>413</v>
      </c>
      <c r="N428" t="s">
        <v>60</v>
      </c>
      <c r="O428">
        <v>0</v>
      </c>
      <c r="P428" t="s">
        <v>237</v>
      </c>
    </row>
    <row r="429" spans="1:16" x14ac:dyDescent="0.25">
      <c r="A429" t="s">
        <v>725</v>
      </c>
      <c r="B429">
        <v>215</v>
      </c>
      <c r="C429" t="s">
        <v>487</v>
      </c>
      <c r="D429" t="s">
        <v>229</v>
      </c>
      <c r="E429" t="s">
        <v>552</v>
      </c>
      <c r="F429" t="s">
        <v>553</v>
      </c>
      <c r="G429" s="25">
        <v>44214</v>
      </c>
      <c r="H429">
        <v>4</v>
      </c>
      <c r="I429">
        <v>18</v>
      </c>
      <c r="J429" t="s">
        <v>501</v>
      </c>
      <c r="K429" t="s">
        <v>412</v>
      </c>
      <c r="L429" t="s">
        <v>235</v>
      </c>
      <c r="M429" t="s">
        <v>413</v>
      </c>
      <c r="N429" t="s">
        <v>60</v>
      </c>
      <c r="O429">
        <v>0</v>
      </c>
      <c r="P429" t="s">
        <v>237</v>
      </c>
    </row>
    <row r="430" spans="1:16" x14ac:dyDescent="0.25">
      <c r="A430" t="s">
        <v>653</v>
      </c>
      <c r="B430">
        <v>219</v>
      </c>
      <c r="C430" t="s">
        <v>487</v>
      </c>
      <c r="D430" t="s">
        <v>229</v>
      </c>
      <c r="E430" t="s">
        <v>531</v>
      </c>
      <c r="F430" t="s">
        <v>532</v>
      </c>
      <c r="G430" s="25">
        <v>44215</v>
      </c>
      <c r="H430">
        <v>4</v>
      </c>
      <c r="I430">
        <v>19</v>
      </c>
      <c r="J430" t="s">
        <v>501</v>
      </c>
      <c r="K430" t="s">
        <v>412</v>
      </c>
      <c r="L430" t="s">
        <v>235</v>
      </c>
      <c r="M430" t="s">
        <v>413</v>
      </c>
      <c r="N430" t="s">
        <v>60</v>
      </c>
      <c r="O430">
        <v>0</v>
      </c>
      <c r="P430" t="s">
        <v>237</v>
      </c>
    </row>
    <row r="431" spans="1:16" x14ac:dyDescent="0.25">
      <c r="A431" t="s">
        <v>2336</v>
      </c>
      <c r="B431">
        <v>710</v>
      </c>
      <c r="C431" t="s">
        <v>487</v>
      </c>
      <c r="D431" t="s">
        <v>256</v>
      </c>
      <c r="E431" t="s">
        <v>408</v>
      </c>
      <c r="F431" t="s">
        <v>1383</v>
      </c>
      <c r="G431" s="25">
        <v>44256</v>
      </c>
      <c r="H431">
        <v>12</v>
      </c>
      <c r="I431">
        <v>60</v>
      </c>
      <c r="J431" t="s">
        <v>501</v>
      </c>
      <c r="K431" t="s">
        <v>412</v>
      </c>
      <c r="L431" t="s">
        <v>235</v>
      </c>
      <c r="M431" t="s">
        <v>413</v>
      </c>
      <c r="N431" t="s">
        <v>60</v>
      </c>
      <c r="O431">
        <v>0</v>
      </c>
      <c r="P431" t="s">
        <v>237</v>
      </c>
    </row>
    <row r="432" spans="1:16" x14ac:dyDescent="0.25">
      <c r="A432" t="s">
        <v>2130</v>
      </c>
      <c r="B432">
        <v>704</v>
      </c>
      <c r="C432" t="s">
        <v>487</v>
      </c>
      <c r="D432" t="s">
        <v>256</v>
      </c>
      <c r="E432" t="s">
        <v>531</v>
      </c>
      <c r="F432" t="s">
        <v>1373</v>
      </c>
      <c r="G432" s="25">
        <v>44255</v>
      </c>
      <c r="H432">
        <v>12</v>
      </c>
      <c r="I432">
        <v>59</v>
      </c>
      <c r="J432" t="s">
        <v>501</v>
      </c>
      <c r="K432" t="s">
        <v>412</v>
      </c>
      <c r="L432" t="s">
        <v>235</v>
      </c>
      <c r="M432" t="s">
        <v>413</v>
      </c>
      <c r="N432" t="s">
        <v>60</v>
      </c>
      <c r="O432">
        <v>0</v>
      </c>
      <c r="P432" t="s">
        <v>237</v>
      </c>
    </row>
    <row r="433" spans="1:16" x14ac:dyDescent="0.25">
      <c r="A433" t="s">
        <v>1762</v>
      </c>
      <c r="B433">
        <v>686</v>
      </c>
      <c r="C433" t="s">
        <v>487</v>
      </c>
      <c r="D433" t="s">
        <v>256</v>
      </c>
      <c r="E433" t="s">
        <v>552</v>
      </c>
      <c r="F433" t="s">
        <v>1365</v>
      </c>
      <c r="G433" s="25">
        <v>44254</v>
      </c>
      <c r="H433">
        <v>12</v>
      </c>
      <c r="I433">
        <v>58</v>
      </c>
      <c r="J433" t="s">
        <v>501</v>
      </c>
      <c r="K433" t="s">
        <v>412</v>
      </c>
      <c r="L433" t="s">
        <v>235</v>
      </c>
      <c r="M433" t="s">
        <v>413</v>
      </c>
      <c r="N433" t="s">
        <v>60</v>
      </c>
      <c r="O433">
        <v>0</v>
      </c>
      <c r="P433" t="s">
        <v>237</v>
      </c>
    </row>
    <row r="434" spans="1:16" x14ac:dyDescent="0.25">
      <c r="A434" t="s">
        <v>2733</v>
      </c>
      <c r="B434">
        <v>681</v>
      </c>
      <c r="C434" t="s">
        <v>487</v>
      </c>
      <c r="D434" t="s">
        <v>256</v>
      </c>
      <c r="E434" t="s">
        <v>534</v>
      </c>
      <c r="F434" t="s">
        <v>1357</v>
      </c>
      <c r="G434" s="25">
        <v>44253</v>
      </c>
      <c r="H434">
        <v>12</v>
      </c>
      <c r="I434">
        <v>57</v>
      </c>
      <c r="J434" t="s">
        <v>501</v>
      </c>
      <c r="K434" t="s">
        <v>412</v>
      </c>
      <c r="L434" t="s">
        <v>235</v>
      </c>
      <c r="M434" t="s">
        <v>413</v>
      </c>
      <c r="N434" t="s">
        <v>60</v>
      </c>
      <c r="O434">
        <v>0</v>
      </c>
      <c r="P434" t="s">
        <v>237</v>
      </c>
    </row>
    <row r="435" spans="1:16" x14ac:dyDescent="0.25">
      <c r="A435" t="s">
        <v>737</v>
      </c>
      <c r="B435">
        <v>229</v>
      </c>
      <c r="C435" t="s">
        <v>487</v>
      </c>
      <c r="D435" t="s">
        <v>229</v>
      </c>
      <c r="E435" t="s">
        <v>408</v>
      </c>
      <c r="F435" t="s">
        <v>527</v>
      </c>
      <c r="G435" s="25">
        <v>44216</v>
      </c>
      <c r="H435">
        <v>4</v>
      </c>
      <c r="I435">
        <v>20</v>
      </c>
      <c r="J435" t="s">
        <v>501</v>
      </c>
      <c r="K435" t="s">
        <v>412</v>
      </c>
      <c r="L435" t="s">
        <v>235</v>
      </c>
      <c r="M435" t="s">
        <v>413</v>
      </c>
      <c r="N435" t="s">
        <v>60</v>
      </c>
      <c r="O435">
        <v>0</v>
      </c>
      <c r="P435" t="s">
        <v>237</v>
      </c>
    </row>
    <row r="436" spans="1:16" x14ac:dyDescent="0.25">
      <c r="A436" t="s">
        <v>1774</v>
      </c>
      <c r="B436">
        <v>662</v>
      </c>
      <c r="C436" t="s">
        <v>487</v>
      </c>
      <c r="D436" t="s">
        <v>256</v>
      </c>
      <c r="E436" t="s">
        <v>620</v>
      </c>
      <c r="F436" t="s">
        <v>1350</v>
      </c>
      <c r="G436" s="25">
        <v>44252</v>
      </c>
      <c r="H436">
        <v>12</v>
      </c>
      <c r="I436">
        <v>56</v>
      </c>
      <c r="J436" t="s">
        <v>501</v>
      </c>
      <c r="K436" t="s">
        <v>412</v>
      </c>
      <c r="L436" t="s">
        <v>235</v>
      </c>
      <c r="M436" t="s">
        <v>413</v>
      </c>
      <c r="N436" t="s">
        <v>60</v>
      </c>
      <c r="O436">
        <v>0</v>
      </c>
      <c r="P436" t="s">
        <v>237</v>
      </c>
    </row>
    <row r="437" spans="1:16" x14ac:dyDescent="0.25">
      <c r="A437" t="s">
        <v>2688</v>
      </c>
      <c r="B437">
        <v>658</v>
      </c>
      <c r="C437" t="s">
        <v>487</v>
      </c>
      <c r="D437" t="s">
        <v>256</v>
      </c>
      <c r="E437" t="s">
        <v>575</v>
      </c>
      <c r="F437" t="s">
        <v>1668</v>
      </c>
      <c r="G437" s="25">
        <v>44251</v>
      </c>
      <c r="H437">
        <v>11</v>
      </c>
      <c r="I437">
        <v>55</v>
      </c>
      <c r="J437" t="s">
        <v>501</v>
      </c>
      <c r="K437" t="s">
        <v>412</v>
      </c>
      <c r="L437" t="s">
        <v>235</v>
      </c>
      <c r="M437" t="s">
        <v>413</v>
      </c>
      <c r="N437" t="s">
        <v>60</v>
      </c>
      <c r="O437">
        <v>0</v>
      </c>
      <c r="P437" t="s">
        <v>237</v>
      </c>
    </row>
    <row r="438" spans="1:16" x14ac:dyDescent="0.25">
      <c r="A438" t="s">
        <v>2282</v>
      </c>
      <c r="B438">
        <v>642</v>
      </c>
      <c r="C438" t="s">
        <v>487</v>
      </c>
      <c r="D438" t="s">
        <v>256</v>
      </c>
      <c r="E438" t="s">
        <v>537</v>
      </c>
      <c r="F438" t="s">
        <v>1348</v>
      </c>
      <c r="G438" s="25">
        <v>44250</v>
      </c>
      <c r="H438">
        <v>11</v>
      </c>
      <c r="I438">
        <v>54</v>
      </c>
      <c r="J438" t="s">
        <v>501</v>
      </c>
      <c r="K438" t="s">
        <v>412</v>
      </c>
      <c r="L438" t="s">
        <v>235</v>
      </c>
      <c r="M438" t="s">
        <v>413</v>
      </c>
      <c r="N438" t="s">
        <v>60</v>
      </c>
      <c r="O438">
        <v>0</v>
      </c>
      <c r="P438" t="s">
        <v>237</v>
      </c>
    </row>
    <row r="439" spans="1:16" x14ac:dyDescent="0.25">
      <c r="A439" t="s">
        <v>2613</v>
      </c>
      <c r="B439">
        <v>626</v>
      </c>
      <c r="C439" t="s">
        <v>487</v>
      </c>
      <c r="D439" t="s">
        <v>256</v>
      </c>
      <c r="E439" t="s">
        <v>512</v>
      </c>
      <c r="F439" t="s">
        <v>1342</v>
      </c>
      <c r="G439" s="25">
        <v>44249</v>
      </c>
      <c r="H439">
        <v>11</v>
      </c>
      <c r="I439">
        <v>53</v>
      </c>
      <c r="J439" t="s">
        <v>501</v>
      </c>
      <c r="K439" t="s">
        <v>412</v>
      </c>
      <c r="L439" t="s">
        <v>235</v>
      </c>
      <c r="M439" t="s">
        <v>413</v>
      </c>
      <c r="N439" t="s">
        <v>60</v>
      </c>
      <c r="O439">
        <v>0</v>
      </c>
      <c r="P439" t="s">
        <v>237</v>
      </c>
    </row>
    <row r="440" spans="1:16" x14ac:dyDescent="0.25">
      <c r="A440" t="s">
        <v>2220</v>
      </c>
      <c r="B440">
        <v>620</v>
      </c>
      <c r="C440" t="s">
        <v>487</v>
      </c>
      <c r="D440" t="s">
        <v>256</v>
      </c>
      <c r="E440" t="s">
        <v>232</v>
      </c>
      <c r="F440" t="s">
        <v>1337</v>
      </c>
      <c r="G440" s="25">
        <v>44248</v>
      </c>
      <c r="H440">
        <v>11</v>
      </c>
      <c r="I440">
        <v>52</v>
      </c>
      <c r="J440" t="s">
        <v>501</v>
      </c>
      <c r="K440" t="s">
        <v>412</v>
      </c>
      <c r="L440" t="s">
        <v>235</v>
      </c>
      <c r="M440" t="s">
        <v>413</v>
      </c>
      <c r="N440" t="s">
        <v>60</v>
      </c>
      <c r="O440">
        <v>0</v>
      </c>
      <c r="P440" t="s">
        <v>237</v>
      </c>
    </row>
    <row r="441" spans="1:16" x14ac:dyDescent="0.25">
      <c r="A441" t="s">
        <v>548</v>
      </c>
      <c r="B441">
        <v>246</v>
      </c>
      <c r="C441" t="s">
        <v>487</v>
      </c>
      <c r="D441" t="s">
        <v>231</v>
      </c>
      <c r="E441" t="s">
        <v>229</v>
      </c>
      <c r="F441" t="s">
        <v>541</v>
      </c>
      <c r="G441" s="25">
        <v>44217</v>
      </c>
      <c r="H441">
        <v>5</v>
      </c>
      <c r="I441">
        <v>21</v>
      </c>
      <c r="J441" t="s">
        <v>501</v>
      </c>
      <c r="K441" t="s">
        <v>412</v>
      </c>
      <c r="L441" t="s">
        <v>235</v>
      </c>
      <c r="M441" t="s">
        <v>413</v>
      </c>
      <c r="N441" t="s">
        <v>60</v>
      </c>
      <c r="O441">
        <v>0</v>
      </c>
      <c r="P441" t="s">
        <v>237</v>
      </c>
    </row>
    <row r="442" spans="1:16" x14ac:dyDescent="0.25">
      <c r="A442" t="s">
        <v>2107</v>
      </c>
      <c r="B442">
        <v>604</v>
      </c>
      <c r="C442" t="s">
        <v>487</v>
      </c>
      <c r="D442" t="s">
        <v>256</v>
      </c>
      <c r="E442" t="s">
        <v>515</v>
      </c>
      <c r="F442" t="s">
        <v>1329</v>
      </c>
      <c r="G442" s="25">
        <v>44247</v>
      </c>
      <c r="H442">
        <v>11</v>
      </c>
      <c r="I442">
        <v>51</v>
      </c>
      <c r="J442" t="s">
        <v>501</v>
      </c>
      <c r="K442" t="s">
        <v>412</v>
      </c>
      <c r="L442" t="s">
        <v>235</v>
      </c>
      <c r="M442" t="s">
        <v>413</v>
      </c>
      <c r="N442" t="s">
        <v>60</v>
      </c>
      <c r="O442">
        <v>0</v>
      </c>
      <c r="P442" t="s">
        <v>237</v>
      </c>
    </row>
    <row r="443" spans="1:16" x14ac:dyDescent="0.25">
      <c r="A443" t="s">
        <v>2315</v>
      </c>
      <c r="B443">
        <v>594</v>
      </c>
      <c r="C443" t="s">
        <v>487</v>
      </c>
      <c r="D443" t="s">
        <v>256</v>
      </c>
      <c r="E443" t="s">
        <v>239</v>
      </c>
      <c r="F443" t="s">
        <v>1322</v>
      </c>
      <c r="G443" s="25">
        <v>44246</v>
      </c>
      <c r="H443">
        <v>10</v>
      </c>
      <c r="I443">
        <v>50</v>
      </c>
      <c r="J443" t="s">
        <v>501</v>
      </c>
      <c r="K443" t="s">
        <v>412</v>
      </c>
      <c r="L443" t="s">
        <v>235</v>
      </c>
      <c r="M443" t="s">
        <v>413</v>
      </c>
      <c r="N443" t="s">
        <v>60</v>
      </c>
      <c r="O443">
        <v>0</v>
      </c>
      <c r="P443" t="s">
        <v>237</v>
      </c>
    </row>
    <row r="444" spans="1:16" x14ac:dyDescent="0.25">
      <c r="A444" t="s">
        <v>2400</v>
      </c>
      <c r="B444">
        <v>583</v>
      </c>
      <c r="C444" t="s">
        <v>487</v>
      </c>
      <c r="D444" t="s">
        <v>256</v>
      </c>
      <c r="E444" t="s">
        <v>371</v>
      </c>
      <c r="F444" t="s">
        <v>1318</v>
      </c>
      <c r="G444" s="25">
        <v>44245</v>
      </c>
      <c r="H444">
        <v>10</v>
      </c>
      <c r="I444">
        <v>49</v>
      </c>
      <c r="J444" t="s">
        <v>501</v>
      </c>
      <c r="K444" t="s">
        <v>412</v>
      </c>
      <c r="L444" t="s">
        <v>235</v>
      </c>
      <c r="M444" t="s">
        <v>413</v>
      </c>
      <c r="N444" t="s">
        <v>60</v>
      </c>
      <c r="O444">
        <v>0</v>
      </c>
      <c r="P444" t="s">
        <v>237</v>
      </c>
    </row>
    <row r="445" spans="1:16" x14ac:dyDescent="0.25">
      <c r="A445" t="s">
        <v>2308</v>
      </c>
      <c r="B445">
        <v>569</v>
      </c>
      <c r="C445" t="s">
        <v>487</v>
      </c>
      <c r="D445" t="s">
        <v>256</v>
      </c>
      <c r="E445" t="s">
        <v>381</v>
      </c>
      <c r="F445" t="s">
        <v>1311</v>
      </c>
      <c r="G445" s="25">
        <v>44244</v>
      </c>
      <c r="H445">
        <v>10</v>
      </c>
      <c r="I445">
        <v>48</v>
      </c>
      <c r="J445" t="s">
        <v>501</v>
      </c>
      <c r="K445" t="s">
        <v>412</v>
      </c>
      <c r="L445" t="s">
        <v>235</v>
      </c>
      <c r="M445" t="s">
        <v>413</v>
      </c>
      <c r="N445" t="s">
        <v>60</v>
      </c>
      <c r="O445">
        <v>0</v>
      </c>
      <c r="P445" t="s">
        <v>237</v>
      </c>
    </row>
    <row r="446" spans="1:16" x14ac:dyDescent="0.25">
      <c r="A446" t="s">
        <v>817</v>
      </c>
      <c r="B446">
        <v>264</v>
      </c>
      <c r="C446" t="s">
        <v>487</v>
      </c>
      <c r="D446" t="s">
        <v>231</v>
      </c>
      <c r="E446" t="s">
        <v>231</v>
      </c>
      <c r="F446" t="s">
        <v>1080</v>
      </c>
      <c r="G446" s="25">
        <v>44218</v>
      </c>
      <c r="H446">
        <v>5</v>
      </c>
      <c r="I446">
        <v>22</v>
      </c>
      <c r="J446" t="s">
        <v>501</v>
      </c>
      <c r="K446" t="s">
        <v>412</v>
      </c>
      <c r="L446" t="s">
        <v>235</v>
      </c>
      <c r="M446" t="s">
        <v>413</v>
      </c>
      <c r="N446" t="s">
        <v>60</v>
      </c>
      <c r="O446">
        <v>0</v>
      </c>
      <c r="P446" t="s">
        <v>237</v>
      </c>
    </row>
    <row r="447" spans="1:16" x14ac:dyDescent="0.25">
      <c r="A447" t="s">
        <v>2537</v>
      </c>
      <c r="B447">
        <v>553</v>
      </c>
      <c r="C447" t="s">
        <v>487</v>
      </c>
      <c r="D447" t="s">
        <v>256</v>
      </c>
      <c r="E447" t="s">
        <v>326</v>
      </c>
      <c r="F447" t="s">
        <v>1305</v>
      </c>
      <c r="G447" s="25">
        <v>44243</v>
      </c>
      <c r="H447">
        <v>10</v>
      </c>
      <c r="I447">
        <v>47</v>
      </c>
      <c r="J447" t="s">
        <v>501</v>
      </c>
      <c r="K447" t="s">
        <v>412</v>
      </c>
      <c r="L447" t="s">
        <v>235</v>
      </c>
      <c r="M447" t="s">
        <v>413</v>
      </c>
      <c r="N447" t="s">
        <v>60</v>
      </c>
      <c r="O447">
        <v>0</v>
      </c>
      <c r="P447" t="s">
        <v>237</v>
      </c>
    </row>
    <row r="448" spans="1:16" x14ac:dyDescent="0.25">
      <c r="A448" t="s">
        <v>2804</v>
      </c>
      <c r="B448">
        <v>550</v>
      </c>
      <c r="C448" t="s">
        <v>487</v>
      </c>
      <c r="D448" t="s">
        <v>256</v>
      </c>
      <c r="E448" t="s">
        <v>247</v>
      </c>
      <c r="F448" t="s">
        <v>1299</v>
      </c>
      <c r="G448" s="25">
        <v>44242</v>
      </c>
      <c r="H448">
        <v>10</v>
      </c>
      <c r="I448">
        <v>46</v>
      </c>
      <c r="J448" t="s">
        <v>501</v>
      </c>
      <c r="K448" t="s">
        <v>412</v>
      </c>
      <c r="L448" t="s">
        <v>235</v>
      </c>
      <c r="M448" t="s">
        <v>413</v>
      </c>
      <c r="N448" t="s">
        <v>60</v>
      </c>
      <c r="O448">
        <v>0</v>
      </c>
      <c r="P448" t="s">
        <v>237</v>
      </c>
    </row>
    <row r="449" spans="1:16" x14ac:dyDescent="0.25">
      <c r="A449" t="s">
        <v>544</v>
      </c>
      <c r="B449">
        <v>269</v>
      </c>
      <c r="C449" t="s">
        <v>487</v>
      </c>
      <c r="D449" t="s">
        <v>231</v>
      </c>
      <c r="E449" t="s">
        <v>256</v>
      </c>
      <c r="F449" t="s">
        <v>1064</v>
      </c>
      <c r="G449" s="25">
        <v>44219</v>
      </c>
      <c r="H449">
        <v>5</v>
      </c>
      <c r="I449">
        <v>23</v>
      </c>
      <c r="J449" t="s">
        <v>501</v>
      </c>
      <c r="K449" t="s">
        <v>412</v>
      </c>
      <c r="L449" t="s">
        <v>235</v>
      </c>
      <c r="M449" t="s">
        <v>413</v>
      </c>
      <c r="N449" t="s">
        <v>60</v>
      </c>
      <c r="O449">
        <v>0</v>
      </c>
      <c r="P449" t="s">
        <v>237</v>
      </c>
    </row>
    <row r="450" spans="1:16" x14ac:dyDescent="0.25">
      <c r="A450" t="s">
        <v>351</v>
      </c>
      <c r="B450">
        <v>76</v>
      </c>
      <c r="C450" t="s">
        <v>487</v>
      </c>
      <c r="D450" t="s">
        <v>229</v>
      </c>
      <c r="E450" t="s">
        <v>326</v>
      </c>
      <c r="F450" t="s">
        <v>522</v>
      </c>
      <c r="G450" s="25">
        <v>44203</v>
      </c>
      <c r="H450">
        <v>2</v>
      </c>
      <c r="I450">
        <v>7</v>
      </c>
      <c r="J450" t="s">
        <v>501</v>
      </c>
      <c r="K450" t="s">
        <v>412</v>
      </c>
      <c r="L450" t="s">
        <v>235</v>
      </c>
      <c r="M450" t="s">
        <v>413</v>
      </c>
      <c r="N450" t="s">
        <v>60</v>
      </c>
      <c r="O450">
        <v>0</v>
      </c>
      <c r="P450" t="s">
        <v>237</v>
      </c>
    </row>
    <row r="451" spans="1:16" x14ac:dyDescent="0.25">
      <c r="A451" t="s">
        <v>2018</v>
      </c>
      <c r="B451">
        <v>1196</v>
      </c>
      <c r="C451" t="s">
        <v>487</v>
      </c>
      <c r="D451" t="s">
        <v>322</v>
      </c>
      <c r="E451" t="s">
        <v>408</v>
      </c>
      <c r="F451" t="s">
        <v>3059</v>
      </c>
      <c r="G451" s="25">
        <v>44296</v>
      </c>
      <c r="H451">
        <v>20</v>
      </c>
      <c r="I451">
        <v>100</v>
      </c>
      <c r="J451" t="s">
        <v>501</v>
      </c>
      <c r="K451" t="s">
        <v>412</v>
      </c>
      <c r="L451" t="s">
        <v>235</v>
      </c>
      <c r="M451" t="s">
        <v>413</v>
      </c>
      <c r="N451" t="s">
        <v>60</v>
      </c>
      <c r="O451">
        <v>0</v>
      </c>
      <c r="P451" t="s">
        <v>237</v>
      </c>
    </row>
    <row r="452" spans="1:16" x14ac:dyDescent="0.25">
      <c r="A452" t="s">
        <v>1970</v>
      </c>
      <c r="B452">
        <v>1202</v>
      </c>
      <c r="C452" t="s">
        <v>487</v>
      </c>
      <c r="D452" t="s">
        <v>247</v>
      </c>
      <c r="E452" t="s">
        <v>229</v>
      </c>
      <c r="F452" t="s">
        <v>3063</v>
      </c>
      <c r="G452" s="25">
        <v>44297</v>
      </c>
      <c r="H452">
        <v>21</v>
      </c>
      <c r="I452">
        <v>101</v>
      </c>
      <c r="J452" t="s">
        <v>501</v>
      </c>
      <c r="K452" t="s">
        <v>412</v>
      </c>
      <c r="L452" t="s">
        <v>235</v>
      </c>
      <c r="M452" t="s">
        <v>413</v>
      </c>
      <c r="N452" t="s">
        <v>60</v>
      </c>
      <c r="O452">
        <v>0</v>
      </c>
      <c r="P452" t="s">
        <v>237</v>
      </c>
    </row>
    <row r="453" spans="1:16" x14ac:dyDescent="0.25">
      <c r="A453" t="s">
        <v>312</v>
      </c>
      <c r="B453">
        <v>70</v>
      </c>
      <c r="C453" t="s">
        <v>487</v>
      </c>
      <c r="D453" t="s">
        <v>229</v>
      </c>
      <c r="E453" t="s">
        <v>247</v>
      </c>
      <c r="F453" t="s">
        <v>524</v>
      </c>
      <c r="G453" s="25">
        <v>44202</v>
      </c>
      <c r="H453">
        <v>2</v>
      </c>
      <c r="I453">
        <v>6</v>
      </c>
      <c r="J453" t="s">
        <v>501</v>
      </c>
      <c r="K453" t="s">
        <v>412</v>
      </c>
      <c r="L453" t="s">
        <v>235</v>
      </c>
      <c r="M453" t="s">
        <v>413</v>
      </c>
      <c r="N453" t="s">
        <v>60</v>
      </c>
      <c r="O453">
        <v>0</v>
      </c>
      <c r="P453" t="s">
        <v>237</v>
      </c>
    </row>
    <row r="454" spans="1:16" x14ac:dyDescent="0.25">
      <c r="A454" t="s">
        <v>2879</v>
      </c>
      <c r="B454">
        <v>1219</v>
      </c>
      <c r="C454" t="s">
        <v>487</v>
      </c>
      <c r="D454" t="s">
        <v>247</v>
      </c>
      <c r="E454" t="s">
        <v>231</v>
      </c>
      <c r="F454" t="s">
        <v>3070</v>
      </c>
      <c r="G454" s="25">
        <v>44298</v>
      </c>
      <c r="H454">
        <v>21</v>
      </c>
      <c r="I454">
        <v>102</v>
      </c>
      <c r="J454" t="s">
        <v>501</v>
      </c>
      <c r="K454" t="s">
        <v>412</v>
      </c>
      <c r="L454" t="s">
        <v>235</v>
      </c>
      <c r="M454" t="s">
        <v>413</v>
      </c>
      <c r="N454" t="s">
        <v>60</v>
      </c>
      <c r="O454">
        <v>0</v>
      </c>
      <c r="P454" t="s">
        <v>237</v>
      </c>
    </row>
    <row r="455" spans="1:16" x14ac:dyDescent="0.25">
      <c r="A455" t="s">
        <v>2320</v>
      </c>
      <c r="B455">
        <v>1227</v>
      </c>
      <c r="C455" t="s">
        <v>487</v>
      </c>
      <c r="D455" t="s">
        <v>247</v>
      </c>
      <c r="E455" t="s">
        <v>256</v>
      </c>
      <c r="F455" t="s">
        <v>3073</v>
      </c>
      <c r="G455" s="25">
        <v>44299</v>
      </c>
      <c r="H455">
        <v>21</v>
      </c>
      <c r="I455">
        <v>103</v>
      </c>
      <c r="J455" t="s">
        <v>501</v>
      </c>
      <c r="K455" t="s">
        <v>412</v>
      </c>
      <c r="L455" t="s">
        <v>235</v>
      </c>
      <c r="M455" t="s">
        <v>413</v>
      </c>
      <c r="N455" t="s">
        <v>60</v>
      </c>
      <c r="O455">
        <v>0</v>
      </c>
      <c r="P455" t="s">
        <v>237</v>
      </c>
    </row>
    <row r="456" spans="1:16" x14ac:dyDescent="0.25">
      <c r="A456" t="s">
        <v>2099</v>
      </c>
      <c r="B456">
        <v>1241</v>
      </c>
      <c r="C456" t="s">
        <v>487</v>
      </c>
      <c r="D456" t="s">
        <v>247</v>
      </c>
      <c r="E456" t="s">
        <v>261</v>
      </c>
      <c r="F456" t="s">
        <v>3078</v>
      </c>
      <c r="G456" s="25">
        <v>44300</v>
      </c>
      <c r="H456">
        <v>21</v>
      </c>
      <c r="I456">
        <v>104</v>
      </c>
      <c r="J456" t="s">
        <v>501</v>
      </c>
      <c r="K456" t="s">
        <v>412</v>
      </c>
      <c r="L456" t="s">
        <v>235</v>
      </c>
      <c r="M456" t="s">
        <v>413</v>
      </c>
      <c r="N456" t="s">
        <v>60</v>
      </c>
      <c r="O456">
        <v>0</v>
      </c>
      <c r="P456" t="s">
        <v>237</v>
      </c>
    </row>
    <row r="457" spans="1:16" x14ac:dyDescent="0.25">
      <c r="A457" t="s">
        <v>2201</v>
      </c>
      <c r="B457">
        <v>1249</v>
      </c>
      <c r="C457" t="s">
        <v>487</v>
      </c>
      <c r="D457" t="s">
        <v>247</v>
      </c>
      <c r="E457" t="s">
        <v>322</v>
      </c>
      <c r="F457" t="s">
        <v>3083</v>
      </c>
      <c r="G457" s="25">
        <v>44301</v>
      </c>
      <c r="H457">
        <v>21</v>
      </c>
      <c r="I457">
        <v>105</v>
      </c>
      <c r="J457" t="s">
        <v>501</v>
      </c>
      <c r="K457" t="s">
        <v>412</v>
      </c>
      <c r="L457" t="s">
        <v>235</v>
      </c>
      <c r="M457" t="s">
        <v>413</v>
      </c>
      <c r="N457" t="s">
        <v>60</v>
      </c>
      <c r="O457">
        <v>0</v>
      </c>
      <c r="P457" t="s">
        <v>237</v>
      </c>
    </row>
    <row r="458" spans="1:16" x14ac:dyDescent="0.25">
      <c r="A458" t="s">
        <v>259</v>
      </c>
      <c r="B458">
        <v>56</v>
      </c>
      <c r="C458" t="s">
        <v>487</v>
      </c>
      <c r="D458" t="s">
        <v>229</v>
      </c>
      <c r="E458" t="s">
        <v>322</v>
      </c>
      <c r="F458" t="s">
        <v>529</v>
      </c>
      <c r="G458" s="25">
        <v>44201</v>
      </c>
      <c r="H458">
        <v>1</v>
      </c>
      <c r="I458">
        <v>5</v>
      </c>
      <c r="J458" t="s">
        <v>501</v>
      </c>
      <c r="K458" t="s">
        <v>412</v>
      </c>
      <c r="L458" t="s">
        <v>235</v>
      </c>
      <c r="M458" t="s">
        <v>413</v>
      </c>
      <c r="N458" t="s">
        <v>60</v>
      </c>
      <c r="O458">
        <v>0</v>
      </c>
      <c r="P458" t="s">
        <v>237</v>
      </c>
    </row>
    <row r="459" spans="1:16" x14ac:dyDescent="0.25">
      <c r="A459" t="s">
        <v>1635</v>
      </c>
      <c r="B459">
        <v>1268</v>
      </c>
      <c r="C459" t="s">
        <v>487</v>
      </c>
      <c r="D459" t="s">
        <v>247</v>
      </c>
      <c r="E459" t="s">
        <v>247</v>
      </c>
      <c r="F459" t="s">
        <v>3085</v>
      </c>
      <c r="G459" s="25">
        <v>44302</v>
      </c>
      <c r="H459">
        <v>22</v>
      </c>
      <c r="I459">
        <v>106</v>
      </c>
      <c r="J459" t="s">
        <v>501</v>
      </c>
      <c r="K459" t="s">
        <v>412</v>
      </c>
      <c r="L459" t="s">
        <v>235</v>
      </c>
      <c r="M459" t="s">
        <v>413</v>
      </c>
      <c r="N459" t="s">
        <v>60</v>
      </c>
      <c r="O459">
        <v>0</v>
      </c>
      <c r="P459" t="s">
        <v>237</v>
      </c>
    </row>
    <row r="460" spans="1:16" x14ac:dyDescent="0.25">
      <c r="A460" t="s">
        <v>2737</v>
      </c>
      <c r="B460">
        <v>1273</v>
      </c>
      <c r="C460" t="s">
        <v>487</v>
      </c>
      <c r="D460" t="s">
        <v>247</v>
      </c>
      <c r="E460" t="s">
        <v>326</v>
      </c>
      <c r="F460" t="s">
        <v>3091</v>
      </c>
      <c r="G460" s="25">
        <v>44303</v>
      </c>
      <c r="H460">
        <v>22</v>
      </c>
      <c r="I460">
        <v>107</v>
      </c>
      <c r="J460" t="s">
        <v>501</v>
      </c>
      <c r="K460" t="s">
        <v>412</v>
      </c>
      <c r="L460" t="s">
        <v>235</v>
      </c>
      <c r="M460" t="s">
        <v>413</v>
      </c>
      <c r="N460" t="s">
        <v>60</v>
      </c>
      <c r="O460">
        <v>0</v>
      </c>
      <c r="P460" t="s">
        <v>237</v>
      </c>
    </row>
    <row r="461" spans="1:16" x14ac:dyDescent="0.25">
      <c r="A461" t="s">
        <v>2638</v>
      </c>
      <c r="B461">
        <v>1289</v>
      </c>
      <c r="C461" t="s">
        <v>487</v>
      </c>
      <c r="D461" t="s">
        <v>247</v>
      </c>
      <c r="E461" t="s">
        <v>381</v>
      </c>
      <c r="F461" t="s">
        <v>3107</v>
      </c>
      <c r="G461" s="25">
        <v>44304</v>
      </c>
      <c r="H461">
        <v>22</v>
      </c>
      <c r="I461">
        <v>108</v>
      </c>
      <c r="J461" t="s">
        <v>501</v>
      </c>
      <c r="K461" t="s">
        <v>412</v>
      </c>
      <c r="L461" t="s">
        <v>235</v>
      </c>
      <c r="M461" t="s">
        <v>413</v>
      </c>
      <c r="N461" t="s">
        <v>60</v>
      </c>
      <c r="O461">
        <v>0</v>
      </c>
      <c r="P461" t="s">
        <v>237</v>
      </c>
    </row>
    <row r="462" spans="1:16" x14ac:dyDescent="0.25">
      <c r="A462" t="s">
        <v>2597</v>
      </c>
      <c r="B462">
        <v>1304</v>
      </c>
      <c r="C462" t="s">
        <v>487</v>
      </c>
      <c r="D462" t="s">
        <v>247</v>
      </c>
      <c r="E462" t="s">
        <v>371</v>
      </c>
      <c r="F462" t="s">
        <v>3112</v>
      </c>
      <c r="G462" s="25">
        <v>44305</v>
      </c>
      <c r="H462">
        <v>22</v>
      </c>
      <c r="I462">
        <v>109</v>
      </c>
      <c r="J462" t="s">
        <v>501</v>
      </c>
      <c r="K462" t="s">
        <v>412</v>
      </c>
      <c r="L462" t="s">
        <v>235</v>
      </c>
      <c r="M462" t="s">
        <v>413</v>
      </c>
      <c r="N462" t="s">
        <v>60</v>
      </c>
      <c r="O462">
        <v>0</v>
      </c>
      <c r="P462" t="s">
        <v>237</v>
      </c>
    </row>
    <row r="463" spans="1:16" x14ac:dyDescent="0.25">
      <c r="A463" t="s">
        <v>369</v>
      </c>
      <c r="B463">
        <v>41</v>
      </c>
      <c r="C463" t="s">
        <v>487</v>
      </c>
      <c r="D463" t="s">
        <v>229</v>
      </c>
      <c r="E463" t="s">
        <v>261</v>
      </c>
      <c r="F463" t="s">
        <v>549</v>
      </c>
      <c r="G463" s="25">
        <v>44200</v>
      </c>
      <c r="H463">
        <v>1</v>
      </c>
      <c r="I463">
        <v>4</v>
      </c>
      <c r="J463" t="s">
        <v>501</v>
      </c>
      <c r="K463" t="s">
        <v>412</v>
      </c>
      <c r="L463" t="s">
        <v>235</v>
      </c>
      <c r="M463" t="s">
        <v>413</v>
      </c>
      <c r="N463" t="s">
        <v>60</v>
      </c>
      <c r="O463">
        <v>0</v>
      </c>
      <c r="P463" t="s">
        <v>237</v>
      </c>
    </row>
    <row r="464" spans="1:16" x14ac:dyDescent="0.25">
      <c r="A464" t="s">
        <v>2052</v>
      </c>
      <c r="B464">
        <v>1319</v>
      </c>
      <c r="C464" t="s">
        <v>487</v>
      </c>
      <c r="D464" t="s">
        <v>247</v>
      </c>
      <c r="E464" t="s">
        <v>239</v>
      </c>
      <c r="F464" t="s">
        <v>3118</v>
      </c>
      <c r="G464" s="25">
        <v>44306</v>
      </c>
      <c r="H464">
        <v>22</v>
      </c>
      <c r="I464">
        <v>110</v>
      </c>
      <c r="J464" t="s">
        <v>501</v>
      </c>
      <c r="K464" t="s">
        <v>412</v>
      </c>
      <c r="L464" t="s">
        <v>235</v>
      </c>
      <c r="M464" t="s">
        <v>413</v>
      </c>
      <c r="N464" t="s">
        <v>60</v>
      </c>
      <c r="O464">
        <v>0</v>
      </c>
      <c r="P464" t="s">
        <v>237</v>
      </c>
    </row>
    <row r="465" spans="1:16" x14ac:dyDescent="0.25">
      <c r="A465" t="s">
        <v>1661</v>
      </c>
      <c r="B465">
        <v>1327</v>
      </c>
      <c r="C465" t="s">
        <v>487</v>
      </c>
      <c r="D465" t="s">
        <v>247</v>
      </c>
      <c r="E465" t="s">
        <v>515</v>
      </c>
      <c r="F465" t="s">
        <v>3134</v>
      </c>
      <c r="G465" s="25">
        <v>44307</v>
      </c>
      <c r="H465">
        <v>23</v>
      </c>
      <c r="I465">
        <v>111</v>
      </c>
      <c r="J465" t="s">
        <v>501</v>
      </c>
      <c r="K465" t="s">
        <v>412</v>
      </c>
      <c r="L465" t="s">
        <v>235</v>
      </c>
      <c r="M465" t="s">
        <v>413</v>
      </c>
      <c r="N465" t="s">
        <v>60</v>
      </c>
      <c r="O465">
        <v>0</v>
      </c>
      <c r="P465" t="s">
        <v>237</v>
      </c>
    </row>
    <row r="466" spans="1:16" x14ac:dyDescent="0.25">
      <c r="A466" t="s">
        <v>1951</v>
      </c>
      <c r="B466">
        <v>1340</v>
      </c>
      <c r="C466" t="s">
        <v>487</v>
      </c>
      <c r="D466" t="s">
        <v>247</v>
      </c>
      <c r="E466" t="s">
        <v>232</v>
      </c>
      <c r="F466" t="s">
        <v>3140</v>
      </c>
      <c r="G466" s="25">
        <v>44308</v>
      </c>
      <c r="H466">
        <v>23</v>
      </c>
      <c r="I466">
        <v>112</v>
      </c>
      <c r="J466" t="s">
        <v>501</v>
      </c>
      <c r="K466" t="s">
        <v>412</v>
      </c>
      <c r="L466" t="s">
        <v>235</v>
      </c>
      <c r="M466" t="s">
        <v>413</v>
      </c>
      <c r="N466" t="s">
        <v>60</v>
      </c>
      <c r="O466">
        <v>0</v>
      </c>
      <c r="P466" t="s">
        <v>237</v>
      </c>
    </row>
    <row r="467" spans="1:16" x14ac:dyDescent="0.25">
      <c r="A467" t="s">
        <v>2388</v>
      </c>
      <c r="B467">
        <v>1348</v>
      </c>
      <c r="C467" t="s">
        <v>487</v>
      </c>
      <c r="D467" t="s">
        <v>247</v>
      </c>
      <c r="E467" t="s">
        <v>512</v>
      </c>
      <c r="F467" t="s">
        <v>3146</v>
      </c>
      <c r="G467" s="25">
        <v>44309</v>
      </c>
      <c r="H467">
        <v>23</v>
      </c>
      <c r="I467">
        <v>113</v>
      </c>
      <c r="J467" t="s">
        <v>501</v>
      </c>
      <c r="K467" t="s">
        <v>412</v>
      </c>
      <c r="L467" t="s">
        <v>235</v>
      </c>
      <c r="M467" t="s">
        <v>413</v>
      </c>
      <c r="N467" t="s">
        <v>60</v>
      </c>
      <c r="O467">
        <v>0</v>
      </c>
      <c r="P467" t="s">
        <v>237</v>
      </c>
    </row>
    <row r="468" spans="1:16" x14ac:dyDescent="0.25">
      <c r="A468" t="s">
        <v>332</v>
      </c>
      <c r="B468">
        <v>26</v>
      </c>
      <c r="C468" t="s">
        <v>487</v>
      </c>
      <c r="D468" t="s">
        <v>229</v>
      </c>
      <c r="E468" t="s">
        <v>256</v>
      </c>
      <c r="F468" t="s">
        <v>525</v>
      </c>
      <c r="G468" s="25">
        <v>44199</v>
      </c>
      <c r="H468">
        <v>1</v>
      </c>
      <c r="I468">
        <v>3</v>
      </c>
      <c r="J468" t="s">
        <v>501</v>
      </c>
      <c r="K468" t="s">
        <v>412</v>
      </c>
      <c r="L468" t="s">
        <v>235</v>
      </c>
      <c r="M468" t="s">
        <v>413</v>
      </c>
      <c r="N468" t="s">
        <v>60</v>
      </c>
      <c r="O468">
        <v>0</v>
      </c>
      <c r="P468" t="s">
        <v>237</v>
      </c>
    </row>
    <row r="469" spans="1:16" x14ac:dyDescent="0.25">
      <c r="A469" t="s">
        <v>2811</v>
      </c>
      <c r="B469">
        <v>1359</v>
      </c>
      <c r="C469" t="s">
        <v>487</v>
      </c>
      <c r="D469" t="s">
        <v>247</v>
      </c>
      <c r="E469" t="s">
        <v>537</v>
      </c>
      <c r="F469" t="s">
        <v>3153</v>
      </c>
      <c r="G469" s="25">
        <v>44310</v>
      </c>
      <c r="H469">
        <v>23</v>
      </c>
      <c r="I469">
        <v>114</v>
      </c>
      <c r="J469" t="s">
        <v>501</v>
      </c>
      <c r="K469" t="s">
        <v>412</v>
      </c>
      <c r="L469" t="s">
        <v>235</v>
      </c>
      <c r="M469" t="s">
        <v>413</v>
      </c>
      <c r="N469" t="s">
        <v>60</v>
      </c>
      <c r="O469">
        <v>0</v>
      </c>
      <c r="P469" t="s">
        <v>237</v>
      </c>
    </row>
    <row r="470" spans="1:16" x14ac:dyDescent="0.25">
      <c r="A470" t="s">
        <v>280</v>
      </c>
      <c r="B470">
        <v>22</v>
      </c>
      <c r="C470" t="s">
        <v>487</v>
      </c>
      <c r="D470" t="s">
        <v>229</v>
      </c>
      <c r="E470" t="s">
        <v>231</v>
      </c>
      <c r="F470" t="s">
        <v>568</v>
      </c>
      <c r="G470" s="25">
        <v>44198</v>
      </c>
      <c r="H470">
        <v>1</v>
      </c>
      <c r="I470">
        <v>2</v>
      </c>
      <c r="J470" t="s">
        <v>501</v>
      </c>
      <c r="K470" t="s">
        <v>412</v>
      </c>
      <c r="L470" t="s">
        <v>235</v>
      </c>
      <c r="M470" t="s">
        <v>413</v>
      </c>
      <c r="N470" t="s">
        <v>60</v>
      </c>
      <c r="O470">
        <v>0</v>
      </c>
      <c r="P470" t="s">
        <v>237</v>
      </c>
    </row>
    <row r="471" spans="1:16" x14ac:dyDescent="0.25">
      <c r="A471" t="s">
        <v>1931</v>
      </c>
      <c r="B471">
        <v>1374</v>
      </c>
      <c r="C471" t="s">
        <v>487</v>
      </c>
      <c r="D471" t="s">
        <v>247</v>
      </c>
      <c r="E471" t="s">
        <v>575</v>
      </c>
      <c r="F471" t="s">
        <v>3158</v>
      </c>
      <c r="G471" s="25">
        <v>44311</v>
      </c>
      <c r="H471">
        <v>23</v>
      </c>
      <c r="I471">
        <v>115</v>
      </c>
      <c r="J471" t="s">
        <v>501</v>
      </c>
      <c r="K471" t="s">
        <v>412</v>
      </c>
      <c r="L471" t="s">
        <v>235</v>
      </c>
      <c r="M471" t="s">
        <v>413</v>
      </c>
      <c r="N471" t="s">
        <v>60</v>
      </c>
      <c r="O471">
        <v>0</v>
      </c>
      <c r="P471" t="s">
        <v>237</v>
      </c>
    </row>
    <row r="472" spans="1:16" x14ac:dyDescent="0.25">
      <c r="A472" t="s">
        <v>2826</v>
      </c>
      <c r="B472">
        <v>1391</v>
      </c>
      <c r="C472" t="s">
        <v>487</v>
      </c>
      <c r="D472" t="s">
        <v>247</v>
      </c>
      <c r="E472" t="s">
        <v>620</v>
      </c>
      <c r="F472" t="s">
        <v>3162</v>
      </c>
      <c r="G472" s="25">
        <v>44312</v>
      </c>
      <c r="H472">
        <v>24</v>
      </c>
      <c r="I472">
        <v>116</v>
      </c>
      <c r="J472" t="s">
        <v>501</v>
      </c>
      <c r="K472" t="s">
        <v>412</v>
      </c>
      <c r="L472" t="s">
        <v>235</v>
      </c>
      <c r="M472" t="s">
        <v>413</v>
      </c>
      <c r="N472" t="s">
        <v>60</v>
      </c>
      <c r="O472">
        <v>0</v>
      </c>
      <c r="P472" t="s">
        <v>237</v>
      </c>
    </row>
    <row r="473" spans="1:16" x14ac:dyDescent="0.25">
      <c r="A473" t="s">
        <v>1938</v>
      </c>
      <c r="B473">
        <v>1398</v>
      </c>
      <c r="C473" t="s">
        <v>487</v>
      </c>
      <c r="D473" t="s">
        <v>247</v>
      </c>
      <c r="E473" t="s">
        <v>534</v>
      </c>
      <c r="F473" t="s">
        <v>3166</v>
      </c>
      <c r="G473" s="25">
        <v>44313</v>
      </c>
      <c r="H473">
        <v>24</v>
      </c>
      <c r="I473">
        <v>117</v>
      </c>
      <c r="J473" t="s">
        <v>501</v>
      </c>
      <c r="K473" t="s">
        <v>412</v>
      </c>
      <c r="L473" t="s">
        <v>235</v>
      </c>
      <c r="M473" t="s">
        <v>413</v>
      </c>
      <c r="N473" t="s">
        <v>60</v>
      </c>
      <c r="O473">
        <v>0</v>
      </c>
      <c r="P473" t="s">
        <v>237</v>
      </c>
    </row>
    <row r="474" spans="1:16" x14ac:dyDescent="0.25">
      <c r="A474" t="s">
        <v>2801</v>
      </c>
      <c r="B474">
        <v>1408</v>
      </c>
      <c r="C474" t="s">
        <v>487</v>
      </c>
      <c r="D474" t="s">
        <v>247</v>
      </c>
      <c r="E474" t="s">
        <v>552</v>
      </c>
      <c r="F474" t="s">
        <v>3170</v>
      </c>
      <c r="G474" s="25">
        <v>44314</v>
      </c>
      <c r="H474">
        <v>24</v>
      </c>
      <c r="I474">
        <v>118</v>
      </c>
      <c r="J474" t="s">
        <v>501</v>
      </c>
      <c r="K474" t="s">
        <v>412</v>
      </c>
      <c r="L474" t="s">
        <v>235</v>
      </c>
      <c r="M474" t="s">
        <v>413</v>
      </c>
      <c r="N474" t="s">
        <v>60</v>
      </c>
      <c r="O474">
        <v>0</v>
      </c>
      <c r="P474" t="s">
        <v>237</v>
      </c>
    </row>
    <row r="475" spans="1:16" x14ac:dyDescent="0.25">
      <c r="A475" t="s">
        <v>2459</v>
      </c>
      <c r="B475">
        <v>1420</v>
      </c>
      <c r="C475" t="s">
        <v>487</v>
      </c>
      <c r="D475" t="s">
        <v>247</v>
      </c>
      <c r="E475" t="s">
        <v>531</v>
      </c>
      <c r="F475" t="s">
        <v>3173</v>
      </c>
      <c r="G475" s="25">
        <v>44315</v>
      </c>
      <c r="H475">
        <v>24</v>
      </c>
      <c r="I475">
        <v>119</v>
      </c>
      <c r="J475" t="s">
        <v>501</v>
      </c>
      <c r="K475" t="s">
        <v>412</v>
      </c>
      <c r="L475" t="s">
        <v>235</v>
      </c>
      <c r="M475" t="s">
        <v>413</v>
      </c>
      <c r="N475" t="s">
        <v>60</v>
      </c>
      <c r="O475">
        <v>0</v>
      </c>
      <c r="P475" t="s">
        <v>237</v>
      </c>
    </row>
    <row r="476" spans="1:16" x14ac:dyDescent="0.25">
      <c r="A476" t="s">
        <v>1872</v>
      </c>
      <c r="B476">
        <v>1437</v>
      </c>
      <c r="C476" t="s">
        <v>487</v>
      </c>
      <c r="D476" t="s">
        <v>247</v>
      </c>
      <c r="E476" t="s">
        <v>408</v>
      </c>
      <c r="F476" t="s">
        <v>3178</v>
      </c>
      <c r="G476" s="25">
        <v>44316</v>
      </c>
      <c r="H476">
        <v>24</v>
      </c>
      <c r="I476">
        <v>120</v>
      </c>
      <c r="J476" t="s">
        <v>501</v>
      </c>
      <c r="K476" t="s">
        <v>412</v>
      </c>
      <c r="L476" t="s">
        <v>235</v>
      </c>
      <c r="M476" t="s">
        <v>413</v>
      </c>
      <c r="N476" t="s">
        <v>60</v>
      </c>
      <c r="O476">
        <v>0</v>
      </c>
      <c r="P476" t="s">
        <v>237</v>
      </c>
    </row>
    <row r="477" spans="1:16" x14ac:dyDescent="0.25">
      <c r="A477" t="s">
        <v>348</v>
      </c>
      <c r="B477">
        <v>1</v>
      </c>
      <c r="C477" t="s">
        <v>487</v>
      </c>
      <c r="D477" t="s">
        <v>229</v>
      </c>
      <c r="E477" t="s">
        <v>229</v>
      </c>
      <c r="F477" t="s">
        <v>230</v>
      </c>
      <c r="G477" s="25">
        <v>44197</v>
      </c>
      <c r="H477">
        <v>1</v>
      </c>
      <c r="I477">
        <v>1</v>
      </c>
      <c r="J477" t="s">
        <v>501</v>
      </c>
      <c r="K477" t="s">
        <v>412</v>
      </c>
      <c r="L477" t="s">
        <v>235</v>
      </c>
      <c r="M477" t="s">
        <v>413</v>
      </c>
      <c r="N477" t="s">
        <v>60</v>
      </c>
      <c r="O477">
        <v>0</v>
      </c>
      <c r="P477" t="s">
        <v>237</v>
      </c>
    </row>
    <row r="478" spans="1:16" x14ac:dyDescent="0.25">
      <c r="A478" t="s">
        <v>2001</v>
      </c>
      <c r="B478">
        <v>1141</v>
      </c>
      <c r="C478" t="s">
        <v>487</v>
      </c>
      <c r="D478" t="s">
        <v>322</v>
      </c>
      <c r="E478" t="s">
        <v>620</v>
      </c>
      <c r="F478" t="s">
        <v>3025</v>
      </c>
      <c r="G478" s="25">
        <v>44292</v>
      </c>
      <c r="H478">
        <v>20</v>
      </c>
      <c r="I478">
        <v>96</v>
      </c>
      <c r="J478" t="s">
        <v>501</v>
      </c>
      <c r="K478" t="s">
        <v>412</v>
      </c>
      <c r="L478" t="s">
        <v>235</v>
      </c>
      <c r="M478" t="s">
        <v>413</v>
      </c>
      <c r="N478" t="s">
        <v>60</v>
      </c>
      <c r="O478">
        <v>0</v>
      </c>
      <c r="P478" t="s">
        <v>237</v>
      </c>
    </row>
    <row r="479" spans="1:16" x14ac:dyDescent="0.25">
      <c r="A479" t="s">
        <v>2125</v>
      </c>
      <c r="B479">
        <v>1160</v>
      </c>
      <c r="C479" t="s">
        <v>487</v>
      </c>
      <c r="D479" t="s">
        <v>322</v>
      </c>
      <c r="E479" t="s">
        <v>534</v>
      </c>
      <c r="F479" t="s">
        <v>3031</v>
      </c>
      <c r="G479" s="25">
        <v>44293</v>
      </c>
      <c r="H479">
        <v>20</v>
      </c>
      <c r="I479">
        <v>97</v>
      </c>
      <c r="J479" t="s">
        <v>501</v>
      </c>
      <c r="K479" t="s">
        <v>412</v>
      </c>
      <c r="L479" t="s">
        <v>235</v>
      </c>
      <c r="M479" t="s">
        <v>413</v>
      </c>
      <c r="N479" t="s">
        <v>60</v>
      </c>
      <c r="O479">
        <v>0</v>
      </c>
      <c r="P479" t="s">
        <v>237</v>
      </c>
    </row>
    <row r="480" spans="1:16" x14ac:dyDescent="0.25">
      <c r="A480" t="s">
        <v>2654</v>
      </c>
      <c r="B480">
        <v>1167</v>
      </c>
      <c r="C480" t="s">
        <v>487</v>
      </c>
      <c r="D480" t="s">
        <v>322</v>
      </c>
      <c r="E480" t="s">
        <v>552</v>
      </c>
      <c r="F480" t="s">
        <v>3045</v>
      </c>
      <c r="G480" s="25">
        <v>44294</v>
      </c>
      <c r="H480">
        <v>20</v>
      </c>
      <c r="I480">
        <v>98</v>
      </c>
      <c r="J480" t="s">
        <v>501</v>
      </c>
      <c r="K480" t="s">
        <v>412</v>
      </c>
      <c r="L480" t="s">
        <v>235</v>
      </c>
      <c r="M480" t="s">
        <v>413</v>
      </c>
      <c r="N480" t="s">
        <v>60</v>
      </c>
      <c r="O480">
        <v>0</v>
      </c>
      <c r="P480" t="s">
        <v>237</v>
      </c>
    </row>
    <row r="481" spans="1:16" x14ac:dyDescent="0.25">
      <c r="A481" t="s">
        <v>1799</v>
      </c>
      <c r="B481">
        <v>1184</v>
      </c>
      <c r="C481" t="s">
        <v>487</v>
      </c>
      <c r="D481" t="s">
        <v>322</v>
      </c>
      <c r="E481" t="s">
        <v>531</v>
      </c>
      <c r="F481" t="s">
        <v>3056</v>
      </c>
      <c r="G481" s="25">
        <v>44295</v>
      </c>
      <c r="H481">
        <v>20</v>
      </c>
      <c r="I481">
        <v>99</v>
      </c>
      <c r="J481" t="s">
        <v>501</v>
      </c>
      <c r="K481" t="s">
        <v>412</v>
      </c>
      <c r="L481" t="s">
        <v>235</v>
      </c>
      <c r="M481" t="s">
        <v>413</v>
      </c>
      <c r="N481" t="s">
        <v>60</v>
      </c>
      <c r="O481">
        <v>0</v>
      </c>
      <c r="P481" t="s">
        <v>237</v>
      </c>
    </row>
    <row r="482" spans="1:16" x14ac:dyDescent="0.25">
      <c r="A482" t="s">
        <v>2526</v>
      </c>
      <c r="B482">
        <v>899</v>
      </c>
      <c r="C482" t="s">
        <v>487</v>
      </c>
      <c r="D482" t="s">
        <v>261</v>
      </c>
      <c r="E482" t="s">
        <v>575</v>
      </c>
      <c r="F482" t="s">
        <v>1537</v>
      </c>
      <c r="G482" s="25">
        <v>44271</v>
      </c>
      <c r="H482">
        <v>15</v>
      </c>
      <c r="I482">
        <v>75</v>
      </c>
      <c r="J482" t="s">
        <v>502</v>
      </c>
      <c r="K482" t="s">
        <v>287</v>
      </c>
      <c r="L482" t="s">
        <v>235</v>
      </c>
      <c r="M482" t="s">
        <v>288</v>
      </c>
      <c r="N482" t="s">
        <v>58</v>
      </c>
      <c r="O482">
        <v>0</v>
      </c>
      <c r="P482" t="s">
        <v>237</v>
      </c>
    </row>
    <row r="483" spans="1:16" x14ac:dyDescent="0.25">
      <c r="A483" t="s">
        <v>2040</v>
      </c>
      <c r="B483">
        <v>1080</v>
      </c>
      <c r="C483" t="s">
        <v>487</v>
      </c>
      <c r="D483" t="s">
        <v>322</v>
      </c>
      <c r="E483" t="s">
        <v>239</v>
      </c>
      <c r="F483" t="s">
        <v>2979</v>
      </c>
      <c r="G483" s="25">
        <v>44286</v>
      </c>
      <c r="H483">
        <v>18</v>
      </c>
      <c r="I483">
        <v>90</v>
      </c>
      <c r="J483" t="s">
        <v>502</v>
      </c>
      <c r="K483" t="s">
        <v>287</v>
      </c>
      <c r="L483" t="s">
        <v>235</v>
      </c>
      <c r="M483" t="s">
        <v>288</v>
      </c>
      <c r="N483" t="s">
        <v>58</v>
      </c>
      <c r="O483">
        <v>24000</v>
      </c>
      <c r="P483" t="s">
        <v>237</v>
      </c>
    </row>
    <row r="484" spans="1:16" x14ac:dyDescent="0.25">
      <c r="A484" t="s">
        <v>1601</v>
      </c>
      <c r="B484">
        <v>485</v>
      </c>
      <c r="C484" t="s">
        <v>487</v>
      </c>
      <c r="D484" t="s">
        <v>256</v>
      </c>
      <c r="E484" t="s">
        <v>229</v>
      </c>
      <c r="F484" t="s">
        <v>1241</v>
      </c>
      <c r="G484" s="25">
        <v>44237</v>
      </c>
      <c r="H484">
        <v>9</v>
      </c>
      <c r="I484">
        <v>41</v>
      </c>
      <c r="J484" t="s">
        <v>502</v>
      </c>
      <c r="K484" t="s">
        <v>287</v>
      </c>
      <c r="L484" t="s">
        <v>235</v>
      </c>
      <c r="M484" t="s">
        <v>288</v>
      </c>
      <c r="N484" t="s">
        <v>58</v>
      </c>
      <c r="O484">
        <v>0</v>
      </c>
      <c r="P484" t="s">
        <v>237</v>
      </c>
    </row>
    <row r="485" spans="1:16" x14ac:dyDescent="0.25">
      <c r="A485" t="s">
        <v>644</v>
      </c>
      <c r="B485">
        <v>433</v>
      </c>
      <c r="C485" t="s">
        <v>487</v>
      </c>
      <c r="D485" t="s">
        <v>231</v>
      </c>
      <c r="E485" t="s">
        <v>534</v>
      </c>
      <c r="F485" t="s">
        <v>1731</v>
      </c>
      <c r="G485" s="25">
        <v>44233</v>
      </c>
      <c r="H485">
        <v>8</v>
      </c>
      <c r="I485">
        <v>37</v>
      </c>
      <c r="J485" t="s">
        <v>502</v>
      </c>
      <c r="K485" t="s">
        <v>287</v>
      </c>
      <c r="L485" t="s">
        <v>235</v>
      </c>
      <c r="M485" t="s">
        <v>288</v>
      </c>
      <c r="N485" t="s">
        <v>58</v>
      </c>
      <c r="O485">
        <v>0</v>
      </c>
      <c r="P485" t="s">
        <v>237</v>
      </c>
    </row>
    <row r="486" spans="1:16" x14ac:dyDescent="0.25">
      <c r="A486" t="s">
        <v>273</v>
      </c>
      <c r="B486">
        <v>109</v>
      </c>
      <c r="C486" t="s">
        <v>487</v>
      </c>
      <c r="D486" t="s">
        <v>229</v>
      </c>
      <c r="E486" t="s">
        <v>239</v>
      </c>
      <c r="F486" t="s">
        <v>578</v>
      </c>
      <c r="G486" s="25">
        <v>44206</v>
      </c>
      <c r="H486">
        <v>2</v>
      </c>
      <c r="I486">
        <v>10</v>
      </c>
      <c r="J486" t="s">
        <v>502</v>
      </c>
      <c r="K486" t="s">
        <v>287</v>
      </c>
      <c r="L486" t="s">
        <v>235</v>
      </c>
      <c r="M486" t="s">
        <v>288</v>
      </c>
      <c r="N486" t="s">
        <v>58</v>
      </c>
      <c r="O486">
        <v>0</v>
      </c>
      <c r="P486" t="s">
        <v>237</v>
      </c>
    </row>
    <row r="487" spans="1:16" x14ac:dyDescent="0.25">
      <c r="A487" t="s">
        <v>618</v>
      </c>
      <c r="B487">
        <v>163</v>
      </c>
      <c r="C487" t="s">
        <v>487</v>
      </c>
      <c r="D487" t="s">
        <v>229</v>
      </c>
      <c r="E487" t="s">
        <v>537</v>
      </c>
      <c r="F487" t="s">
        <v>538</v>
      </c>
      <c r="G487" s="25">
        <v>44210</v>
      </c>
      <c r="H487">
        <v>3</v>
      </c>
      <c r="I487">
        <v>14</v>
      </c>
      <c r="J487" t="s">
        <v>502</v>
      </c>
      <c r="K487" t="s">
        <v>287</v>
      </c>
      <c r="L487" t="s">
        <v>235</v>
      </c>
      <c r="M487" t="s">
        <v>288</v>
      </c>
      <c r="N487" t="s">
        <v>58</v>
      </c>
      <c r="O487">
        <v>0</v>
      </c>
      <c r="P487" t="s">
        <v>237</v>
      </c>
    </row>
    <row r="488" spans="1:16" x14ac:dyDescent="0.25">
      <c r="A488" t="s">
        <v>2049</v>
      </c>
      <c r="B488">
        <v>909</v>
      </c>
      <c r="C488" t="s">
        <v>487</v>
      </c>
      <c r="D488" t="s">
        <v>261</v>
      </c>
      <c r="E488" t="s">
        <v>620</v>
      </c>
      <c r="F488" t="s">
        <v>1545</v>
      </c>
      <c r="G488" s="25">
        <v>44272</v>
      </c>
      <c r="H488">
        <v>16</v>
      </c>
      <c r="I488">
        <v>76</v>
      </c>
      <c r="J488" t="s">
        <v>502</v>
      </c>
      <c r="K488" t="s">
        <v>287</v>
      </c>
      <c r="L488" t="s">
        <v>235</v>
      </c>
      <c r="M488" t="s">
        <v>288</v>
      </c>
      <c r="N488" t="s">
        <v>58</v>
      </c>
      <c r="O488">
        <v>0</v>
      </c>
      <c r="P488" t="s">
        <v>237</v>
      </c>
    </row>
    <row r="489" spans="1:16" x14ac:dyDescent="0.25">
      <c r="A489" t="s">
        <v>2620</v>
      </c>
      <c r="B489">
        <v>879</v>
      </c>
      <c r="C489" t="s">
        <v>487</v>
      </c>
      <c r="D489" t="s">
        <v>261</v>
      </c>
      <c r="E489" t="s">
        <v>537</v>
      </c>
      <c r="F489" t="s">
        <v>1530</v>
      </c>
      <c r="G489" s="25">
        <v>44270</v>
      </c>
      <c r="H489">
        <v>15</v>
      </c>
      <c r="I489">
        <v>74</v>
      </c>
      <c r="J489" t="s">
        <v>502</v>
      </c>
      <c r="K489" t="s">
        <v>287</v>
      </c>
      <c r="L489" t="s">
        <v>235</v>
      </c>
      <c r="M489" t="s">
        <v>288</v>
      </c>
      <c r="N489" t="s">
        <v>58</v>
      </c>
      <c r="O489">
        <v>0</v>
      </c>
      <c r="P489" t="s">
        <v>237</v>
      </c>
    </row>
    <row r="490" spans="1:16" x14ac:dyDescent="0.25">
      <c r="A490" t="s">
        <v>2670</v>
      </c>
      <c r="B490">
        <v>1068</v>
      </c>
      <c r="C490" t="s">
        <v>487</v>
      </c>
      <c r="D490" t="s">
        <v>322</v>
      </c>
      <c r="E490" t="s">
        <v>371</v>
      </c>
      <c r="F490" t="s">
        <v>2976</v>
      </c>
      <c r="G490" s="25">
        <v>44285</v>
      </c>
      <c r="H490">
        <v>18</v>
      </c>
      <c r="I490">
        <v>89</v>
      </c>
      <c r="J490" t="s">
        <v>502</v>
      </c>
      <c r="K490" t="s">
        <v>287</v>
      </c>
      <c r="L490" t="s">
        <v>235</v>
      </c>
      <c r="M490" t="s">
        <v>288</v>
      </c>
      <c r="N490" t="s">
        <v>58</v>
      </c>
      <c r="O490">
        <v>24000</v>
      </c>
      <c r="P490" t="s">
        <v>237</v>
      </c>
    </row>
    <row r="491" spans="1:16" x14ac:dyDescent="0.25">
      <c r="A491" t="s">
        <v>1580</v>
      </c>
      <c r="B491">
        <v>478</v>
      </c>
      <c r="C491" t="s">
        <v>487</v>
      </c>
      <c r="D491" t="s">
        <v>231</v>
      </c>
      <c r="E491" t="s">
        <v>408</v>
      </c>
      <c r="F491" t="s">
        <v>1234</v>
      </c>
      <c r="G491" s="25">
        <v>44236</v>
      </c>
      <c r="H491">
        <v>8</v>
      </c>
      <c r="I491">
        <v>40</v>
      </c>
      <c r="J491" t="s">
        <v>502</v>
      </c>
      <c r="K491" t="s">
        <v>287</v>
      </c>
      <c r="L491" t="s">
        <v>235</v>
      </c>
      <c r="M491" t="s">
        <v>288</v>
      </c>
      <c r="N491" t="s">
        <v>58</v>
      </c>
      <c r="O491">
        <v>0</v>
      </c>
      <c r="P491" t="s">
        <v>237</v>
      </c>
    </row>
    <row r="492" spans="1:16" x14ac:dyDescent="0.25">
      <c r="A492" t="s">
        <v>1999</v>
      </c>
      <c r="B492">
        <v>923</v>
      </c>
      <c r="C492" t="s">
        <v>487</v>
      </c>
      <c r="D492" t="s">
        <v>261</v>
      </c>
      <c r="E492" t="s">
        <v>534</v>
      </c>
      <c r="F492" t="s">
        <v>1563</v>
      </c>
      <c r="G492" s="25">
        <v>44273</v>
      </c>
      <c r="H492">
        <v>16</v>
      </c>
      <c r="I492">
        <v>77</v>
      </c>
      <c r="J492" t="s">
        <v>502</v>
      </c>
      <c r="K492" t="s">
        <v>287</v>
      </c>
      <c r="L492" t="s">
        <v>235</v>
      </c>
      <c r="M492" t="s">
        <v>288</v>
      </c>
      <c r="N492" t="s">
        <v>58</v>
      </c>
      <c r="O492">
        <v>0</v>
      </c>
      <c r="P492" t="s">
        <v>237</v>
      </c>
    </row>
    <row r="493" spans="1:16" x14ac:dyDescent="0.25">
      <c r="A493" t="s">
        <v>629</v>
      </c>
      <c r="B493">
        <v>155</v>
      </c>
      <c r="C493" t="s">
        <v>487</v>
      </c>
      <c r="D493" t="s">
        <v>229</v>
      </c>
      <c r="E493" t="s">
        <v>512</v>
      </c>
      <c r="F493" t="s">
        <v>513</v>
      </c>
      <c r="G493" s="25">
        <v>44209</v>
      </c>
      <c r="H493">
        <v>3</v>
      </c>
      <c r="I493">
        <v>13</v>
      </c>
      <c r="J493" t="s">
        <v>502</v>
      </c>
      <c r="K493" t="s">
        <v>287</v>
      </c>
      <c r="L493" t="s">
        <v>235</v>
      </c>
      <c r="M493" t="s">
        <v>288</v>
      </c>
      <c r="N493" t="s">
        <v>58</v>
      </c>
      <c r="O493">
        <v>0</v>
      </c>
      <c r="P493" t="s">
        <v>237</v>
      </c>
    </row>
    <row r="494" spans="1:16" x14ac:dyDescent="0.25">
      <c r="A494" t="s">
        <v>2559</v>
      </c>
      <c r="B494">
        <v>931</v>
      </c>
      <c r="C494" t="s">
        <v>487</v>
      </c>
      <c r="D494" t="s">
        <v>261</v>
      </c>
      <c r="E494" t="s">
        <v>552</v>
      </c>
      <c r="F494" t="s">
        <v>1585</v>
      </c>
      <c r="G494" s="25">
        <v>44274</v>
      </c>
      <c r="H494">
        <v>16</v>
      </c>
      <c r="I494">
        <v>78</v>
      </c>
      <c r="J494" t="s">
        <v>502</v>
      </c>
      <c r="K494" t="s">
        <v>287</v>
      </c>
      <c r="L494" t="s">
        <v>235</v>
      </c>
      <c r="M494" t="s">
        <v>288</v>
      </c>
      <c r="N494" t="s">
        <v>58</v>
      </c>
      <c r="O494">
        <v>0</v>
      </c>
      <c r="P494" t="s">
        <v>237</v>
      </c>
    </row>
    <row r="495" spans="1:16" x14ac:dyDescent="0.25">
      <c r="A495" t="s">
        <v>1697</v>
      </c>
      <c r="B495">
        <v>1056</v>
      </c>
      <c r="C495" t="s">
        <v>487</v>
      </c>
      <c r="D495" t="s">
        <v>322</v>
      </c>
      <c r="E495" t="s">
        <v>381</v>
      </c>
      <c r="F495" t="s">
        <v>2971</v>
      </c>
      <c r="G495" s="25">
        <v>44284</v>
      </c>
      <c r="H495">
        <v>18</v>
      </c>
      <c r="I495">
        <v>88</v>
      </c>
      <c r="J495" t="s">
        <v>502</v>
      </c>
      <c r="K495" t="s">
        <v>287</v>
      </c>
      <c r="L495" t="s">
        <v>235</v>
      </c>
      <c r="M495" t="s">
        <v>288</v>
      </c>
      <c r="N495" t="s">
        <v>58</v>
      </c>
      <c r="O495">
        <v>10500</v>
      </c>
      <c r="P495" t="s">
        <v>237</v>
      </c>
    </row>
    <row r="496" spans="1:16" x14ac:dyDescent="0.25">
      <c r="A496" t="s">
        <v>1727</v>
      </c>
      <c r="B496">
        <v>1040</v>
      </c>
      <c r="C496" t="s">
        <v>487</v>
      </c>
      <c r="D496" t="s">
        <v>322</v>
      </c>
      <c r="E496" t="s">
        <v>326</v>
      </c>
      <c r="F496" t="s">
        <v>2967</v>
      </c>
      <c r="G496" s="25">
        <v>44283</v>
      </c>
      <c r="H496">
        <v>18</v>
      </c>
      <c r="I496">
        <v>87</v>
      </c>
      <c r="J496" t="s">
        <v>502</v>
      </c>
      <c r="K496" t="s">
        <v>287</v>
      </c>
      <c r="L496" t="s">
        <v>235</v>
      </c>
      <c r="M496" t="s">
        <v>288</v>
      </c>
      <c r="N496" t="s">
        <v>58</v>
      </c>
      <c r="O496">
        <v>0</v>
      </c>
      <c r="P496" t="s">
        <v>237</v>
      </c>
    </row>
    <row r="497" spans="1:16" x14ac:dyDescent="0.25">
      <c r="A497" t="s">
        <v>2250</v>
      </c>
      <c r="B497">
        <v>943</v>
      </c>
      <c r="C497" t="s">
        <v>487</v>
      </c>
      <c r="D497" t="s">
        <v>261</v>
      </c>
      <c r="E497" t="s">
        <v>531</v>
      </c>
      <c r="F497" t="s">
        <v>1588</v>
      </c>
      <c r="G497" s="25">
        <v>44275</v>
      </c>
      <c r="H497">
        <v>16</v>
      </c>
      <c r="I497">
        <v>79</v>
      </c>
      <c r="J497" t="s">
        <v>502</v>
      </c>
      <c r="K497" t="s">
        <v>287</v>
      </c>
      <c r="L497" t="s">
        <v>235</v>
      </c>
      <c r="M497" t="s">
        <v>288</v>
      </c>
      <c r="N497" t="s">
        <v>58</v>
      </c>
      <c r="O497">
        <v>0</v>
      </c>
      <c r="P497" t="s">
        <v>237</v>
      </c>
    </row>
    <row r="498" spans="1:16" x14ac:dyDescent="0.25">
      <c r="A498" t="s">
        <v>2081</v>
      </c>
      <c r="B498">
        <v>950</v>
      </c>
      <c r="C498" t="s">
        <v>487</v>
      </c>
      <c r="D498" t="s">
        <v>261</v>
      </c>
      <c r="E498" t="s">
        <v>408</v>
      </c>
      <c r="F498" t="s">
        <v>1595</v>
      </c>
      <c r="G498" s="25">
        <v>44276</v>
      </c>
      <c r="H498">
        <v>16</v>
      </c>
      <c r="I498">
        <v>80</v>
      </c>
      <c r="J498" t="s">
        <v>502</v>
      </c>
      <c r="K498" t="s">
        <v>287</v>
      </c>
      <c r="L498" t="s">
        <v>235</v>
      </c>
      <c r="M498" t="s">
        <v>288</v>
      </c>
      <c r="N498" t="s">
        <v>58</v>
      </c>
      <c r="O498">
        <v>0</v>
      </c>
      <c r="P498" t="s">
        <v>237</v>
      </c>
    </row>
    <row r="499" spans="1:16" x14ac:dyDescent="0.25">
      <c r="A499" t="s">
        <v>731</v>
      </c>
      <c r="B499">
        <v>445</v>
      </c>
      <c r="C499" t="s">
        <v>487</v>
      </c>
      <c r="D499" t="s">
        <v>231</v>
      </c>
      <c r="E499" t="s">
        <v>552</v>
      </c>
      <c r="F499" t="s">
        <v>1222</v>
      </c>
      <c r="G499" s="25">
        <v>44234</v>
      </c>
      <c r="H499">
        <v>8</v>
      </c>
      <c r="I499">
        <v>38</v>
      </c>
      <c r="J499" t="s">
        <v>502</v>
      </c>
      <c r="K499" t="s">
        <v>287</v>
      </c>
      <c r="L499" t="s">
        <v>235</v>
      </c>
      <c r="M499" t="s">
        <v>288</v>
      </c>
      <c r="N499" t="s">
        <v>58</v>
      </c>
      <c r="O499">
        <v>0</v>
      </c>
      <c r="P499" t="s">
        <v>237</v>
      </c>
    </row>
    <row r="500" spans="1:16" x14ac:dyDescent="0.25">
      <c r="A500" t="s">
        <v>1669</v>
      </c>
      <c r="B500">
        <v>1024</v>
      </c>
      <c r="C500" t="s">
        <v>487</v>
      </c>
      <c r="D500" t="s">
        <v>322</v>
      </c>
      <c r="E500" t="s">
        <v>247</v>
      </c>
      <c r="F500" t="s">
        <v>2963</v>
      </c>
      <c r="G500" s="25">
        <v>44282</v>
      </c>
      <c r="H500">
        <v>18</v>
      </c>
      <c r="I500">
        <v>86</v>
      </c>
      <c r="J500" t="s">
        <v>502</v>
      </c>
      <c r="K500" t="s">
        <v>287</v>
      </c>
      <c r="L500" t="s">
        <v>235</v>
      </c>
      <c r="M500" t="s">
        <v>288</v>
      </c>
      <c r="N500" t="s">
        <v>58</v>
      </c>
      <c r="O500">
        <v>0</v>
      </c>
      <c r="P500" t="s">
        <v>237</v>
      </c>
    </row>
    <row r="501" spans="1:16" x14ac:dyDescent="0.25">
      <c r="A501" t="s">
        <v>1560</v>
      </c>
      <c r="B501">
        <v>467</v>
      </c>
      <c r="C501" t="s">
        <v>487</v>
      </c>
      <c r="D501" t="s">
        <v>231</v>
      </c>
      <c r="E501" t="s">
        <v>531</v>
      </c>
      <c r="F501" t="s">
        <v>1230</v>
      </c>
      <c r="G501" s="25">
        <v>44235</v>
      </c>
      <c r="H501">
        <v>8</v>
      </c>
      <c r="I501">
        <v>39</v>
      </c>
      <c r="J501" t="s">
        <v>502</v>
      </c>
      <c r="K501" t="s">
        <v>287</v>
      </c>
      <c r="L501" t="s">
        <v>235</v>
      </c>
      <c r="M501" t="s">
        <v>288</v>
      </c>
      <c r="N501" t="s">
        <v>58</v>
      </c>
      <c r="O501">
        <v>0</v>
      </c>
      <c r="P501" t="s">
        <v>237</v>
      </c>
    </row>
    <row r="502" spans="1:16" x14ac:dyDescent="0.25">
      <c r="A502" t="s">
        <v>566</v>
      </c>
      <c r="B502">
        <v>144</v>
      </c>
      <c r="C502" t="s">
        <v>487</v>
      </c>
      <c r="D502" t="s">
        <v>229</v>
      </c>
      <c r="E502" t="s">
        <v>232</v>
      </c>
      <c r="F502" t="s">
        <v>520</v>
      </c>
      <c r="G502" s="25">
        <v>44208</v>
      </c>
      <c r="H502">
        <v>3</v>
      </c>
      <c r="I502">
        <v>12</v>
      </c>
      <c r="J502" t="s">
        <v>502</v>
      </c>
      <c r="K502" t="s">
        <v>287</v>
      </c>
      <c r="L502" t="s">
        <v>235</v>
      </c>
      <c r="M502" t="s">
        <v>288</v>
      </c>
      <c r="N502" t="s">
        <v>58</v>
      </c>
      <c r="O502">
        <v>22000</v>
      </c>
      <c r="P502" t="s">
        <v>237</v>
      </c>
    </row>
    <row r="503" spans="1:16" x14ac:dyDescent="0.25">
      <c r="A503" t="s">
        <v>555</v>
      </c>
      <c r="B503">
        <v>295</v>
      </c>
      <c r="C503" t="s">
        <v>487</v>
      </c>
      <c r="D503" t="s">
        <v>231</v>
      </c>
      <c r="E503" t="s">
        <v>322</v>
      </c>
      <c r="F503" t="s">
        <v>1085</v>
      </c>
      <c r="G503" s="25">
        <v>44221</v>
      </c>
      <c r="H503">
        <v>5</v>
      </c>
      <c r="I503">
        <v>25</v>
      </c>
      <c r="J503" t="s">
        <v>502</v>
      </c>
      <c r="K503" t="s">
        <v>287</v>
      </c>
      <c r="L503" t="s">
        <v>235</v>
      </c>
      <c r="M503" t="s">
        <v>288</v>
      </c>
      <c r="N503" t="s">
        <v>58</v>
      </c>
      <c r="O503">
        <v>0</v>
      </c>
      <c r="P503" t="s">
        <v>237</v>
      </c>
    </row>
    <row r="504" spans="1:16" x14ac:dyDescent="0.25">
      <c r="A504" t="s">
        <v>2871</v>
      </c>
      <c r="B504">
        <v>969</v>
      </c>
      <c r="C504" t="s">
        <v>487</v>
      </c>
      <c r="D504" t="s">
        <v>322</v>
      </c>
      <c r="E504" t="s">
        <v>229</v>
      </c>
      <c r="F504" t="s">
        <v>1643</v>
      </c>
      <c r="G504" s="25">
        <v>44277</v>
      </c>
      <c r="H504">
        <v>17</v>
      </c>
      <c r="I504">
        <v>81</v>
      </c>
      <c r="J504" t="s">
        <v>502</v>
      </c>
      <c r="K504" t="s">
        <v>287</v>
      </c>
      <c r="L504" t="s">
        <v>235</v>
      </c>
      <c r="M504" t="s">
        <v>288</v>
      </c>
      <c r="N504" t="s">
        <v>58</v>
      </c>
      <c r="O504">
        <v>0</v>
      </c>
      <c r="P504" t="s">
        <v>237</v>
      </c>
    </row>
    <row r="505" spans="1:16" x14ac:dyDescent="0.25">
      <c r="A505" t="s">
        <v>2539</v>
      </c>
      <c r="B505">
        <v>1017</v>
      </c>
      <c r="C505" t="s">
        <v>487</v>
      </c>
      <c r="D505" t="s">
        <v>322</v>
      </c>
      <c r="E505" t="s">
        <v>322</v>
      </c>
      <c r="F505" t="s">
        <v>2960</v>
      </c>
      <c r="G505" s="25">
        <v>44281</v>
      </c>
      <c r="H505">
        <v>17</v>
      </c>
      <c r="I505">
        <v>85</v>
      </c>
      <c r="J505" t="s">
        <v>502</v>
      </c>
      <c r="K505" t="s">
        <v>287</v>
      </c>
      <c r="L505" t="s">
        <v>235</v>
      </c>
      <c r="M505" t="s">
        <v>288</v>
      </c>
      <c r="N505" t="s">
        <v>58</v>
      </c>
      <c r="O505">
        <v>0</v>
      </c>
      <c r="P505" t="s">
        <v>237</v>
      </c>
    </row>
    <row r="506" spans="1:16" x14ac:dyDescent="0.25">
      <c r="A506" t="s">
        <v>2463</v>
      </c>
      <c r="B506">
        <v>1002</v>
      </c>
      <c r="C506" t="s">
        <v>487</v>
      </c>
      <c r="D506" t="s">
        <v>322</v>
      </c>
      <c r="E506" t="s">
        <v>261</v>
      </c>
      <c r="F506" t="s">
        <v>2956</v>
      </c>
      <c r="G506" s="25">
        <v>44280</v>
      </c>
      <c r="H506">
        <v>17</v>
      </c>
      <c r="I506">
        <v>84</v>
      </c>
      <c r="J506" t="s">
        <v>502</v>
      </c>
      <c r="K506" t="s">
        <v>287</v>
      </c>
      <c r="L506" t="s">
        <v>235</v>
      </c>
      <c r="M506" t="s">
        <v>288</v>
      </c>
      <c r="N506" t="s">
        <v>58</v>
      </c>
      <c r="O506">
        <v>0</v>
      </c>
      <c r="P506" t="s">
        <v>237</v>
      </c>
    </row>
    <row r="507" spans="1:16" x14ac:dyDescent="0.25">
      <c r="A507" t="s">
        <v>365</v>
      </c>
      <c r="B507">
        <v>131</v>
      </c>
      <c r="C507" t="s">
        <v>487</v>
      </c>
      <c r="D507" t="s">
        <v>229</v>
      </c>
      <c r="E507" t="s">
        <v>515</v>
      </c>
      <c r="F507" t="s">
        <v>516</v>
      </c>
      <c r="G507" s="25">
        <v>44207</v>
      </c>
      <c r="H507">
        <v>3</v>
      </c>
      <c r="I507">
        <v>11</v>
      </c>
      <c r="J507" t="s">
        <v>502</v>
      </c>
      <c r="K507" t="s">
        <v>287</v>
      </c>
      <c r="L507" t="s">
        <v>235</v>
      </c>
      <c r="M507" t="s">
        <v>288</v>
      </c>
      <c r="N507" t="s">
        <v>58</v>
      </c>
      <c r="O507">
        <v>2000</v>
      </c>
      <c r="P507" t="s">
        <v>237</v>
      </c>
    </row>
    <row r="508" spans="1:16" x14ac:dyDescent="0.25">
      <c r="A508" t="s">
        <v>2103</v>
      </c>
      <c r="B508">
        <v>977</v>
      </c>
      <c r="C508" t="s">
        <v>487</v>
      </c>
      <c r="D508" t="s">
        <v>322</v>
      </c>
      <c r="E508" t="s">
        <v>231</v>
      </c>
      <c r="F508" t="s">
        <v>2945</v>
      </c>
      <c r="G508" s="25">
        <v>44278</v>
      </c>
      <c r="H508">
        <v>17</v>
      </c>
      <c r="I508">
        <v>82</v>
      </c>
      <c r="J508" t="s">
        <v>502</v>
      </c>
      <c r="K508" t="s">
        <v>287</v>
      </c>
      <c r="L508" t="s">
        <v>235</v>
      </c>
      <c r="M508" t="s">
        <v>288</v>
      </c>
      <c r="N508" t="s">
        <v>58</v>
      </c>
      <c r="O508">
        <v>0</v>
      </c>
      <c r="P508" t="s">
        <v>237</v>
      </c>
    </row>
    <row r="509" spans="1:16" x14ac:dyDescent="0.25">
      <c r="A509" t="s">
        <v>1927</v>
      </c>
      <c r="B509">
        <v>992</v>
      </c>
      <c r="C509" t="s">
        <v>487</v>
      </c>
      <c r="D509" t="s">
        <v>322</v>
      </c>
      <c r="E509" t="s">
        <v>256</v>
      </c>
      <c r="F509" t="s">
        <v>2952</v>
      </c>
      <c r="G509" s="25">
        <v>44279</v>
      </c>
      <c r="H509">
        <v>17</v>
      </c>
      <c r="I509">
        <v>83</v>
      </c>
      <c r="J509" t="s">
        <v>502</v>
      </c>
      <c r="K509" t="s">
        <v>287</v>
      </c>
      <c r="L509" t="s">
        <v>235</v>
      </c>
      <c r="M509" t="s">
        <v>288</v>
      </c>
      <c r="N509" t="s">
        <v>58</v>
      </c>
      <c r="O509">
        <v>0</v>
      </c>
      <c r="P509" t="s">
        <v>237</v>
      </c>
    </row>
    <row r="510" spans="1:16" x14ac:dyDescent="0.25">
      <c r="A510" t="s">
        <v>2609</v>
      </c>
      <c r="B510">
        <v>713</v>
      </c>
      <c r="C510" t="s">
        <v>487</v>
      </c>
      <c r="D510" t="s">
        <v>256</v>
      </c>
      <c r="E510" t="s">
        <v>408</v>
      </c>
      <c r="F510" t="s">
        <v>1383</v>
      </c>
      <c r="G510" s="25">
        <v>44256</v>
      </c>
      <c r="H510">
        <v>12</v>
      </c>
      <c r="I510">
        <v>60</v>
      </c>
      <c r="J510" t="s">
        <v>502</v>
      </c>
      <c r="K510" t="s">
        <v>287</v>
      </c>
      <c r="L510" t="s">
        <v>235</v>
      </c>
      <c r="M510" t="s">
        <v>288</v>
      </c>
      <c r="N510" t="s">
        <v>58</v>
      </c>
      <c r="O510">
        <v>0</v>
      </c>
      <c r="P510" t="s">
        <v>237</v>
      </c>
    </row>
    <row r="511" spans="1:16" x14ac:dyDescent="0.25">
      <c r="A511" t="s">
        <v>1920</v>
      </c>
      <c r="B511">
        <v>534</v>
      </c>
      <c r="C511" t="s">
        <v>487</v>
      </c>
      <c r="D511" t="s">
        <v>256</v>
      </c>
      <c r="E511" t="s">
        <v>322</v>
      </c>
      <c r="F511" t="s">
        <v>1288</v>
      </c>
      <c r="G511" s="25">
        <v>44241</v>
      </c>
      <c r="H511">
        <v>9</v>
      </c>
      <c r="I511">
        <v>45</v>
      </c>
      <c r="J511" t="s">
        <v>502</v>
      </c>
      <c r="K511" t="s">
        <v>287</v>
      </c>
      <c r="L511" t="s">
        <v>235</v>
      </c>
      <c r="M511" t="s">
        <v>288</v>
      </c>
      <c r="N511" t="s">
        <v>58</v>
      </c>
      <c r="O511">
        <v>0</v>
      </c>
      <c r="P511" t="s">
        <v>237</v>
      </c>
    </row>
    <row r="512" spans="1:16" x14ac:dyDescent="0.25">
      <c r="A512" t="s">
        <v>554</v>
      </c>
      <c r="B512">
        <v>223</v>
      </c>
      <c r="C512" t="s">
        <v>487</v>
      </c>
      <c r="D512" t="s">
        <v>229</v>
      </c>
      <c r="E512" t="s">
        <v>531</v>
      </c>
      <c r="F512" t="s">
        <v>532</v>
      </c>
      <c r="G512" s="25">
        <v>44215</v>
      </c>
      <c r="H512">
        <v>4</v>
      </c>
      <c r="I512">
        <v>19</v>
      </c>
      <c r="J512" t="s">
        <v>502</v>
      </c>
      <c r="K512" t="s">
        <v>287</v>
      </c>
      <c r="L512" t="s">
        <v>235</v>
      </c>
      <c r="M512" t="s">
        <v>288</v>
      </c>
      <c r="N512" t="s">
        <v>58</v>
      </c>
      <c r="O512">
        <v>0</v>
      </c>
      <c r="P512" t="s">
        <v>237</v>
      </c>
    </row>
    <row r="513" spans="1:16" x14ac:dyDescent="0.25">
      <c r="A513" t="s">
        <v>2743</v>
      </c>
      <c r="B513">
        <v>697</v>
      </c>
      <c r="C513" t="s">
        <v>487</v>
      </c>
      <c r="D513" t="s">
        <v>256</v>
      </c>
      <c r="E513" t="s">
        <v>531</v>
      </c>
      <c r="F513" t="s">
        <v>1373</v>
      </c>
      <c r="G513" s="25">
        <v>44255</v>
      </c>
      <c r="H513">
        <v>12</v>
      </c>
      <c r="I513">
        <v>59</v>
      </c>
      <c r="J513" t="s">
        <v>502</v>
      </c>
      <c r="K513" t="s">
        <v>287</v>
      </c>
      <c r="L513" t="s">
        <v>235</v>
      </c>
      <c r="M513" t="s">
        <v>288</v>
      </c>
      <c r="N513" t="s">
        <v>58</v>
      </c>
      <c r="O513">
        <v>0</v>
      </c>
      <c r="P513" t="s">
        <v>237</v>
      </c>
    </row>
    <row r="514" spans="1:16" x14ac:dyDescent="0.25">
      <c r="A514" t="s">
        <v>1721</v>
      </c>
      <c r="B514">
        <v>685</v>
      </c>
      <c r="C514" t="s">
        <v>487</v>
      </c>
      <c r="D514" t="s">
        <v>256</v>
      </c>
      <c r="E514" t="s">
        <v>552</v>
      </c>
      <c r="F514" t="s">
        <v>1365</v>
      </c>
      <c r="G514" s="25">
        <v>44254</v>
      </c>
      <c r="H514">
        <v>12</v>
      </c>
      <c r="I514">
        <v>58</v>
      </c>
      <c r="J514" t="s">
        <v>502</v>
      </c>
      <c r="K514" t="s">
        <v>287</v>
      </c>
      <c r="L514" t="s">
        <v>235</v>
      </c>
      <c r="M514" t="s">
        <v>288</v>
      </c>
      <c r="N514" t="s">
        <v>58</v>
      </c>
      <c r="O514">
        <v>0</v>
      </c>
      <c r="P514" t="s">
        <v>237</v>
      </c>
    </row>
    <row r="515" spans="1:16" x14ac:dyDescent="0.25">
      <c r="A515" t="s">
        <v>2750</v>
      </c>
      <c r="B515">
        <v>682</v>
      </c>
      <c r="C515" t="s">
        <v>487</v>
      </c>
      <c r="D515" t="s">
        <v>256</v>
      </c>
      <c r="E515" t="s">
        <v>534</v>
      </c>
      <c r="F515" t="s">
        <v>1357</v>
      </c>
      <c r="G515" s="25">
        <v>44253</v>
      </c>
      <c r="H515">
        <v>12</v>
      </c>
      <c r="I515">
        <v>57</v>
      </c>
      <c r="J515" t="s">
        <v>502</v>
      </c>
      <c r="K515" t="s">
        <v>287</v>
      </c>
      <c r="L515" t="s">
        <v>235</v>
      </c>
      <c r="M515" t="s">
        <v>288</v>
      </c>
      <c r="N515" t="s">
        <v>58</v>
      </c>
      <c r="O515">
        <v>0</v>
      </c>
      <c r="P515" t="s">
        <v>237</v>
      </c>
    </row>
    <row r="516" spans="1:16" x14ac:dyDescent="0.25">
      <c r="A516" t="s">
        <v>2434</v>
      </c>
      <c r="B516">
        <v>663</v>
      </c>
      <c r="C516" t="s">
        <v>487</v>
      </c>
      <c r="D516" t="s">
        <v>256</v>
      </c>
      <c r="E516" t="s">
        <v>620</v>
      </c>
      <c r="F516" t="s">
        <v>1350</v>
      </c>
      <c r="G516" s="25">
        <v>44252</v>
      </c>
      <c r="H516">
        <v>12</v>
      </c>
      <c r="I516">
        <v>56</v>
      </c>
      <c r="J516" t="s">
        <v>502</v>
      </c>
      <c r="K516" t="s">
        <v>287</v>
      </c>
      <c r="L516" t="s">
        <v>235</v>
      </c>
      <c r="M516" t="s">
        <v>288</v>
      </c>
      <c r="N516" t="s">
        <v>58</v>
      </c>
      <c r="O516">
        <v>0</v>
      </c>
      <c r="P516" t="s">
        <v>237</v>
      </c>
    </row>
    <row r="517" spans="1:16" x14ac:dyDescent="0.25">
      <c r="A517" t="s">
        <v>759</v>
      </c>
      <c r="B517">
        <v>235</v>
      </c>
      <c r="C517" t="s">
        <v>487</v>
      </c>
      <c r="D517" t="s">
        <v>229</v>
      </c>
      <c r="E517" t="s">
        <v>408</v>
      </c>
      <c r="F517" t="s">
        <v>527</v>
      </c>
      <c r="G517" s="25">
        <v>44216</v>
      </c>
      <c r="H517">
        <v>4</v>
      </c>
      <c r="I517">
        <v>20</v>
      </c>
      <c r="J517" t="s">
        <v>502</v>
      </c>
      <c r="K517" t="s">
        <v>287</v>
      </c>
      <c r="L517" t="s">
        <v>235</v>
      </c>
      <c r="M517" t="s">
        <v>288</v>
      </c>
      <c r="N517" t="s">
        <v>58</v>
      </c>
      <c r="O517">
        <v>0</v>
      </c>
      <c r="P517" t="s">
        <v>237</v>
      </c>
    </row>
    <row r="518" spans="1:16" x14ac:dyDescent="0.25">
      <c r="A518" t="s">
        <v>2441</v>
      </c>
      <c r="B518">
        <v>551</v>
      </c>
      <c r="C518" t="s">
        <v>487</v>
      </c>
      <c r="D518" t="s">
        <v>256</v>
      </c>
      <c r="E518" t="s">
        <v>247</v>
      </c>
      <c r="F518" t="s">
        <v>1299</v>
      </c>
      <c r="G518" s="25">
        <v>44242</v>
      </c>
      <c r="H518">
        <v>10</v>
      </c>
      <c r="I518">
        <v>46</v>
      </c>
      <c r="J518" t="s">
        <v>502</v>
      </c>
      <c r="K518" t="s">
        <v>287</v>
      </c>
      <c r="L518" t="s">
        <v>235</v>
      </c>
      <c r="M518" t="s">
        <v>288</v>
      </c>
      <c r="N518" t="s">
        <v>58</v>
      </c>
      <c r="O518">
        <v>1750</v>
      </c>
      <c r="P518" t="s">
        <v>237</v>
      </c>
    </row>
    <row r="519" spans="1:16" x14ac:dyDescent="0.25">
      <c r="A519" t="s">
        <v>679</v>
      </c>
      <c r="B519">
        <v>267</v>
      </c>
      <c r="C519" t="s">
        <v>487</v>
      </c>
      <c r="D519" t="s">
        <v>231</v>
      </c>
      <c r="E519" t="s">
        <v>256</v>
      </c>
      <c r="F519" t="s">
        <v>1064</v>
      </c>
      <c r="G519" s="25">
        <v>44219</v>
      </c>
      <c r="H519">
        <v>5</v>
      </c>
      <c r="I519">
        <v>23</v>
      </c>
      <c r="J519" t="s">
        <v>502</v>
      </c>
      <c r="K519" t="s">
        <v>287</v>
      </c>
      <c r="L519" t="s">
        <v>235</v>
      </c>
      <c r="M519" t="s">
        <v>288</v>
      </c>
      <c r="N519" t="s">
        <v>58</v>
      </c>
      <c r="O519">
        <v>0</v>
      </c>
      <c r="P519" t="s">
        <v>237</v>
      </c>
    </row>
    <row r="520" spans="1:16" x14ac:dyDescent="0.25">
      <c r="A520" t="s">
        <v>2179</v>
      </c>
      <c r="B520">
        <v>650</v>
      </c>
      <c r="C520" t="s">
        <v>487</v>
      </c>
      <c r="D520" t="s">
        <v>256</v>
      </c>
      <c r="E520" t="s">
        <v>575</v>
      </c>
      <c r="F520" t="s">
        <v>1668</v>
      </c>
      <c r="G520" s="25">
        <v>44251</v>
      </c>
      <c r="H520">
        <v>11</v>
      </c>
      <c r="I520">
        <v>55</v>
      </c>
      <c r="J520" t="s">
        <v>502</v>
      </c>
      <c r="K520" t="s">
        <v>287</v>
      </c>
      <c r="L520" t="s">
        <v>235</v>
      </c>
      <c r="M520" t="s">
        <v>288</v>
      </c>
      <c r="N520" t="s">
        <v>58</v>
      </c>
      <c r="O520">
        <v>0</v>
      </c>
      <c r="P520" t="s">
        <v>237</v>
      </c>
    </row>
    <row r="521" spans="1:16" x14ac:dyDescent="0.25">
      <c r="A521" t="s">
        <v>1647</v>
      </c>
      <c r="B521">
        <v>640</v>
      </c>
      <c r="C521" t="s">
        <v>487</v>
      </c>
      <c r="D521" t="s">
        <v>256</v>
      </c>
      <c r="E521" t="s">
        <v>537</v>
      </c>
      <c r="F521" t="s">
        <v>1348</v>
      </c>
      <c r="G521" s="25">
        <v>44250</v>
      </c>
      <c r="H521">
        <v>11</v>
      </c>
      <c r="I521">
        <v>54</v>
      </c>
      <c r="J521" t="s">
        <v>502</v>
      </c>
      <c r="K521" t="s">
        <v>287</v>
      </c>
      <c r="L521" t="s">
        <v>235</v>
      </c>
      <c r="M521" t="s">
        <v>288</v>
      </c>
      <c r="N521" t="s">
        <v>58</v>
      </c>
      <c r="O521">
        <v>0</v>
      </c>
      <c r="P521" t="s">
        <v>237</v>
      </c>
    </row>
    <row r="522" spans="1:16" x14ac:dyDescent="0.25">
      <c r="A522" t="s">
        <v>766</v>
      </c>
      <c r="B522">
        <v>242</v>
      </c>
      <c r="C522" t="s">
        <v>487</v>
      </c>
      <c r="D522" t="s">
        <v>231</v>
      </c>
      <c r="E522" t="s">
        <v>229</v>
      </c>
      <c r="F522" t="s">
        <v>541</v>
      </c>
      <c r="G522" s="25">
        <v>44217</v>
      </c>
      <c r="H522">
        <v>5</v>
      </c>
      <c r="I522">
        <v>21</v>
      </c>
      <c r="J522" t="s">
        <v>502</v>
      </c>
      <c r="K522" t="s">
        <v>287</v>
      </c>
      <c r="L522" t="s">
        <v>235</v>
      </c>
      <c r="M522" t="s">
        <v>288</v>
      </c>
      <c r="N522" t="s">
        <v>58</v>
      </c>
      <c r="O522">
        <v>0</v>
      </c>
      <c r="P522" t="s">
        <v>237</v>
      </c>
    </row>
    <row r="523" spans="1:16" x14ac:dyDescent="0.25">
      <c r="A523" t="s">
        <v>2641</v>
      </c>
      <c r="B523">
        <v>634</v>
      </c>
      <c r="C523" t="s">
        <v>487</v>
      </c>
      <c r="D523" t="s">
        <v>256</v>
      </c>
      <c r="E523" t="s">
        <v>512</v>
      </c>
      <c r="F523" t="s">
        <v>1342</v>
      </c>
      <c r="G523" s="25">
        <v>44249</v>
      </c>
      <c r="H523">
        <v>11</v>
      </c>
      <c r="I523">
        <v>53</v>
      </c>
      <c r="J523" t="s">
        <v>502</v>
      </c>
      <c r="K523" t="s">
        <v>287</v>
      </c>
      <c r="L523" t="s">
        <v>235</v>
      </c>
      <c r="M523" t="s">
        <v>288</v>
      </c>
      <c r="N523" t="s">
        <v>58</v>
      </c>
      <c r="O523">
        <v>0</v>
      </c>
      <c r="P523" t="s">
        <v>237</v>
      </c>
    </row>
    <row r="524" spans="1:16" x14ac:dyDescent="0.25">
      <c r="A524" t="s">
        <v>1796</v>
      </c>
      <c r="B524">
        <v>624</v>
      </c>
      <c r="C524" t="s">
        <v>487</v>
      </c>
      <c r="D524" t="s">
        <v>256</v>
      </c>
      <c r="E524" t="s">
        <v>232</v>
      </c>
      <c r="F524" t="s">
        <v>1337</v>
      </c>
      <c r="G524" s="25">
        <v>44248</v>
      </c>
      <c r="H524">
        <v>11</v>
      </c>
      <c r="I524">
        <v>52</v>
      </c>
      <c r="J524" t="s">
        <v>502</v>
      </c>
      <c r="K524" t="s">
        <v>287</v>
      </c>
      <c r="L524" t="s">
        <v>235</v>
      </c>
      <c r="M524" t="s">
        <v>288</v>
      </c>
      <c r="N524" t="s">
        <v>58</v>
      </c>
      <c r="O524">
        <v>14000</v>
      </c>
      <c r="P524" t="s">
        <v>237</v>
      </c>
    </row>
    <row r="525" spans="1:16" x14ac:dyDescent="0.25">
      <c r="A525" t="s">
        <v>2014</v>
      </c>
      <c r="B525">
        <v>611</v>
      </c>
      <c r="C525" t="s">
        <v>487</v>
      </c>
      <c r="D525" t="s">
        <v>256</v>
      </c>
      <c r="E525" t="s">
        <v>515</v>
      </c>
      <c r="F525" t="s">
        <v>1329</v>
      </c>
      <c r="G525" s="25">
        <v>44247</v>
      </c>
      <c r="H525">
        <v>11</v>
      </c>
      <c r="I525">
        <v>51</v>
      </c>
      <c r="J525" t="s">
        <v>502</v>
      </c>
      <c r="K525" t="s">
        <v>287</v>
      </c>
      <c r="L525" t="s">
        <v>235</v>
      </c>
      <c r="M525" t="s">
        <v>288</v>
      </c>
      <c r="N525" t="s">
        <v>58</v>
      </c>
      <c r="O525">
        <v>2000</v>
      </c>
      <c r="P525" t="s">
        <v>237</v>
      </c>
    </row>
    <row r="526" spans="1:16" x14ac:dyDescent="0.25">
      <c r="A526" t="s">
        <v>2536</v>
      </c>
      <c r="B526">
        <v>564</v>
      </c>
      <c r="C526" t="s">
        <v>487</v>
      </c>
      <c r="D526" t="s">
        <v>256</v>
      </c>
      <c r="E526" t="s">
        <v>326</v>
      </c>
      <c r="F526" t="s">
        <v>1305</v>
      </c>
      <c r="G526" s="25">
        <v>44243</v>
      </c>
      <c r="H526">
        <v>10</v>
      </c>
      <c r="I526">
        <v>47</v>
      </c>
      <c r="J526" t="s">
        <v>502</v>
      </c>
      <c r="K526" t="s">
        <v>287</v>
      </c>
      <c r="L526" t="s">
        <v>235</v>
      </c>
      <c r="M526" t="s">
        <v>288</v>
      </c>
      <c r="N526" t="s">
        <v>58</v>
      </c>
      <c r="O526">
        <v>24000</v>
      </c>
      <c r="P526" t="s">
        <v>237</v>
      </c>
    </row>
    <row r="527" spans="1:16" x14ac:dyDescent="0.25">
      <c r="A527" t="s">
        <v>2186</v>
      </c>
      <c r="B527">
        <v>591</v>
      </c>
      <c r="C527" t="s">
        <v>487</v>
      </c>
      <c r="D527" t="s">
        <v>256</v>
      </c>
      <c r="E527" t="s">
        <v>239</v>
      </c>
      <c r="F527" t="s">
        <v>1322</v>
      </c>
      <c r="G527" s="25">
        <v>44246</v>
      </c>
      <c r="H527">
        <v>10</v>
      </c>
      <c r="I527">
        <v>50</v>
      </c>
      <c r="J527" t="s">
        <v>502</v>
      </c>
      <c r="K527" t="s">
        <v>287</v>
      </c>
      <c r="L527" t="s">
        <v>235</v>
      </c>
      <c r="M527" t="s">
        <v>288</v>
      </c>
      <c r="N527" t="s">
        <v>58</v>
      </c>
      <c r="O527">
        <v>0</v>
      </c>
      <c r="P527" t="s">
        <v>237</v>
      </c>
    </row>
    <row r="528" spans="1:16" x14ac:dyDescent="0.25">
      <c r="A528" t="s">
        <v>519</v>
      </c>
      <c r="B528">
        <v>256</v>
      </c>
      <c r="C528" t="s">
        <v>487</v>
      </c>
      <c r="D528" t="s">
        <v>231</v>
      </c>
      <c r="E528" t="s">
        <v>231</v>
      </c>
      <c r="F528" t="s">
        <v>1080</v>
      </c>
      <c r="G528" s="25">
        <v>44218</v>
      </c>
      <c r="H528">
        <v>5</v>
      </c>
      <c r="I528">
        <v>22</v>
      </c>
      <c r="J528" t="s">
        <v>502</v>
      </c>
      <c r="K528" t="s">
        <v>287</v>
      </c>
      <c r="L528" t="s">
        <v>235</v>
      </c>
      <c r="M528" t="s">
        <v>288</v>
      </c>
      <c r="N528" t="s">
        <v>58</v>
      </c>
      <c r="O528">
        <v>0</v>
      </c>
      <c r="P528" t="s">
        <v>237</v>
      </c>
    </row>
    <row r="529" spans="1:16" x14ac:dyDescent="0.25">
      <c r="A529" t="s">
        <v>1979</v>
      </c>
      <c r="B529">
        <v>577</v>
      </c>
      <c r="C529" t="s">
        <v>487</v>
      </c>
      <c r="D529" t="s">
        <v>256</v>
      </c>
      <c r="E529" t="s">
        <v>371</v>
      </c>
      <c r="F529" t="s">
        <v>1318</v>
      </c>
      <c r="G529" s="25">
        <v>44245</v>
      </c>
      <c r="H529">
        <v>10</v>
      </c>
      <c r="I529">
        <v>49</v>
      </c>
      <c r="J529" t="s">
        <v>502</v>
      </c>
      <c r="K529" t="s">
        <v>287</v>
      </c>
      <c r="L529" t="s">
        <v>235</v>
      </c>
      <c r="M529" t="s">
        <v>288</v>
      </c>
      <c r="N529" t="s">
        <v>58</v>
      </c>
      <c r="O529">
        <v>0</v>
      </c>
      <c r="P529" t="s">
        <v>237</v>
      </c>
    </row>
    <row r="530" spans="1:16" x14ac:dyDescent="0.25">
      <c r="A530" t="s">
        <v>2504</v>
      </c>
      <c r="B530">
        <v>576</v>
      </c>
      <c r="C530" t="s">
        <v>487</v>
      </c>
      <c r="D530" t="s">
        <v>256</v>
      </c>
      <c r="E530" t="s">
        <v>381</v>
      </c>
      <c r="F530" t="s">
        <v>1311</v>
      </c>
      <c r="G530" s="25">
        <v>44244</v>
      </c>
      <c r="H530">
        <v>10</v>
      </c>
      <c r="I530">
        <v>48</v>
      </c>
      <c r="J530" t="s">
        <v>502</v>
      </c>
      <c r="K530" t="s">
        <v>287</v>
      </c>
      <c r="L530" t="s">
        <v>235</v>
      </c>
      <c r="M530" t="s">
        <v>288</v>
      </c>
      <c r="N530" t="s">
        <v>58</v>
      </c>
      <c r="O530">
        <v>22250</v>
      </c>
      <c r="P530" t="s">
        <v>237</v>
      </c>
    </row>
    <row r="531" spans="1:16" x14ac:dyDescent="0.25">
      <c r="A531" t="s">
        <v>696</v>
      </c>
      <c r="B531">
        <v>170</v>
      </c>
      <c r="C531" t="s">
        <v>487</v>
      </c>
      <c r="D531" t="s">
        <v>229</v>
      </c>
      <c r="E531" t="s">
        <v>575</v>
      </c>
      <c r="F531" t="s">
        <v>576</v>
      </c>
      <c r="G531" s="25">
        <v>44211</v>
      </c>
      <c r="H531">
        <v>3</v>
      </c>
      <c r="I531">
        <v>15</v>
      </c>
      <c r="J531" t="s">
        <v>502</v>
      </c>
      <c r="K531" t="s">
        <v>287</v>
      </c>
      <c r="L531" t="s">
        <v>235</v>
      </c>
      <c r="M531" t="s">
        <v>288</v>
      </c>
      <c r="N531" t="s">
        <v>58</v>
      </c>
      <c r="O531">
        <v>0</v>
      </c>
      <c r="P531" t="s">
        <v>237</v>
      </c>
    </row>
    <row r="532" spans="1:16" x14ac:dyDescent="0.25">
      <c r="A532" t="s">
        <v>2111</v>
      </c>
      <c r="B532">
        <v>870</v>
      </c>
      <c r="C532" t="s">
        <v>487</v>
      </c>
      <c r="D532" t="s">
        <v>261</v>
      </c>
      <c r="E532" t="s">
        <v>512</v>
      </c>
      <c r="F532" t="s">
        <v>1518</v>
      </c>
      <c r="G532" s="25">
        <v>44269</v>
      </c>
      <c r="H532">
        <v>15</v>
      </c>
      <c r="I532">
        <v>73</v>
      </c>
      <c r="J532" t="s">
        <v>502</v>
      </c>
      <c r="K532" t="s">
        <v>287</v>
      </c>
      <c r="L532" t="s">
        <v>235</v>
      </c>
      <c r="M532" t="s">
        <v>288</v>
      </c>
      <c r="N532" t="s">
        <v>58</v>
      </c>
      <c r="O532">
        <v>0</v>
      </c>
      <c r="P532" t="s">
        <v>237</v>
      </c>
    </row>
    <row r="533" spans="1:16" x14ac:dyDescent="0.25">
      <c r="A533" t="s">
        <v>1645</v>
      </c>
      <c r="B533">
        <v>860</v>
      </c>
      <c r="C533" t="s">
        <v>487</v>
      </c>
      <c r="D533" t="s">
        <v>261</v>
      </c>
      <c r="E533" t="s">
        <v>232</v>
      </c>
      <c r="F533" t="s">
        <v>1500</v>
      </c>
      <c r="G533" s="25">
        <v>44268</v>
      </c>
      <c r="H533">
        <v>15</v>
      </c>
      <c r="I533">
        <v>72</v>
      </c>
      <c r="J533" t="s">
        <v>502</v>
      </c>
      <c r="K533" t="s">
        <v>287</v>
      </c>
      <c r="L533" t="s">
        <v>235</v>
      </c>
      <c r="M533" t="s">
        <v>288</v>
      </c>
      <c r="N533" t="s">
        <v>58</v>
      </c>
      <c r="O533">
        <v>0</v>
      </c>
      <c r="P533" t="s">
        <v>237</v>
      </c>
    </row>
    <row r="534" spans="1:16" x14ac:dyDescent="0.25">
      <c r="A534" t="s">
        <v>1615</v>
      </c>
      <c r="B534">
        <v>496</v>
      </c>
      <c r="C534" t="s">
        <v>487</v>
      </c>
      <c r="D534" t="s">
        <v>256</v>
      </c>
      <c r="E534" t="s">
        <v>231</v>
      </c>
      <c r="F534" t="s">
        <v>1249</v>
      </c>
      <c r="G534" s="25">
        <v>44238</v>
      </c>
      <c r="H534">
        <v>9</v>
      </c>
      <c r="I534">
        <v>42</v>
      </c>
      <c r="J534" t="s">
        <v>502</v>
      </c>
      <c r="K534" t="s">
        <v>287</v>
      </c>
      <c r="L534" t="s">
        <v>235</v>
      </c>
      <c r="M534" t="s">
        <v>288</v>
      </c>
      <c r="N534" t="s">
        <v>58</v>
      </c>
      <c r="O534">
        <v>0</v>
      </c>
      <c r="P534" t="s">
        <v>237</v>
      </c>
    </row>
    <row r="535" spans="1:16" x14ac:dyDescent="0.25">
      <c r="A535" t="s">
        <v>2431</v>
      </c>
      <c r="B535">
        <v>850</v>
      </c>
      <c r="C535" t="s">
        <v>487</v>
      </c>
      <c r="D535" t="s">
        <v>261</v>
      </c>
      <c r="E535" t="s">
        <v>515</v>
      </c>
      <c r="F535" t="s">
        <v>1493</v>
      </c>
      <c r="G535" s="25">
        <v>44267</v>
      </c>
      <c r="H535">
        <v>15</v>
      </c>
      <c r="I535">
        <v>71</v>
      </c>
      <c r="J535" t="s">
        <v>502</v>
      </c>
      <c r="K535" t="s">
        <v>287</v>
      </c>
      <c r="L535" t="s">
        <v>235</v>
      </c>
      <c r="M535" t="s">
        <v>288</v>
      </c>
      <c r="N535" t="s">
        <v>58</v>
      </c>
      <c r="O535">
        <v>0</v>
      </c>
      <c r="P535" t="s">
        <v>237</v>
      </c>
    </row>
    <row r="536" spans="1:16" x14ac:dyDescent="0.25">
      <c r="A536" t="s">
        <v>649</v>
      </c>
      <c r="B536">
        <v>283</v>
      </c>
      <c r="C536" t="s">
        <v>487</v>
      </c>
      <c r="D536" t="s">
        <v>231</v>
      </c>
      <c r="E536" t="s">
        <v>261</v>
      </c>
      <c r="F536" t="s">
        <v>1065</v>
      </c>
      <c r="G536" s="25">
        <v>44220</v>
      </c>
      <c r="H536">
        <v>5</v>
      </c>
      <c r="I536">
        <v>24</v>
      </c>
      <c r="J536" t="s">
        <v>502</v>
      </c>
      <c r="K536" t="s">
        <v>287</v>
      </c>
      <c r="L536" t="s">
        <v>235</v>
      </c>
      <c r="M536" t="s">
        <v>288</v>
      </c>
      <c r="N536" t="s">
        <v>58</v>
      </c>
      <c r="O536">
        <v>0</v>
      </c>
      <c r="P536" t="s">
        <v>237</v>
      </c>
    </row>
    <row r="537" spans="1:16" x14ac:dyDescent="0.25">
      <c r="A537" t="s">
        <v>1720</v>
      </c>
      <c r="B537">
        <v>839</v>
      </c>
      <c r="C537" t="s">
        <v>487</v>
      </c>
      <c r="D537" t="s">
        <v>261</v>
      </c>
      <c r="E537" t="s">
        <v>239</v>
      </c>
      <c r="F537" t="s">
        <v>1703</v>
      </c>
      <c r="G537" s="25">
        <v>44266</v>
      </c>
      <c r="H537">
        <v>14</v>
      </c>
      <c r="I537">
        <v>70</v>
      </c>
      <c r="J537" t="s">
        <v>502</v>
      </c>
      <c r="K537" t="s">
        <v>287</v>
      </c>
      <c r="L537" t="s">
        <v>235</v>
      </c>
      <c r="M537" t="s">
        <v>288</v>
      </c>
      <c r="N537" t="s">
        <v>58</v>
      </c>
      <c r="O537">
        <v>0</v>
      </c>
      <c r="P537" t="s">
        <v>237</v>
      </c>
    </row>
    <row r="538" spans="1:16" x14ac:dyDescent="0.25">
      <c r="A538" t="s">
        <v>2115</v>
      </c>
      <c r="B538">
        <v>505</v>
      </c>
      <c r="C538" t="s">
        <v>487</v>
      </c>
      <c r="D538" t="s">
        <v>256</v>
      </c>
      <c r="E538" t="s">
        <v>256</v>
      </c>
      <c r="F538" t="s">
        <v>1263</v>
      </c>
      <c r="G538" s="25">
        <v>44239</v>
      </c>
      <c r="H538">
        <v>9</v>
      </c>
      <c r="I538">
        <v>43</v>
      </c>
      <c r="J538" t="s">
        <v>502</v>
      </c>
      <c r="K538" t="s">
        <v>287</v>
      </c>
      <c r="L538" t="s">
        <v>235</v>
      </c>
      <c r="M538" t="s">
        <v>288</v>
      </c>
      <c r="N538" t="s">
        <v>58</v>
      </c>
      <c r="O538">
        <v>0</v>
      </c>
      <c r="P538" t="s">
        <v>237</v>
      </c>
    </row>
    <row r="539" spans="1:16" x14ac:dyDescent="0.25">
      <c r="A539" t="s">
        <v>1978</v>
      </c>
      <c r="B539">
        <v>819</v>
      </c>
      <c r="C539" t="s">
        <v>487</v>
      </c>
      <c r="D539" t="s">
        <v>261</v>
      </c>
      <c r="E539" t="s">
        <v>371</v>
      </c>
      <c r="F539" t="s">
        <v>1478</v>
      </c>
      <c r="G539" s="25">
        <v>44265</v>
      </c>
      <c r="H539">
        <v>14</v>
      </c>
      <c r="I539">
        <v>69</v>
      </c>
      <c r="J539" t="s">
        <v>502</v>
      </c>
      <c r="K539" t="s">
        <v>287</v>
      </c>
      <c r="L539" t="s">
        <v>235</v>
      </c>
      <c r="M539" t="s">
        <v>288</v>
      </c>
      <c r="N539" t="s">
        <v>58</v>
      </c>
      <c r="O539">
        <v>0</v>
      </c>
      <c r="P539" t="s">
        <v>237</v>
      </c>
    </row>
    <row r="540" spans="1:16" x14ac:dyDescent="0.25">
      <c r="A540" t="s">
        <v>565</v>
      </c>
      <c r="B540">
        <v>188</v>
      </c>
      <c r="C540" t="s">
        <v>487</v>
      </c>
      <c r="D540" t="s">
        <v>229</v>
      </c>
      <c r="E540" t="s">
        <v>620</v>
      </c>
      <c r="F540" t="s">
        <v>621</v>
      </c>
      <c r="G540" s="25">
        <v>44212</v>
      </c>
      <c r="H540">
        <v>4</v>
      </c>
      <c r="I540">
        <v>16</v>
      </c>
      <c r="J540" t="s">
        <v>502</v>
      </c>
      <c r="K540" t="s">
        <v>287</v>
      </c>
      <c r="L540" t="s">
        <v>235</v>
      </c>
      <c r="M540" t="s">
        <v>288</v>
      </c>
      <c r="N540" t="s">
        <v>58</v>
      </c>
      <c r="O540">
        <v>0</v>
      </c>
      <c r="P540" t="s">
        <v>237</v>
      </c>
    </row>
    <row r="541" spans="1:16" x14ac:dyDescent="0.25">
      <c r="A541" t="s">
        <v>1902</v>
      </c>
      <c r="B541">
        <v>805</v>
      </c>
      <c r="C541" t="s">
        <v>487</v>
      </c>
      <c r="D541" t="s">
        <v>261</v>
      </c>
      <c r="E541" t="s">
        <v>381</v>
      </c>
      <c r="F541" t="s">
        <v>1458</v>
      </c>
      <c r="G541" s="25">
        <v>44264</v>
      </c>
      <c r="H541">
        <v>14</v>
      </c>
      <c r="I541">
        <v>68</v>
      </c>
      <c r="J541" t="s">
        <v>502</v>
      </c>
      <c r="K541" t="s">
        <v>287</v>
      </c>
      <c r="L541" t="s">
        <v>235</v>
      </c>
      <c r="M541" t="s">
        <v>288</v>
      </c>
      <c r="N541" t="s">
        <v>58</v>
      </c>
      <c r="O541">
        <v>0</v>
      </c>
      <c r="P541" t="s">
        <v>237</v>
      </c>
    </row>
    <row r="542" spans="1:16" x14ac:dyDescent="0.25">
      <c r="A542" t="s">
        <v>2443</v>
      </c>
      <c r="B542">
        <v>793</v>
      </c>
      <c r="C542" t="s">
        <v>487</v>
      </c>
      <c r="D542" t="s">
        <v>261</v>
      </c>
      <c r="E542" t="s">
        <v>326</v>
      </c>
      <c r="F542" t="s">
        <v>1440</v>
      </c>
      <c r="G542" s="25">
        <v>44263</v>
      </c>
      <c r="H542">
        <v>14</v>
      </c>
      <c r="I542">
        <v>67</v>
      </c>
      <c r="J542" t="s">
        <v>502</v>
      </c>
      <c r="K542" t="s">
        <v>287</v>
      </c>
      <c r="L542" t="s">
        <v>235</v>
      </c>
      <c r="M542" t="s">
        <v>288</v>
      </c>
      <c r="N542" t="s">
        <v>58</v>
      </c>
      <c r="O542">
        <v>0</v>
      </c>
      <c r="P542" t="s">
        <v>237</v>
      </c>
    </row>
    <row r="543" spans="1:16" x14ac:dyDescent="0.25">
      <c r="A543" t="s">
        <v>592</v>
      </c>
      <c r="B543">
        <v>196</v>
      </c>
      <c r="C543" t="s">
        <v>487</v>
      </c>
      <c r="D543" t="s">
        <v>229</v>
      </c>
      <c r="E543" t="s">
        <v>534</v>
      </c>
      <c r="F543" t="s">
        <v>535</v>
      </c>
      <c r="G543" s="25">
        <v>44213</v>
      </c>
      <c r="H543">
        <v>4</v>
      </c>
      <c r="I543">
        <v>17</v>
      </c>
      <c r="J543" t="s">
        <v>502</v>
      </c>
      <c r="K543" t="s">
        <v>287</v>
      </c>
      <c r="L543" t="s">
        <v>235</v>
      </c>
      <c r="M543" t="s">
        <v>288</v>
      </c>
      <c r="N543" t="s">
        <v>58</v>
      </c>
      <c r="O543">
        <v>0</v>
      </c>
      <c r="P543" t="s">
        <v>237</v>
      </c>
    </row>
    <row r="544" spans="1:16" x14ac:dyDescent="0.25">
      <c r="A544" t="s">
        <v>1996</v>
      </c>
      <c r="B544">
        <v>782</v>
      </c>
      <c r="C544" t="s">
        <v>487</v>
      </c>
      <c r="D544" t="s">
        <v>261</v>
      </c>
      <c r="E544" t="s">
        <v>247</v>
      </c>
      <c r="F544" t="s">
        <v>1425</v>
      </c>
      <c r="G544" s="25">
        <v>44262</v>
      </c>
      <c r="H544">
        <v>14</v>
      </c>
      <c r="I544">
        <v>66</v>
      </c>
      <c r="J544" t="s">
        <v>502</v>
      </c>
      <c r="K544" t="s">
        <v>287</v>
      </c>
      <c r="L544" t="s">
        <v>235</v>
      </c>
      <c r="M544" t="s">
        <v>288</v>
      </c>
      <c r="N544" t="s">
        <v>58</v>
      </c>
      <c r="O544">
        <v>0</v>
      </c>
      <c r="P544" t="s">
        <v>237</v>
      </c>
    </row>
    <row r="545" spans="1:16" x14ac:dyDescent="0.25">
      <c r="A545" t="s">
        <v>2617</v>
      </c>
      <c r="B545">
        <v>777</v>
      </c>
      <c r="C545" t="s">
        <v>487</v>
      </c>
      <c r="D545" t="s">
        <v>261</v>
      </c>
      <c r="E545" t="s">
        <v>322</v>
      </c>
      <c r="F545" t="s">
        <v>1417</v>
      </c>
      <c r="G545" s="25">
        <v>44261</v>
      </c>
      <c r="H545">
        <v>13</v>
      </c>
      <c r="I545">
        <v>65</v>
      </c>
      <c r="J545" t="s">
        <v>502</v>
      </c>
      <c r="K545" t="s">
        <v>287</v>
      </c>
      <c r="L545" t="s">
        <v>235</v>
      </c>
      <c r="M545" t="s">
        <v>288</v>
      </c>
      <c r="N545" t="s">
        <v>58</v>
      </c>
      <c r="O545">
        <v>0</v>
      </c>
      <c r="P545" t="s">
        <v>237</v>
      </c>
    </row>
    <row r="546" spans="1:16" x14ac:dyDescent="0.25">
      <c r="A546" t="s">
        <v>2798</v>
      </c>
      <c r="B546">
        <v>521</v>
      </c>
      <c r="C546" t="s">
        <v>487</v>
      </c>
      <c r="D546" t="s">
        <v>256</v>
      </c>
      <c r="E546" t="s">
        <v>261</v>
      </c>
      <c r="F546" t="s">
        <v>1276</v>
      </c>
      <c r="G546" s="25">
        <v>44240</v>
      </c>
      <c r="H546">
        <v>9</v>
      </c>
      <c r="I546">
        <v>44</v>
      </c>
      <c r="J546" t="s">
        <v>502</v>
      </c>
      <c r="K546" t="s">
        <v>287</v>
      </c>
      <c r="L546" t="s">
        <v>235</v>
      </c>
      <c r="M546" t="s">
        <v>288</v>
      </c>
      <c r="N546" t="s">
        <v>58</v>
      </c>
      <c r="O546">
        <v>0</v>
      </c>
      <c r="P546" t="s">
        <v>237</v>
      </c>
    </row>
    <row r="547" spans="1:16" x14ac:dyDescent="0.25">
      <c r="A547" t="s">
        <v>2190</v>
      </c>
      <c r="B547">
        <v>764</v>
      </c>
      <c r="C547" t="s">
        <v>487</v>
      </c>
      <c r="D547" t="s">
        <v>261</v>
      </c>
      <c r="E547" t="s">
        <v>261</v>
      </c>
      <c r="F547" t="s">
        <v>1410</v>
      </c>
      <c r="G547" s="25">
        <v>44260</v>
      </c>
      <c r="H547">
        <v>13</v>
      </c>
      <c r="I547">
        <v>64</v>
      </c>
      <c r="J547" t="s">
        <v>502</v>
      </c>
      <c r="K547" t="s">
        <v>287</v>
      </c>
      <c r="L547" t="s">
        <v>235</v>
      </c>
      <c r="M547" t="s">
        <v>288</v>
      </c>
      <c r="N547" t="s">
        <v>58</v>
      </c>
      <c r="O547">
        <v>0</v>
      </c>
      <c r="P547" t="s">
        <v>237</v>
      </c>
    </row>
    <row r="548" spans="1:16" x14ac:dyDescent="0.25">
      <c r="A548" t="s">
        <v>1818</v>
      </c>
      <c r="B548">
        <v>749</v>
      </c>
      <c r="C548" t="s">
        <v>487</v>
      </c>
      <c r="D548" t="s">
        <v>261</v>
      </c>
      <c r="E548" t="s">
        <v>256</v>
      </c>
      <c r="F548" t="s">
        <v>1402</v>
      </c>
      <c r="G548" s="25">
        <v>44259</v>
      </c>
      <c r="H548">
        <v>13</v>
      </c>
      <c r="I548">
        <v>63</v>
      </c>
      <c r="J548" t="s">
        <v>502</v>
      </c>
      <c r="K548" t="s">
        <v>287</v>
      </c>
      <c r="L548" t="s">
        <v>235</v>
      </c>
      <c r="M548" t="s">
        <v>288</v>
      </c>
      <c r="N548" t="s">
        <v>58</v>
      </c>
      <c r="O548">
        <v>0</v>
      </c>
      <c r="P548" t="s">
        <v>237</v>
      </c>
    </row>
    <row r="549" spans="1:16" x14ac:dyDescent="0.25">
      <c r="A549" t="s">
        <v>2668</v>
      </c>
      <c r="B549">
        <v>738</v>
      </c>
      <c r="C549" t="s">
        <v>487</v>
      </c>
      <c r="D549" t="s">
        <v>261</v>
      </c>
      <c r="E549" t="s">
        <v>231</v>
      </c>
      <c r="F549" t="s">
        <v>1400</v>
      </c>
      <c r="G549" s="25">
        <v>44258</v>
      </c>
      <c r="H549">
        <v>13</v>
      </c>
      <c r="I549">
        <v>62</v>
      </c>
      <c r="J549" t="s">
        <v>502</v>
      </c>
      <c r="K549" t="s">
        <v>287</v>
      </c>
      <c r="L549" t="s">
        <v>235</v>
      </c>
      <c r="M549" t="s">
        <v>288</v>
      </c>
      <c r="N549" t="s">
        <v>58</v>
      </c>
      <c r="O549">
        <v>0</v>
      </c>
      <c r="P549" t="s">
        <v>237</v>
      </c>
    </row>
    <row r="550" spans="1:16" x14ac:dyDescent="0.25">
      <c r="A550" t="s">
        <v>822</v>
      </c>
      <c r="B550">
        <v>212</v>
      </c>
      <c r="C550" t="s">
        <v>487</v>
      </c>
      <c r="D550" t="s">
        <v>229</v>
      </c>
      <c r="E550" t="s">
        <v>552</v>
      </c>
      <c r="F550" t="s">
        <v>553</v>
      </c>
      <c r="G550" s="25">
        <v>44214</v>
      </c>
      <c r="H550">
        <v>4</v>
      </c>
      <c r="I550">
        <v>18</v>
      </c>
      <c r="J550" t="s">
        <v>502</v>
      </c>
      <c r="K550" t="s">
        <v>287</v>
      </c>
      <c r="L550" t="s">
        <v>235</v>
      </c>
      <c r="M550" t="s">
        <v>288</v>
      </c>
      <c r="N550" t="s">
        <v>58</v>
      </c>
      <c r="O550">
        <v>0</v>
      </c>
      <c r="P550" t="s">
        <v>237</v>
      </c>
    </row>
    <row r="551" spans="1:16" x14ac:dyDescent="0.25">
      <c r="A551" t="s">
        <v>1877</v>
      </c>
      <c r="B551">
        <v>725</v>
      </c>
      <c r="C551" t="s">
        <v>487</v>
      </c>
      <c r="D551" t="s">
        <v>261</v>
      </c>
      <c r="E551" t="s">
        <v>229</v>
      </c>
      <c r="F551" t="s">
        <v>1388</v>
      </c>
      <c r="G551" s="25">
        <v>44257</v>
      </c>
      <c r="H551">
        <v>13</v>
      </c>
      <c r="I551">
        <v>61</v>
      </c>
      <c r="J551" t="s">
        <v>502</v>
      </c>
      <c r="K551" t="s">
        <v>287</v>
      </c>
      <c r="L551" t="s">
        <v>235</v>
      </c>
      <c r="M551" t="s">
        <v>288</v>
      </c>
      <c r="N551" t="s">
        <v>58</v>
      </c>
      <c r="O551">
        <v>0</v>
      </c>
      <c r="P551" t="s">
        <v>237</v>
      </c>
    </row>
    <row r="552" spans="1:16" x14ac:dyDescent="0.25">
      <c r="A552" t="s">
        <v>710</v>
      </c>
      <c r="B552">
        <v>372</v>
      </c>
      <c r="C552" t="s">
        <v>487</v>
      </c>
      <c r="D552" t="s">
        <v>231</v>
      </c>
      <c r="E552" t="s">
        <v>515</v>
      </c>
      <c r="F552" t="s">
        <v>1150</v>
      </c>
      <c r="G552" s="25">
        <v>44227</v>
      </c>
      <c r="H552">
        <v>7</v>
      </c>
      <c r="I552">
        <v>31</v>
      </c>
      <c r="J552" t="s">
        <v>502</v>
      </c>
      <c r="K552" t="s">
        <v>287</v>
      </c>
      <c r="L552" t="s">
        <v>235</v>
      </c>
      <c r="M552" t="s">
        <v>288</v>
      </c>
      <c r="N552" t="s">
        <v>58</v>
      </c>
      <c r="O552">
        <v>19375</v>
      </c>
      <c r="P552" t="s">
        <v>237</v>
      </c>
    </row>
    <row r="553" spans="1:16" x14ac:dyDescent="0.25">
      <c r="A553" t="s">
        <v>2553</v>
      </c>
      <c r="B553">
        <v>1286</v>
      </c>
      <c r="C553" t="s">
        <v>487</v>
      </c>
      <c r="D553" t="s">
        <v>247</v>
      </c>
      <c r="E553" t="s">
        <v>381</v>
      </c>
      <c r="F553" t="s">
        <v>3107</v>
      </c>
      <c r="G553" s="25">
        <v>44304</v>
      </c>
      <c r="H553">
        <v>22</v>
      </c>
      <c r="I553">
        <v>108</v>
      </c>
      <c r="J553" t="s">
        <v>502</v>
      </c>
      <c r="K553" t="s">
        <v>287</v>
      </c>
      <c r="L553" t="s">
        <v>235</v>
      </c>
      <c r="M553" t="s">
        <v>288</v>
      </c>
      <c r="N553" t="s">
        <v>58</v>
      </c>
      <c r="O553">
        <v>0</v>
      </c>
      <c r="P553" t="s">
        <v>237</v>
      </c>
    </row>
    <row r="554" spans="1:16" x14ac:dyDescent="0.25">
      <c r="A554" t="s">
        <v>2154</v>
      </c>
      <c r="B554">
        <v>1280</v>
      </c>
      <c r="C554" t="s">
        <v>487</v>
      </c>
      <c r="D554" t="s">
        <v>247</v>
      </c>
      <c r="E554" t="s">
        <v>326</v>
      </c>
      <c r="F554" t="s">
        <v>3091</v>
      </c>
      <c r="G554" s="25">
        <v>44303</v>
      </c>
      <c r="H554">
        <v>22</v>
      </c>
      <c r="I554">
        <v>107</v>
      </c>
      <c r="J554" t="s">
        <v>502</v>
      </c>
      <c r="K554" t="s">
        <v>287</v>
      </c>
      <c r="L554" t="s">
        <v>235</v>
      </c>
      <c r="M554" t="s">
        <v>288</v>
      </c>
      <c r="N554" t="s">
        <v>58</v>
      </c>
      <c r="O554">
        <v>0</v>
      </c>
      <c r="P554" t="s">
        <v>237</v>
      </c>
    </row>
    <row r="555" spans="1:16" x14ac:dyDescent="0.25">
      <c r="A555" t="s">
        <v>833</v>
      </c>
      <c r="B555">
        <v>378</v>
      </c>
      <c r="C555" t="s">
        <v>487</v>
      </c>
      <c r="D555" t="s">
        <v>231</v>
      </c>
      <c r="E555" t="s">
        <v>232</v>
      </c>
      <c r="F555" t="s">
        <v>1162</v>
      </c>
      <c r="G555" s="25">
        <v>44228</v>
      </c>
      <c r="H555">
        <v>7</v>
      </c>
      <c r="I555">
        <v>32</v>
      </c>
      <c r="J555" t="s">
        <v>502</v>
      </c>
      <c r="K555" t="s">
        <v>287</v>
      </c>
      <c r="L555" t="s">
        <v>235</v>
      </c>
      <c r="M555" t="s">
        <v>288</v>
      </c>
      <c r="N555" t="s">
        <v>58</v>
      </c>
      <c r="O555">
        <v>0</v>
      </c>
      <c r="P555" t="s">
        <v>237</v>
      </c>
    </row>
    <row r="556" spans="1:16" x14ac:dyDescent="0.25">
      <c r="A556" t="s">
        <v>2607</v>
      </c>
      <c r="B556">
        <v>1263</v>
      </c>
      <c r="C556" t="s">
        <v>487</v>
      </c>
      <c r="D556" t="s">
        <v>247</v>
      </c>
      <c r="E556" t="s">
        <v>247</v>
      </c>
      <c r="F556" t="s">
        <v>3085</v>
      </c>
      <c r="G556" s="25">
        <v>44302</v>
      </c>
      <c r="H556">
        <v>22</v>
      </c>
      <c r="I556">
        <v>106</v>
      </c>
      <c r="J556" t="s">
        <v>502</v>
      </c>
      <c r="K556" t="s">
        <v>287</v>
      </c>
      <c r="L556" t="s">
        <v>235</v>
      </c>
      <c r="M556" t="s">
        <v>288</v>
      </c>
      <c r="N556" t="s">
        <v>58</v>
      </c>
      <c r="O556">
        <v>0</v>
      </c>
      <c r="P556" t="s">
        <v>237</v>
      </c>
    </row>
    <row r="557" spans="1:16" x14ac:dyDescent="0.25">
      <c r="A557" t="s">
        <v>241</v>
      </c>
      <c r="B557">
        <v>55</v>
      </c>
      <c r="C557" t="s">
        <v>487</v>
      </c>
      <c r="D557" t="s">
        <v>229</v>
      </c>
      <c r="E557" t="s">
        <v>322</v>
      </c>
      <c r="F557" t="s">
        <v>529</v>
      </c>
      <c r="G557" s="25">
        <v>44201</v>
      </c>
      <c r="H557">
        <v>1</v>
      </c>
      <c r="I557">
        <v>5</v>
      </c>
      <c r="J557" t="s">
        <v>502</v>
      </c>
      <c r="K557" t="s">
        <v>287</v>
      </c>
      <c r="L557" t="s">
        <v>235</v>
      </c>
      <c r="M557" t="s">
        <v>288</v>
      </c>
      <c r="N557" t="s">
        <v>58</v>
      </c>
      <c r="O557">
        <v>0</v>
      </c>
      <c r="P557" t="s">
        <v>237</v>
      </c>
    </row>
    <row r="558" spans="1:16" x14ac:dyDescent="0.25">
      <c r="A558" t="s">
        <v>2427</v>
      </c>
      <c r="B558">
        <v>1250</v>
      </c>
      <c r="C558" t="s">
        <v>487</v>
      </c>
      <c r="D558" t="s">
        <v>247</v>
      </c>
      <c r="E558" t="s">
        <v>322</v>
      </c>
      <c r="F558" t="s">
        <v>3083</v>
      </c>
      <c r="G558" s="25">
        <v>44301</v>
      </c>
      <c r="H558">
        <v>21</v>
      </c>
      <c r="I558">
        <v>105</v>
      </c>
      <c r="J558" t="s">
        <v>502</v>
      </c>
      <c r="K558" t="s">
        <v>287</v>
      </c>
      <c r="L558" t="s">
        <v>235</v>
      </c>
      <c r="M558" t="s">
        <v>288</v>
      </c>
      <c r="N558" t="s">
        <v>58</v>
      </c>
      <c r="O558">
        <v>0</v>
      </c>
      <c r="P558" t="s">
        <v>237</v>
      </c>
    </row>
    <row r="559" spans="1:16" x14ac:dyDescent="0.25">
      <c r="A559" t="s">
        <v>635</v>
      </c>
      <c r="B559">
        <v>385</v>
      </c>
      <c r="C559" t="s">
        <v>487</v>
      </c>
      <c r="D559" t="s">
        <v>231</v>
      </c>
      <c r="E559" t="s">
        <v>512</v>
      </c>
      <c r="F559" t="s">
        <v>1174</v>
      </c>
      <c r="G559" s="25">
        <v>44229</v>
      </c>
      <c r="H559">
        <v>7</v>
      </c>
      <c r="I559">
        <v>33</v>
      </c>
      <c r="J559" t="s">
        <v>502</v>
      </c>
      <c r="K559" t="s">
        <v>287</v>
      </c>
      <c r="L559" t="s">
        <v>235</v>
      </c>
      <c r="M559" t="s">
        <v>288</v>
      </c>
      <c r="N559" t="s">
        <v>58</v>
      </c>
      <c r="O559">
        <v>0</v>
      </c>
      <c r="P559" t="s">
        <v>237</v>
      </c>
    </row>
    <row r="560" spans="1:16" x14ac:dyDescent="0.25">
      <c r="A560" t="s">
        <v>669</v>
      </c>
      <c r="B560">
        <v>316</v>
      </c>
      <c r="C560" t="s">
        <v>487</v>
      </c>
      <c r="D560" t="s">
        <v>231</v>
      </c>
      <c r="E560" t="s">
        <v>326</v>
      </c>
      <c r="F560" t="s">
        <v>1095</v>
      </c>
      <c r="G560" s="25">
        <v>44223</v>
      </c>
      <c r="H560">
        <v>6</v>
      </c>
      <c r="I560">
        <v>27</v>
      </c>
      <c r="J560" t="s">
        <v>502</v>
      </c>
      <c r="K560" t="s">
        <v>287</v>
      </c>
      <c r="L560" t="s">
        <v>235</v>
      </c>
      <c r="M560" t="s">
        <v>288</v>
      </c>
      <c r="N560" t="s">
        <v>58</v>
      </c>
      <c r="O560">
        <v>0</v>
      </c>
      <c r="P560" t="s">
        <v>237</v>
      </c>
    </row>
    <row r="561" spans="1:16" x14ac:dyDescent="0.25">
      <c r="A561" t="s">
        <v>2273</v>
      </c>
      <c r="B561">
        <v>1246</v>
      </c>
      <c r="C561" t="s">
        <v>487</v>
      </c>
      <c r="D561" t="s">
        <v>247</v>
      </c>
      <c r="E561" t="s">
        <v>261</v>
      </c>
      <c r="F561" t="s">
        <v>3078</v>
      </c>
      <c r="G561" s="25">
        <v>44300</v>
      </c>
      <c r="H561">
        <v>21</v>
      </c>
      <c r="I561">
        <v>104</v>
      </c>
      <c r="J561" t="s">
        <v>502</v>
      </c>
      <c r="K561" t="s">
        <v>287</v>
      </c>
      <c r="L561" t="s">
        <v>235</v>
      </c>
      <c r="M561" t="s">
        <v>288</v>
      </c>
      <c r="N561" t="s">
        <v>58</v>
      </c>
      <c r="O561">
        <v>0</v>
      </c>
      <c r="P561" t="s">
        <v>237</v>
      </c>
    </row>
    <row r="562" spans="1:16" x14ac:dyDescent="0.25">
      <c r="A562" t="s">
        <v>1761</v>
      </c>
      <c r="B562">
        <v>1236</v>
      </c>
      <c r="C562" t="s">
        <v>487</v>
      </c>
      <c r="D562" t="s">
        <v>247</v>
      </c>
      <c r="E562" t="s">
        <v>256</v>
      </c>
      <c r="F562" t="s">
        <v>3073</v>
      </c>
      <c r="G562" s="25">
        <v>44299</v>
      </c>
      <c r="H562">
        <v>21</v>
      </c>
      <c r="I562">
        <v>103</v>
      </c>
      <c r="J562" t="s">
        <v>502</v>
      </c>
      <c r="K562" t="s">
        <v>287</v>
      </c>
      <c r="L562" t="s">
        <v>235</v>
      </c>
      <c r="M562" t="s">
        <v>288</v>
      </c>
      <c r="N562" t="s">
        <v>58</v>
      </c>
      <c r="O562">
        <v>10500</v>
      </c>
      <c r="P562" t="s">
        <v>237</v>
      </c>
    </row>
    <row r="563" spans="1:16" x14ac:dyDescent="0.25">
      <c r="A563" t="s">
        <v>244</v>
      </c>
      <c r="B563">
        <v>62</v>
      </c>
      <c r="C563" t="s">
        <v>487</v>
      </c>
      <c r="D563" t="s">
        <v>229</v>
      </c>
      <c r="E563" t="s">
        <v>247</v>
      </c>
      <c r="F563" t="s">
        <v>524</v>
      </c>
      <c r="G563" s="25">
        <v>44202</v>
      </c>
      <c r="H563">
        <v>2</v>
      </c>
      <c r="I563">
        <v>6</v>
      </c>
      <c r="J563" t="s">
        <v>502</v>
      </c>
      <c r="K563" t="s">
        <v>287</v>
      </c>
      <c r="L563" t="s">
        <v>235</v>
      </c>
      <c r="M563" t="s">
        <v>288</v>
      </c>
      <c r="N563" t="s">
        <v>58</v>
      </c>
      <c r="O563">
        <v>0</v>
      </c>
      <c r="P563" t="s">
        <v>237</v>
      </c>
    </row>
    <row r="564" spans="1:16" x14ac:dyDescent="0.25">
      <c r="A564" t="s">
        <v>2759</v>
      </c>
      <c r="B564">
        <v>1224</v>
      </c>
      <c r="C564" t="s">
        <v>487</v>
      </c>
      <c r="D564" t="s">
        <v>247</v>
      </c>
      <c r="E564" t="s">
        <v>231</v>
      </c>
      <c r="F564" t="s">
        <v>3070</v>
      </c>
      <c r="G564" s="25">
        <v>44298</v>
      </c>
      <c r="H564">
        <v>21</v>
      </c>
      <c r="I564">
        <v>102</v>
      </c>
      <c r="J564" t="s">
        <v>502</v>
      </c>
      <c r="K564" t="s">
        <v>287</v>
      </c>
      <c r="L564" t="s">
        <v>235</v>
      </c>
      <c r="M564" t="s">
        <v>288</v>
      </c>
      <c r="N564" t="s">
        <v>58</v>
      </c>
      <c r="O564">
        <v>19500</v>
      </c>
      <c r="P564" t="s">
        <v>237</v>
      </c>
    </row>
    <row r="565" spans="1:16" x14ac:dyDescent="0.25">
      <c r="A565" t="s">
        <v>2802</v>
      </c>
      <c r="B565">
        <v>1210</v>
      </c>
      <c r="C565" t="s">
        <v>487</v>
      </c>
      <c r="D565" t="s">
        <v>247</v>
      </c>
      <c r="E565" t="s">
        <v>229</v>
      </c>
      <c r="F565" t="s">
        <v>3063</v>
      </c>
      <c r="G565" s="25">
        <v>44297</v>
      </c>
      <c r="H565">
        <v>21</v>
      </c>
      <c r="I565">
        <v>101</v>
      </c>
      <c r="J565" t="s">
        <v>502</v>
      </c>
      <c r="K565" t="s">
        <v>287</v>
      </c>
      <c r="L565" t="s">
        <v>235</v>
      </c>
      <c r="M565" t="s">
        <v>288</v>
      </c>
      <c r="N565" t="s">
        <v>58</v>
      </c>
      <c r="O565">
        <v>0</v>
      </c>
      <c r="P565" t="s">
        <v>237</v>
      </c>
    </row>
    <row r="566" spans="1:16" x14ac:dyDescent="0.25">
      <c r="A566" t="s">
        <v>2289</v>
      </c>
      <c r="B566">
        <v>1189</v>
      </c>
      <c r="C566" t="s">
        <v>487</v>
      </c>
      <c r="D566" t="s">
        <v>322</v>
      </c>
      <c r="E566" t="s">
        <v>408</v>
      </c>
      <c r="F566" t="s">
        <v>3059</v>
      </c>
      <c r="G566" s="25">
        <v>44296</v>
      </c>
      <c r="H566">
        <v>20</v>
      </c>
      <c r="I566">
        <v>100</v>
      </c>
      <c r="J566" t="s">
        <v>502</v>
      </c>
      <c r="K566" t="s">
        <v>287</v>
      </c>
      <c r="L566" t="s">
        <v>235</v>
      </c>
      <c r="M566" t="s">
        <v>288</v>
      </c>
      <c r="N566" t="s">
        <v>58</v>
      </c>
      <c r="O566">
        <v>0</v>
      </c>
      <c r="P566" t="s">
        <v>237</v>
      </c>
    </row>
    <row r="567" spans="1:16" x14ac:dyDescent="0.25">
      <c r="A567" t="s">
        <v>2477</v>
      </c>
      <c r="B567">
        <v>1186</v>
      </c>
      <c r="C567" t="s">
        <v>487</v>
      </c>
      <c r="D567" t="s">
        <v>322</v>
      </c>
      <c r="E567" t="s">
        <v>531</v>
      </c>
      <c r="F567" t="s">
        <v>3056</v>
      </c>
      <c r="G567" s="25">
        <v>44295</v>
      </c>
      <c r="H567">
        <v>20</v>
      </c>
      <c r="I567">
        <v>99</v>
      </c>
      <c r="J567" t="s">
        <v>502</v>
      </c>
      <c r="K567" t="s">
        <v>287</v>
      </c>
      <c r="L567" t="s">
        <v>235</v>
      </c>
      <c r="M567" t="s">
        <v>288</v>
      </c>
      <c r="N567" t="s">
        <v>58</v>
      </c>
      <c r="O567">
        <v>0</v>
      </c>
      <c r="P567" t="s">
        <v>237</v>
      </c>
    </row>
    <row r="568" spans="1:16" x14ac:dyDescent="0.25">
      <c r="A568" t="s">
        <v>336</v>
      </c>
      <c r="B568">
        <v>78</v>
      </c>
      <c r="C568" t="s">
        <v>487</v>
      </c>
      <c r="D568" t="s">
        <v>229</v>
      </c>
      <c r="E568" t="s">
        <v>326</v>
      </c>
      <c r="F568" t="s">
        <v>522</v>
      </c>
      <c r="G568" s="25">
        <v>44203</v>
      </c>
      <c r="H568">
        <v>2</v>
      </c>
      <c r="I568">
        <v>7</v>
      </c>
      <c r="J568" t="s">
        <v>502</v>
      </c>
      <c r="K568" t="s">
        <v>287</v>
      </c>
      <c r="L568" t="s">
        <v>235</v>
      </c>
      <c r="M568" t="s">
        <v>288</v>
      </c>
      <c r="N568" t="s">
        <v>58</v>
      </c>
      <c r="O568">
        <v>0</v>
      </c>
      <c r="P568" t="s">
        <v>237</v>
      </c>
    </row>
    <row r="569" spans="1:16" x14ac:dyDescent="0.25">
      <c r="A569" t="s">
        <v>793</v>
      </c>
      <c r="B569">
        <v>405</v>
      </c>
      <c r="C569" t="s">
        <v>487</v>
      </c>
      <c r="D569" t="s">
        <v>231</v>
      </c>
      <c r="E569" t="s">
        <v>537</v>
      </c>
      <c r="F569" t="s">
        <v>1192</v>
      </c>
      <c r="G569" s="25">
        <v>44230</v>
      </c>
      <c r="H569">
        <v>7</v>
      </c>
      <c r="I569">
        <v>34</v>
      </c>
      <c r="J569" t="s">
        <v>502</v>
      </c>
      <c r="K569" t="s">
        <v>287</v>
      </c>
      <c r="L569" t="s">
        <v>235</v>
      </c>
      <c r="M569" t="s">
        <v>288</v>
      </c>
      <c r="N569" t="s">
        <v>58</v>
      </c>
      <c r="O569">
        <v>0</v>
      </c>
      <c r="P569" t="s">
        <v>237</v>
      </c>
    </row>
    <row r="570" spans="1:16" x14ac:dyDescent="0.25">
      <c r="A570" t="s">
        <v>834</v>
      </c>
      <c r="B570">
        <v>334</v>
      </c>
      <c r="C570" t="s">
        <v>487</v>
      </c>
      <c r="D570" t="s">
        <v>231</v>
      </c>
      <c r="E570" t="s">
        <v>381</v>
      </c>
      <c r="F570" t="s">
        <v>1099</v>
      </c>
      <c r="G570" s="25">
        <v>44224</v>
      </c>
      <c r="H570">
        <v>6</v>
      </c>
      <c r="I570">
        <v>28</v>
      </c>
      <c r="J570" t="s">
        <v>502</v>
      </c>
      <c r="K570" t="s">
        <v>287</v>
      </c>
      <c r="L570" t="s">
        <v>235</v>
      </c>
      <c r="M570" t="s">
        <v>288</v>
      </c>
      <c r="N570" t="s">
        <v>58</v>
      </c>
      <c r="O570">
        <v>0</v>
      </c>
      <c r="P570" t="s">
        <v>237</v>
      </c>
    </row>
    <row r="571" spans="1:16" x14ac:dyDescent="0.25">
      <c r="A571" t="s">
        <v>376</v>
      </c>
      <c r="B571">
        <v>4</v>
      </c>
      <c r="C571" t="s">
        <v>487</v>
      </c>
      <c r="D571" t="s">
        <v>229</v>
      </c>
      <c r="E571" t="s">
        <v>229</v>
      </c>
      <c r="F571" t="s">
        <v>230</v>
      </c>
      <c r="G571" s="25">
        <v>44197</v>
      </c>
      <c r="H571">
        <v>1</v>
      </c>
      <c r="I571">
        <v>1</v>
      </c>
      <c r="J571" t="s">
        <v>502</v>
      </c>
      <c r="K571" t="s">
        <v>287</v>
      </c>
      <c r="L571" t="s">
        <v>235</v>
      </c>
      <c r="M571" t="s">
        <v>288</v>
      </c>
      <c r="N571" t="s">
        <v>58</v>
      </c>
      <c r="O571">
        <v>0</v>
      </c>
      <c r="P571" t="s">
        <v>237</v>
      </c>
    </row>
    <row r="572" spans="1:16" x14ac:dyDescent="0.25">
      <c r="A572" t="s">
        <v>2089</v>
      </c>
      <c r="B572">
        <v>1436</v>
      </c>
      <c r="C572" t="s">
        <v>487</v>
      </c>
      <c r="D572" t="s">
        <v>247</v>
      </c>
      <c r="E572" t="s">
        <v>408</v>
      </c>
      <c r="F572" t="s">
        <v>3178</v>
      </c>
      <c r="G572" s="25">
        <v>44316</v>
      </c>
      <c r="H572">
        <v>24</v>
      </c>
      <c r="I572">
        <v>120</v>
      </c>
      <c r="J572" t="s">
        <v>502</v>
      </c>
      <c r="K572" t="s">
        <v>287</v>
      </c>
      <c r="L572" t="s">
        <v>235</v>
      </c>
      <c r="M572" t="s">
        <v>288</v>
      </c>
      <c r="N572" t="s">
        <v>58</v>
      </c>
      <c r="O572">
        <v>0</v>
      </c>
      <c r="P572" t="s">
        <v>237</v>
      </c>
    </row>
    <row r="573" spans="1:16" x14ac:dyDescent="0.25">
      <c r="A573" t="s">
        <v>777</v>
      </c>
      <c r="B573">
        <v>338</v>
      </c>
      <c r="C573" t="s">
        <v>487</v>
      </c>
      <c r="D573" t="s">
        <v>231</v>
      </c>
      <c r="E573" t="s">
        <v>371</v>
      </c>
      <c r="F573" t="s">
        <v>1124</v>
      </c>
      <c r="G573" s="25">
        <v>44225</v>
      </c>
      <c r="H573">
        <v>6</v>
      </c>
      <c r="I573">
        <v>29</v>
      </c>
      <c r="J573" t="s">
        <v>502</v>
      </c>
      <c r="K573" t="s">
        <v>287</v>
      </c>
      <c r="L573" t="s">
        <v>235</v>
      </c>
      <c r="M573" t="s">
        <v>288</v>
      </c>
      <c r="N573" t="s">
        <v>58</v>
      </c>
      <c r="O573">
        <v>0</v>
      </c>
      <c r="P573" t="s">
        <v>237</v>
      </c>
    </row>
    <row r="574" spans="1:16" x14ac:dyDescent="0.25">
      <c r="A574" t="s">
        <v>1680</v>
      </c>
      <c r="B574">
        <v>1427</v>
      </c>
      <c r="C574" t="s">
        <v>487</v>
      </c>
      <c r="D574" t="s">
        <v>247</v>
      </c>
      <c r="E574" t="s">
        <v>531</v>
      </c>
      <c r="F574" t="s">
        <v>3173</v>
      </c>
      <c r="G574" s="25">
        <v>44315</v>
      </c>
      <c r="H574">
        <v>24</v>
      </c>
      <c r="I574">
        <v>119</v>
      </c>
      <c r="J574" t="s">
        <v>502</v>
      </c>
      <c r="K574" t="s">
        <v>287</v>
      </c>
      <c r="L574" t="s">
        <v>235</v>
      </c>
      <c r="M574" t="s">
        <v>288</v>
      </c>
      <c r="N574" t="s">
        <v>58</v>
      </c>
      <c r="O574">
        <v>6500</v>
      </c>
      <c r="P574" t="s">
        <v>237</v>
      </c>
    </row>
    <row r="575" spans="1:16" x14ac:dyDescent="0.25">
      <c r="A575" t="s">
        <v>2141</v>
      </c>
      <c r="B575">
        <v>1416</v>
      </c>
      <c r="C575" t="s">
        <v>487</v>
      </c>
      <c r="D575" t="s">
        <v>247</v>
      </c>
      <c r="E575" t="s">
        <v>552</v>
      </c>
      <c r="F575" t="s">
        <v>3170</v>
      </c>
      <c r="G575" s="25">
        <v>44314</v>
      </c>
      <c r="H575">
        <v>24</v>
      </c>
      <c r="I575">
        <v>118</v>
      </c>
      <c r="J575" t="s">
        <v>502</v>
      </c>
      <c r="K575" t="s">
        <v>287</v>
      </c>
      <c r="L575" t="s">
        <v>235</v>
      </c>
      <c r="M575" t="s">
        <v>288</v>
      </c>
      <c r="N575" t="s">
        <v>58</v>
      </c>
      <c r="O575">
        <v>24000</v>
      </c>
      <c r="P575" t="s">
        <v>237</v>
      </c>
    </row>
    <row r="576" spans="1:16" x14ac:dyDescent="0.25">
      <c r="A576" t="s">
        <v>2378</v>
      </c>
      <c r="B576">
        <v>1404</v>
      </c>
      <c r="C576" t="s">
        <v>487</v>
      </c>
      <c r="D576" t="s">
        <v>247</v>
      </c>
      <c r="E576" t="s">
        <v>534</v>
      </c>
      <c r="F576" t="s">
        <v>3166</v>
      </c>
      <c r="G576" s="25">
        <v>44313</v>
      </c>
      <c r="H576">
        <v>24</v>
      </c>
      <c r="I576">
        <v>117</v>
      </c>
      <c r="J576" t="s">
        <v>502</v>
      </c>
      <c r="K576" t="s">
        <v>287</v>
      </c>
      <c r="L576" t="s">
        <v>235</v>
      </c>
      <c r="M576" t="s">
        <v>288</v>
      </c>
      <c r="N576" t="s">
        <v>58</v>
      </c>
      <c r="O576">
        <v>17500</v>
      </c>
      <c r="P576" t="s">
        <v>237</v>
      </c>
    </row>
    <row r="577" spans="1:16" x14ac:dyDescent="0.25">
      <c r="A577" t="s">
        <v>1848</v>
      </c>
      <c r="B577">
        <v>1382</v>
      </c>
      <c r="C577" t="s">
        <v>487</v>
      </c>
      <c r="D577" t="s">
        <v>247</v>
      </c>
      <c r="E577" t="s">
        <v>620</v>
      </c>
      <c r="F577" t="s">
        <v>3162</v>
      </c>
      <c r="G577" s="25">
        <v>44312</v>
      </c>
      <c r="H577">
        <v>24</v>
      </c>
      <c r="I577">
        <v>116</v>
      </c>
      <c r="J577" t="s">
        <v>502</v>
      </c>
      <c r="K577" t="s">
        <v>287</v>
      </c>
      <c r="L577" t="s">
        <v>235</v>
      </c>
      <c r="M577" t="s">
        <v>288</v>
      </c>
      <c r="N577" t="s">
        <v>58</v>
      </c>
      <c r="O577">
        <v>0</v>
      </c>
      <c r="P577" t="s">
        <v>237</v>
      </c>
    </row>
    <row r="578" spans="1:16" x14ac:dyDescent="0.25">
      <c r="A578" t="s">
        <v>268</v>
      </c>
      <c r="B578">
        <v>18</v>
      </c>
      <c r="C578" t="s">
        <v>487</v>
      </c>
      <c r="D578" t="s">
        <v>229</v>
      </c>
      <c r="E578" t="s">
        <v>231</v>
      </c>
      <c r="F578" t="s">
        <v>568</v>
      </c>
      <c r="G578" s="25">
        <v>44198</v>
      </c>
      <c r="H578">
        <v>1</v>
      </c>
      <c r="I578">
        <v>2</v>
      </c>
      <c r="J578" t="s">
        <v>502</v>
      </c>
      <c r="K578" t="s">
        <v>287</v>
      </c>
      <c r="L578" t="s">
        <v>235</v>
      </c>
      <c r="M578" t="s">
        <v>288</v>
      </c>
      <c r="N578" t="s">
        <v>58</v>
      </c>
      <c r="O578">
        <v>0</v>
      </c>
      <c r="P578" t="s">
        <v>237</v>
      </c>
    </row>
    <row r="579" spans="1:16" x14ac:dyDescent="0.25">
      <c r="A579" t="s">
        <v>2047</v>
      </c>
      <c r="B579">
        <v>1371</v>
      </c>
      <c r="C579" t="s">
        <v>487</v>
      </c>
      <c r="D579" t="s">
        <v>247</v>
      </c>
      <c r="E579" t="s">
        <v>575</v>
      </c>
      <c r="F579" t="s">
        <v>3158</v>
      </c>
      <c r="G579" s="25">
        <v>44311</v>
      </c>
      <c r="H579">
        <v>23</v>
      </c>
      <c r="I579">
        <v>115</v>
      </c>
      <c r="J579" t="s">
        <v>502</v>
      </c>
      <c r="K579" t="s">
        <v>287</v>
      </c>
      <c r="L579" t="s">
        <v>235</v>
      </c>
      <c r="M579" t="s">
        <v>288</v>
      </c>
      <c r="N579" t="s">
        <v>58</v>
      </c>
      <c r="O579">
        <v>0</v>
      </c>
      <c r="P579" t="s">
        <v>237</v>
      </c>
    </row>
    <row r="580" spans="1:16" x14ac:dyDescent="0.25">
      <c r="A580" t="s">
        <v>2475</v>
      </c>
      <c r="B580">
        <v>1362</v>
      </c>
      <c r="C580" t="s">
        <v>487</v>
      </c>
      <c r="D580" t="s">
        <v>247</v>
      </c>
      <c r="E580" t="s">
        <v>537</v>
      </c>
      <c r="F580" t="s">
        <v>3153</v>
      </c>
      <c r="G580" s="25">
        <v>44310</v>
      </c>
      <c r="H580">
        <v>23</v>
      </c>
      <c r="I580">
        <v>114</v>
      </c>
      <c r="J580" t="s">
        <v>502</v>
      </c>
      <c r="K580" t="s">
        <v>287</v>
      </c>
      <c r="L580" t="s">
        <v>235</v>
      </c>
      <c r="M580" t="s">
        <v>288</v>
      </c>
      <c r="N580" t="s">
        <v>58</v>
      </c>
      <c r="O580">
        <v>0</v>
      </c>
      <c r="P580" t="s">
        <v>237</v>
      </c>
    </row>
    <row r="581" spans="1:16" x14ac:dyDescent="0.25">
      <c r="A581" t="s">
        <v>2838</v>
      </c>
      <c r="B581">
        <v>1354</v>
      </c>
      <c r="C581" t="s">
        <v>487</v>
      </c>
      <c r="D581" t="s">
        <v>247</v>
      </c>
      <c r="E581" t="s">
        <v>512</v>
      </c>
      <c r="F581" t="s">
        <v>3146</v>
      </c>
      <c r="G581" s="25">
        <v>44309</v>
      </c>
      <c r="H581">
        <v>23</v>
      </c>
      <c r="I581">
        <v>113</v>
      </c>
      <c r="J581" t="s">
        <v>502</v>
      </c>
      <c r="K581" t="s">
        <v>287</v>
      </c>
      <c r="L581" t="s">
        <v>235</v>
      </c>
      <c r="M581" t="s">
        <v>288</v>
      </c>
      <c r="N581" t="s">
        <v>58</v>
      </c>
      <c r="O581">
        <v>0</v>
      </c>
      <c r="P581" t="s">
        <v>237</v>
      </c>
    </row>
    <row r="582" spans="1:16" x14ac:dyDescent="0.25">
      <c r="A582" t="s">
        <v>567</v>
      </c>
      <c r="B582">
        <v>359</v>
      </c>
      <c r="C582" t="s">
        <v>487</v>
      </c>
      <c r="D582" t="s">
        <v>231</v>
      </c>
      <c r="E582" t="s">
        <v>239</v>
      </c>
      <c r="F582" t="s">
        <v>1139</v>
      </c>
      <c r="G582" s="25">
        <v>44226</v>
      </c>
      <c r="H582">
        <v>6</v>
      </c>
      <c r="I582">
        <v>30</v>
      </c>
      <c r="J582" t="s">
        <v>502</v>
      </c>
      <c r="K582" t="s">
        <v>287</v>
      </c>
      <c r="L582" t="s">
        <v>235</v>
      </c>
      <c r="M582" t="s">
        <v>288</v>
      </c>
      <c r="N582" t="s">
        <v>58</v>
      </c>
      <c r="O582">
        <v>4625</v>
      </c>
      <c r="P582" t="s">
        <v>237</v>
      </c>
    </row>
    <row r="583" spans="1:16" x14ac:dyDescent="0.25">
      <c r="A583" t="s">
        <v>2367</v>
      </c>
      <c r="B583">
        <v>1336</v>
      </c>
      <c r="C583" t="s">
        <v>487</v>
      </c>
      <c r="D583" t="s">
        <v>247</v>
      </c>
      <c r="E583" t="s">
        <v>232</v>
      </c>
      <c r="F583" t="s">
        <v>3140</v>
      </c>
      <c r="G583" s="25">
        <v>44308</v>
      </c>
      <c r="H583">
        <v>23</v>
      </c>
      <c r="I583">
        <v>112</v>
      </c>
      <c r="J583" t="s">
        <v>502</v>
      </c>
      <c r="K583" t="s">
        <v>287</v>
      </c>
      <c r="L583" t="s">
        <v>235</v>
      </c>
      <c r="M583" t="s">
        <v>288</v>
      </c>
      <c r="N583" t="s">
        <v>58</v>
      </c>
      <c r="O583">
        <v>0</v>
      </c>
      <c r="P583" t="s">
        <v>237</v>
      </c>
    </row>
    <row r="584" spans="1:16" x14ac:dyDescent="0.25">
      <c r="A584" t="s">
        <v>315</v>
      </c>
      <c r="B584">
        <v>35</v>
      </c>
      <c r="C584" t="s">
        <v>487</v>
      </c>
      <c r="D584" t="s">
        <v>229</v>
      </c>
      <c r="E584" t="s">
        <v>256</v>
      </c>
      <c r="F584" t="s">
        <v>525</v>
      </c>
      <c r="G584" s="25">
        <v>44199</v>
      </c>
      <c r="H584">
        <v>1</v>
      </c>
      <c r="I584">
        <v>3</v>
      </c>
      <c r="J584" t="s">
        <v>502</v>
      </c>
      <c r="K584" t="s">
        <v>287</v>
      </c>
      <c r="L584" t="s">
        <v>235</v>
      </c>
      <c r="M584" t="s">
        <v>288</v>
      </c>
      <c r="N584" t="s">
        <v>58</v>
      </c>
      <c r="O584">
        <v>0</v>
      </c>
      <c r="P584" t="s">
        <v>237</v>
      </c>
    </row>
    <row r="585" spans="1:16" x14ac:dyDescent="0.25">
      <c r="A585" t="s">
        <v>1973</v>
      </c>
      <c r="B585">
        <v>1324</v>
      </c>
      <c r="C585" t="s">
        <v>487</v>
      </c>
      <c r="D585" t="s">
        <v>247</v>
      </c>
      <c r="E585" t="s">
        <v>515</v>
      </c>
      <c r="F585" t="s">
        <v>3134</v>
      </c>
      <c r="G585" s="25">
        <v>44307</v>
      </c>
      <c r="H585">
        <v>23</v>
      </c>
      <c r="I585">
        <v>111</v>
      </c>
      <c r="J585" t="s">
        <v>502</v>
      </c>
      <c r="K585" t="s">
        <v>287</v>
      </c>
      <c r="L585" t="s">
        <v>235</v>
      </c>
      <c r="M585" t="s">
        <v>288</v>
      </c>
      <c r="N585" t="s">
        <v>58</v>
      </c>
      <c r="O585">
        <v>0</v>
      </c>
      <c r="P585" t="s">
        <v>237</v>
      </c>
    </row>
    <row r="586" spans="1:16" x14ac:dyDescent="0.25">
      <c r="A586" t="s">
        <v>2460</v>
      </c>
      <c r="B586">
        <v>1310</v>
      </c>
      <c r="C586" t="s">
        <v>487</v>
      </c>
      <c r="D586" t="s">
        <v>247</v>
      </c>
      <c r="E586" t="s">
        <v>239</v>
      </c>
      <c r="F586" t="s">
        <v>3118</v>
      </c>
      <c r="G586" s="25">
        <v>44306</v>
      </c>
      <c r="H586">
        <v>22</v>
      </c>
      <c r="I586">
        <v>110</v>
      </c>
      <c r="J586" t="s">
        <v>502</v>
      </c>
      <c r="K586" t="s">
        <v>287</v>
      </c>
      <c r="L586" t="s">
        <v>235</v>
      </c>
      <c r="M586" t="s">
        <v>288</v>
      </c>
      <c r="N586" t="s">
        <v>58</v>
      </c>
      <c r="O586">
        <v>0</v>
      </c>
      <c r="P586" t="s">
        <v>237</v>
      </c>
    </row>
    <row r="587" spans="1:16" x14ac:dyDescent="0.25">
      <c r="A587" t="s">
        <v>267</v>
      </c>
      <c r="B587">
        <v>43</v>
      </c>
      <c r="C587" t="s">
        <v>487</v>
      </c>
      <c r="D587" t="s">
        <v>229</v>
      </c>
      <c r="E587" t="s">
        <v>261</v>
      </c>
      <c r="F587" t="s">
        <v>549</v>
      </c>
      <c r="G587" s="25">
        <v>44200</v>
      </c>
      <c r="H587">
        <v>1</v>
      </c>
      <c r="I587">
        <v>4</v>
      </c>
      <c r="J587" t="s">
        <v>502</v>
      </c>
      <c r="K587" t="s">
        <v>287</v>
      </c>
      <c r="L587" t="s">
        <v>235</v>
      </c>
      <c r="M587" t="s">
        <v>288</v>
      </c>
      <c r="N587" t="s">
        <v>58</v>
      </c>
      <c r="O587">
        <v>0</v>
      </c>
      <c r="P587" t="s">
        <v>237</v>
      </c>
    </row>
    <row r="588" spans="1:16" x14ac:dyDescent="0.25">
      <c r="A588" t="s">
        <v>2689</v>
      </c>
      <c r="B588">
        <v>1298</v>
      </c>
      <c r="C588" t="s">
        <v>487</v>
      </c>
      <c r="D588" t="s">
        <v>247</v>
      </c>
      <c r="E588" t="s">
        <v>371</v>
      </c>
      <c r="F588" t="s">
        <v>3112</v>
      </c>
      <c r="G588" s="25">
        <v>44305</v>
      </c>
      <c r="H588">
        <v>22</v>
      </c>
      <c r="I588">
        <v>109</v>
      </c>
      <c r="J588" t="s">
        <v>502</v>
      </c>
      <c r="K588" t="s">
        <v>287</v>
      </c>
      <c r="L588" t="s">
        <v>235</v>
      </c>
      <c r="M588" t="s">
        <v>288</v>
      </c>
      <c r="N588" t="s">
        <v>58</v>
      </c>
      <c r="O588">
        <v>0</v>
      </c>
      <c r="P588" t="s">
        <v>237</v>
      </c>
    </row>
    <row r="589" spans="1:16" x14ac:dyDescent="0.25">
      <c r="A589" t="s">
        <v>2072</v>
      </c>
      <c r="B589">
        <v>1135</v>
      </c>
      <c r="C589" t="s">
        <v>487</v>
      </c>
      <c r="D589" t="s">
        <v>322</v>
      </c>
      <c r="E589" t="s">
        <v>575</v>
      </c>
      <c r="F589" t="s">
        <v>3014</v>
      </c>
      <c r="G589" s="25">
        <v>44291</v>
      </c>
      <c r="H589">
        <v>19</v>
      </c>
      <c r="I589">
        <v>95</v>
      </c>
      <c r="J589" t="s">
        <v>502</v>
      </c>
      <c r="K589" t="s">
        <v>287</v>
      </c>
      <c r="L589" t="s">
        <v>235</v>
      </c>
      <c r="M589" t="s">
        <v>288</v>
      </c>
      <c r="N589" t="s">
        <v>58</v>
      </c>
      <c r="O589">
        <v>0</v>
      </c>
      <c r="P589" t="s">
        <v>237</v>
      </c>
    </row>
    <row r="590" spans="1:16" x14ac:dyDescent="0.25">
      <c r="A590" t="s">
        <v>2117</v>
      </c>
      <c r="B590">
        <v>1121</v>
      </c>
      <c r="C590" t="s">
        <v>487</v>
      </c>
      <c r="D590" t="s">
        <v>322</v>
      </c>
      <c r="E590" t="s">
        <v>537</v>
      </c>
      <c r="F590" t="s">
        <v>2999</v>
      </c>
      <c r="G590" s="25">
        <v>44290</v>
      </c>
      <c r="H590">
        <v>19</v>
      </c>
      <c r="I590">
        <v>94</v>
      </c>
      <c r="J590" t="s">
        <v>502</v>
      </c>
      <c r="K590" t="s">
        <v>287</v>
      </c>
      <c r="L590" t="s">
        <v>235</v>
      </c>
      <c r="M590" t="s">
        <v>288</v>
      </c>
      <c r="N590" t="s">
        <v>58</v>
      </c>
      <c r="O590">
        <v>0</v>
      </c>
      <c r="P590" t="s">
        <v>237</v>
      </c>
    </row>
    <row r="591" spans="1:16" x14ac:dyDescent="0.25">
      <c r="A591" t="s">
        <v>359</v>
      </c>
      <c r="B591">
        <v>97</v>
      </c>
      <c r="C591" t="s">
        <v>487</v>
      </c>
      <c r="D591" t="s">
        <v>229</v>
      </c>
      <c r="E591" t="s">
        <v>371</v>
      </c>
      <c r="F591" t="s">
        <v>557</v>
      </c>
      <c r="G591" s="25">
        <v>44205</v>
      </c>
      <c r="H591">
        <v>2</v>
      </c>
      <c r="I591">
        <v>9</v>
      </c>
      <c r="J591" t="s">
        <v>502</v>
      </c>
      <c r="K591" t="s">
        <v>287</v>
      </c>
      <c r="L591" t="s">
        <v>235</v>
      </c>
      <c r="M591" t="s">
        <v>288</v>
      </c>
      <c r="N591" t="s">
        <v>58</v>
      </c>
      <c r="O591">
        <v>0</v>
      </c>
      <c r="P591" t="s">
        <v>237</v>
      </c>
    </row>
    <row r="592" spans="1:16" x14ac:dyDescent="0.25">
      <c r="A592" t="s">
        <v>703</v>
      </c>
      <c r="B592">
        <v>417</v>
      </c>
      <c r="C592" t="s">
        <v>487</v>
      </c>
      <c r="D592" t="s">
        <v>231</v>
      </c>
      <c r="E592" t="s">
        <v>575</v>
      </c>
      <c r="F592" t="s">
        <v>1210</v>
      </c>
      <c r="G592" s="25">
        <v>44231</v>
      </c>
      <c r="H592">
        <v>7</v>
      </c>
      <c r="I592">
        <v>35</v>
      </c>
      <c r="J592" t="s">
        <v>502</v>
      </c>
      <c r="K592" t="s">
        <v>287</v>
      </c>
      <c r="L592" t="s">
        <v>235</v>
      </c>
      <c r="M592" t="s">
        <v>288</v>
      </c>
      <c r="N592" t="s">
        <v>58</v>
      </c>
      <c r="O592">
        <v>0</v>
      </c>
      <c r="P592" t="s">
        <v>237</v>
      </c>
    </row>
    <row r="593" spans="1:16" x14ac:dyDescent="0.25">
      <c r="A593" t="s">
        <v>526</v>
      </c>
      <c r="B593">
        <v>426</v>
      </c>
      <c r="C593" t="s">
        <v>487</v>
      </c>
      <c r="D593" t="s">
        <v>231</v>
      </c>
      <c r="E593" t="s">
        <v>620</v>
      </c>
      <c r="F593" t="s">
        <v>1215</v>
      </c>
      <c r="G593" s="25">
        <v>44232</v>
      </c>
      <c r="H593">
        <v>8</v>
      </c>
      <c r="I593">
        <v>36</v>
      </c>
      <c r="J593" t="s">
        <v>502</v>
      </c>
      <c r="K593" t="s">
        <v>287</v>
      </c>
      <c r="L593" t="s">
        <v>235</v>
      </c>
      <c r="M593" t="s">
        <v>288</v>
      </c>
      <c r="N593" t="s">
        <v>58</v>
      </c>
      <c r="O593">
        <v>0</v>
      </c>
      <c r="P593" t="s">
        <v>237</v>
      </c>
    </row>
    <row r="594" spans="1:16" x14ac:dyDescent="0.25">
      <c r="A594" t="s">
        <v>2773</v>
      </c>
      <c r="B594">
        <v>1150</v>
      </c>
      <c r="C594" t="s">
        <v>487</v>
      </c>
      <c r="D594" t="s">
        <v>322</v>
      </c>
      <c r="E594" t="s">
        <v>620</v>
      </c>
      <c r="F594" t="s">
        <v>3025</v>
      </c>
      <c r="G594" s="25">
        <v>44292</v>
      </c>
      <c r="H594">
        <v>20</v>
      </c>
      <c r="I594">
        <v>96</v>
      </c>
      <c r="J594" t="s">
        <v>502</v>
      </c>
      <c r="K594" t="s">
        <v>287</v>
      </c>
      <c r="L594" t="s">
        <v>235</v>
      </c>
      <c r="M594" t="s">
        <v>288</v>
      </c>
      <c r="N594" t="s">
        <v>58</v>
      </c>
      <c r="O594">
        <v>0</v>
      </c>
      <c r="P594" t="s">
        <v>237</v>
      </c>
    </row>
    <row r="595" spans="1:16" x14ac:dyDescent="0.25">
      <c r="A595" t="s">
        <v>337</v>
      </c>
      <c r="B595">
        <v>87</v>
      </c>
      <c r="C595" t="s">
        <v>487</v>
      </c>
      <c r="D595" t="s">
        <v>229</v>
      </c>
      <c r="E595" t="s">
        <v>381</v>
      </c>
      <c r="F595" t="s">
        <v>518</v>
      </c>
      <c r="G595" s="25">
        <v>44204</v>
      </c>
      <c r="H595">
        <v>2</v>
      </c>
      <c r="I595">
        <v>8</v>
      </c>
      <c r="J595" t="s">
        <v>502</v>
      </c>
      <c r="K595" t="s">
        <v>287</v>
      </c>
      <c r="L595" t="s">
        <v>235</v>
      </c>
      <c r="M595" t="s">
        <v>288</v>
      </c>
      <c r="N595" t="s">
        <v>58</v>
      </c>
      <c r="O595">
        <v>0</v>
      </c>
      <c r="P595" t="s">
        <v>237</v>
      </c>
    </row>
    <row r="596" spans="1:16" x14ac:dyDescent="0.25">
      <c r="A596" t="s">
        <v>2720</v>
      </c>
      <c r="B596">
        <v>1110</v>
      </c>
      <c r="C596" t="s">
        <v>487</v>
      </c>
      <c r="D596" t="s">
        <v>322</v>
      </c>
      <c r="E596" t="s">
        <v>512</v>
      </c>
      <c r="F596" t="s">
        <v>2991</v>
      </c>
      <c r="G596" s="25">
        <v>44289</v>
      </c>
      <c r="H596">
        <v>19</v>
      </c>
      <c r="I596">
        <v>93</v>
      </c>
      <c r="J596" t="s">
        <v>502</v>
      </c>
      <c r="K596" t="s">
        <v>287</v>
      </c>
      <c r="L596" t="s">
        <v>235</v>
      </c>
      <c r="M596" t="s">
        <v>288</v>
      </c>
      <c r="N596" t="s">
        <v>58</v>
      </c>
      <c r="O596">
        <v>0</v>
      </c>
      <c r="P596" t="s">
        <v>237</v>
      </c>
    </row>
    <row r="597" spans="1:16" x14ac:dyDescent="0.25">
      <c r="A597" t="s">
        <v>1939</v>
      </c>
      <c r="B597">
        <v>1156</v>
      </c>
      <c r="C597" t="s">
        <v>487</v>
      </c>
      <c r="D597" t="s">
        <v>322</v>
      </c>
      <c r="E597" t="s">
        <v>534</v>
      </c>
      <c r="F597" t="s">
        <v>3031</v>
      </c>
      <c r="G597" s="25">
        <v>44293</v>
      </c>
      <c r="H597">
        <v>20</v>
      </c>
      <c r="I597">
        <v>97</v>
      </c>
      <c r="J597" t="s">
        <v>502</v>
      </c>
      <c r="K597" t="s">
        <v>287</v>
      </c>
      <c r="L597" t="s">
        <v>235</v>
      </c>
      <c r="M597" t="s">
        <v>288</v>
      </c>
      <c r="N597" t="s">
        <v>58</v>
      </c>
      <c r="O597">
        <v>0</v>
      </c>
      <c r="P597" t="s">
        <v>237</v>
      </c>
    </row>
    <row r="598" spans="1:16" x14ac:dyDescent="0.25">
      <c r="A598" t="s">
        <v>2276</v>
      </c>
      <c r="B598">
        <v>1103</v>
      </c>
      <c r="C598" t="s">
        <v>487</v>
      </c>
      <c r="D598" t="s">
        <v>322</v>
      </c>
      <c r="E598" t="s">
        <v>232</v>
      </c>
      <c r="F598" t="s">
        <v>2987</v>
      </c>
      <c r="G598" s="25">
        <v>44288</v>
      </c>
      <c r="H598">
        <v>19</v>
      </c>
      <c r="I598">
        <v>92</v>
      </c>
      <c r="J598" t="s">
        <v>502</v>
      </c>
      <c r="K598" t="s">
        <v>287</v>
      </c>
      <c r="L598" t="s">
        <v>235</v>
      </c>
      <c r="M598" t="s">
        <v>288</v>
      </c>
      <c r="N598" t="s">
        <v>58</v>
      </c>
      <c r="O598">
        <v>3500</v>
      </c>
      <c r="P598" t="s">
        <v>237</v>
      </c>
    </row>
    <row r="599" spans="1:16" x14ac:dyDescent="0.25">
      <c r="A599" t="s">
        <v>2812</v>
      </c>
      <c r="B599">
        <v>1174</v>
      </c>
      <c r="C599" t="s">
        <v>487</v>
      </c>
      <c r="D599" t="s">
        <v>322</v>
      </c>
      <c r="E599" t="s">
        <v>552</v>
      </c>
      <c r="F599" t="s">
        <v>3045</v>
      </c>
      <c r="G599" s="25">
        <v>44294</v>
      </c>
      <c r="H599">
        <v>20</v>
      </c>
      <c r="I599">
        <v>98</v>
      </c>
      <c r="J599" t="s">
        <v>502</v>
      </c>
      <c r="K599" t="s">
        <v>287</v>
      </c>
      <c r="L599" t="s">
        <v>235</v>
      </c>
      <c r="M599" t="s">
        <v>288</v>
      </c>
      <c r="N599" t="s">
        <v>58</v>
      </c>
      <c r="O599">
        <v>0</v>
      </c>
      <c r="P599" t="s">
        <v>237</v>
      </c>
    </row>
    <row r="600" spans="1:16" x14ac:dyDescent="0.25">
      <c r="A600" t="s">
        <v>627</v>
      </c>
      <c r="B600">
        <v>309</v>
      </c>
      <c r="C600" t="s">
        <v>487</v>
      </c>
      <c r="D600" t="s">
        <v>231</v>
      </c>
      <c r="E600" t="s">
        <v>247</v>
      </c>
      <c r="F600" t="s">
        <v>1088</v>
      </c>
      <c r="G600" s="25">
        <v>44222</v>
      </c>
      <c r="H600">
        <v>6</v>
      </c>
      <c r="I600">
        <v>26</v>
      </c>
      <c r="J600" t="s">
        <v>502</v>
      </c>
      <c r="K600" t="s">
        <v>287</v>
      </c>
      <c r="L600" t="s">
        <v>235</v>
      </c>
      <c r="M600" t="s">
        <v>288</v>
      </c>
      <c r="N600" t="s">
        <v>58</v>
      </c>
      <c r="O600">
        <v>0</v>
      </c>
      <c r="P600" t="s">
        <v>237</v>
      </c>
    </row>
    <row r="601" spans="1:16" x14ac:dyDescent="0.25">
      <c r="A601" t="s">
        <v>2761</v>
      </c>
      <c r="B601">
        <v>1092</v>
      </c>
      <c r="C601" t="s">
        <v>487</v>
      </c>
      <c r="D601" t="s">
        <v>322</v>
      </c>
      <c r="E601" t="s">
        <v>515</v>
      </c>
      <c r="F601" t="s">
        <v>2983</v>
      </c>
      <c r="G601" s="25">
        <v>44287</v>
      </c>
      <c r="H601">
        <v>19</v>
      </c>
      <c r="I601">
        <v>91</v>
      </c>
      <c r="J601" t="s">
        <v>502</v>
      </c>
      <c r="K601" t="s">
        <v>287</v>
      </c>
      <c r="L601" t="s">
        <v>235</v>
      </c>
      <c r="M601" t="s">
        <v>288</v>
      </c>
      <c r="N601" t="s">
        <v>58</v>
      </c>
      <c r="O601">
        <v>24000</v>
      </c>
      <c r="P601" t="s">
        <v>237</v>
      </c>
    </row>
    <row r="602" spans="1:16" x14ac:dyDescent="0.25">
      <c r="A602" t="s">
        <v>685</v>
      </c>
      <c r="B602">
        <v>177</v>
      </c>
      <c r="C602" t="s">
        <v>487</v>
      </c>
      <c r="D602" t="s">
        <v>229</v>
      </c>
      <c r="E602" t="s">
        <v>575</v>
      </c>
      <c r="F602" t="s">
        <v>576</v>
      </c>
      <c r="G602" s="25">
        <v>44211</v>
      </c>
      <c r="H602">
        <v>3</v>
      </c>
      <c r="I602">
        <v>15</v>
      </c>
      <c r="J602" t="s">
        <v>503</v>
      </c>
      <c r="K602" t="s">
        <v>303</v>
      </c>
      <c r="L602" t="s">
        <v>235</v>
      </c>
      <c r="M602" t="s">
        <v>304</v>
      </c>
      <c r="N602" t="s">
        <v>56</v>
      </c>
      <c r="O602">
        <v>0</v>
      </c>
      <c r="P602" t="s">
        <v>237</v>
      </c>
    </row>
    <row r="603" spans="1:16" x14ac:dyDescent="0.25">
      <c r="A603" t="s">
        <v>2033</v>
      </c>
      <c r="B603">
        <v>1171</v>
      </c>
      <c r="C603" t="s">
        <v>487</v>
      </c>
      <c r="D603" t="s">
        <v>322</v>
      </c>
      <c r="E603" t="s">
        <v>552</v>
      </c>
      <c r="F603" t="s">
        <v>3045</v>
      </c>
      <c r="G603" s="25">
        <v>44294</v>
      </c>
      <c r="H603">
        <v>20</v>
      </c>
      <c r="I603">
        <v>98</v>
      </c>
      <c r="J603" t="s">
        <v>503</v>
      </c>
      <c r="K603" t="s">
        <v>303</v>
      </c>
      <c r="L603" t="s">
        <v>235</v>
      </c>
      <c r="M603" t="s">
        <v>304</v>
      </c>
      <c r="N603" t="s">
        <v>56</v>
      </c>
      <c r="O603">
        <v>0</v>
      </c>
      <c r="P603" t="s">
        <v>237</v>
      </c>
    </row>
    <row r="604" spans="1:16" x14ac:dyDescent="0.25">
      <c r="A604" t="s">
        <v>771</v>
      </c>
      <c r="B604">
        <v>190</v>
      </c>
      <c r="C604" t="s">
        <v>487</v>
      </c>
      <c r="D604" t="s">
        <v>229</v>
      </c>
      <c r="E604" t="s">
        <v>620</v>
      </c>
      <c r="F604" t="s">
        <v>621</v>
      </c>
      <c r="G604" s="25">
        <v>44212</v>
      </c>
      <c r="H604">
        <v>4</v>
      </c>
      <c r="I604">
        <v>16</v>
      </c>
      <c r="J604" t="s">
        <v>503</v>
      </c>
      <c r="K604" t="s">
        <v>303</v>
      </c>
      <c r="L604" t="s">
        <v>235</v>
      </c>
      <c r="M604" t="s">
        <v>304</v>
      </c>
      <c r="N604" t="s">
        <v>56</v>
      </c>
      <c r="O604">
        <v>0</v>
      </c>
      <c r="P604" t="s">
        <v>237</v>
      </c>
    </row>
    <row r="605" spans="1:16" x14ac:dyDescent="0.25">
      <c r="A605" t="s">
        <v>1778</v>
      </c>
      <c r="B605">
        <v>1217</v>
      </c>
      <c r="C605" t="s">
        <v>487</v>
      </c>
      <c r="D605" t="s">
        <v>247</v>
      </c>
      <c r="E605" t="s">
        <v>231</v>
      </c>
      <c r="F605" t="s">
        <v>3070</v>
      </c>
      <c r="G605" s="25">
        <v>44298</v>
      </c>
      <c r="H605">
        <v>21</v>
      </c>
      <c r="I605">
        <v>102</v>
      </c>
      <c r="J605" t="s">
        <v>503</v>
      </c>
      <c r="K605" t="s">
        <v>303</v>
      </c>
      <c r="L605" t="s">
        <v>235</v>
      </c>
      <c r="M605" t="s">
        <v>304</v>
      </c>
      <c r="N605" t="s">
        <v>56</v>
      </c>
      <c r="O605">
        <v>0</v>
      </c>
      <c r="P605" t="s">
        <v>237</v>
      </c>
    </row>
    <row r="606" spans="1:16" x14ac:dyDescent="0.25">
      <c r="A606" t="s">
        <v>612</v>
      </c>
      <c r="B606">
        <v>399</v>
      </c>
      <c r="C606" t="s">
        <v>487</v>
      </c>
      <c r="D606" t="s">
        <v>231</v>
      </c>
      <c r="E606" t="s">
        <v>537</v>
      </c>
      <c r="F606" t="s">
        <v>1192</v>
      </c>
      <c r="G606" s="25">
        <v>44230</v>
      </c>
      <c r="H606">
        <v>7</v>
      </c>
      <c r="I606">
        <v>34</v>
      </c>
      <c r="J606" t="s">
        <v>503</v>
      </c>
      <c r="K606" t="s">
        <v>303</v>
      </c>
      <c r="L606" t="s">
        <v>235</v>
      </c>
      <c r="M606" t="s">
        <v>304</v>
      </c>
      <c r="N606" t="s">
        <v>56</v>
      </c>
      <c r="O606">
        <v>0</v>
      </c>
      <c r="P606" t="s">
        <v>237</v>
      </c>
    </row>
    <row r="607" spans="1:16" x14ac:dyDescent="0.25">
      <c r="A607" t="s">
        <v>663</v>
      </c>
      <c r="B607">
        <v>410</v>
      </c>
      <c r="C607" t="s">
        <v>487</v>
      </c>
      <c r="D607" t="s">
        <v>231</v>
      </c>
      <c r="E607" t="s">
        <v>575</v>
      </c>
      <c r="F607" t="s">
        <v>1210</v>
      </c>
      <c r="G607" s="25">
        <v>44231</v>
      </c>
      <c r="H607">
        <v>7</v>
      </c>
      <c r="I607">
        <v>35</v>
      </c>
      <c r="J607" t="s">
        <v>503</v>
      </c>
      <c r="K607" t="s">
        <v>303</v>
      </c>
      <c r="L607" t="s">
        <v>235</v>
      </c>
      <c r="M607" t="s">
        <v>304</v>
      </c>
      <c r="N607" t="s">
        <v>56</v>
      </c>
      <c r="O607">
        <v>0</v>
      </c>
      <c r="P607" t="s">
        <v>237</v>
      </c>
    </row>
    <row r="608" spans="1:16" x14ac:dyDescent="0.25">
      <c r="A608" t="s">
        <v>628</v>
      </c>
      <c r="B608">
        <v>199</v>
      </c>
      <c r="C608" t="s">
        <v>487</v>
      </c>
      <c r="D608" t="s">
        <v>229</v>
      </c>
      <c r="E608" t="s">
        <v>534</v>
      </c>
      <c r="F608" t="s">
        <v>535</v>
      </c>
      <c r="G608" s="25">
        <v>44213</v>
      </c>
      <c r="H608">
        <v>4</v>
      </c>
      <c r="I608">
        <v>17</v>
      </c>
      <c r="J608" t="s">
        <v>503</v>
      </c>
      <c r="K608" t="s">
        <v>303</v>
      </c>
      <c r="L608" t="s">
        <v>235</v>
      </c>
      <c r="M608" t="s">
        <v>304</v>
      </c>
      <c r="N608" t="s">
        <v>56</v>
      </c>
      <c r="O608">
        <v>0</v>
      </c>
      <c r="P608" t="s">
        <v>237</v>
      </c>
    </row>
    <row r="609" spans="1:16" x14ac:dyDescent="0.25">
      <c r="A609" t="s">
        <v>1674</v>
      </c>
      <c r="B609">
        <v>1253</v>
      </c>
      <c r="C609" t="s">
        <v>487</v>
      </c>
      <c r="D609" t="s">
        <v>247</v>
      </c>
      <c r="E609" t="s">
        <v>322</v>
      </c>
      <c r="F609" t="s">
        <v>3083</v>
      </c>
      <c r="G609" s="25">
        <v>44301</v>
      </c>
      <c r="H609">
        <v>21</v>
      </c>
      <c r="I609">
        <v>105</v>
      </c>
      <c r="J609" t="s">
        <v>503</v>
      </c>
      <c r="K609" t="s">
        <v>303</v>
      </c>
      <c r="L609" t="s">
        <v>235</v>
      </c>
      <c r="M609" t="s">
        <v>304</v>
      </c>
      <c r="N609" t="s">
        <v>56</v>
      </c>
      <c r="O609">
        <v>0</v>
      </c>
      <c r="P609" t="s">
        <v>237</v>
      </c>
    </row>
    <row r="610" spans="1:16" x14ac:dyDescent="0.25">
      <c r="A610" t="s">
        <v>1913</v>
      </c>
      <c r="B610">
        <v>509</v>
      </c>
      <c r="C610" t="s">
        <v>487</v>
      </c>
      <c r="D610" t="s">
        <v>256</v>
      </c>
      <c r="E610" t="s">
        <v>256</v>
      </c>
      <c r="F610" t="s">
        <v>1263</v>
      </c>
      <c r="G610" s="25">
        <v>44239</v>
      </c>
      <c r="H610">
        <v>9</v>
      </c>
      <c r="I610">
        <v>43</v>
      </c>
      <c r="J610" t="s">
        <v>503</v>
      </c>
      <c r="K610" t="s">
        <v>303</v>
      </c>
      <c r="L610" t="s">
        <v>235</v>
      </c>
      <c r="M610" t="s">
        <v>304</v>
      </c>
      <c r="N610" t="s">
        <v>56</v>
      </c>
      <c r="O610">
        <v>0</v>
      </c>
      <c r="P610" t="s">
        <v>237</v>
      </c>
    </row>
    <row r="611" spans="1:16" x14ac:dyDescent="0.25">
      <c r="A611" t="s">
        <v>2010</v>
      </c>
      <c r="B611">
        <v>770</v>
      </c>
      <c r="C611" t="s">
        <v>487</v>
      </c>
      <c r="D611" t="s">
        <v>261</v>
      </c>
      <c r="E611" t="s">
        <v>322</v>
      </c>
      <c r="F611" t="s">
        <v>1417</v>
      </c>
      <c r="G611" s="25">
        <v>44261</v>
      </c>
      <c r="H611">
        <v>13</v>
      </c>
      <c r="I611">
        <v>65</v>
      </c>
      <c r="J611" t="s">
        <v>503</v>
      </c>
      <c r="K611" t="s">
        <v>303</v>
      </c>
      <c r="L611" t="s">
        <v>235</v>
      </c>
      <c r="M611" t="s">
        <v>304</v>
      </c>
      <c r="N611" t="s">
        <v>56</v>
      </c>
      <c r="O611">
        <v>0</v>
      </c>
      <c r="P611" t="s">
        <v>237</v>
      </c>
    </row>
    <row r="612" spans="1:16" x14ac:dyDescent="0.25">
      <c r="A612" t="s">
        <v>675</v>
      </c>
      <c r="B612">
        <v>313</v>
      </c>
      <c r="C612" t="s">
        <v>487</v>
      </c>
      <c r="D612" t="s">
        <v>231</v>
      </c>
      <c r="E612" t="s">
        <v>326</v>
      </c>
      <c r="F612" t="s">
        <v>1095</v>
      </c>
      <c r="G612" s="25">
        <v>44223</v>
      </c>
      <c r="H612">
        <v>6</v>
      </c>
      <c r="I612">
        <v>27</v>
      </c>
      <c r="J612" t="s">
        <v>503</v>
      </c>
      <c r="K612" t="s">
        <v>303</v>
      </c>
      <c r="L612" t="s">
        <v>235</v>
      </c>
      <c r="M612" t="s">
        <v>304</v>
      </c>
      <c r="N612" t="s">
        <v>56</v>
      </c>
      <c r="O612">
        <v>0</v>
      </c>
      <c r="P612" t="s">
        <v>237</v>
      </c>
    </row>
    <row r="613" spans="1:16" x14ac:dyDescent="0.25">
      <c r="A613" t="s">
        <v>727</v>
      </c>
      <c r="B613">
        <v>380</v>
      </c>
      <c r="C613" t="s">
        <v>487</v>
      </c>
      <c r="D613" t="s">
        <v>231</v>
      </c>
      <c r="E613" t="s">
        <v>232</v>
      </c>
      <c r="F613" t="s">
        <v>1162</v>
      </c>
      <c r="G613" s="25">
        <v>44228</v>
      </c>
      <c r="H613">
        <v>7</v>
      </c>
      <c r="I613">
        <v>32</v>
      </c>
      <c r="J613" t="s">
        <v>503</v>
      </c>
      <c r="K613" t="s">
        <v>303</v>
      </c>
      <c r="L613" t="s">
        <v>235</v>
      </c>
      <c r="M613" t="s">
        <v>304</v>
      </c>
      <c r="N613" t="s">
        <v>56</v>
      </c>
      <c r="O613">
        <v>0</v>
      </c>
      <c r="P613" t="s">
        <v>237</v>
      </c>
    </row>
    <row r="614" spans="1:16" x14ac:dyDescent="0.25">
      <c r="A614" t="s">
        <v>2814</v>
      </c>
      <c r="B614">
        <v>871</v>
      </c>
      <c r="C614" t="s">
        <v>487</v>
      </c>
      <c r="D614" t="s">
        <v>261</v>
      </c>
      <c r="E614" t="s">
        <v>512</v>
      </c>
      <c r="F614" t="s">
        <v>1518</v>
      </c>
      <c r="G614" s="25">
        <v>44269</v>
      </c>
      <c r="H614">
        <v>15</v>
      </c>
      <c r="I614">
        <v>73</v>
      </c>
      <c r="J614" t="s">
        <v>503</v>
      </c>
      <c r="K614" t="s">
        <v>303</v>
      </c>
      <c r="L614" t="s">
        <v>235</v>
      </c>
      <c r="M614" t="s">
        <v>304</v>
      </c>
      <c r="N614" t="s">
        <v>56</v>
      </c>
      <c r="O614">
        <v>0</v>
      </c>
      <c r="P614" t="s">
        <v>237</v>
      </c>
    </row>
    <row r="615" spans="1:16" x14ac:dyDescent="0.25">
      <c r="A615" t="s">
        <v>2277</v>
      </c>
      <c r="B615">
        <v>817</v>
      </c>
      <c r="C615" t="s">
        <v>487</v>
      </c>
      <c r="D615" t="s">
        <v>261</v>
      </c>
      <c r="E615" t="s">
        <v>371</v>
      </c>
      <c r="F615" t="s">
        <v>1478</v>
      </c>
      <c r="G615" s="25">
        <v>44265</v>
      </c>
      <c r="H615">
        <v>14</v>
      </c>
      <c r="I615">
        <v>69</v>
      </c>
      <c r="J615" t="s">
        <v>503</v>
      </c>
      <c r="K615" t="s">
        <v>303</v>
      </c>
      <c r="L615" t="s">
        <v>235</v>
      </c>
      <c r="M615" t="s">
        <v>304</v>
      </c>
      <c r="N615" t="s">
        <v>56</v>
      </c>
      <c r="O615">
        <v>0</v>
      </c>
      <c r="P615" t="s">
        <v>237</v>
      </c>
    </row>
    <row r="616" spans="1:16" x14ac:dyDescent="0.25">
      <c r="A616" t="s">
        <v>2364</v>
      </c>
      <c r="B616">
        <v>1203</v>
      </c>
      <c r="C616" t="s">
        <v>487</v>
      </c>
      <c r="D616" t="s">
        <v>247</v>
      </c>
      <c r="E616" t="s">
        <v>229</v>
      </c>
      <c r="F616" t="s">
        <v>3063</v>
      </c>
      <c r="G616" s="25">
        <v>44297</v>
      </c>
      <c r="H616">
        <v>21</v>
      </c>
      <c r="I616">
        <v>101</v>
      </c>
      <c r="J616" t="s">
        <v>503</v>
      </c>
      <c r="K616" t="s">
        <v>303</v>
      </c>
      <c r="L616" t="s">
        <v>235</v>
      </c>
      <c r="M616" t="s">
        <v>304</v>
      </c>
      <c r="N616" t="s">
        <v>56</v>
      </c>
      <c r="O616">
        <v>0</v>
      </c>
      <c r="P616" t="s">
        <v>237</v>
      </c>
    </row>
    <row r="617" spans="1:16" x14ac:dyDescent="0.25">
      <c r="A617" t="s">
        <v>2060</v>
      </c>
      <c r="B617">
        <v>786</v>
      </c>
      <c r="C617" t="s">
        <v>487</v>
      </c>
      <c r="D617" t="s">
        <v>261</v>
      </c>
      <c r="E617" t="s">
        <v>247</v>
      </c>
      <c r="F617" t="s">
        <v>1425</v>
      </c>
      <c r="G617" s="25">
        <v>44262</v>
      </c>
      <c r="H617">
        <v>14</v>
      </c>
      <c r="I617">
        <v>66</v>
      </c>
      <c r="J617" t="s">
        <v>503</v>
      </c>
      <c r="K617" t="s">
        <v>303</v>
      </c>
      <c r="L617" t="s">
        <v>235</v>
      </c>
      <c r="M617" t="s">
        <v>304</v>
      </c>
      <c r="N617" t="s">
        <v>56</v>
      </c>
      <c r="O617">
        <v>0</v>
      </c>
      <c r="P617" t="s">
        <v>237</v>
      </c>
    </row>
    <row r="618" spans="1:16" x14ac:dyDescent="0.25">
      <c r="A618" t="s">
        <v>2573</v>
      </c>
      <c r="B618">
        <v>856</v>
      </c>
      <c r="C618" t="s">
        <v>487</v>
      </c>
      <c r="D618" t="s">
        <v>261</v>
      </c>
      <c r="E618" t="s">
        <v>232</v>
      </c>
      <c r="F618" t="s">
        <v>1500</v>
      </c>
      <c r="G618" s="25">
        <v>44268</v>
      </c>
      <c r="H618">
        <v>15</v>
      </c>
      <c r="I618">
        <v>72</v>
      </c>
      <c r="J618" t="s">
        <v>503</v>
      </c>
      <c r="K618" t="s">
        <v>303</v>
      </c>
      <c r="L618" t="s">
        <v>235</v>
      </c>
      <c r="M618" t="s">
        <v>304</v>
      </c>
      <c r="N618" t="s">
        <v>56</v>
      </c>
      <c r="O618">
        <v>0</v>
      </c>
      <c r="P618" t="s">
        <v>237</v>
      </c>
    </row>
    <row r="619" spans="1:16" x14ac:dyDescent="0.25">
      <c r="A619" t="s">
        <v>2615</v>
      </c>
      <c r="B619">
        <v>1239</v>
      </c>
      <c r="C619" t="s">
        <v>487</v>
      </c>
      <c r="D619" t="s">
        <v>247</v>
      </c>
      <c r="E619" t="s">
        <v>261</v>
      </c>
      <c r="F619" t="s">
        <v>3078</v>
      </c>
      <c r="G619" s="25">
        <v>44300</v>
      </c>
      <c r="H619">
        <v>21</v>
      </c>
      <c r="I619">
        <v>104</v>
      </c>
      <c r="J619" t="s">
        <v>503</v>
      </c>
      <c r="K619" t="s">
        <v>303</v>
      </c>
      <c r="L619" t="s">
        <v>235</v>
      </c>
      <c r="M619" t="s">
        <v>304</v>
      </c>
      <c r="N619" t="s">
        <v>56</v>
      </c>
      <c r="O619">
        <v>0</v>
      </c>
      <c r="P619" t="s">
        <v>237</v>
      </c>
    </row>
    <row r="620" spans="1:16" x14ac:dyDescent="0.25">
      <c r="A620" t="s">
        <v>2311</v>
      </c>
      <c r="B620">
        <v>808</v>
      </c>
      <c r="C620" t="s">
        <v>487</v>
      </c>
      <c r="D620" t="s">
        <v>261</v>
      </c>
      <c r="E620" t="s">
        <v>381</v>
      </c>
      <c r="F620" t="s">
        <v>1458</v>
      </c>
      <c r="G620" s="25">
        <v>44264</v>
      </c>
      <c r="H620">
        <v>14</v>
      </c>
      <c r="I620">
        <v>68</v>
      </c>
      <c r="J620" t="s">
        <v>503</v>
      </c>
      <c r="K620" t="s">
        <v>303</v>
      </c>
      <c r="L620" t="s">
        <v>235</v>
      </c>
      <c r="M620" t="s">
        <v>304</v>
      </c>
      <c r="N620" t="s">
        <v>56</v>
      </c>
      <c r="O620">
        <v>0</v>
      </c>
      <c r="P620" t="s">
        <v>237</v>
      </c>
    </row>
    <row r="621" spans="1:16" x14ac:dyDescent="0.25">
      <c r="A621" t="s">
        <v>2917</v>
      </c>
      <c r="B621">
        <v>849</v>
      </c>
      <c r="C621" t="s">
        <v>487</v>
      </c>
      <c r="D621" t="s">
        <v>261</v>
      </c>
      <c r="E621" t="s">
        <v>515</v>
      </c>
      <c r="F621" t="s">
        <v>1493</v>
      </c>
      <c r="G621" s="25">
        <v>44267</v>
      </c>
      <c r="H621">
        <v>15</v>
      </c>
      <c r="I621">
        <v>71</v>
      </c>
      <c r="J621" t="s">
        <v>503</v>
      </c>
      <c r="K621" t="s">
        <v>303</v>
      </c>
      <c r="L621" t="s">
        <v>235</v>
      </c>
      <c r="M621" t="s">
        <v>304</v>
      </c>
      <c r="N621" t="s">
        <v>56</v>
      </c>
      <c r="O621">
        <v>0</v>
      </c>
      <c r="P621" t="s">
        <v>237</v>
      </c>
    </row>
    <row r="622" spans="1:16" x14ac:dyDescent="0.25">
      <c r="A622" t="s">
        <v>1667</v>
      </c>
      <c r="B622">
        <v>1200</v>
      </c>
      <c r="C622" t="s">
        <v>487</v>
      </c>
      <c r="D622" t="s">
        <v>322</v>
      </c>
      <c r="E622" t="s">
        <v>408</v>
      </c>
      <c r="F622" t="s">
        <v>3059</v>
      </c>
      <c r="G622" s="25">
        <v>44296</v>
      </c>
      <c r="H622">
        <v>20</v>
      </c>
      <c r="I622">
        <v>100</v>
      </c>
      <c r="J622" t="s">
        <v>503</v>
      </c>
      <c r="K622" t="s">
        <v>303</v>
      </c>
      <c r="L622" t="s">
        <v>235</v>
      </c>
      <c r="M622" t="s">
        <v>304</v>
      </c>
      <c r="N622" t="s">
        <v>56</v>
      </c>
      <c r="O622">
        <v>14750</v>
      </c>
      <c r="P622" t="s">
        <v>237</v>
      </c>
    </row>
    <row r="623" spans="1:16" x14ac:dyDescent="0.25">
      <c r="A623" t="s">
        <v>2343</v>
      </c>
      <c r="B623">
        <v>801</v>
      </c>
      <c r="C623" t="s">
        <v>487</v>
      </c>
      <c r="D623" t="s">
        <v>261</v>
      </c>
      <c r="E623" t="s">
        <v>326</v>
      </c>
      <c r="F623" t="s">
        <v>1440</v>
      </c>
      <c r="G623" s="25">
        <v>44263</v>
      </c>
      <c r="H623">
        <v>14</v>
      </c>
      <c r="I623">
        <v>67</v>
      </c>
      <c r="J623" t="s">
        <v>503</v>
      </c>
      <c r="K623" t="s">
        <v>303</v>
      </c>
      <c r="L623" t="s">
        <v>235</v>
      </c>
      <c r="M623" t="s">
        <v>304</v>
      </c>
      <c r="N623" t="s">
        <v>56</v>
      </c>
      <c r="O623">
        <v>0</v>
      </c>
      <c r="P623" t="s">
        <v>237</v>
      </c>
    </row>
    <row r="624" spans="1:16" x14ac:dyDescent="0.25">
      <c r="A624" t="s">
        <v>2907</v>
      </c>
      <c r="B624">
        <v>831</v>
      </c>
      <c r="C624" t="s">
        <v>487</v>
      </c>
      <c r="D624" t="s">
        <v>261</v>
      </c>
      <c r="E624" t="s">
        <v>239</v>
      </c>
      <c r="F624" t="s">
        <v>1703</v>
      </c>
      <c r="G624" s="25">
        <v>44266</v>
      </c>
      <c r="H624">
        <v>14</v>
      </c>
      <c r="I624">
        <v>70</v>
      </c>
      <c r="J624" t="s">
        <v>503</v>
      </c>
      <c r="K624" t="s">
        <v>303</v>
      </c>
      <c r="L624" t="s">
        <v>235</v>
      </c>
      <c r="M624" t="s">
        <v>304</v>
      </c>
      <c r="N624" t="s">
        <v>56</v>
      </c>
      <c r="O624">
        <v>0</v>
      </c>
      <c r="P624" t="s">
        <v>237</v>
      </c>
    </row>
    <row r="625" spans="1:16" x14ac:dyDescent="0.25">
      <c r="A625" t="s">
        <v>1696</v>
      </c>
      <c r="B625">
        <v>1232</v>
      </c>
      <c r="C625" t="s">
        <v>487</v>
      </c>
      <c r="D625" t="s">
        <v>247</v>
      </c>
      <c r="E625" t="s">
        <v>256</v>
      </c>
      <c r="F625" t="s">
        <v>3073</v>
      </c>
      <c r="G625" s="25">
        <v>44299</v>
      </c>
      <c r="H625">
        <v>21</v>
      </c>
      <c r="I625">
        <v>103</v>
      </c>
      <c r="J625" t="s">
        <v>503</v>
      </c>
      <c r="K625" t="s">
        <v>303</v>
      </c>
      <c r="L625" t="s">
        <v>235</v>
      </c>
      <c r="M625" t="s">
        <v>304</v>
      </c>
      <c r="N625" t="s">
        <v>56</v>
      </c>
      <c r="O625">
        <v>0</v>
      </c>
      <c r="P625" t="s">
        <v>237</v>
      </c>
    </row>
    <row r="626" spans="1:16" x14ac:dyDescent="0.25">
      <c r="A626" t="s">
        <v>723</v>
      </c>
      <c r="B626">
        <v>391</v>
      </c>
      <c r="C626" t="s">
        <v>487</v>
      </c>
      <c r="D626" t="s">
        <v>231</v>
      </c>
      <c r="E626" t="s">
        <v>512</v>
      </c>
      <c r="F626" t="s">
        <v>1174</v>
      </c>
      <c r="G626" s="25">
        <v>44229</v>
      </c>
      <c r="H626">
        <v>7</v>
      </c>
      <c r="I626">
        <v>33</v>
      </c>
      <c r="J626" t="s">
        <v>503</v>
      </c>
      <c r="K626" t="s">
        <v>303</v>
      </c>
      <c r="L626" t="s">
        <v>235</v>
      </c>
      <c r="M626" t="s">
        <v>304</v>
      </c>
      <c r="N626" t="s">
        <v>56</v>
      </c>
      <c r="O626">
        <v>0</v>
      </c>
      <c r="P626" t="s">
        <v>237</v>
      </c>
    </row>
    <row r="627" spans="1:16" x14ac:dyDescent="0.25">
      <c r="A627" t="s">
        <v>245</v>
      </c>
      <c r="B627">
        <v>63</v>
      </c>
      <c r="C627" t="s">
        <v>487</v>
      </c>
      <c r="D627" t="s">
        <v>229</v>
      </c>
      <c r="E627" t="s">
        <v>247</v>
      </c>
      <c r="F627" t="s">
        <v>524</v>
      </c>
      <c r="G627" s="25">
        <v>44202</v>
      </c>
      <c r="H627">
        <v>2</v>
      </c>
      <c r="I627">
        <v>6</v>
      </c>
      <c r="J627" t="s">
        <v>503</v>
      </c>
      <c r="K627" t="s">
        <v>303</v>
      </c>
      <c r="L627" t="s">
        <v>235</v>
      </c>
      <c r="M627" t="s">
        <v>304</v>
      </c>
      <c r="N627" t="s">
        <v>56</v>
      </c>
      <c r="O627">
        <v>0</v>
      </c>
      <c r="P627" t="s">
        <v>237</v>
      </c>
    </row>
    <row r="628" spans="1:16" x14ac:dyDescent="0.25">
      <c r="A628" t="s">
        <v>1750</v>
      </c>
      <c r="B628">
        <v>1188</v>
      </c>
      <c r="C628" t="s">
        <v>487</v>
      </c>
      <c r="D628" t="s">
        <v>322</v>
      </c>
      <c r="E628" t="s">
        <v>531</v>
      </c>
      <c r="F628" t="s">
        <v>3056</v>
      </c>
      <c r="G628" s="25">
        <v>44295</v>
      </c>
      <c r="H628">
        <v>20</v>
      </c>
      <c r="I628">
        <v>99</v>
      </c>
      <c r="J628" t="s">
        <v>503</v>
      </c>
      <c r="K628" t="s">
        <v>303</v>
      </c>
      <c r="L628" t="s">
        <v>235</v>
      </c>
      <c r="M628" t="s">
        <v>304</v>
      </c>
      <c r="N628" t="s">
        <v>56</v>
      </c>
      <c r="O628">
        <v>15250</v>
      </c>
      <c r="P628" t="s">
        <v>237</v>
      </c>
    </row>
    <row r="629" spans="1:16" x14ac:dyDescent="0.25">
      <c r="A629" t="s">
        <v>2842</v>
      </c>
      <c r="B629">
        <v>503</v>
      </c>
      <c r="C629" t="s">
        <v>487</v>
      </c>
      <c r="D629" t="s">
        <v>256</v>
      </c>
      <c r="E629" t="s">
        <v>231</v>
      </c>
      <c r="F629" t="s">
        <v>1249</v>
      </c>
      <c r="G629" s="25">
        <v>44238</v>
      </c>
      <c r="H629">
        <v>9</v>
      </c>
      <c r="I629">
        <v>42</v>
      </c>
      <c r="J629" t="s">
        <v>503</v>
      </c>
      <c r="K629" t="s">
        <v>303</v>
      </c>
      <c r="L629" t="s">
        <v>235</v>
      </c>
      <c r="M629" t="s">
        <v>304</v>
      </c>
      <c r="N629" t="s">
        <v>56</v>
      </c>
      <c r="O629">
        <v>0</v>
      </c>
      <c r="P629" t="s">
        <v>237</v>
      </c>
    </row>
    <row r="630" spans="1:16" x14ac:dyDescent="0.25">
      <c r="A630" t="s">
        <v>338</v>
      </c>
      <c r="B630">
        <v>75</v>
      </c>
      <c r="C630" t="s">
        <v>487</v>
      </c>
      <c r="D630" t="s">
        <v>229</v>
      </c>
      <c r="E630" t="s">
        <v>326</v>
      </c>
      <c r="F630" t="s">
        <v>522</v>
      </c>
      <c r="G630" s="25">
        <v>44203</v>
      </c>
      <c r="H630">
        <v>2</v>
      </c>
      <c r="I630">
        <v>7</v>
      </c>
      <c r="J630" t="s">
        <v>503</v>
      </c>
      <c r="K630" t="s">
        <v>303</v>
      </c>
      <c r="L630" t="s">
        <v>235</v>
      </c>
      <c r="M630" t="s">
        <v>304</v>
      </c>
      <c r="N630" t="s">
        <v>56</v>
      </c>
      <c r="O630">
        <v>0</v>
      </c>
      <c r="P630" t="s">
        <v>237</v>
      </c>
    </row>
    <row r="631" spans="1:16" x14ac:dyDescent="0.25">
      <c r="A631" t="s">
        <v>2119</v>
      </c>
      <c r="B631">
        <v>657</v>
      </c>
      <c r="C631" t="s">
        <v>487</v>
      </c>
      <c r="D631" t="s">
        <v>256</v>
      </c>
      <c r="E631" t="s">
        <v>575</v>
      </c>
      <c r="F631" t="s">
        <v>1668</v>
      </c>
      <c r="G631" s="25">
        <v>44251</v>
      </c>
      <c r="H631">
        <v>11</v>
      </c>
      <c r="I631">
        <v>55</v>
      </c>
      <c r="J631" t="s">
        <v>503</v>
      </c>
      <c r="K631" t="s">
        <v>303</v>
      </c>
      <c r="L631" t="s">
        <v>235</v>
      </c>
      <c r="M631" t="s">
        <v>304</v>
      </c>
      <c r="N631" t="s">
        <v>56</v>
      </c>
      <c r="O631">
        <v>0</v>
      </c>
      <c r="P631" t="s">
        <v>237</v>
      </c>
    </row>
    <row r="632" spans="1:16" x14ac:dyDescent="0.25">
      <c r="A632" t="s">
        <v>2118</v>
      </c>
      <c r="B632">
        <v>1361</v>
      </c>
      <c r="C632" t="s">
        <v>487</v>
      </c>
      <c r="D632" t="s">
        <v>247</v>
      </c>
      <c r="E632" t="s">
        <v>537</v>
      </c>
      <c r="F632" t="s">
        <v>3153</v>
      </c>
      <c r="G632" s="25">
        <v>44310</v>
      </c>
      <c r="H632">
        <v>23</v>
      </c>
      <c r="I632">
        <v>114</v>
      </c>
      <c r="J632" t="s">
        <v>503</v>
      </c>
      <c r="K632" t="s">
        <v>303</v>
      </c>
      <c r="L632" t="s">
        <v>235</v>
      </c>
      <c r="M632" t="s">
        <v>304</v>
      </c>
      <c r="N632" t="s">
        <v>56</v>
      </c>
      <c r="O632">
        <v>0</v>
      </c>
      <c r="P632" t="s">
        <v>237</v>
      </c>
    </row>
    <row r="633" spans="1:16" x14ac:dyDescent="0.25">
      <c r="A633" t="s">
        <v>809</v>
      </c>
      <c r="B633">
        <v>236</v>
      </c>
      <c r="C633" t="s">
        <v>487</v>
      </c>
      <c r="D633" t="s">
        <v>229</v>
      </c>
      <c r="E633" t="s">
        <v>408</v>
      </c>
      <c r="F633" t="s">
        <v>527</v>
      </c>
      <c r="G633" s="25">
        <v>44216</v>
      </c>
      <c r="H633">
        <v>4</v>
      </c>
      <c r="I633">
        <v>20</v>
      </c>
      <c r="J633" t="s">
        <v>503</v>
      </c>
      <c r="K633" t="s">
        <v>303</v>
      </c>
      <c r="L633" t="s">
        <v>235</v>
      </c>
      <c r="M633" t="s">
        <v>304</v>
      </c>
      <c r="N633" t="s">
        <v>56</v>
      </c>
      <c r="O633">
        <v>0</v>
      </c>
      <c r="P633" t="s">
        <v>237</v>
      </c>
    </row>
    <row r="634" spans="1:16" x14ac:dyDescent="0.25">
      <c r="A634" t="s">
        <v>684</v>
      </c>
      <c r="B634">
        <v>353</v>
      </c>
      <c r="C634" t="s">
        <v>487</v>
      </c>
      <c r="D634" t="s">
        <v>231</v>
      </c>
      <c r="E634" t="s">
        <v>239</v>
      </c>
      <c r="F634" t="s">
        <v>1139</v>
      </c>
      <c r="G634" s="25">
        <v>44226</v>
      </c>
      <c r="H634">
        <v>6</v>
      </c>
      <c r="I634">
        <v>30</v>
      </c>
      <c r="J634" t="s">
        <v>503</v>
      </c>
      <c r="K634" t="s">
        <v>303</v>
      </c>
      <c r="L634" t="s">
        <v>235</v>
      </c>
      <c r="M634" t="s">
        <v>304</v>
      </c>
      <c r="N634" t="s">
        <v>56</v>
      </c>
      <c r="O634">
        <v>0</v>
      </c>
      <c r="P634" t="s">
        <v>237</v>
      </c>
    </row>
    <row r="635" spans="1:16" x14ac:dyDescent="0.25">
      <c r="A635" t="s">
        <v>1639</v>
      </c>
      <c r="B635">
        <v>641</v>
      </c>
      <c r="C635" t="s">
        <v>487</v>
      </c>
      <c r="D635" t="s">
        <v>256</v>
      </c>
      <c r="E635" t="s">
        <v>537</v>
      </c>
      <c r="F635" t="s">
        <v>1348</v>
      </c>
      <c r="G635" s="25">
        <v>44250</v>
      </c>
      <c r="H635">
        <v>11</v>
      </c>
      <c r="I635">
        <v>54</v>
      </c>
      <c r="J635" t="s">
        <v>503</v>
      </c>
      <c r="K635" t="s">
        <v>303</v>
      </c>
      <c r="L635" t="s">
        <v>235</v>
      </c>
      <c r="M635" t="s">
        <v>304</v>
      </c>
      <c r="N635" t="s">
        <v>56</v>
      </c>
      <c r="O635">
        <v>0</v>
      </c>
      <c r="P635" t="s">
        <v>237</v>
      </c>
    </row>
    <row r="636" spans="1:16" x14ac:dyDescent="0.25">
      <c r="A636" t="s">
        <v>840</v>
      </c>
      <c r="B636">
        <v>265</v>
      </c>
      <c r="C636" t="s">
        <v>487</v>
      </c>
      <c r="D636" t="s">
        <v>231</v>
      </c>
      <c r="E636" t="s">
        <v>256</v>
      </c>
      <c r="F636" t="s">
        <v>1064</v>
      </c>
      <c r="G636" s="25">
        <v>44219</v>
      </c>
      <c r="H636">
        <v>5</v>
      </c>
      <c r="I636">
        <v>23</v>
      </c>
      <c r="J636" t="s">
        <v>503</v>
      </c>
      <c r="K636" t="s">
        <v>303</v>
      </c>
      <c r="L636" t="s">
        <v>235</v>
      </c>
      <c r="M636" t="s">
        <v>304</v>
      </c>
      <c r="N636" t="s">
        <v>56</v>
      </c>
      <c r="O636">
        <v>0</v>
      </c>
      <c r="P636" t="s">
        <v>237</v>
      </c>
    </row>
    <row r="637" spans="1:16" x14ac:dyDescent="0.25">
      <c r="A637" t="s">
        <v>1787</v>
      </c>
      <c r="B637">
        <v>1379</v>
      </c>
      <c r="C637" t="s">
        <v>487</v>
      </c>
      <c r="D637" t="s">
        <v>247</v>
      </c>
      <c r="E637" t="s">
        <v>575</v>
      </c>
      <c r="F637" t="s">
        <v>3158</v>
      </c>
      <c r="G637" s="25">
        <v>44311</v>
      </c>
      <c r="H637">
        <v>23</v>
      </c>
      <c r="I637">
        <v>115</v>
      </c>
      <c r="J637" t="s">
        <v>503</v>
      </c>
      <c r="K637" t="s">
        <v>303</v>
      </c>
      <c r="L637" t="s">
        <v>235</v>
      </c>
      <c r="M637" t="s">
        <v>304</v>
      </c>
      <c r="N637" t="s">
        <v>56</v>
      </c>
      <c r="O637">
        <v>3375</v>
      </c>
      <c r="P637" t="s">
        <v>237</v>
      </c>
    </row>
    <row r="638" spans="1:16" x14ac:dyDescent="0.25">
      <c r="A638" t="s">
        <v>704</v>
      </c>
      <c r="B638">
        <v>329</v>
      </c>
      <c r="C638" t="s">
        <v>487</v>
      </c>
      <c r="D638" t="s">
        <v>231</v>
      </c>
      <c r="E638" t="s">
        <v>381</v>
      </c>
      <c r="F638" t="s">
        <v>1099</v>
      </c>
      <c r="G638" s="25">
        <v>44224</v>
      </c>
      <c r="H638">
        <v>6</v>
      </c>
      <c r="I638">
        <v>28</v>
      </c>
      <c r="J638" t="s">
        <v>503</v>
      </c>
      <c r="K638" t="s">
        <v>303</v>
      </c>
      <c r="L638" t="s">
        <v>235</v>
      </c>
      <c r="M638" t="s">
        <v>304</v>
      </c>
      <c r="N638" t="s">
        <v>56</v>
      </c>
      <c r="O638">
        <v>0</v>
      </c>
      <c r="P638" t="s">
        <v>237</v>
      </c>
    </row>
    <row r="639" spans="1:16" x14ac:dyDescent="0.25">
      <c r="A639" t="s">
        <v>808</v>
      </c>
      <c r="B639">
        <v>346</v>
      </c>
      <c r="C639" t="s">
        <v>487</v>
      </c>
      <c r="D639" t="s">
        <v>231</v>
      </c>
      <c r="E639" t="s">
        <v>371</v>
      </c>
      <c r="F639" t="s">
        <v>1124</v>
      </c>
      <c r="G639" s="25">
        <v>44225</v>
      </c>
      <c r="H639">
        <v>6</v>
      </c>
      <c r="I639">
        <v>29</v>
      </c>
      <c r="J639" t="s">
        <v>503</v>
      </c>
      <c r="K639" t="s">
        <v>303</v>
      </c>
      <c r="L639" t="s">
        <v>235</v>
      </c>
      <c r="M639" t="s">
        <v>304</v>
      </c>
      <c r="N639" t="s">
        <v>56</v>
      </c>
      <c r="O639">
        <v>0</v>
      </c>
      <c r="P639" t="s">
        <v>237</v>
      </c>
    </row>
    <row r="640" spans="1:16" x14ac:dyDescent="0.25">
      <c r="A640" t="s">
        <v>2397</v>
      </c>
      <c r="B640">
        <v>560</v>
      </c>
      <c r="C640" t="s">
        <v>487</v>
      </c>
      <c r="D640" t="s">
        <v>256</v>
      </c>
      <c r="E640" t="s">
        <v>326</v>
      </c>
      <c r="F640" t="s">
        <v>1305</v>
      </c>
      <c r="G640" s="25">
        <v>44243</v>
      </c>
      <c r="H640">
        <v>10</v>
      </c>
      <c r="I640">
        <v>47</v>
      </c>
      <c r="J640" t="s">
        <v>503</v>
      </c>
      <c r="K640" t="s">
        <v>303</v>
      </c>
      <c r="L640" t="s">
        <v>235</v>
      </c>
      <c r="M640" t="s">
        <v>304</v>
      </c>
      <c r="N640" t="s">
        <v>56</v>
      </c>
      <c r="O640">
        <v>0</v>
      </c>
      <c r="P640" t="s">
        <v>237</v>
      </c>
    </row>
    <row r="641" spans="1:16" x14ac:dyDescent="0.25">
      <c r="A641" t="s">
        <v>319</v>
      </c>
      <c r="B641">
        <v>15</v>
      </c>
      <c r="C641" t="s">
        <v>487</v>
      </c>
      <c r="D641" t="s">
        <v>229</v>
      </c>
      <c r="E641" t="s">
        <v>231</v>
      </c>
      <c r="F641" t="s">
        <v>568</v>
      </c>
      <c r="G641" s="25">
        <v>44198</v>
      </c>
      <c r="H641">
        <v>1</v>
      </c>
      <c r="I641">
        <v>2</v>
      </c>
      <c r="J641" t="s">
        <v>503</v>
      </c>
      <c r="K641" t="s">
        <v>303</v>
      </c>
      <c r="L641" t="s">
        <v>235</v>
      </c>
      <c r="M641" t="s">
        <v>304</v>
      </c>
      <c r="N641" t="s">
        <v>56</v>
      </c>
      <c r="O641">
        <v>0</v>
      </c>
      <c r="P641" t="s">
        <v>237</v>
      </c>
    </row>
    <row r="642" spans="1:16" x14ac:dyDescent="0.25">
      <c r="A642" t="s">
        <v>2090</v>
      </c>
      <c r="B642">
        <v>1392</v>
      </c>
      <c r="C642" t="s">
        <v>487</v>
      </c>
      <c r="D642" t="s">
        <v>247</v>
      </c>
      <c r="E642" t="s">
        <v>620</v>
      </c>
      <c r="F642" t="s">
        <v>3162</v>
      </c>
      <c r="G642" s="25">
        <v>44312</v>
      </c>
      <c r="H642">
        <v>24</v>
      </c>
      <c r="I642">
        <v>116</v>
      </c>
      <c r="J642" t="s">
        <v>503</v>
      </c>
      <c r="K642" t="s">
        <v>303</v>
      </c>
      <c r="L642" t="s">
        <v>235</v>
      </c>
      <c r="M642" t="s">
        <v>304</v>
      </c>
      <c r="N642" t="s">
        <v>56</v>
      </c>
      <c r="O642">
        <v>24000</v>
      </c>
      <c r="P642" t="s">
        <v>237</v>
      </c>
    </row>
    <row r="643" spans="1:16" x14ac:dyDescent="0.25">
      <c r="A643" t="s">
        <v>2552</v>
      </c>
      <c r="B643">
        <v>625</v>
      </c>
      <c r="C643" t="s">
        <v>487</v>
      </c>
      <c r="D643" t="s">
        <v>256</v>
      </c>
      <c r="E643" t="s">
        <v>512</v>
      </c>
      <c r="F643" t="s">
        <v>1342</v>
      </c>
      <c r="G643" s="25">
        <v>44249</v>
      </c>
      <c r="H643">
        <v>11</v>
      </c>
      <c r="I643">
        <v>53</v>
      </c>
      <c r="J643" t="s">
        <v>503</v>
      </c>
      <c r="K643" t="s">
        <v>303</v>
      </c>
      <c r="L643" t="s">
        <v>235</v>
      </c>
      <c r="M643" t="s">
        <v>304</v>
      </c>
      <c r="N643" t="s">
        <v>56</v>
      </c>
      <c r="O643">
        <v>0</v>
      </c>
      <c r="P643" t="s">
        <v>237</v>
      </c>
    </row>
    <row r="644" spans="1:16" x14ac:dyDescent="0.25">
      <c r="A644" t="s">
        <v>2287</v>
      </c>
      <c r="B644">
        <v>622</v>
      </c>
      <c r="C644" t="s">
        <v>487</v>
      </c>
      <c r="D644" t="s">
        <v>256</v>
      </c>
      <c r="E644" t="s">
        <v>232</v>
      </c>
      <c r="F644" t="s">
        <v>1337</v>
      </c>
      <c r="G644" s="25">
        <v>44248</v>
      </c>
      <c r="H644">
        <v>11</v>
      </c>
      <c r="I644">
        <v>52</v>
      </c>
      <c r="J644" t="s">
        <v>503</v>
      </c>
      <c r="K644" t="s">
        <v>303</v>
      </c>
      <c r="L644" t="s">
        <v>235</v>
      </c>
      <c r="M644" t="s">
        <v>304</v>
      </c>
      <c r="N644" t="s">
        <v>56</v>
      </c>
      <c r="O644">
        <v>0</v>
      </c>
      <c r="P644" t="s">
        <v>237</v>
      </c>
    </row>
    <row r="645" spans="1:16" x14ac:dyDescent="0.25">
      <c r="A645" t="s">
        <v>2319</v>
      </c>
      <c r="B645">
        <v>1403</v>
      </c>
      <c r="C645" t="s">
        <v>487</v>
      </c>
      <c r="D645" t="s">
        <v>247</v>
      </c>
      <c r="E645" t="s">
        <v>534</v>
      </c>
      <c r="F645" t="s">
        <v>3166</v>
      </c>
      <c r="G645" s="25">
        <v>44313</v>
      </c>
      <c r="H645">
        <v>24</v>
      </c>
      <c r="I645">
        <v>117</v>
      </c>
      <c r="J645" t="s">
        <v>503</v>
      </c>
      <c r="K645" t="s">
        <v>303</v>
      </c>
      <c r="L645" t="s">
        <v>235</v>
      </c>
      <c r="M645" t="s">
        <v>304</v>
      </c>
      <c r="N645" t="s">
        <v>56</v>
      </c>
      <c r="O645">
        <v>2625</v>
      </c>
      <c r="P645" t="s">
        <v>237</v>
      </c>
    </row>
    <row r="646" spans="1:16" x14ac:dyDescent="0.25">
      <c r="A646" t="s">
        <v>2757</v>
      </c>
      <c r="B646">
        <v>612</v>
      </c>
      <c r="C646" t="s">
        <v>487</v>
      </c>
      <c r="D646" t="s">
        <v>256</v>
      </c>
      <c r="E646" t="s">
        <v>515</v>
      </c>
      <c r="F646" t="s">
        <v>1329</v>
      </c>
      <c r="G646" s="25">
        <v>44247</v>
      </c>
      <c r="H646">
        <v>11</v>
      </c>
      <c r="I646">
        <v>51</v>
      </c>
      <c r="J646" t="s">
        <v>503</v>
      </c>
      <c r="K646" t="s">
        <v>303</v>
      </c>
      <c r="L646" t="s">
        <v>235</v>
      </c>
      <c r="M646" t="s">
        <v>304</v>
      </c>
      <c r="N646" t="s">
        <v>56</v>
      </c>
      <c r="O646">
        <v>18125</v>
      </c>
      <c r="P646" t="s">
        <v>237</v>
      </c>
    </row>
    <row r="647" spans="1:16" x14ac:dyDescent="0.25">
      <c r="A647" t="s">
        <v>249</v>
      </c>
      <c r="B647">
        <v>10</v>
      </c>
      <c r="C647" t="s">
        <v>487</v>
      </c>
      <c r="D647" t="s">
        <v>229</v>
      </c>
      <c r="E647" t="s">
        <v>229</v>
      </c>
      <c r="F647" t="s">
        <v>230</v>
      </c>
      <c r="G647" s="25">
        <v>44197</v>
      </c>
      <c r="H647">
        <v>1</v>
      </c>
      <c r="I647">
        <v>1</v>
      </c>
      <c r="J647" t="s">
        <v>503</v>
      </c>
      <c r="K647" t="s">
        <v>303</v>
      </c>
      <c r="L647" t="s">
        <v>235</v>
      </c>
      <c r="M647" t="s">
        <v>304</v>
      </c>
      <c r="N647" t="s">
        <v>56</v>
      </c>
      <c r="O647">
        <v>0</v>
      </c>
      <c r="P647" t="s">
        <v>237</v>
      </c>
    </row>
    <row r="648" spans="1:16" x14ac:dyDescent="0.25">
      <c r="A648" t="s">
        <v>689</v>
      </c>
      <c r="B648">
        <v>249</v>
      </c>
      <c r="C648" t="s">
        <v>487</v>
      </c>
      <c r="D648" t="s">
        <v>231</v>
      </c>
      <c r="E648" t="s">
        <v>229</v>
      </c>
      <c r="F648" t="s">
        <v>541</v>
      </c>
      <c r="G648" s="25">
        <v>44217</v>
      </c>
      <c r="H648">
        <v>5</v>
      </c>
      <c r="I648">
        <v>21</v>
      </c>
      <c r="J648" t="s">
        <v>503</v>
      </c>
      <c r="K648" t="s">
        <v>303</v>
      </c>
      <c r="L648" t="s">
        <v>235</v>
      </c>
      <c r="M648" t="s">
        <v>304</v>
      </c>
      <c r="N648" t="s">
        <v>56</v>
      </c>
      <c r="O648">
        <v>0</v>
      </c>
      <c r="P648" t="s">
        <v>237</v>
      </c>
    </row>
    <row r="649" spans="1:16" x14ac:dyDescent="0.25">
      <c r="A649" t="s">
        <v>1780</v>
      </c>
      <c r="B649">
        <v>1415</v>
      </c>
      <c r="C649" t="s">
        <v>487</v>
      </c>
      <c r="D649" t="s">
        <v>247</v>
      </c>
      <c r="E649" t="s">
        <v>552</v>
      </c>
      <c r="F649" t="s">
        <v>3170</v>
      </c>
      <c r="G649" s="25">
        <v>44314</v>
      </c>
      <c r="H649">
        <v>24</v>
      </c>
      <c r="I649">
        <v>118</v>
      </c>
      <c r="J649" t="s">
        <v>503</v>
      </c>
      <c r="K649" t="s">
        <v>303</v>
      </c>
      <c r="L649" t="s">
        <v>235</v>
      </c>
      <c r="M649" t="s">
        <v>304</v>
      </c>
      <c r="N649" t="s">
        <v>56</v>
      </c>
      <c r="O649">
        <v>0</v>
      </c>
      <c r="P649" t="s">
        <v>237</v>
      </c>
    </row>
    <row r="650" spans="1:16" x14ac:dyDescent="0.25">
      <c r="A650" t="s">
        <v>1769</v>
      </c>
      <c r="B650">
        <v>600</v>
      </c>
      <c r="C650" t="s">
        <v>487</v>
      </c>
      <c r="D650" t="s">
        <v>256</v>
      </c>
      <c r="E650" t="s">
        <v>239</v>
      </c>
      <c r="F650" t="s">
        <v>1322</v>
      </c>
      <c r="G650" s="25">
        <v>44246</v>
      </c>
      <c r="H650">
        <v>10</v>
      </c>
      <c r="I650">
        <v>50</v>
      </c>
      <c r="J650" t="s">
        <v>503</v>
      </c>
      <c r="K650" t="s">
        <v>303</v>
      </c>
      <c r="L650" t="s">
        <v>235</v>
      </c>
      <c r="M650" t="s">
        <v>304</v>
      </c>
      <c r="N650" t="s">
        <v>56</v>
      </c>
      <c r="O650">
        <v>24000</v>
      </c>
      <c r="P650" t="s">
        <v>237</v>
      </c>
    </row>
    <row r="651" spans="1:16" x14ac:dyDescent="0.25">
      <c r="A651" t="s">
        <v>1906</v>
      </c>
      <c r="B651">
        <v>1422</v>
      </c>
      <c r="C651" t="s">
        <v>487</v>
      </c>
      <c r="D651" t="s">
        <v>247</v>
      </c>
      <c r="E651" t="s">
        <v>531</v>
      </c>
      <c r="F651" t="s">
        <v>3173</v>
      </c>
      <c r="G651" s="25">
        <v>44315</v>
      </c>
      <c r="H651">
        <v>24</v>
      </c>
      <c r="I651">
        <v>119</v>
      </c>
      <c r="J651" t="s">
        <v>503</v>
      </c>
      <c r="K651" t="s">
        <v>303</v>
      </c>
      <c r="L651" t="s">
        <v>235</v>
      </c>
      <c r="M651" t="s">
        <v>304</v>
      </c>
      <c r="N651" t="s">
        <v>56</v>
      </c>
      <c r="O651">
        <v>0</v>
      </c>
      <c r="P651" t="s">
        <v>237</v>
      </c>
    </row>
    <row r="652" spans="1:16" x14ac:dyDescent="0.25">
      <c r="A652" t="s">
        <v>1755</v>
      </c>
      <c r="B652">
        <v>568</v>
      </c>
      <c r="C652" t="s">
        <v>487</v>
      </c>
      <c r="D652" t="s">
        <v>256</v>
      </c>
      <c r="E652" t="s">
        <v>381</v>
      </c>
      <c r="F652" t="s">
        <v>1311</v>
      </c>
      <c r="G652" s="25">
        <v>44244</v>
      </c>
      <c r="H652">
        <v>10</v>
      </c>
      <c r="I652">
        <v>48</v>
      </c>
      <c r="J652" t="s">
        <v>503</v>
      </c>
      <c r="K652" t="s">
        <v>303</v>
      </c>
      <c r="L652" t="s">
        <v>235</v>
      </c>
      <c r="M652" t="s">
        <v>304</v>
      </c>
      <c r="N652" t="s">
        <v>56</v>
      </c>
      <c r="O652">
        <v>0</v>
      </c>
      <c r="P652" t="s">
        <v>237</v>
      </c>
    </row>
    <row r="653" spans="1:16" x14ac:dyDescent="0.25">
      <c r="A653" t="s">
        <v>823</v>
      </c>
      <c r="B653">
        <v>255</v>
      </c>
      <c r="C653" t="s">
        <v>487</v>
      </c>
      <c r="D653" t="s">
        <v>231</v>
      </c>
      <c r="E653" t="s">
        <v>231</v>
      </c>
      <c r="F653" t="s">
        <v>1080</v>
      </c>
      <c r="G653" s="25">
        <v>44218</v>
      </c>
      <c r="H653">
        <v>5</v>
      </c>
      <c r="I653">
        <v>22</v>
      </c>
      <c r="J653" t="s">
        <v>503</v>
      </c>
      <c r="K653" t="s">
        <v>303</v>
      </c>
      <c r="L653" t="s">
        <v>235</v>
      </c>
      <c r="M653" t="s">
        <v>304</v>
      </c>
      <c r="N653" t="s">
        <v>56</v>
      </c>
      <c r="O653">
        <v>0</v>
      </c>
      <c r="P653" t="s">
        <v>237</v>
      </c>
    </row>
    <row r="654" spans="1:16" x14ac:dyDescent="0.25">
      <c r="A654" t="s">
        <v>1815</v>
      </c>
      <c r="B654">
        <v>1431</v>
      </c>
      <c r="C654" t="s">
        <v>487</v>
      </c>
      <c r="D654" t="s">
        <v>247</v>
      </c>
      <c r="E654" t="s">
        <v>408</v>
      </c>
      <c r="F654" t="s">
        <v>3178</v>
      </c>
      <c r="G654" s="25">
        <v>44316</v>
      </c>
      <c r="H654">
        <v>24</v>
      </c>
      <c r="I654">
        <v>120</v>
      </c>
      <c r="J654" t="s">
        <v>503</v>
      </c>
      <c r="K654" t="s">
        <v>303</v>
      </c>
      <c r="L654" t="s">
        <v>235</v>
      </c>
      <c r="M654" t="s">
        <v>304</v>
      </c>
      <c r="N654" t="s">
        <v>56</v>
      </c>
      <c r="O654">
        <v>0</v>
      </c>
      <c r="P654" t="s">
        <v>237</v>
      </c>
    </row>
    <row r="655" spans="1:16" x14ac:dyDescent="0.25">
      <c r="A655" t="s">
        <v>2848</v>
      </c>
      <c r="B655">
        <v>588</v>
      </c>
      <c r="C655" t="s">
        <v>487</v>
      </c>
      <c r="D655" t="s">
        <v>256</v>
      </c>
      <c r="E655" t="s">
        <v>371</v>
      </c>
      <c r="F655" t="s">
        <v>1318</v>
      </c>
      <c r="G655" s="25">
        <v>44245</v>
      </c>
      <c r="H655">
        <v>10</v>
      </c>
      <c r="I655">
        <v>49</v>
      </c>
      <c r="J655" t="s">
        <v>503</v>
      </c>
      <c r="K655" t="s">
        <v>303</v>
      </c>
      <c r="L655" t="s">
        <v>235</v>
      </c>
      <c r="M655" t="s">
        <v>304</v>
      </c>
      <c r="N655" t="s">
        <v>56</v>
      </c>
      <c r="O655">
        <v>21875</v>
      </c>
      <c r="P655" t="s">
        <v>237</v>
      </c>
    </row>
    <row r="656" spans="1:16" x14ac:dyDescent="0.25">
      <c r="A656" t="s">
        <v>1870</v>
      </c>
      <c r="B656">
        <v>759</v>
      </c>
      <c r="C656" t="s">
        <v>487</v>
      </c>
      <c r="D656" t="s">
        <v>261</v>
      </c>
      <c r="E656" t="s">
        <v>261</v>
      </c>
      <c r="F656" t="s">
        <v>1410</v>
      </c>
      <c r="G656" s="25">
        <v>44260</v>
      </c>
      <c r="H656">
        <v>13</v>
      </c>
      <c r="I656">
        <v>64</v>
      </c>
      <c r="J656" t="s">
        <v>503</v>
      </c>
      <c r="K656" t="s">
        <v>303</v>
      </c>
      <c r="L656" t="s">
        <v>235</v>
      </c>
      <c r="M656" t="s">
        <v>304</v>
      </c>
      <c r="N656" t="s">
        <v>56</v>
      </c>
      <c r="O656">
        <v>0</v>
      </c>
      <c r="P656" t="s">
        <v>237</v>
      </c>
    </row>
    <row r="657" spans="1:16" x14ac:dyDescent="0.25">
      <c r="A657" t="s">
        <v>1842</v>
      </c>
      <c r="B657">
        <v>1271</v>
      </c>
      <c r="C657" t="s">
        <v>487</v>
      </c>
      <c r="D657" t="s">
        <v>247</v>
      </c>
      <c r="E657" t="s">
        <v>247</v>
      </c>
      <c r="F657" t="s">
        <v>3085</v>
      </c>
      <c r="G657" s="25">
        <v>44302</v>
      </c>
      <c r="H657">
        <v>22</v>
      </c>
      <c r="I657">
        <v>106</v>
      </c>
      <c r="J657" t="s">
        <v>503</v>
      </c>
      <c r="K657" t="s">
        <v>303</v>
      </c>
      <c r="L657" t="s">
        <v>235</v>
      </c>
      <c r="M657" t="s">
        <v>304</v>
      </c>
      <c r="N657" t="s">
        <v>56</v>
      </c>
      <c r="O657">
        <v>0</v>
      </c>
      <c r="P657" t="s">
        <v>237</v>
      </c>
    </row>
    <row r="658" spans="1:16" x14ac:dyDescent="0.25">
      <c r="A658" t="s">
        <v>374</v>
      </c>
      <c r="B658">
        <v>51</v>
      </c>
      <c r="C658" t="s">
        <v>487</v>
      </c>
      <c r="D658" t="s">
        <v>229</v>
      </c>
      <c r="E658" t="s">
        <v>322</v>
      </c>
      <c r="F658" t="s">
        <v>529</v>
      </c>
      <c r="G658" s="25">
        <v>44201</v>
      </c>
      <c r="H658">
        <v>1</v>
      </c>
      <c r="I658">
        <v>5</v>
      </c>
      <c r="J658" t="s">
        <v>503</v>
      </c>
      <c r="K658" t="s">
        <v>303</v>
      </c>
      <c r="L658" t="s">
        <v>235</v>
      </c>
      <c r="M658" t="s">
        <v>304</v>
      </c>
      <c r="N658" t="s">
        <v>56</v>
      </c>
      <c r="O658">
        <v>0</v>
      </c>
      <c r="P658" t="s">
        <v>237</v>
      </c>
    </row>
    <row r="659" spans="1:16" x14ac:dyDescent="0.25">
      <c r="A659" t="s">
        <v>2428</v>
      </c>
      <c r="B659">
        <v>524</v>
      </c>
      <c r="C659" t="s">
        <v>487</v>
      </c>
      <c r="D659" t="s">
        <v>256</v>
      </c>
      <c r="E659" t="s">
        <v>261</v>
      </c>
      <c r="F659" t="s">
        <v>1276</v>
      </c>
      <c r="G659" s="25">
        <v>44240</v>
      </c>
      <c r="H659">
        <v>9</v>
      </c>
      <c r="I659">
        <v>44</v>
      </c>
      <c r="J659" t="s">
        <v>503</v>
      </c>
      <c r="K659" t="s">
        <v>303</v>
      </c>
      <c r="L659" t="s">
        <v>235</v>
      </c>
      <c r="M659" t="s">
        <v>304</v>
      </c>
      <c r="N659" t="s">
        <v>56</v>
      </c>
      <c r="O659">
        <v>0</v>
      </c>
      <c r="P659" t="s">
        <v>237</v>
      </c>
    </row>
    <row r="660" spans="1:16" x14ac:dyDescent="0.25">
      <c r="A660" t="s">
        <v>1646</v>
      </c>
      <c r="B660">
        <v>750</v>
      </c>
      <c r="C660" t="s">
        <v>487</v>
      </c>
      <c r="D660" t="s">
        <v>261</v>
      </c>
      <c r="E660" t="s">
        <v>256</v>
      </c>
      <c r="F660" t="s">
        <v>1402</v>
      </c>
      <c r="G660" s="25">
        <v>44259</v>
      </c>
      <c r="H660">
        <v>13</v>
      </c>
      <c r="I660">
        <v>63</v>
      </c>
      <c r="J660" t="s">
        <v>503</v>
      </c>
      <c r="K660" t="s">
        <v>303</v>
      </c>
      <c r="L660" t="s">
        <v>235</v>
      </c>
      <c r="M660" t="s">
        <v>304</v>
      </c>
      <c r="N660" t="s">
        <v>56</v>
      </c>
      <c r="O660">
        <v>0</v>
      </c>
      <c r="P660" t="s">
        <v>237</v>
      </c>
    </row>
    <row r="661" spans="1:16" x14ac:dyDescent="0.25">
      <c r="A661" t="s">
        <v>2286</v>
      </c>
      <c r="B661">
        <v>1281</v>
      </c>
      <c r="C661" t="s">
        <v>487</v>
      </c>
      <c r="D661" t="s">
        <v>247</v>
      </c>
      <c r="E661" t="s">
        <v>326</v>
      </c>
      <c r="F661" t="s">
        <v>3091</v>
      </c>
      <c r="G661" s="25">
        <v>44303</v>
      </c>
      <c r="H661">
        <v>22</v>
      </c>
      <c r="I661">
        <v>107</v>
      </c>
      <c r="J661" t="s">
        <v>503</v>
      </c>
      <c r="K661" t="s">
        <v>303</v>
      </c>
      <c r="L661" t="s">
        <v>235</v>
      </c>
      <c r="M661" t="s">
        <v>304</v>
      </c>
      <c r="N661" t="s">
        <v>56</v>
      </c>
      <c r="O661">
        <v>0</v>
      </c>
      <c r="P661" t="s">
        <v>237</v>
      </c>
    </row>
    <row r="662" spans="1:16" x14ac:dyDescent="0.25">
      <c r="A662" t="s">
        <v>631</v>
      </c>
      <c r="B662">
        <v>210</v>
      </c>
      <c r="C662" t="s">
        <v>487</v>
      </c>
      <c r="D662" t="s">
        <v>229</v>
      </c>
      <c r="E662" t="s">
        <v>552</v>
      </c>
      <c r="F662" t="s">
        <v>553</v>
      </c>
      <c r="G662" s="25">
        <v>44214</v>
      </c>
      <c r="H662">
        <v>4</v>
      </c>
      <c r="I662">
        <v>18</v>
      </c>
      <c r="J662" t="s">
        <v>503</v>
      </c>
      <c r="K662" t="s">
        <v>303</v>
      </c>
      <c r="L662" t="s">
        <v>235</v>
      </c>
      <c r="M662" t="s">
        <v>304</v>
      </c>
      <c r="N662" t="s">
        <v>56</v>
      </c>
      <c r="O662">
        <v>0</v>
      </c>
      <c r="P662" t="s">
        <v>237</v>
      </c>
    </row>
    <row r="663" spans="1:16" x14ac:dyDescent="0.25">
      <c r="A663" t="s">
        <v>2554</v>
      </c>
      <c r="B663">
        <v>736</v>
      </c>
      <c r="C663" t="s">
        <v>487</v>
      </c>
      <c r="D663" t="s">
        <v>261</v>
      </c>
      <c r="E663" t="s">
        <v>231</v>
      </c>
      <c r="F663" t="s">
        <v>1400</v>
      </c>
      <c r="G663" s="25">
        <v>44258</v>
      </c>
      <c r="H663">
        <v>13</v>
      </c>
      <c r="I663">
        <v>62</v>
      </c>
      <c r="J663" t="s">
        <v>503</v>
      </c>
      <c r="K663" t="s">
        <v>303</v>
      </c>
      <c r="L663" t="s">
        <v>235</v>
      </c>
      <c r="M663" t="s">
        <v>304</v>
      </c>
      <c r="N663" t="s">
        <v>56</v>
      </c>
      <c r="O663">
        <v>0</v>
      </c>
      <c r="P663" t="s">
        <v>237</v>
      </c>
    </row>
    <row r="664" spans="1:16" x14ac:dyDescent="0.25">
      <c r="A664" t="s">
        <v>2056</v>
      </c>
      <c r="B664">
        <v>1291</v>
      </c>
      <c r="C664" t="s">
        <v>487</v>
      </c>
      <c r="D664" t="s">
        <v>247</v>
      </c>
      <c r="E664" t="s">
        <v>381</v>
      </c>
      <c r="F664" t="s">
        <v>3107</v>
      </c>
      <c r="G664" s="25">
        <v>44304</v>
      </c>
      <c r="H664">
        <v>22</v>
      </c>
      <c r="I664">
        <v>108</v>
      </c>
      <c r="J664" t="s">
        <v>503</v>
      </c>
      <c r="K664" t="s">
        <v>303</v>
      </c>
      <c r="L664" t="s">
        <v>235</v>
      </c>
      <c r="M664" t="s">
        <v>304</v>
      </c>
      <c r="N664" t="s">
        <v>56</v>
      </c>
      <c r="O664">
        <v>0</v>
      </c>
      <c r="P664" t="s">
        <v>237</v>
      </c>
    </row>
    <row r="665" spans="1:16" x14ac:dyDescent="0.25">
      <c r="A665" t="s">
        <v>2505</v>
      </c>
      <c r="B665">
        <v>532</v>
      </c>
      <c r="C665" t="s">
        <v>487</v>
      </c>
      <c r="D665" t="s">
        <v>256</v>
      </c>
      <c r="E665" t="s">
        <v>322</v>
      </c>
      <c r="F665" t="s">
        <v>1288</v>
      </c>
      <c r="G665" s="25">
        <v>44241</v>
      </c>
      <c r="H665">
        <v>9</v>
      </c>
      <c r="I665">
        <v>45</v>
      </c>
      <c r="J665" t="s">
        <v>503</v>
      </c>
      <c r="K665" t="s">
        <v>303</v>
      </c>
      <c r="L665" t="s">
        <v>235</v>
      </c>
      <c r="M665" t="s">
        <v>304</v>
      </c>
      <c r="N665" t="s">
        <v>56</v>
      </c>
      <c r="O665">
        <v>0</v>
      </c>
      <c r="P665" t="s">
        <v>237</v>
      </c>
    </row>
    <row r="666" spans="1:16" x14ac:dyDescent="0.25">
      <c r="A666" t="s">
        <v>1968</v>
      </c>
      <c r="B666">
        <v>722</v>
      </c>
      <c r="C666" t="s">
        <v>487</v>
      </c>
      <c r="D666" t="s">
        <v>261</v>
      </c>
      <c r="E666" t="s">
        <v>229</v>
      </c>
      <c r="F666" t="s">
        <v>1388</v>
      </c>
      <c r="G666" s="25">
        <v>44257</v>
      </c>
      <c r="H666">
        <v>13</v>
      </c>
      <c r="I666">
        <v>61</v>
      </c>
      <c r="J666" t="s">
        <v>503</v>
      </c>
      <c r="K666" t="s">
        <v>303</v>
      </c>
      <c r="L666" t="s">
        <v>235</v>
      </c>
      <c r="M666" t="s">
        <v>304</v>
      </c>
      <c r="N666" t="s">
        <v>56</v>
      </c>
      <c r="O666">
        <v>0</v>
      </c>
      <c r="P666" t="s">
        <v>237</v>
      </c>
    </row>
    <row r="667" spans="1:16" x14ac:dyDescent="0.25">
      <c r="A667" t="s">
        <v>2079</v>
      </c>
      <c r="B667">
        <v>1302</v>
      </c>
      <c r="C667" t="s">
        <v>487</v>
      </c>
      <c r="D667" t="s">
        <v>247</v>
      </c>
      <c r="E667" t="s">
        <v>371</v>
      </c>
      <c r="F667" t="s">
        <v>3112</v>
      </c>
      <c r="G667" s="25">
        <v>44305</v>
      </c>
      <c r="H667">
        <v>22</v>
      </c>
      <c r="I667">
        <v>109</v>
      </c>
      <c r="J667" t="s">
        <v>503</v>
      </c>
      <c r="K667" t="s">
        <v>303</v>
      </c>
      <c r="L667" t="s">
        <v>235</v>
      </c>
      <c r="M667" t="s">
        <v>304</v>
      </c>
      <c r="N667" t="s">
        <v>56</v>
      </c>
      <c r="O667">
        <v>0</v>
      </c>
      <c r="P667" t="s">
        <v>237</v>
      </c>
    </row>
    <row r="668" spans="1:16" x14ac:dyDescent="0.25">
      <c r="A668" t="s">
        <v>368</v>
      </c>
      <c r="B668">
        <v>42</v>
      </c>
      <c r="C668" t="s">
        <v>487</v>
      </c>
      <c r="D668" t="s">
        <v>229</v>
      </c>
      <c r="E668" t="s">
        <v>261</v>
      </c>
      <c r="F668" t="s">
        <v>549</v>
      </c>
      <c r="G668" s="25">
        <v>44200</v>
      </c>
      <c r="H668">
        <v>1</v>
      </c>
      <c r="I668">
        <v>4</v>
      </c>
      <c r="J668" t="s">
        <v>503</v>
      </c>
      <c r="K668" t="s">
        <v>303</v>
      </c>
      <c r="L668" t="s">
        <v>235</v>
      </c>
      <c r="M668" t="s">
        <v>304</v>
      </c>
      <c r="N668" t="s">
        <v>56</v>
      </c>
      <c r="O668">
        <v>0</v>
      </c>
      <c r="P668" t="s">
        <v>237</v>
      </c>
    </row>
    <row r="669" spans="1:16" x14ac:dyDescent="0.25">
      <c r="A669" t="s">
        <v>2203</v>
      </c>
      <c r="B669">
        <v>717</v>
      </c>
      <c r="C669" t="s">
        <v>487</v>
      </c>
      <c r="D669" t="s">
        <v>256</v>
      </c>
      <c r="E669" t="s">
        <v>408</v>
      </c>
      <c r="F669" t="s">
        <v>1383</v>
      </c>
      <c r="G669" s="25">
        <v>44256</v>
      </c>
      <c r="H669">
        <v>12</v>
      </c>
      <c r="I669">
        <v>60</v>
      </c>
      <c r="J669" t="s">
        <v>503</v>
      </c>
      <c r="K669" t="s">
        <v>303</v>
      </c>
      <c r="L669" t="s">
        <v>235</v>
      </c>
      <c r="M669" t="s">
        <v>304</v>
      </c>
      <c r="N669" t="s">
        <v>56</v>
      </c>
      <c r="O669">
        <v>0</v>
      </c>
      <c r="P669" t="s">
        <v>237</v>
      </c>
    </row>
    <row r="670" spans="1:16" x14ac:dyDescent="0.25">
      <c r="A670" t="s">
        <v>625</v>
      </c>
      <c r="B670">
        <v>222</v>
      </c>
      <c r="C670" t="s">
        <v>487</v>
      </c>
      <c r="D670" t="s">
        <v>229</v>
      </c>
      <c r="E670" t="s">
        <v>531</v>
      </c>
      <c r="F670" t="s">
        <v>532</v>
      </c>
      <c r="G670" s="25">
        <v>44215</v>
      </c>
      <c r="H670">
        <v>4</v>
      </c>
      <c r="I670">
        <v>19</v>
      </c>
      <c r="J670" t="s">
        <v>503</v>
      </c>
      <c r="K670" t="s">
        <v>303</v>
      </c>
      <c r="L670" t="s">
        <v>235</v>
      </c>
      <c r="M670" t="s">
        <v>304</v>
      </c>
      <c r="N670" t="s">
        <v>56</v>
      </c>
      <c r="O670">
        <v>0</v>
      </c>
      <c r="P670" t="s">
        <v>237</v>
      </c>
    </row>
    <row r="671" spans="1:16" x14ac:dyDescent="0.25">
      <c r="A671" t="s">
        <v>2259</v>
      </c>
      <c r="B671">
        <v>702</v>
      </c>
      <c r="C671" t="s">
        <v>487</v>
      </c>
      <c r="D671" t="s">
        <v>256</v>
      </c>
      <c r="E671" t="s">
        <v>531</v>
      </c>
      <c r="F671" t="s">
        <v>1373</v>
      </c>
      <c r="G671" s="25">
        <v>44255</v>
      </c>
      <c r="H671">
        <v>12</v>
      </c>
      <c r="I671">
        <v>59</v>
      </c>
      <c r="J671" t="s">
        <v>503</v>
      </c>
      <c r="K671" t="s">
        <v>303</v>
      </c>
      <c r="L671" t="s">
        <v>235</v>
      </c>
      <c r="M671" t="s">
        <v>304</v>
      </c>
      <c r="N671" t="s">
        <v>56</v>
      </c>
      <c r="O671">
        <v>0</v>
      </c>
      <c r="P671" t="s">
        <v>237</v>
      </c>
    </row>
    <row r="672" spans="1:16" x14ac:dyDescent="0.25">
      <c r="A672" t="s">
        <v>2685</v>
      </c>
      <c r="B672">
        <v>1318</v>
      </c>
      <c r="C672" t="s">
        <v>487</v>
      </c>
      <c r="D672" t="s">
        <v>247</v>
      </c>
      <c r="E672" t="s">
        <v>239</v>
      </c>
      <c r="F672" t="s">
        <v>3118</v>
      </c>
      <c r="G672" s="25">
        <v>44306</v>
      </c>
      <c r="H672">
        <v>22</v>
      </c>
      <c r="I672">
        <v>110</v>
      </c>
      <c r="J672" t="s">
        <v>503</v>
      </c>
      <c r="K672" t="s">
        <v>303</v>
      </c>
      <c r="L672" t="s">
        <v>235</v>
      </c>
      <c r="M672" t="s">
        <v>304</v>
      </c>
      <c r="N672" t="s">
        <v>56</v>
      </c>
      <c r="O672">
        <v>0</v>
      </c>
      <c r="P672" t="s">
        <v>237</v>
      </c>
    </row>
    <row r="673" spans="1:16" x14ac:dyDescent="0.25">
      <c r="A673" t="s">
        <v>2784</v>
      </c>
      <c r="B673">
        <v>692</v>
      </c>
      <c r="C673" t="s">
        <v>487</v>
      </c>
      <c r="D673" t="s">
        <v>256</v>
      </c>
      <c r="E673" t="s">
        <v>552</v>
      </c>
      <c r="F673" t="s">
        <v>1365</v>
      </c>
      <c r="G673" s="25">
        <v>44254</v>
      </c>
      <c r="H673">
        <v>12</v>
      </c>
      <c r="I673">
        <v>58</v>
      </c>
      <c r="J673" t="s">
        <v>503</v>
      </c>
      <c r="K673" t="s">
        <v>303</v>
      </c>
      <c r="L673" t="s">
        <v>235</v>
      </c>
      <c r="M673" t="s">
        <v>304</v>
      </c>
      <c r="N673" t="s">
        <v>56</v>
      </c>
      <c r="O673">
        <v>0</v>
      </c>
      <c r="P673" t="s">
        <v>237</v>
      </c>
    </row>
    <row r="674" spans="1:16" x14ac:dyDescent="0.25">
      <c r="A674" t="s">
        <v>719</v>
      </c>
      <c r="B674">
        <v>365</v>
      </c>
      <c r="C674" t="s">
        <v>487</v>
      </c>
      <c r="D674" t="s">
        <v>231</v>
      </c>
      <c r="E674" t="s">
        <v>515</v>
      </c>
      <c r="F674" t="s">
        <v>1150</v>
      </c>
      <c r="G674" s="25">
        <v>44227</v>
      </c>
      <c r="H674">
        <v>7</v>
      </c>
      <c r="I674">
        <v>31</v>
      </c>
      <c r="J674" t="s">
        <v>503</v>
      </c>
      <c r="K674" t="s">
        <v>303</v>
      </c>
      <c r="L674" t="s">
        <v>235</v>
      </c>
      <c r="M674" t="s">
        <v>304</v>
      </c>
      <c r="N674" t="s">
        <v>56</v>
      </c>
      <c r="O674">
        <v>0</v>
      </c>
      <c r="P674" t="s">
        <v>237</v>
      </c>
    </row>
    <row r="675" spans="1:16" x14ac:dyDescent="0.25">
      <c r="A675" t="s">
        <v>2233</v>
      </c>
      <c r="B675">
        <v>1330</v>
      </c>
      <c r="C675" t="s">
        <v>487</v>
      </c>
      <c r="D675" t="s">
        <v>247</v>
      </c>
      <c r="E675" t="s">
        <v>515</v>
      </c>
      <c r="F675" t="s">
        <v>3134</v>
      </c>
      <c r="G675" s="25">
        <v>44307</v>
      </c>
      <c r="H675">
        <v>23</v>
      </c>
      <c r="I675">
        <v>111</v>
      </c>
      <c r="J675" t="s">
        <v>503</v>
      </c>
      <c r="K675" t="s">
        <v>303</v>
      </c>
      <c r="L675" t="s">
        <v>235</v>
      </c>
      <c r="M675" t="s">
        <v>304</v>
      </c>
      <c r="N675" t="s">
        <v>56</v>
      </c>
      <c r="O675">
        <v>0</v>
      </c>
      <c r="P675" t="s">
        <v>237</v>
      </c>
    </row>
    <row r="676" spans="1:16" x14ac:dyDescent="0.25">
      <c r="A676" t="s">
        <v>2498</v>
      </c>
      <c r="B676">
        <v>542</v>
      </c>
      <c r="C676" t="s">
        <v>487</v>
      </c>
      <c r="D676" t="s">
        <v>256</v>
      </c>
      <c r="E676" t="s">
        <v>247</v>
      </c>
      <c r="F676" t="s">
        <v>1299</v>
      </c>
      <c r="G676" s="25">
        <v>44242</v>
      </c>
      <c r="H676">
        <v>10</v>
      </c>
      <c r="I676">
        <v>46</v>
      </c>
      <c r="J676" t="s">
        <v>503</v>
      </c>
      <c r="K676" t="s">
        <v>303</v>
      </c>
      <c r="L676" t="s">
        <v>235</v>
      </c>
      <c r="M676" t="s">
        <v>304</v>
      </c>
      <c r="N676" t="s">
        <v>56</v>
      </c>
      <c r="O676">
        <v>0</v>
      </c>
      <c r="P676" t="s">
        <v>237</v>
      </c>
    </row>
    <row r="677" spans="1:16" x14ac:dyDescent="0.25">
      <c r="A677" t="s">
        <v>2522</v>
      </c>
      <c r="B677">
        <v>1341</v>
      </c>
      <c r="C677" t="s">
        <v>487</v>
      </c>
      <c r="D677" t="s">
        <v>247</v>
      </c>
      <c r="E677" t="s">
        <v>232</v>
      </c>
      <c r="F677" t="s">
        <v>3140</v>
      </c>
      <c r="G677" s="25">
        <v>44308</v>
      </c>
      <c r="H677">
        <v>23</v>
      </c>
      <c r="I677">
        <v>112</v>
      </c>
      <c r="J677" t="s">
        <v>503</v>
      </c>
      <c r="K677" t="s">
        <v>303</v>
      </c>
      <c r="L677" t="s">
        <v>235</v>
      </c>
      <c r="M677" t="s">
        <v>304</v>
      </c>
      <c r="N677" t="s">
        <v>56</v>
      </c>
      <c r="O677">
        <v>0</v>
      </c>
      <c r="P677" t="s">
        <v>237</v>
      </c>
    </row>
    <row r="678" spans="1:16" x14ac:dyDescent="0.25">
      <c r="A678" t="s">
        <v>2321</v>
      </c>
      <c r="B678">
        <v>673</v>
      </c>
      <c r="C678" t="s">
        <v>487</v>
      </c>
      <c r="D678" t="s">
        <v>256</v>
      </c>
      <c r="E678" t="s">
        <v>534</v>
      </c>
      <c r="F678" t="s">
        <v>1357</v>
      </c>
      <c r="G678" s="25">
        <v>44253</v>
      </c>
      <c r="H678">
        <v>12</v>
      </c>
      <c r="I678">
        <v>57</v>
      </c>
      <c r="J678" t="s">
        <v>503</v>
      </c>
      <c r="K678" t="s">
        <v>303</v>
      </c>
      <c r="L678" t="s">
        <v>235</v>
      </c>
      <c r="M678" t="s">
        <v>304</v>
      </c>
      <c r="N678" t="s">
        <v>56</v>
      </c>
      <c r="O678">
        <v>0</v>
      </c>
      <c r="P678" t="s">
        <v>237</v>
      </c>
    </row>
    <row r="679" spans="1:16" x14ac:dyDescent="0.25">
      <c r="A679" t="s">
        <v>2236</v>
      </c>
      <c r="B679">
        <v>1353</v>
      </c>
      <c r="C679" t="s">
        <v>487</v>
      </c>
      <c r="D679" t="s">
        <v>247</v>
      </c>
      <c r="E679" t="s">
        <v>512</v>
      </c>
      <c r="F679" t="s">
        <v>3146</v>
      </c>
      <c r="G679" s="25">
        <v>44309</v>
      </c>
      <c r="H679">
        <v>23</v>
      </c>
      <c r="I679">
        <v>113</v>
      </c>
      <c r="J679" t="s">
        <v>503</v>
      </c>
      <c r="K679" t="s">
        <v>303</v>
      </c>
      <c r="L679" t="s">
        <v>235</v>
      </c>
      <c r="M679" t="s">
        <v>304</v>
      </c>
      <c r="N679" t="s">
        <v>56</v>
      </c>
      <c r="O679">
        <v>0</v>
      </c>
      <c r="P679" t="s">
        <v>237</v>
      </c>
    </row>
    <row r="680" spans="1:16" x14ac:dyDescent="0.25">
      <c r="A680" t="s">
        <v>1855</v>
      </c>
      <c r="B680">
        <v>665</v>
      </c>
      <c r="C680" t="s">
        <v>487</v>
      </c>
      <c r="D680" t="s">
        <v>256</v>
      </c>
      <c r="E680" t="s">
        <v>620</v>
      </c>
      <c r="F680" t="s">
        <v>1350</v>
      </c>
      <c r="G680" s="25">
        <v>44252</v>
      </c>
      <c r="H680">
        <v>12</v>
      </c>
      <c r="I680">
        <v>56</v>
      </c>
      <c r="J680" t="s">
        <v>503</v>
      </c>
      <c r="K680" t="s">
        <v>303</v>
      </c>
      <c r="L680" t="s">
        <v>235</v>
      </c>
      <c r="M680" t="s">
        <v>304</v>
      </c>
      <c r="N680" t="s">
        <v>56</v>
      </c>
      <c r="O680">
        <v>0</v>
      </c>
      <c r="P680" t="s">
        <v>237</v>
      </c>
    </row>
    <row r="681" spans="1:16" x14ac:dyDescent="0.25">
      <c r="A681" t="s">
        <v>333</v>
      </c>
      <c r="B681">
        <v>25</v>
      </c>
      <c r="C681" t="s">
        <v>487</v>
      </c>
      <c r="D681" t="s">
        <v>229</v>
      </c>
      <c r="E681" t="s">
        <v>256</v>
      </c>
      <c r="F681" t="s">
        <v>525</v>
      </c>
      <c r="G681" s="25">
        <v>44199</v>
      </c>
      <c r="H681">
        <v>1</v>
      </c>
      <c r="I681">
        <v>3</v>
      </c>
      <c r="J681" t="s">
        <v>503</v>
      </c>
      <c r="K681" t="s">
        <v>303</v>
      </c>
      <c r="L681" t="s">
        <v>235</v>
      </c>
      <c r="M681" t="s">
        <v>304</v>
      </c>
      <c r="N681" t="s">
        <v>56</v>
      </c>
      <c r="O681">
        <v>0</v>
      </c>
      <c r="P681" t="s">
        <v>237</v>
      </c>
    </row>
    <row r="682" spans="1:16" x14ac:dyDescent="0.25">
      <c r="A682" t="s">
        <v>316</v>
      </c>
      <c r="B682">
        <v>88</v>
      </c>
      <c r="C682" t="s">
        <v>487</v>
      </c>
      <c r="D682" t="s">
        <v>229</v>
      </c>
      <c r="E682" t="s">
        <v>381</v>
      </c>
      <c r="F682" t="s">
        <v>518</v>
      </c>
      <c r="G682" s="25">
        <v>44204</v>
      </c>
      <c r="H682">
        <v>2</v>
      </c>
      <c r="I682">
        <v>8</v>
      </c>
      <c r="J682" t="s">
        <v>503</v>
      </c>
      <c r="K682" t="s">
        <v>303</v>
      </c>
      <c r="L682" t="s">
        <v>235</v>
      </c>
      <c r="M682" t="s">
        <v>304</v>
      </c>
      <c r="N682" t="s">
        <v>56</v>
      </c>
      <c r="O682">
        <v>0</v>
      </c>
      <c r="P682" t="s">
        <v>237</v>
      </c>
    </row>
    <row r="683" spans="1:16" x14ac:dyDescent="0.25">
      <c r="A683" t="s">
        <v>1792</v>
      </c>
      <c r="B683">
        <v>1117</v>
      </c>
      <c r="C683" t="s">
        <v>487</v>
      </c>
      <c r="D683" t="s">
        <v>322</v>
      </c>
      <c r="E683" t="s">
        <v>537</v>
      </c>
      <c r="F683" t="s">
        <v>2999</v>
      </c>
      <c r="G683" s="25">
        <v>44290</v>
      </c>
      <c r="H683">
        <v>19</v>
      </c>
      <c r="I683">
        <v>94</v>
      </c>
      <c r="J683" t="s">
        <v>503</v>
      </c>
      <c r="K683" t="s">
        <v>303</v>
      </c>
      <c r="L683" t="s">
        <v>235</v>
      </c>
      <c r="M683" t="s">
        <v>304</v>
      </c>
      <c r="N683" t="s">
        <v>56</v>
      </c>
      <c r="O683">
        <v>0</v>
      </c>
      <c r="P683" t="s">
        <v>237</v>
      </c>
    </row>
    <row r="684" spans="1:16" x14ac:dyDescent="0.25">
      <c r="A684" t="s">
        <v>1699</v>
      </c>
      <c r="B684">
        <v>902</v>
      </c>
      <c r="C684" t="s">
        <v>487</v>
      </c>
      <c r="D684" t="s">
        <v>261</v>
      </c>
      <c r="E684" t="s">
        <v>620</v>
      </c>
      <c r="F684" t="s">
        <v>1545</v>
      </c>
      <c r="G684" s="25">
        <v>44272</v>
      </c>
      <c r="H684">
        <v>16</v>
      </c>
      <c r="I684">
        <v>76</v>
      </c>
      <c r="J684" t="s">
        <v>503</v>
      </c>
      <c r="K684" t="s">
        <v>303</v>
      </c>
      <c r="L684" t="s">
        <v>235</v>
      </c>
      <c r="M684" t="s">
        <v>304</v>
      </c>
      <c r="N684" t="s">
        <v>56</v>
      </c>
      <c r="O684">
        <v>0</v>
      </c>
      <c r="P684" t="s">
        <v>237</v>
      </c>
    </row>
    <row r="685" spans="1:16" x14ac:dyDescent="0.25">
      <c r="A685" t="s">
        <v>1826</v>
      </c>
      <c r="B685">
        <v>934</v>
      </c>
      <c r="C685" t="s">
        <v>487</v>
      </c>
      <c r="D685" t="s">
        <v>261</v>
      </c>
      <c r="E685" t="s">
        <v>552</v>
      </c>
      <c r="F685" t="s">
        <v>1585</v>
      </c>
      <c r="G685" s="25">
        <v>44274</v>
      </c>
      <c r="H685">
        <v>16</v>
      </c>
      <c r="I685">
        <v>78</v>
      </c>
      <c r="J685" t="s">
        <v>503</v>
      </c>
      <c r="K685" t="s">
        <v>303</v>
      </c>
      <c r="L685" t="s">
        <v>235</v>
      </c>
      <c r="M685" t="s">
        <v>304</v>
      </c>
      <c r="N685" t="s">
        <v>56</v>
      </c>
      <c r="O685">
        <v>0</v>
      </c>
      <c r="P685" t="s">
        <v>237</v>
      </c>
    </row>
    <row r="686" spans="1:16" x14ac:dyDescent="0.25">
      <c r="A686" t="s">
        <v>1966</v>
      </c>
      <c r="B686">
        <v>1008</v>
      </c>
      <c r="C686" t="s">
        <v>487</v>
      </c>
      <c r="D686" t="s">
        <v>322</v>
      </c>
      <c r="E686" t="s">
        <v>261</v>
      </c>
      <c r="F686" t="s">
        <v>2956</v>
      </c>
      <c r="G686" s="25">
        <v>44280</v>
      </c>
      <c r="H686">
        <v>17</v>
      </c>
      <c r="I686">
        <v>84</v>
      </c>
      <c r="J686" t="s">
        <v>503</v>
      </c>
      <c r="K686" t="s">
        <v>303</v>
      </c>
      <c r="L686" t="s">
        <v>235</v>
      </c>
      <c r="M686" t="s">
        <v>304</v>
      </c>
      <c r="N686" t="s">
        <v>56</v>
      </c>
      <c r="O686">
        <v>18250</v>
      </c>
      <c r="P686" t="s">
        <v>237</v>
      </c>
    </row>
    <row r="687" spans="1:16" x14ac:dyDescent="0.25">
      <c r="A687" t="s">
        <v>720</v>
      </c>
      <c r="B687">
        <v>299</v>
      </c>
      <c r="C687" t="s">
        <v>487</v>
      </c>
      <c r="D687" t="s">
        <v>231</v>
      </c>
      <c r="E687" t="s">
        <v>322</v>
      </c>
      <c r="F687" t="s">
        <v>1085</v>
      </c>
      <c r="G687" s="25">
        <v>44221</v>
      </c>
      <c r="H687">
        <v>5</v>
      </c>
      <c r="I687">
        <v>25</v>
      </c>
      <c r="J687" t="s">
        <v>503</v>
      </c>
      <c r="K687" t="s">
        <v>303</v>
      </c>
      <c r="L687" t="s">
        <v>235</v>
      </c>
      <c r="M687" t="s">
        <v>304</v>
      </c>
      <c r="N687" t="s">
        <v>56</v>
      </c>
      <c r="O687">
        <v>3875</v>
      </c>
      <c r="P687" t="s">
        <v>237</v>
      </c>
    </row>
    <row r="688" spans="1:16" x14ac:dyDescent="0.25">
      <c r="A688" t="s">
        <v>1565</v>
      </c>
      <c r="B688">
        <v>469</v>
      </c>
      <c r="C688" t="s">
        <v>487</v>
      </c>
      <c r="D688" t="s">
        <v>231</v>
      </c>
      <c r="E688" t="s">
        <v>408</v>
      </c>
      <c r="F688" t="s">
        <v>1234</v>
      </c>
      <c r="G688" s="25">
        <v>44236</v>
      </c>
      <c r="H688">
        <v>8</v>
      </c>
      <c r="I688">
        <v>40</v>
      </c>
      <c r="J688" t="s">
        <v>503</v>
      </c>
      <c r="K688" t="s">
        <v>303</v>
      </c>
      <c r="L688" t="s">
        <v>235</v>
      </c>
      <c r="M688" t="s">
        <v>304</v>
      </c>
      <c r="N688" t="s">
        <v>56</v>
      </c>
      <c r="O688">
        <v>0</v>
      </c>
      <c r="P688" t="s">
        <v>237</v>
      </c>
    </row>
    <row r="689" spans="1:16" x14ac:dyDescent="0.25">
      <c r="A689" t="s">
        <v>2845</v>
      </c>
      <c r="B689">
        <v>1053</v>
      </c>
      <c r="C689" t="s">
        <v>487</v>
      </c>
      <c r="D689" t="s">
        <v>322</v>
      </c>
      <c r="E689" t="s">
        <v>381</v>
      </c>
      <c r="F689" t="s">
        <v>2971</v>
      </c>
      <c r="G689" s="25">
        <v>44284</v>
      </c>
      <c r="H689">
        <v>18</v>
      </c>
      <c r="I689">
        <v>88</v>
      </c>
      <c r="J689" t="s">
        <v>503</v>
      </c>
      <c r="K689" t="s">
        <v>303</v>
      </c>
      <c r="L689" t="s">
        <v>235</v>
      </c>
      <c r="M689" t="s">
        <v>304</v>
      </c>
      <c r="N689" t="s">
        <v>56</v>
      </c>
      <c r="O689">
        <v>0</v>
      </c>
      <c r="P689" t="s">
        <v>237</v>
      </c>
    </row>
    <row r="690" spans="1:16" x14ac:dyDescent="0.25">
      <c r="A690" t="s">
        <v>1911</v>
      </c>
      <c r="B690">
        <v>883</v>
      </c>
      <c r="C690" t="s">
        <v>487</v>
      </c>
      <c r="D690" t="s">
        <v>261</v>
      </c>
      <c r="E690" t="s">
        <v>537</v>
      </c>
      <c r="F690" t="s">
        <v>1530</v>
      </c>
      <c r="G690" s="25">
        <v>44270</v>
      </c>
      <c r="H690">
        <v>15</v>
      </c>
      <c r="I690">
        <v>74</v>
      </c>
      <c r="J690" t="s">
        <v>503</v>
      </c>
      <c r="K690" t="s">
        <v>303</v>
      </c>
      <c r="L690" t="s">
        <v>235</v>
      </c>
      <c r="M690" t="s">
        <v>304</v>
      </c>
      <c r="N690" t="s">
        <v>56</v>
      </c>
      <c r="O690">
        <v>0</v>
      </c>
      <c r="P690" t="s">
        <v>237</v>
      </c>
    </row>
    <row r="691" spans="1:16" x14ac:dyDescent="0.25">
      <c r="A691" t="s">
        <v>2716</v>
      </c>
      <c r="B691">
        <v>1146</v>
      </c>
      <c r="C691" t="s">
        <v>487</v>
      </c>
      <c r="D691" t="s">
        <v>322</v>
      </c>
      <c r="E691" t="s">
        <v>620</v>
      </c>
      <c r="F691" t="s">
        <v>3025</v>
      </c>
      <c r="G691" s="25">
        <v>44292</v>
      </c>
      <c r="H691">
        <v>20</v>
      </c>
      <c r="I691">
        <v>96</v>
      </c>
      <c r="J691" t="s">
        <v>503</v>
      </c>
      <c r="K691" t="s">
        <v>303</v>
      </c>
      <c r="L691" t="s">
        <v>235</v>
      </c>
      <c r="M691" t="s">
        <v>304</v>
      </c>
      <c r="N691" t="s">
        <v>56</v>
      </c>
      <c r="O691">
        <v>0</v>
      </c>
      <c r="P691" t="s">
        <v>237</v>
      </c>
    </row>
    <row r="692" spans="1:16" x14ac:dyDescent="0.25">
      <c r="A692" t="s">
        <v>1954</v>
      </c>
      <c r="B692">
        <v>1034</v>
      </c>
      <c r="C692" t="s">
        <v>487</v>
      </c>
      <c r="D692" t="s">
        <v>322</v>
      </c>
      <c r="E692" t="s">
        <v>326</v>
      </c>
      <c r="F692" t="s">
        <v>2967</v>
      </c>
      <c r="G692" s="25">
        <v>44283</v>
      </c>
      <c r="H692">
        <v>18</v>
      </c>
      <c r="I692">
        <v>87</v>
      </c>
      <c r="J692" t="s">
        <v>503</v>
      </c>
      <c r="K692" t="s">
        <v>303</v>
      </c>
      <c r="L692" t="s">
        <v>235</v>
      </c>
      <c r="M692" t="s">
        <v>304</v>
      </c>
      <c r="N692" t="s">
        <v>56</v>
      </c>
      <c r="O692">
        <v>0</v>
      </c>
      <c r="P692" t="s">
        <v>237</v>
      </c>
    </row>
    <row r="693" spans="1:16" x14ac:dyDescent="0.25">
      <c r="A693" t="s">
        <v>1558</v>
      </c>
      <c r="B693">
        <v>466</v>
      </c>
      <c r="C693" t="s">
        <v>487</v>
      </c>
      <c r="D693" t="s">
        <v>231</v>
      </c>
      <c r="E693" t="s">
        <v>531</v>
      </c>
      <c r="F693" t="s">
        <v>1230</v>
      </c>
      <c r="G693" s="25">
        <v>44235</v>
      </c>
      <c r="H693">
        <v>8</v>
      </c>
      <c r="I693">
        <v>39</v>
      </c>
      <c r="J693" t="s">
        <v>503</v>
      </c>
      <c r="K693" t="s">
        <v>303</v>
      </c>
      <c r="L693" t="s">
        <v>235</v>
      </c>
      <c r="M693" t="s">
        <v>304</v>
      </c>
      <c r="N693" t="s">
        <v>56</v>
      </c>
      <c r="O693">
        <v>0</v>
      </c>
      <c r="P693" t="s">
        <v>237</v>
      </c>
    </row>
    <row r="694" spans="1:16" x14ac:dyDescent="0.25">
      <c r="A694" t="s">
        <v>2840</v>
      </c>
      <c r="B694">
        <v>1077</v>
      </c>
      <c r="C694" t="s">
        <v>487</v>
      </c>
      <c r="D694" t="s">
        <v>322</v>
      </c>
      <c r="E694" t="s">
        <v>239</v>
      </c>
      <c r="F694" t="s">
        <v>2979</v>
      </c>
      <c r="G694" s="25">
        <v>44286</v>
      </c>
      <c r="H694">
        <v>18</v>
      </c>
      <c r="I694">
        <v>90</v>
      </c>
      <c r="J694" t="s">
        <v>503</v>
      </c>
      <c r="K694" t="s">
        <v>303</v>
      </c>
      <c r="L694" t="s">
        <v>235</v>
      </c>
      <c r="M694" t="s">
        <v>304</v>
      </c>
      <c r="N694" t="s">
        <v>56</v>
      </c>
      <c r="O694">
        <v>0</v>
      </c>
      <c r="P694" t="s">
        <v>237</v>
      </c>
    </row>
    <row r="695" spans="1:16" x14ac:dyDescent="0.25">
      <c r="A695" t="s">
        <v>252</v>
      </c>
      <c r="B695">
        <v>102</v>
      </c>
      <c r="C695" t="s">
        <v>487</v>
      </c>
      <c r="D695" t="s">
        <v>229</v>
      </c>
      <c r="E695" t="s">
        <v>371</v>
      </c>
      <c r="F695" t="s">
        <v>557</v>
      </c>
      <c r="G695" s="25">
        <v>44205</v>
      </c>
      <c r="H695">
        <v>2</v>
      </c>
      <c r="I695">
        <v>9</v>
      </c>
      <c r="J695" t="s">
        <v>503</v>
      </c>
      <c r="K695" t="s">
        <v>303</v>
      </c>
      <c r="L695" t="s">
        <v>235</v>
      </c>
      <c r="M695" t="s">
        <v>304</v>
      </c>
      <c r="N695" t="s">
        <v>56</v>
      </c>
      <c r="O695">
        <v>0</v>
      </c>
      <c r="P695" t="s">
        <v>237</v>
      </c>
    </row>
    <row r="696" spans="1:16" x14ac:dyDescent="0.25">
      <c r="A696" t="s">
        <v>1797</v>
      </c>
      <c r="B696">
        <v>959</v>
      </c>
      <c r="C696" t="s">
        <v>487</v>
      </c>
      <c r="D696" t="s">
        <v>261</v>
      </c>
      <c r="E696" t="s">
        <v>408</v>
      </c>
      <c r="F696" t="s">
        <v>1595</v>
      </c>
      <c r="G696" s="25">
        <v>44276</v>
      </c>
      <c r="H696">
        <v>16</v>
      </c>
      <c r="I696">
        <v>80</v>
      </c>
      <c r="J696" t="s">
        <v>503</v>
      </c>
      <c r="K696" t="s">
        <v>303</v>
      </c>
      <c r="L696" t="s">
        <v>235</v>
      </c>
      <c r="M696" t="s">
        <v>304</v>
      </c>
      <c r="N696" t="s">
        <v>56</v>
      </c>
      <c r="O696">
        <v>6000</v>
      </c>
      <c r="P696" t="s">
        <v>237</v>
      </c>
    </row>
    <row r="697" spans="1:16" x14ac:dyDescent="0.25">
      <c r="A697" t="s">
        <v>1903</v>
      </c>
      <c r="B697">
        <v>1096</v>
      </c>
      <c r="C697" t="s">
        <v>487</v>
      </c>
      <c r="D697" t="s">
        <v>322</v>
      </c>
      <c r="E697" t="s">
        <v>232</v>
      </c>
      <c r="F697" t="s">
        <v>2987</v>
      </c>
      <c r="G697" s="25">
        <v>44288</v>
      </c>
      <c r="H697">
        <v>19</v>
      </c>
      <c r="I697">
        <v>92</v>
      </c>
      <c r="J697" t="s">
        <v>503</v>
      </c>
      <c r="K697" t="s">
        <v>303</v>
      </c>
      <c r="L697" t="s">
        <v>235</v>
      </c>
      <c r="M697" t="s">
        <v>304</v>
      </c>
      <c r="N697" t="s">
        <v>56</v>
      </c>
      <c r="O697">
        <v>0</v>
      </c>
      <c r="P697" t="s">
        <v>237</v>
      </c>
    </row>
    <row r="698" spans="1:16" x14ac:dyDescent="0.25">
      <c r="A698" t="s">
        <v>642</v>
      </c>
      <c r="B698">
        <v>302</v>
      </c>
      <c r="C698" t="s">
        <v>487</v>
      </c>
      <c r="D698" t="s">
        <v>231</v>
      </c>
      <c r="E698" t="s">
        <v>247</v>
      </c>
      <c r="F698" t="s">
        <v>1088</v>
      </c>
      <c r="G698" s="25">
        <v>44222</v>
      </c>
      <c r="H698">
        <v>6</v>
      </c>
      <c r="I698">
        <v>26</v>
      </c>
      <c r="J698" t="s">
        <v>503</v>
      </c>
      <c r="K698" t="s">
        <v>303</v>
      </c>
      <c r="L698" t="s">
        <v>235</v>
      </c>
      <c r="M698" t="s">
        <v>304</v>
      </c>
      <c r="N698" t="s">
        <v>56</v>
      </c>
      <c r="O698">
        <v>0</v>
      </c>
      <c r="P698" t="s">
        <v>237</v>
      </c>
    </row>
    <row r="699" spans="1:16" x14ac:dyDescent="0.25">
      <c r="A699" t="s">
        <v>2645</v>
      </c>
      <c r="B699">
        <v>1082</v>
      </c>
      <c r="C699" t="s">
        <v>487</v>
      </c>
      <c r="D699" t="s">
        <v>322</v>
      </c>
      <c r="E699" t="s">
        <v>515</v>
      </c>
      <c r="F699" t="s">
        <v>2983</v>
      </c>
      <c r="G699" s="25">
        <v>44287</v>
      </c>
      <c r="H699">
        <v>19</v>
      </c>
      <c r="I699">
        <v>91</v>
      </c>
      <c r="J699" t="s">
        <v>503</v>
      </c>
      <c r="K699" t="s">
        <v>303</v>
      </c>
      <c r="L699" t="s">
        <v>235</v>
      </c>
      <c r="M699" t="s">
        <v>304</v>
      </c>
      <c r="N699" t="s">
        <v>56</v>
      </c>
      <c r="O699">
        <v>0</v>
      </c>
      <c r="P699" t="s">
        <v>237</v>
      </c>
    </row>
    <row r="700" spans="1:16" x14ac:dyDescent="0.25">
      <c r="A700" t="s">
        <v>668</v>
      </c>
      <c r="B700">
        <v>167</v>
      </c>
      <c r="C700" t="s">
        <v>487</v>
      </c>
      <c r="D700" t="s">
        <v>229</v>
      </c>
      <c r="E700" t="s">
        <v>537</v>
      </c>
      <c r="F700" t="s">
        <v>538</v>
      </c>
      <c r="G700" s="25">
        <v>44210</v>
      </c>
      <c r="H700">
        <v>3</v>
      </c>
      <c r="I700">
        <v>14</v>
      </c>
      <c r="J700" t="s">
        <v>503</v>
      </c>
      <c r="K700" t="s">
        <v>303</v>
      </c>
      <c r="L700" t="s">
        <v>235</v>
      </c>
      <c r="M700" t="s">
        <v>304</v>
      </c>
      <c r="N700" t="s">
        <v>56</v>
      </c>
      <c r="O700">
        <v>5000</v>
      </c>
      <c r="P700" t="s">
        <v>237</v>
      </c>
    </row>
    <row r="701" spans="1:16" x14ac:dyDescent="0.25">
      <c r="A701" t="s">
        <v>2662</v>
      </c>
      <c r="B701">
        <v>889</v>
      </c>
      <c r="C701" t="s">
        <v>487</v>
      </c>
      <c r="D701" t="s">
        <v>261</v>
      </c>
      <c r="E701" t="s">
        <v>575</v>
      </c>
      <c r="F701" t="s">
        <v>1537</v>
      </c>
      <c r="G701" s="25">
        <v>44271</v>
      </c>
      <c r="H701">
        <v>15</v>
      </c>
      <c r="I701">
        <v>75</v>
      </c>
      <c r="J701" t="s">
        <v>503</v>
      </c>
      <c r="K701" t="s">
        <v>303</v>
      </c>
      <c r="L701" t="s">
        <v>235</v>
      </c>
      <c r="M701" t="s">
        <v>304</v>
      </c>
      <c r="N701" t="s">
        <v>56</v>
      </c>
      <c r="O701">
        <v>0</v>
      </c>
      <c r="P701" t="s">
        <v>237</v>
      </c>
    </row>
    <row r="702" spans="1:16" x14ac:dyDescent="0.25">
      <c r="A702" t="s">
        <v>1594</v>
      </c>
      <c r="B702">
        <v>482</v>
      </c>
      <c r="C702" t="s">
        <v>487</v>
      </c>
      <c r="D702" t="s">
        <v>256</v>
      </c>
      <c r="E702" t="s">
        <v>229</v>
      </c>
      <c r="F702" t="s">
        <v>1241</v>
      </c>
      <c r="G702" s="25">
        <v>44237</v>
      </c>
      <c r="H702">
        <v>9</v>
      </c>
      <c r="I702">
        <v>41</v>
      </c>
      <c r="J702" t="s">
        <v>503</v>
      </c>
      <c r="K702" t="s">
        <v>303</v>
      </c>
      <c r="L702" t="s">
        <v>235</v>
      </c>
      <c r="M702" t="s">
        <v>304</v>
      </c>
      <c r="N702" t="s">
        <v>56</v>
      </c>
      <c r="O702">
        <v>0</v>
      </c>
      <c r="P702" t="s">
        <v>237</v>
      </c>
    </row>
    <row r="703" spans="1:16" x14ac:dyDescent="0.25">
      <c r="A703" t="s">
        <v>2529</v>
      </c>
      <c r="B703">
        <v>1159</v>
      </c>
      <c r="C703" t="s">
        <v>487</v>
      </c>
      <c r="D703" t="s">
        <v>322</v>
      </c>
      <c r="E703" t="s">
        <v>534</v>
      </c>
      <c r="F703" t="s">
        <v>3031</v>
      </c>
      <c r="G703" s="25">
        <v>44293</v>
      </c>
      <c r="H703">
        <v>20</v>
      </c>
      <c r="I703">
        <v>97</v>
      </c>
      <c r="J703" t="s">
        <v>503</v>
      </c>
      <c r="K703" t="s">
        <v>303</v>
      </c>
      <c r="L703" t="s">
        <v>235</v>
      </c>
      <c r="M703" t="s">
        <v>304</v>
      </c>
      <c r="N703" t="s">
        <v>56</v>
      </c>
      <c r="O703">
        <v>0</v>
      </c>
      <c r="P703" t="s">
        <v>237</v>
      </c>
    </row>
    <row r="704" spans="1:16" x14ac:dyDescent="0.25">
      <c r="A704" t="s">
        <v>2237</v>
      </c>
      <c r="B704">
        <v>1111</v>
      </c>
      <c r="C704" t="s">
        <v>487</v>
      </c>
      <c r="D704" t="s">
        <v>322</v>
      </c>
      <c r="E704" t="s">
        <v>512</v>
      </c>
      <c r="F704" t="s">
        <v>2991</v>
      </c>
      <c r="G704" s="25">
        <v>44289</v>
      </c>
      <c r="H704">
        <v>19</v>
      </c>
      <c r="I704">
        <v>93</v>
      </c>
      <c r="J704" t="s">
        <v>503</v>
      </c>
      <c r="K704" t="s">
        <v>303</v>
      </c>
      <c r="L704" t="s">
        <v>235</v>
      </c>
      <c r="M704" t="s">
        <v>304</v>
      </c>
      <c r="N704" t="s">
        <v>56</v>
      </c>
      <c r="O704">
        <v>0</v>
      </c>
      <c r="P704" t="s">
        <v>237</v>
      </c>
    </row>
    <row r="705" spans="1:16" x14ac:dyDescent="0.25">
      <c r="A705" t="s">
        <v>264</v>
      </c>
      <c r="B705">
        <v>112</v>
      </c>
      <c r="C705" t="s">
        <v>487</v>
      </c>
      <c r="D705" t="s">
        <v>229</v>
      </c>
      <c r="E705" t="s">
        <v>239</v>
      </c>
      <c r="F705" t="s">
        <v>578</v>
      </c>
      <c r="G705" s="25">
        <v>44206</v>
      </c>
      <c r="H705">
        <v>2</v>
      </c>
      <c r="I705">
        <v>10</v>
      </c>
      <c r="J705" t="s">
        <v>503</v>
      </c>
      <c r="K705" t="s">
        <v>303</v>
      </c>
      <c r="L705" t="s">
        <v>235</v>
      </c>
      <c r="M705" t="s">
        <v>304</v>
      </c>
      <c r="N705" t="s">
        <v>56</v>
      </c>
      <c r="O705">
        <v>0</v>
      </c>
      <c r="P705" t="s">
        <v>237</v>
      </c>
    </row>
    <row r="706" spans="1:16" x14ac:dyDescent="0.25">
      <c r="A706" t="s">
        <v>2360</v>
      </c>
      <c r="B706">
        <v>1031</v>
      </c>
      <c r="C706" t="s">
        <v>487</v>
      </c>
      <c r="D706" t="s">
        <v>322</v>
      </c>
      <c r="E706" t="s">
        <v>247</v>
      </c>
      <c r="F706" t="s">
        <v>2963</v>
      </c>
      <c r="G706" s="25">
        <v>44282</v>
      </c>
      <c r="H706">
        <v>18</v>
      </c>
      <c r="I706">
        <v>86</v>
      </c>
      <c r="J706" t="s">
        <v>503</v>
      </c>
      <c r="K706" t="s">
        <v>303</v>
      </c>
      <c r="L706" t="s">
        <v>235</v>
      </c>
      <c r="M706" t="s">
        <v>304</v>
      </c>
      <c r="N706" t="s">
        <v>56</v>
      </c>
      <c r="O706">
        <v>5750</v>
      </c>
      <c r="P706" t="s">
        <v>237</v>
      </c>
    </row>
    <row r="707" spans="1:16" x14ac:dyDescent="0.25">
      <c r="A707" t="s">
        <v>626</v>
      </c>
      <c r="B707">
        <v>156</v>
      </c>
      <c r="C707" t="s">
        <v>487</v>
      </c>
      <c r="D707" t="s">
        <v>229</v>
      </c>
      <c r="E707" t="s">
        <v>512</v>
      </c>
      <c r="F707" t="s">
        <v>513</v>
      </c>
      <c r="G707" s="25">
        <v>44209</v>
      </c>
      <c r="H707">
        <v>3</v>
      </c>
      <c r="I707">
        <v>13</v>
      </c>
      <c r="J707" t="s">
        <v>503</v>
      </c>
      <c r="K707" t="s">
        <v>303</v>
      </c>
      <c r="L707" t="s">
        <v>235</v>
      </c>
      <c r="M707" t="s">
        <v>304</v>
      </c>
      <c r="N707" t="s">
        <v>56</v>
      </c>
      <c r="O707">
        <v>19000</v>
      </c>
      <c r="P707" t="s">
        <v>237</v>
      </c>
    </row>
    <row r="708" spans="1:16" x14ac:dyDescent="0.25">
      <c r="A708" t="s">
        <v>2646</v>
      </c>
      <c r="B708">
        <v>972</v>
      </c>
      <c r="C708" t="s">
        <v>487</v>
      </c>
      <c r="D708" t="s">
        <v>322</v>
      </c>
      <c r="E708" t="s">
        <v>229</v>
      </c>
      <c r="F708" t="s">
        <v>1643</v>
      </c>
      <c r="G708" s="25">
        <v>44277</v>
      </c>
      <c r="H708">
        <v>17</v>
      </c>
      <c r="I708">
        <v>81</v>
      </c>
      <c r="J708" t="s">
        <v>503</v>
      </c>
      <c r="K708" t="s">
        <v>303</v>
      </c>
      <c r="L708" t="s">
        <v>235</v>
      </c>
      <c r="M708" t="s">
        <v>304</v>
      </c>
      <c r="N708" t="s">
        <v>56</v>
      </c>
      <c r="O708">
        <v>24000</v>
      </c>
      <c r="P708" t="s">
        <v>237</v>
      </c>
    </row>
    <row r="709" spans="1:16" x14ac:dyDescent="0.25">
      <c r="A709" t="s">
        <v>2690</v>
      </c>
      <c r="B709">
        <v>946</v>
      </c>
      <c r="C709" t="s">
        <v>487</v>
      </c>
      <c r="D709" t="s">
        <v>261</v>
      </c>
      <c r="E709" t="s">
        <v>531</v>
      </c>
      <c r="F709" t="s">
        <v>1588</v>
      </c>
      <c r="G709" s="25">
        <v>44275</v>
      </c>
      <c r="H709">
        <v>16</v>
      </c>
      <c r="I709">
        <v>79</v>
      </c>
      <c r="J709" t="s">
        <v>503</v>
      </c>
      <c r="K709" t="s">
        <v>303</v>
      </c>
      <c r="L709" t="s">
        <v>235</v>
      </c>
      <c r="M709" t="s">
        <v>304</v>
      </c>
      <c r="N709" t="s">
        <v>56</v>
      </c>
      <c r="O709">
        <v>0</v>
      </c>
      <c r="P709" t="s">
        <v>237</v>
      </c>
    </row>
    <row r="710" spans="1:16" x14ac:dyDescent="0.25">
      <c r="A710" t="s">
        <v>772</v>
      </c>
      <c r="B710">
        <v>431</v>
      </c>
      <c r="C710" t="s">
        <v>487</v>
      </c>
      <c r="D710" t="s">
        <v>231</v>
      </c>
      <c r="E710" t="s">
        <v>620</v>
      </c>
      <c r="F710" t="s">
        <v>1215</v>
      </c>
      <c r="G710" s="25">
        <v>44232</v>
      </c>
      <c r="H710">
        <v>8</v>
      </c>
      <c r="I710">
        <v>36</v>
      </c>
      <c r="J710" t="s">
        <v>503</v>
      </c>
      <c r="K710" t="s">
        <v>303</v>
      </c>
      <c r="L710" t="s">
        <v>235</v>
      </c>
      <c r="M710" t="s">
        <v>304</v>
      </c>
      <c r="N710" t="s">
        <v>56</v>
      </c>
      <c r="O710">
        <v>0</v>
      </c>
      <c r="P710" t="s">
        <v>237</v>
      </c>
    </row>
    <row r="711" spans="1:16" x14ac:dyDescent="0.25">
      <c r="A711" t="s">
        <v>300</v>
      </c>
      <c r="B711">
        <v>134</v>
      </c>
      <c r="C711" t="s">
        <v>487</v>
      </c>
      <c r="D711" t="s">
        <v>229</v>
      </c>
      <c r="E711" t="s">
        <v>232</v>
      </c>
      <c r="F711" t="s">
        <v>520</v>
      </c>
      <c r="G711" s="25">
        <v>44208</v>
      </c>
      <c r="H711">
        <v>3</v>
      </c>
      <c r="I711">
        <v>12</v>
      </c>
      <c r="J711" t="s">
        <v>503</v>
      </c>
      <c r="K711" t="s">
        <v>303</v>
      </c>
      <c r="L711" t="s">
        <v>235</v>
      </c>
      <c r="M711" t="s">
        <v>304</v>
      </c>
      <c r="N711" t="s">
        <v>56</v>
      </c>
      <c r="O711">
        <v>0</v>
      </c>
      <c r="P711" t="s">
        <v>237</v>
      </c>
    </row>
    <row r="712" spans="1:16" x14ac:dyDescent="0.25">
      <c r="A712" t="s">
        <v>816</v>
      </c>
      <c r="B712">
        <v>440</v>
      </c>
      <c r="C712" t="s">
        <v>487</v>
      </c>
      <c r="D712" t="s">
        <v>231</v>
      </c>
      <c r="E712" t="s">
        <v>534</v>
      </c>
      <c r="F712" t="s">
        <v>1731</v>
      </c>
      <c r="G712" s="25">
        <v>44233</v>
      </c>
      <c r="H712">
        <v>8</v>
      </c>
      <c r="I712">
        <v>37</v>
      </c>
      <c r="J712" t="s">
        <v>503</v>
      </c>
      <c r="K712" t="s">
        <v>303</v>
      </c>
      <c r="L712" t="s">
        <v>235</v>
      </c>
      <c r="M712" t="s">
        <v>304</v>
      </c>
      <c r="N712" t="s">
        <v>56</v>
      </c>
      <c r="O712">
        <v>0</v>
      </c>
      <c r="P712" t="s">
        <v>237</v>
      </c>
    </row>
    <row r="713" spans="1:16" x14ac:dyDescent="0.25">
      <c r="A713" t="s">
        <v>1833</v>
      </c>
      <c r="B713">
        <v>983</v>
      </c>
      <c r="C713" t="s">
        <v>487</v>
      </c>
      <c r="D713" t="s">
        <v>322</v>
      </c>
      <c r="E713" t="s">
        <v>231</v>
      </c>
      <c r="F713" t="s">
        <v>2945</v>
      </c>
      <c r="G713" s="25">
        <v>44278</v>
      </c>
      <c r="H713">
        <v>17</v>
      </c>
      <c r="I713">
        <v>82</v>
      </c>
      <c r="J713" t="s">
        <v>503</v>
      </c>
      <c r="K713" t="s">
        <v>303</v>
      </c>
      <c r="L713" t="s">
        <v>235</v>
      </c>
      <c r="M713" t="s">
        <v>304</v>
      </c>
      <c r="N713" t="s">
        <v>56</v>
      </c>
      <c r="O713">
        <v>8000</v>
      </c>
      <c r="P713" t="s">
        <v>237</v>
      </c>
    </row>
    <row r="714" spans="1:16" x14ac:dyDescent="0.25">
      <c r="A714" t="s">
        <v>2202</v>
      </c>
      <c r="B714">
        <v>1020</v>
      </c>
      <c r="C714" t="s">
        <v>487</v>
      </c>
      <c r="D714" t="s">
        <v>322</v>
      </c>
      <c r="E714" t="s">
        <v>322</v>
      </c>
      <c r="F714" t="s">
        <v>2960</v>
      </c>
      <c r="G714" s="25">
        <v>44281</v>
      </c>
      <c r="H714">
        <v>17</v>
      </c>
      <c r="I714">
        <v>85</v>
      </c>
      <c r="J714" t="s">
        <v>503</v>
      </c>
      <c r="K714" t="s">
        <v>303</v>
      </c>
      <c r="L714" t="s">
        <v>235</v>
      </c>
      <c r="M714" t="s">
        <v>304</v>
      </c>
      <c r="N714" t="s">
        <v>56</v>
      </c>
      <c r="O714">
        <v>24000</v>
      </c>
      <c r="P714" t="s">
        <v>237</v>
      </c>
    </row>
    <row r="715" spans="1:16" x14ac:dyDescent="0.25">
      <c r="A715" t="s">
        <v>2732</v>
      </c>
      <c r="B715">
        <v>1134</v>
      </c>
      <c r="C715" t="s">
        <v>487</v>
      </c>
      <c r="D715" t="s">
        <v>322</v>
      </c>
      <c r="E715" t="s">
        <v>575</v>
      </c>
      <c r="F715" t="s">
        <v>3014</v>
      </c>
      <c r="G715" s="25">
        <v>44291</v>
      </c>
      <c r="H715">
        <v>19</v>
      </c>
      <c r="I715">
        <v>95</v>
      </c>
      <c r="J715" t="s">
        <v>503</v>
      </c>
      <c r="K715" t="s">
        <v>303</v>
      </c>
      <c r="L715" t="s">
        <v>235</v>
      </c>
      <c r="M715" t="s">
        <v>304</v>
      </c>
      <c r="N715" t="s">
        <v>56</v>
      </c>
      <c r="O715">
        <v>0</v>
      </c>
      <c r="P715" t="s">
        <v>237</v>
      </c>
    </row>
    <row r="716" spans="1:16" x14ac:dyDescent="0.25">
      <c r="A716" t="s">
        <v>2664</v>
      </c>
      <c r="B716">
        <v>1067</v>
      </c>
      <c r="C716" t="s">
        <v>487</v>
      </c>
      <c r="D716" t="s">
        <v>322</v>
      </c>
      <c r="E716" t="s">
        <v>371</v>
      </c>
      <c r="F716" t="s">
        <v>2976</v>
      </c>
      <c r="G716" s="25">
        <v>44285</v>
      </c>
      <c r="H716">
        <v>18</v>
      </c>
      <c r="I716">
        <v>89</v>
      </c>
      <c r="J716" t="s">
        <v>503</v>
      </c>
      <c r="K716" t="s">
        <v>303</v>
      </c>
      <c r="L716" t="s">
        <v>235</v>
      </c>
      <c r="M716" t="s">
        <v>304</v>
      </c>
      <c r="N716" t="s">
        <v>56</v>
      </c>
      <c r="O716">
        <v>0</v>
      </c>
      <c r="P716" t="s">
        <v>237</v>
      </c>
    </row>
    <row r="717" spans="1:16" x14ac:dyDescent="0.25">
      <c r="A717" t="s">
        <v>240</v>
      </c>
      <c r="B717">
        <v>122</v>
      </c>
      <c r="C717" t="s">
        <v>487</v>
      </c>
      <c r="D717" t="s">
        <v>229</v>
      </c>
      <c r="E717" t="s">
        <v>515</v>
      </c>
      <c r="F717" t="s">
        <v>516</v>
      </c>
      <c r="G717" s="25">
        <v>44207</v>
      </c>
      <c r="H717">
        <v>3</v>
      </c>
      <c r="I717">
        <v>11</v>
      </c>
      <c r="J717" t="s">
        <v>503</v>
      </c>
      <c r="K717" t="s">
        <v>303</v>
      </c>
      <c r="L717" t="s">
        <v>235</v>
      </c>
      <c r="M717" t="s">
        <v>304</v>
      </c>
      <c r="N717" t="s">
        <v>56</v>
      </c>
      <c r="O717">
        <v>0</v>
      </c>
      <c r="P717" t="s">
        <v>237</v>
      </c>
    </row>
    <row r="718" spans="1:16" x14ac:dyDescent="0.25">
      <c r="A718" t="s">
        <v>1835</v>
      </c>
      <c r="B718">
        <v>918</v>
      </c>
      <c r="C718" t="s">
        <v>487</v>
      </c>
      <c r="D718" t="s">
        <v>261</v>
      </c>
      <c r="E718" t="s">
        <v>534</v>
      </c>
      <c r="F718" t="s">
        <v>1563</v>
      </c>
      <c r="G718" s="25">
        <v>44273</v>
      </c>
      <c r="H718">
        <v>16</v>
      </c>
      <c r="I718">
        <v>77</v>
      </c>
      <c r="J718" t="s">
        <v>503</v>
      </c>
      <c r="K718" t="s">
        <v>303</v>
      </c>
      <c r="L718" t="s">
        <v>235</v>
      </c>
      <c r="M718" t="s">
        <v>304</v>
      </c>
      <c r="N718" t="s">
        <v>56</v>
      </c>
      <c r="O718">
        <v>0</v>
      </c>
      <c r="P718" t="s">
        <v>237</v>
      </c>
    </row>
    <row r="719" spans="1:16" x14ac:dyDescent="0.25">
      <c r="A719" t="s">
        <v>2849</v>
      </c>
      <c r="B719">
        <v>988</v>
      </c>
      <c r="C719" t="s">
        <v>487</v>
      </c>
      <c r="D719" t="s">
        <v>322</v>
      </c>
      <c r="E719" t="s">
        <v>256</v>
      </c>
      <c r="F719" t="s">
        <v>2952</v>
      </c>
      <c r="G719" s="25">
        <v>44279</v>
      </c>
      <c r="H719">
        <v>17</v>
      </c>
      <c r="I719">
        <v>83</v>
      </c>
      <c r="J719" t="s">
        <v>503</v>
      </c>
      <c r="K719" t="s">
        <v>303</v>
      </c>
      <c r="L719" t="s">
        <v>235</v>
      </c>
      <c r="M719" t="s">
        <v>304</v>
      </c>
      <c r="N719" t="s">
        <v>56</v>
      </c>
      <c r="O719">
        <v>0</v>
      </c>
      <c r="P719" t="s">
        <v>237</v>
      </c>
    </row>
    <row r="720" spans="1:16" x14ac:dyDescent="0.25">
      <c r="A720" t="s">
        <v>682</v>
      </c>
      <c r="B720">
        <v>288</v>
      </c>
      <c r="C720" t="s">
        <v>487</v>
      </c>
      <c r="D720" t="s">
        <v>231</v>
      </c>
      <c r="E720" t="s">
        <v>261</v>
      </c>
      <c r="F720" t="s">
        <v>1065</v>
      </c>
      <c r="G720" s="25">
        <v>44220</v>
      </c>
      <c r="H720">
        <v>5</v>
      </c>
      <c r="I720">
        <v>24</v>
      </c>
      <c r="J720" t="s">
        <v>503</v>
      </c>
      <c r="K720" t="s">
        <v>303</v>
      </c>
      <c r="L720" t="s">
        <v>235</v>
      </c>
      <c r="M720" t="s">
        <v>304</v>
      </c>
      <c r="N720" t="s">
        <v>56</v>
      </c>
      <c r="O720">
        <v>20125</v>
      </c>
      <c r="P720" t="s">
        <v>237</v>
      </c>
    </row>
    <row r="721" spans="1:16" x14ac:dyDescent="0.25">
      <c r="A721" t="s">
        <v>540</v>
      </c>
      <c r="B721">
        <v>446</v>
      </c>
      <c r="C721" t="s">
        <v>487</v>
      </c>
      <c r="D721" t="s">
        <v>231</v>
      </c>
      <c r="E721" t="s">
        <v>552</v>
      </c>
      <c r="F721" t="s">
        <v>1222</v>
      </c>
      <c r="G721" s="25">
        <v>44234</v>
      </c>
      <c r="H721">
        <v>8</v>
      </c>
      <c r="I721">
        <v>38</v>
      </c>
      <c r="J721" t="s">
        <v>503</v>
      </c>
      <c r="K721" t="s">
        <v>303</v>
      </c>
      <c r="L721" t="s">
        <v>235</v>
      </c>
      <c r="M721" t="s">
        <v>304</v>
      </c>
      <c r="N721" t="s">
        <v>56</v>
      </c>
      <c r="O721">
        <v>0</v>
      </c>
      <c r="P721" t="s">
        <v>237</v>
      </c>
    </row>
    <row r="722" spans="1:16" x14ac:dyDescent="0.25">
      <c r="A722" t="s">
        <v>2678</v>
      </c>
      <c r="B722">
        <v>1225</v>
      </c>
      <c r="C722" t="s">
        <v>487</v>
      </c>
      <c r="D722" t="s">
        <v>247</v>
      </c>
      <c r="E722" t="s">
        <v>256</v>
      </c>
      <c r="F722" t="s">
        <v>3073</v>
      </c>
      <c r="G722" s="25">
        <v>44299</v>
      </c>
      <c r="H722">
        <v>21</v>
      </c>
      <c r="I722">
        <v>103</v>
      </c>
      <c r="J722" t="s">
        <v>504</v>
      </c>
      <c r="K722" t="s">
        <v>43</v>
      </c>
      <c r="L722" t="s">
        <v>21</v>
      </c>
      <c r="M722" t="s">
        <v>236</v>
      </c>
      <c r="N722" t="s">
        <v>42</v>
      </c>
      <c r="O722">
        <v>0</v>
      </c>
      <c r="P722" t="s">
        <v>237</v>
      </c>
    </row>
    <row r="723" spans="1:16" x14ac:dyDescent="0.25">
      <c r="A723" t="s">
        <v>2102</v>
      </c>
      <c r="B723">
        <v>1021</v>
      </c>
      <c r="C723" t="s">
        <v>487</v>
      </c>
      <c r="D723" t="s">
        <v>322</v>
      </c>
      <c r="E723" t="s">
        <v>247</v>
      </c>
      <c r="F723" t="s">
        <v>2963</v>
      </c>
      <c r="G723" s="25">
        <v>44282</v>
      </c>
      <c r="H723">
        <v>18</v>
      </c>
      <c r="I723">
        <v>86</v>
      </c>
      <c r="J723" t="s">
        <v>504</v>
      </c>
      <c r="K723" t="s">
        <v>43</v>
      </c>
      <c r="L723" t="s">
        <v>21</v>
      </c>
      <c r="M723" t="s">
        <v>236</v>
      </c>
      <c r="N723" t="s">
        <v>42</v>
      </c>
      <c r="O723">
        <v>0</v>
      </c>
      <c r="P723" t="s">
        <v>237</v>
      </c>
    </row>
    <row r="724" spans="1:16" x14ac:dyDescent="0.25">
      <c r="A724" t="s">
        <v>2547</v>
      </c>
      <c r="B724">
        <v>1343</v>
      </c>
      <c r="C724" t="s">
        <v>487</v>
      </c>
      <c r="D724" t="s">
        <v>247</v>
      </c>
      <c r="E724" t="s">
        <v>232</v>
      </c>
      <c r="F724" t="s">
        <v>3140</v>
      </c>
      <c r="G724" s="25">
        <v>44308</v>
      </c>
      <c r="H724">
        <v>23</v>
      </c>
      <c r="I724">
        <v>112</v>
      </c>
      <c r="J724" t="s">
        <v>504</v>
      </c>
      <c r="K724" t="s">
        <v>43</v>
      </c>
      <c r="L724" t="s">
        <v>21</v>
      </c>
      <c r="M724" t="s">
        <v>236</v>
      </c>
      <c r="N724" t="s">
        <v>42</v>
      </c>
      <c r="O724">
        <v>0</v>
      </c>
      <c r="P724" t="s">
        <v>237</v>
      </c>
    </row>
    <row r="725" spans="1:16" x14ac:dyDescent="0.25">
      <c r="A725" t="s">
        <v>378</v>
      </c>
      <c r="B725">
        <v>92</v>
      </c>
      <c r="C725" t="s">
        <v>487</v>
      </c>
      <c r="D725" t="s">
        <v>229</v>
      </c>
      <c r="E725" t="s">
        <v>381</v>
      </c>
      <c r="F725" t="s">
        <v>518</v>
      </c>
      <c r="G725" s="25">
        <v>44204</v>
      </c>
      <c r="H725">
        <v>2</v>
      </c>
      <c r="I725">
        <v>8</v>
      </c>
      <c r="J725" t="s">
        <v>504</v>
      </c>
      <c r="K725" t="s">
        <v>43</v>
      </c>
      <c r="L725" t="s">
        <v>21</v>
      </c>
      <c r="M725" t="s">
        <v>236</v>
      </c>
      <c r="N725" t="s">
        <v>42</v>
      </c>
      <c r="O725">
        <v>0</v>
      </c>
      <c r="P725" t="s">
        <v>237</v>
      </c>
    </row>
    <row r="726" spans="1:16" x14ac:dyDescent="0.25">
      <c r="A726" t="s">
        <v>2171</v>
      </c>
      <c r="B726">
        <v>1265</v>
      </c>
      <c r="C726" t="s">
        <v>487</v>
      </c>
      <c r="D726" t="s">
        <v>247</v>
      </c>
      <c r="E726" t="s">
        <v>247</v>
      </c>
      <c r="F726" t="s">
        <v>3085</v>
      </c>
      <c r="G726" s="25">
        <v>44302</v>
      </c>
      <c r="H726">
        <v>22</v>
      </c>
      <c r="I726">
        <v>106</v>
      </c>
      <c r="J726" t="s">
        <v>504</v>
      </c>
      <c r="K726" t="s">
        <v>43</v>
      </c>
      <c r="L726" t="s">
        <v>21</v>
      </c>
      <c r="M726" t="s">
        <v>236</v>
      </c>
      <c r="N726" t="s">
        <v>42</v>
      </c>
      <c r="O726">
        <v>0</v>
      </c>
      <c r="P726" t="s">
        <v>237</v>
      </c>
    </row>
    <row r="727" spans="1:16" x14ac:dyDescent="0.25">
      <c r="A727" t="s">
        <v>1652</v>
      </c>
      <c r="B727">
        <v>1220</v>
      </c>
      <c r="C727" t="s">
        <v>487</v>
      </c>
      <c r="D727" t="s">
        <v>247</v>
      </c>
      <c r="E727" t="s">
        <v>231</v>
      </c>
      <c r="F727" t="s">
        <v>3070</v>
      </c>
      <c r="G727" s="25">
        <v>44298</v>
      </c>
      <c r="H727">
        <v>21</v>
      </c>
      <c r="I727">
        <v>102</v>
      </c>
      <c r="J727" t="s">
        <v>504</v>
      </c>
      <c r="K727" t="s">
        <v>43</v>
      </c>
      <c r="L727" t="s">
        <v>21</v>
      </c>
      <c r="M727" t="s">
        <v>236</v>
      </c>
      <c r="N727" t="s">
        <v>42</v>
      </c>
      <c r="O727">
        <v>0</v>
      </c>
      <c r="P727" t="s">
        <v>237</v>
      </c>
    </row>
    <row r="728" spans="1:16" x14ac:dyDescent="0.25">
      <c r="A728" t="s">
        <v>735</v>
      </c>
      <c r="B728">
        <v>443</v>
      </c>
      <c r="C728" t="s">
        <v>487</v>
      </c>
      <c r="D728" t="s">
        <v>231</v>
      </c>
      <c r="E728" t="s">
        <v>534</v>
      </c>
      <c r="F728" t="s">
        <v>1731</v>
      </c>
      <c r="G728" s="25">
        <v>44233</v>
      </c>
      <c r="H728">
        <v>8</v>
      </c>
      <c r="I728">
        <v>37</v>
      </c>
      <c r="J728" t="s">
        <v>504</v>
      </c>
      <c r="K728" t="s">
        <v>43</v>
      </c>
      <c r="L728" t="s">
        <v>21</v>
      </c>
      <c r="M728" t="s">
        <v>236</v>
      </c>
      <c r="N728" t="s">
        <v>42</v>
      </c>
      <c r="O728">
        <v>1000</v>
      </c>
      <c r="P728" t="s">
        <v>237</v>
      </c>
    </row>
    <row r="729" spans="1:16" x14ac:dyDescent="0.25">
      <c r="A729" t="s">
        <v>2901</v>
      </c>
      <c r="B729">
        <v>1050</v>
      </c>
      <c r="C729" t="s">
        <v>487</v>
      </c>
      <c r="D729" t="s">
        <v>322</v>
      </c>
      <c r="E729" t="s">
        <v>381</v>
      </c>
      <c r="F729" t="s">
        <v>2971</v>
      </c>
      <c r="G729" s="25">
        <v>44284</v>
      </c>
      <c r="H729">
        <v>18</v>
      </c>
      <c r="I729">
        <v>88</v>
      </c>
      <c r="J729" t="s">
        <v>504</v>
      </c>
      <c r="K729" t="s">
        <v>43</v>
      </c>
      <c r="L729" t="s">
        <v>21</v>
      </c>
      <c r="M729" t="s">
        <v>236</v>
      </c>
      <c r="N729" t="s">
        <v>42</v>
      </c>
      <c r="O729">
        <v>0</v>
      </c>
      <c r="P729" t="s">
        <v>237</v>
      </c>
    </row>
    <row r="730" spans="1:16" x14ac:dyDescent="0.25">
      <c r="A730" t="s">
        <v>278</v>
      </c>
      <c r="B730">
        <v>115</v>
      </c>
      <c r="C730" t="s">
        <v>487</v>
      </c>
      <c r="D730" t="s">
        <v>229</v>
      </c>
      <c r="E730" t="s">
        <v>239</v>
      </c>
      <c r="F730" t="s">
        <v>578</v>
      </c>
      <c r="G730" s="25">
        <v>44206</v>
      </c>
      <c r="H730">
        <v>2</v>
      </c>
      <c r="I730">
        <v>10</v>
      </c>
      <c r="J730" t="s">
        <v>504</v>
      </c>
      <c r="K730" t="s">
        <v>43</v>
      </c>
      <c r="L730" t="s">
        <v>21</v>
      </c>
      <c r="M730" t="s">
        <v>236</v>
      </c>
      <c r="N730" t="s">
        <v>42</v>
      </c>
      <c r="O730">
        <v>0</v>
      </c>
      <c r="P730" t="s">
        <v>237</v>
      </c>
    </row>
    <row r="731" spans="1:16" x14ac:dyDescent="0.25">
      <c r="A731" t="s">
        <v>2116</v>
      </c>
      <c r="B731">
        <v>1143</v>
      </c>
      <c r="C731" t="s">
        <v>487</v>
      </c>
      <c r="D731" t="s">
        <v>322</v>
      </c>
      <c r="E731" t="s">
        <v>620</v>
      </c>
      <c r="F731" t="s">
        <v>3025</v>
      </c>
      <c r="G731" s="25">
        <v>44292</v>
      </c>
      <c r="H731">
        <v>20</v>
      </c>
      <c r="I731">
        <v>96</v>
      </c>
      <c r="J731" t="s">
        <v>504</v>
      </c>
      <c r="K731" t="s">
        <v>43</v>
      </c>
      <c r="L731" t="s">
        <v>21</v>
      </c>
      <c r="M731" t="s">
        <v>236</v>
      </c>
      <c r="N731" t="s">
        <v>42</v>
      </c>
      <c r="O731">
        <v>0</v>
      </c>
      <c r="P731" t="s">
        <v>237</v>
      </c>
    </row>
    <row r="732" spans="1:16" x14ac:dyDescent="0.25">
      <c r="A732" t="s">
        <v>655</v>
      </c>
      <c r="B732">
        <v>396</v>
      </c>
      <c r="C732" t="s">
        <v>487</v>
      </c>
      <c r="D732" t="s">
        <v>231</v>
      </c>
      <c r="E732" t="s">
        <v>512</v>
      </c>
      <c r="F732" t="s">
        <v>1174</v>
      </c>
      <c r="G732" s="25">
        <v>44229</v>
      </c>
      <c r="H732">
        <v>7</v>
      </c>
      <c r="I732">
        <v>33</v>
      </c>
      <c r="J732" t="s">
        <v>504</v>
      </c>
      <c r="K732" t="s">
        <v>43</v>
      </c>
      <c r="L732" t="s">
        <v>21</v>
      </c>
      <c r="M732" t="s">
        <v>236</v>
      </c>
      <c r="N732" t="s">
        <v>42</v>
      </c>
      <c r="O732">
        <v>24000</v>
      </c>
      <c r="P732" t="s">
        <v>237</v>
      </c>
    </row>
    <row r="733" spans="1:16" x14ac:dyDescent="0.25">
      <c r="A733" t="s">
        <v>2169</v>
      </c>
      <c r="B733">
        <v>1242</v>
      </c>
      <c r="C733" t="s">
        <v>487</v>
      </c>
      <c r="D733" t="s">
        <v>247</v>
      </c>
      <c r="E733" t="s">
        <v>261</v>
      </c>
      <c r="F733" t="s">
        <v>3078</v>
      </c>
      <c r="G733" s="25">
        <v>44300</v>
      </c>
      <c r="H733">
        <v>21</v>
      </c>
      <c r="I733">
        <v>104</v>
      </c>
      <c r="J733" t="s">
        <v>504</v>
      </c>
      <c r="K733" t="s">
        <v>43</v>
      </c>
      <c r="L733" t="s">
        <v>21</v>
      </c>
      <c r="M733" t="s">
        <v>236</v>
      </c>
      <c r="N733" t="s">
        <v>42</v>
      </c>
      <c r="O733">
        <v>0</v>
      </c>
      <c r="P733" t="s">
        <v>237</v>
      </c>
    </row>
    <row r="734" spans="1:16" x14ac:dyDescent="0.25">
      <c r="A734" t="s">
        <v>623</v>
      </c>
      <c r="B734">
        <v>332</v>
      </c>
      <c r="C734" t="s">
        <v>487</v>
      </c>
      <c r="D734" t="s">
        <v>231</v>
      </c>
      <c r="E734" t="s">
        <v>381</v>
      </c>
      <c r="F734" t="s">
        <v>1099</v>
      </c>
      <c r="G734" s="25">
        <v>44224</v>
      </c>
      <c r="H734">
        <v>6</v>
      </c>
      <c r="I734">
        <v>28</v>
      </c>
      <c r="J734" t="s">
        <v>504</v>
      </c>
      <c r="K734" t="s">
        <v>43</v>
      </c>
      <c r="L734" t="s">
        <v>21</v>
      </c>
      <c r="M734" t="s">
        <v>236</v>
      </c>
      <c r="N734" t="s">
        <v>42</v>
      </c>
      <c r="O734">
        <v>0</v>
      </c>
      <c r="P734" t="s">
        <v>237</v>
      </c>
    </row>
    <row r="735" spans="1:16" x14ac:dyDescent="0.25">
      <c r="A735" t="s">
        <v>281</v>
      </c>
      <c r="B735">
        <v>121</v>
      </c>
      <c r="C735" t="s">
        <v>487</v>
      </c>
      <c r="D735" t="s">
        <v>229</v>
      </c>
      <c r="E735" t="s">
        <v>515</v>
      </c>
      <c r="F735" t="s">
        <v>516</v>
      </c>
      <c r="G735" s="25">
        <v>44207</v>
      </c>
      <c r="H735">
        <v>3</v>
      </c>
      <c r="I735">
        <v>11</v>
      </c>
      <c r="J735" t="s">
        <v>504</v>
      </c>
      <c r="K735" t="s">
        <v>43</v>
      </c>
      <c r="L735" t="s">
        <v>21</v>
      </c>
      <c r="M735" t="s">
        <v>236</v>
      </c>
      <c r="N735" t="s">
        <v>42</v>
      </c>
      <c r="O735">
        <v>0</v>
      </c>
      <c r="P735" t="s">
        <v>237</v>
      </c>
    </row>
    <row r="736" spans="1:16" x14ac:dyDescent="0.25">
      <c r="A736" t="s">
        <v>2782</v>
      </c>
      <c r="B736">
        <v>1329</v>
      </c>
      <c r="C736" t="s">
        <v>487</v>
      </c>
      <c r="D736" t="s">
        <v>247</v>
      </c>
      <c r="E736" t="s">
        <v>515</v>
      </c>
      <c r="F736" t="s">
        <v>3134</v>
      </c>
      <c r="G736" s="25">
        <v>44307</v>
      </c>
      <c r="H736">
        <v>23</v>
      </c>
      <c r="I736">
        <v>111</v>
      </c>
      <c r="J736" t="s">
        <v>504</v>
      </c>
      <c r="K736" t="s">
        <v>43</v>
      </c>
      <c r="L736" t="s">
        <v>21</v>
      </c>
      <c r="M736" t="s">
        <v>236</v>
      </c>
      <c r="N736" t="s">
        <v>42</v>
      </c>
      <c r="O736">
        <v>0</v>
      </c>
      <c r="P736" t="s">
        <v>237</v>
      </c>
    </row>
    <row r="737" spans="1:16" x14ac:dyDescent="0.25">
      <c r="A737" t="s">
        <v>2684</v>
      </c>
      <c r="B737">
        <v>1428</v>
      </c>
      <c r="C737" t="s">
        <v>487</v>
      </c>
      <c r="D737" t="s">
        <v>247</v>
      </c>
      <c r="E737" t="s">
        <v>531</v>
      </c>
      <c r="F737" t="s">
        <v>3173</v>
      </c>
      <c r="G737" s="25">
        <v>44315</v>
      </c>
      <c r="H737">
        <v>24</v>
      </c>
      <c r="I737">
        <v>119</v>
      </c>
      <c r="J737" t="s">
        <v>504</v>
      </c>
      <c r="K737" t="s">
        <v>43</v>
      </c>
      <c r="L737" t="s">
        <v>21</v>
      </c>
      <c r="M737" t="s">
        <v>236</v>
      </c>
      <c r="N737" t="s">
        <v>42</v>
      </c>
      <c r="O737">
        <v>13625</v>
      </c>
      <c r="P737" t="s">
        <v>237</v>
      </c>
    </row>
    <row r="738" spans="1:16" x14ac:dyDescent="0.25">
      <c r="A738" t="s">
        <v>2094</v>
      </c>
      <c r="B738">
        <v>1035</v>
      </c>
      <c r="C738" t="s">
        <v>487</v>
      </c>
      <c r="D738" t="s">
        <v>322</v>
      </c>
      <c r="E738" t="s">
        <v>326</v>
      </c>
      <c r="F738" t="s">
        <v>2967</v>
      </c>
      <c r="G738" s="25">
        <v>44283</v>
      </c>
      <c r="H738">
        <v>18</v>
      </c>
      <c r="I738">
        <v>87</v>
      </c>
      <c r="J738" t="s">
        <v>504</v>
      </c>
      <c r="K738" t="s">
        <v>43</v>
      </c>
      <c r="L738" t="s">
        <v>21</v>
      </c>
      <c r="M738" t="s">
        <v>236</v>
      </c>
      <c r="N738" t="s">
        <v>42</v>
      </c>
      <c r="O738">
        <v>0</v>
      </c>
      <c r="P738" t="s">
        <v>237</v>
      </c>
    </row>
    <row r="739" spans="1:16" x14ac:dyDescent="0.25">
      <c r="A739" t="s">
        <v>1733</v>
      </c>
      <c r="B739">
        <v>1439</v>
      </c>
      <c r="C739" t="s">
        <v>487</v>
      </c>
      <c r="D739" t="s">
        <v>247</v>
      </c>
      <c r="E739" t="s">
        <v>408</v>
      </c>
      <c r="F739" t="s">
        <v>3178</v>
      </c>
      <c r="G739" s="25">
        <v>44316</v>
      </c>
      <c r="H739">
        <v>24</v>
      </c>
      <c r="I739">
        <v>120</v>
      </c>
      <c r="J739" t="s">
        <v>504</v>
      </c>
      <c r="K739" t="s">
        <v>43</v>
      </c>
      <c r="L739" t="s">
        <v>21</v>
      </c>
      <c r="M739" t="s">
        <v>236</v>
      </c>
      <c r="N739" t="s">
        <v>42</v>
      </c>
      <c r="O739">
        <v>2375</v>
      </c>
      <c r="P739" t="s">
        <v>237</v>
      </c>
    </row>
    <row r="740" spans="1:16" x14ac:dyDescent="0.25">
      <c r="A740" t="s">
        <v>284</v>
      </c>
      <c r="B740">
        <v>30</v>
      </c>
      <c r="C740" t="s">
        <v>487</v>
      </c>
      <c r="D740" t="s">
        <v>229</v>
      </c>
      <c r="E740" t="s">
        <v>256</v>
      </c>
      <c r="F740" t="s">
        <v>525</v>
      </c>
      <c r="G740" s="25">
        <v>44199</v>
      </c>
      <c r="H740">
        <v>1</v>
      </c>
      <c r="I740">
        <v>3</v>
      </c>
      <c r="J740" t="s">
        <v>504</v>
      </c>
      <c r="K740" t="s">
        <v>43</v>
      </c>
      <c r="L740" t="s">
        <v>21</v>
      </c>
      <c r="M740" t="s">
        <v>236</v>
      </c>
      <c r="N740" t="s">
        <v>42</v>
      </c>
      <c r="O740">
        <v>0</v>
      </c>
      <c r="P740" t="s">
        <v>237</v>
      </c>
    </row>
    <row r="741" spans="1:16" x14ac:dyDescent="0.25">
      <c r="A741" t="s">
        <v>299</v>
      </c>
      <c r="B741">
        <v>60</v>
      </c>
      <c r="C741" t="s">
        <v>487</v>
      </c>
      <c r="D741" t="s">
        <v>229</v>
      </c>
      <c r="E741" t="s">
        <v>322</v>
      </c>
      <c r="F741" t="s">
        <v>529</v>
      </c>
      <c r="G741" s="25">
        <v>44201</v>
      </c>
      <c r="H741">
        <v>1</v>
      </c>
      <c r="I741">
        <v>5</v>
      </c>
      <c r="J741" t="s">
        <v>504</v>
      </c>
      <c r="K741" t="s">
        <v>43</v>
      </c>
      <c r="L741" t="s">
        <v>21</v>
      </c>
      <c r="M741" t="s">
        <v>236</v>
      </c>
      <c r="N741" t="s">
        <v>42</v>
      </c>
      <c r="O741">
        <v>16000</v>
      </c>
      <c r="P741" t="s">
        <v>237</v>
      </c>
    </row>
    <row r="742" spans="1:16" x14ac:dyDescent="0.25">
      <c r="A742" t="s">
        <v>2868</v>
      </c>
      <c r="B742">
        <v>1128</v>
      </c>
      <c r="C742" t="s">
        <v>487</v>
      </c>
      <c r="D742" t="s">
        <v>322</v>
      </c>
      <c r="E742" t="s">
        <v>537</v>
      </c>
      <c r="F742" t="s">
        <v>2999</v>
      </c>
      <c r="G742" s="25">
        <v>44290</v>
      </c>
      <c r="H742">
        <v>19</v>
      </c>
      <c r="I742">
        <v>94</v>
      </c>
      <c r="J742" t="s">
        <v>504</v>
      </c>
      <c r="K742" t="s">
        <v>43</v>
      </c>
      <c r="L742" t="s">
        <v>21</v>
      </c>
      <c r="M742" t="s">
        <v>236</v>
      </c>
      <c r="N742" t="s">
        <v>42</v>
      </c>
      <c r="O742">
        <v>23250</v>
      </c>
      <c r="P742" t="s">
        <v>237</v>
      </c>
    </row>
    <row r="743" spans="1:16" x14ac:dyDescent="0.25">
      <c r="A743" t="s">
        <v>843</v>
      </c>
      <c r="B743">
        <v>337</v>
      </c>
      <c r="C743" t="s">
        <v>487</v>
      </c>
      <c r="D743" t="s">
        <v>231</v>
      </c>
      <c r="E743" t="s">
        <v>371</v>
      </c>
      <c r="F743" t="s">
        <v>1124</v>
      </c>
      <c r="G743" s="25">
        <v>44225</v>
      </c>
      <c r="H743">
        <v>6</v>
      </c>
      <c r="I743">
        <v>29</v>
      </c>
      <c r="J743" t="s">
        <v>504</v>
      </c>
      <c r="K743" t="s">
        <v>43</v>
      </c>
      <c r="L743" t="s">
        <v>21</v>
      </c>
      <c r="M743" t="s">
        <v>236</v>
      </c>
      <c r="N743" t="s">
        <v>42</v>
      </c>
      <c r="O743">
        <v>0</v>
      </c>
      <c r="P743" t="s">
        <v>237</v>
      </c>
    </row>
    <row r="744" spans="1:16" x14ac:dyDescent="0.25">
      <c r="A744" t="s">
        <v>1695</v>
      </c>
      <c r="B744">
        <v>1254</v>
      </c>
      <c r="C744" t="s">
        <v>487</v>
      </c>
      <c r="D744" t="s">
        <v>247</v>
      </c>
      <c r="E744" t="s">
        <v>322</v>
      </c>
      <c r="F744" t="s">
        <v>3083</v>
      </c>
      <c r="G744" s="25">
        <v>44301</v>
      </c>
      <c r="H744">
        <v>21</v>
      </c>
      <c r="I744">
        <v>105</v>
      </c>
      <c r="J744" t="s">
        <v>504</v>
      </c>
      <c r="K744" t="s">
        <v>43</v>
      </c>
      <c r="L744" t="s">
        <v>21</v>
      </c>
      <c r="M744" t="s">
        <v>236</v>
      </c>
      <c r="N744" t="s">
        <v>42</v>
      </c>
      <c r="O744">
        <v>0</v>
      </c>
      <c r="P744" t="s">
        <v>237</v>
      </c>
    </row>
    <row r="745" spans="1:16" x14ac:dyDescent="0.25">
      <c r="A745" t="s">
        <v>753</v>
      </c>
      <c r="B745">
        <v>384</v>
      </c>
      <c r="C745" t="s">
        <v>487</v>
      </c>
      <c r="D745" t="s">
        <v>231</v>
      </c>
      <c r="E745" t="s">
        <v>232</v>
      </c>
      <c r="F745" t="s">
        <v>1162</v>
      </c>
      <c r="G745" s="25">
        <v>44228</v>
      </c>
      <c r="H745">
        <v>7</v>
      </c>
      <c r="I745">
        <v>32</v>
      </c>
      <c r="J745" t="s">
        <v>504</v>
      </c>
      <c r="K745" t="s">
        <v>43</v>
      </c>
      <c r="L745" t="s">
        <v>21</v>
      </c>
      <c r="M745" t="s">
        <v>236</v>
      </c>
      <c r="N745" t="s">
        <v>42</v>
      </c>
      <c r="O745">
        <v>24000</v>
      </c>
      <c r="P745" t="s">
        <v>237</v>
      </c>
    </row>
    <row r="746" spans="1:16" x14ac:dyDescent="0.25">
      <c r="A746" t="s">
        <v>2420</v>
      </c>
      <c r="B746">
        <v>1130</v>
      </c>
      <c r="C746" t="s">
        <v>487</v>
      </c>
      <c r="D746" t="s">
        <v>322</v>
      </c>
      <c r="E746" t="s">
        <v>575</v>
      </c>
      <c r="F746" t="s">
        <v>3014</v>
      </c>
      <c r="G746" s="25">
        <v>44291</v>
      </c>
      <c r="H746">
        <v>19</v>
      </c>
      <c r="I746">
        <v>95</v>
      </c>
      <c r="J746" t="s">
        <v>504</v>
      </c>
      <c r="K746" t="s">
        <v>43</v>
      </c>
      <c r="L746" t="s">
        <v>21</v>
      </c>
      <c r="M746" t="s">
        <v>236</v>
      </c>
      <c r="N746" t="s">
        <v>42</v>
      </c>
      <c r="O746">
        <v>0</v>
      </c>
      <c r="P746" t="s">
        <v>237</v>
      </c>
    </row>
    <row r="747" spans="1:16" x14ac:dyDescent="0.25">
      <c r="A747" t="s">
        <v>1651</v>
      </c>
      <c r="B747">
        <v>1308</v>
      </c>
      <c r="C747" t="s">
        <v>487</v>
      </c>
      <c r="D747" t="s">
        <v>247</v>
      </c>
      <c r="E747" t="s">
        <v>371</v>
      </c>
      <c r="F747" t="s">
        <v>3112</v>
      </c>
      <c r="G747" s="25">
        <v>44305</v>
      </c>
      <c r="H747">
        <v>22</v>
      </c>
      <c r="I747">
        <v>109</v>
      </c>
      <c r="J747" t="s">
        <v>504</v>
      </c>
      <c r="K747" t="s">
        <v>43</v>
      </c>
      <c r="L747" t="s">
        <v>21</v>
      </c>
      <c r="M747" t="s">
        <v>236</v>
      </c>
      <c r="N747" t="s">
        <v>42</v>
      </c>
      <c r="O747">
        <v>18125</v>
      </c>
      <c r="P747" t="s">
        <v>237</v>
      </c>
    </row>
    <row r="748" spans="1:16" x14ac:dyDescent="0.25">
      <c r="A748" t="s">
        <v>2698</v>
      </c>
      <c r="B748">
        <v>1377</v>
      </c>
      <c r="C748" t="s">
        <v>487</v>
      </c>
      <c r="D748" t="s">
        <v>247</v>
      </c>
      <c r="E748" t="s">
        <v>575</v>
      </c>
      <c r="F748" t="s">
        <v>3158</v>
      </c>
      <c r="G748" s="25">
        <v>44311</v>
      </c>
      <c r="H748">
        <v>23</v>
      </c>
      <c r="I748">
        <v>115</v>
      </c>
      <c r="J748" t="s">
        <v>504</v>
      </c>
      <c r="K748" t="s">
        <v>43</v>
      </c>
      <c r="L748" t="s">
        <v>21</v>
      </c>
      <c r="M748" t="s">
        <v>236</v>
      </c>
      <c r="N748" t="s">
        <v>42</v>
      </c>
      <c r="O748">
        <v>0</v>
      </c>
      <c r="P748" t="s">
        <v>237</v>
      </c>
    </row>
    <row r="749" spans="1:16" x14ac:dyDescent="0.25">
      <c r="A749" t="s">
        <v>2619</v>
      </c>
      <c r="B749">
        <v>1099</v>
      </c>
      <c r="C749" t="s">
        <v>487</v>
      </c>
      <c r="D749" t="s">
        <v>322</v>
      </c>
      <c r="E749" t="s">
        <v>232</v>
      </c>
      <c r="F749" t="s">
        <v>2987</v>
      </c>
      <c r="G749" s="25">
        <v>44288</v>
      </c>
      <c r="H749">
        <v>19</v>
      </c>
      <c r="I749">
        <v>92</v>
      </c>
      <c r="J749" t="s">
        <v>504</v>
      </c>
      <c r="K749" t="s">
        <v>43</v>
      </c>
      <c r="L749" t="s">
        <v>21</v>
      </c>
      <c r="M749" t="s">
        <v>236</v>
      </c>
      <c r="N749" t="s">
        <v>42</v>
      </c>
      <c r="O749">
        <v>0</v>
      </c>
      <c r="P749" t="s">
        <v>237</v>
      </c>
    </row>
    <row r="750" spans="1:16" x14ac:dyDescent="0.25">
      <c r="A750" t="s">
        <v>1915</v>
      </c>
      <c r="B750">
        <v>1170</v>
      </c>
      <c r="C750" t="s">
        <v>487</v>
      </c>
      <c r="D750" t="s">
        <v>322</v>
      </c>
      <c r="E750" t="s">
        <v>552</v>
      </c>
      <c r="F750" t="s">
        <v>3045</v>
      </c>
      <c r="G750" s="25">
        <v>44294</v>
      </c>
      <c r="H750">
        <v>20</v>
      </c>
      <c r="I750">
        <v>98</v>
      </c>
      <c r="J750" t="s">
        <v>504</v>
      </c>
      <c r="K750" t="s">
        <v>43</v>
      </c>
      <c r="L750" t="s">
        <v>21</v>
      </c>
      <c r="M750" t="s">
        <v>236</v>
      </c>
      <c r="N750" t="s">
        <v>42</v>
      </c>
      <c r="O750">
        <v>0</v>
      </c>
      <c r="P750" t="s">
        <v>237</v>
      </c>
    </row>
    <row r="751" spans="1:16" x14ac:dyDescent="0.25">
      <c r="A751" t="s">
        <v>797</v>
      </c>
      <c r="B751">
        <v>408</v>
      </c>
      <c r="C751" t="s">
        <v>487</v>
      </c>
      <c r="D751" t="s">
        <v>231</v>
      </c>
      <c r="E751" t="s">
        <v>537</v>
      </c>
      <c r="F751" t="s">
        <v>1192</v>
      </c>
      <c r="G751" s="25">
        <v>44230</v>
      </c>
      <c r="H751">
        <v>7</v>
      </c>
      <c r="I751">
        <v>34</v>
      </c>
      <c r="J751" t="s">
        <v>504</v>
      </c>
      <c r="K751" t="s">
        <v>43</v>
      </c>
      <c r="L751" t="s">
        <v>21</v>
      </c>
      <c r="M751" t="s">
        <v>236</v>
      </c>
      <c r="N751" t="s">
        <v>42</v>
      </c>
      <c r="O751">
        <v>23250</v>
      </c>
      <c r="P751" t="s">
        <v>237</v>
      </c>
    </row>
    <row r="752" spans="1:16" x14ac:dyDescent="0.25">
      <c r="A752" t="s">
        <v>1775</v>
      </c>
      <c r="B752">
        <v>1088</v>
      </c>
      <c r="C752" t="s">
        <v>487</v>
      </c>
      <c r="D752" t="s">
        <v>322</v>
      </c>
      <c r="E752" t="s">
        <v>515</v>
      </c>
      <c r="F752" t="s">
        <v>2983</v>
      </c>
      <c r="G752" s="25">
        <v>44287</v>
      </c>
      <c r="H752">
        <v>19</v>
      </c>
      <c r="I752">
        <v>91</v>
      </c>
      <c r="J752" t="s">
        <v>504</v>
      </c>
      <c r="K752" t="s">
        <v>43</v>
      </c>
      <c r="L752" t="s">
        <v>21</v>
      </c>
      <c r="M752" t="s">
        <v>236</v>
      </c>
      <c r="N752" t="s">
        <v>42</v>
      </c>
      <c r="O752">
        <v>0</v>
      </c>
      <c r="P752" t="s">
        <v>237</v>
      </c>
    </row>
    <row r="753" spans="1:16" x14ac:dyDescent="0.25">
      <c r="A753" t="s">
        <v>597</v>
      </c>
      <c r="B753">
        <v>322</v>
      </c>
      <c r="C753" t="s">
        <v>487</v>
      </c>
      <c r="D753" t="s">
        <v>231</v>
      </c>
      <c r="E753" t="s">
        <v>326</v>
      </c>
      <c r="F753" t="s">
        <v>1095</v>
      </c>
      <c r="G753" s="25">
        <v>44223</v>
      </c>
      <c r="H753">
        <v>6</v>
      </c>
      <c r="I753">
        <v>27</v>
      </c>
      <c r="J753" t="s">
        <v>504</v>
      </c>
      <c r="K753" t="s">
        <v>43</v>
      </c>
      <c r="L753" t="s">
        <v>21</v>
      </c>
      <c r="M753" t="s">
        <v>236</v>
      </c>
      <c r="N753" t="s">
        <v>42</v>
      </c>
      <c r="O753">
        <v>0</v>
      </c>
      <c r="P753" t="s">
        <v>237</v>
      </c>
    </row>
    <row r="754" spans="1:16" x14ac:dyDescent="0.25">
      <c r="A754" t="s">
        <v>248</v>
      </c>
      <c r="B754">
        <v>101</v>
      </c>
      <c r="C754" t="s">
        <v>487</v>
      </c>
      <c r="D754" t="s">
        <v>229</v>
      </c>
      <c r="E754" t="s">
        <v>371</v>
      </c>
      <c r="F754" t="s">
        <v>557</v>
      </c>
      <c r="G754" s="25">
        <v>44205</v>
      </c>
      <c r="H754">
        <v>2</v>
      </c>
      <c r="I754">
        <v>9</v>
      </c>
      <c r="J754" t="s">
        <v>504</v>
      </c>
      <c r="K754" t="s">
        <v>43</v>
      </c>
      <c r="L754" t="s">
        <v>21</v>
      </c>
      <c r="M754" t="s">
        <v>236</v>
      </c>
      <c r="N754" t="s">
        <v>42</v>
      </c>
      <c r="O754">
        <v>0</v>
      </c>
      <c r="P754" t="s">
        <v>237</v>
      </c>
    </row>
    <row r="755" spans="1:16" x14ac:dyDescent="0.25">
      <c r="A755" t="s">
        <v>2686</v>
      </c>
      <c r="B755">
        <v>1296</v>
      </c>
      <c r="C755" t="s">
        <v>487</v>
      </c>
      <c r="D755" t="s">
        <v>247</v>
      </c>
      <c r="E755" t="s">
        <v>381</v>
      </c>
      <c r="F755" t="s">
        <v>3107</v>
      </c>
      <c r="G755" s="25">
        <v>44304</v>
      </c>
      <c r="H755">
        <v>22</v>
      </c>
      <c r="I755">
        <v>108</v>
      </c>
      <c r="J755" t="s">
        <v>504</v>
      </c>
      <c r="K755" t="s">
        <v>43</v>
      </c>
      <c r="L755" t="s">
        <v>21</v>
      </c>
      <c r="M755" t="s">
        <v>236</v>
      </c>
      <c r="N755" t="s">
        <v>42</v>
      </c>
      <c r="O755">
        <v>24000</v>
      </c>
      <c r="P755" t="s">
        <v>237</v>
      </c>
    </row>
    <row r="756" spans="1:16" x14ac:dyDescent="0.25">
      <c r="A756" t="s">
        <v>1745</v>
      </c>
      <c r="B756">
        <v>1185</v>
      </c>
      <c r="C756" t="s">
        <v>487</v>
      </c>
      <c r="D756" t="s">
        <v>322</v>
      </c>
      <c r="E756" t="s">
        <v>531</v>
      </c>
      <c r="F756" t="s">
        <v>3056</v>
      </c>
      <c r="G756" s="25">
        <v>44295</v>
      </c>
      <c r="H756">
        <v>20</v>
      </c>
      <c r="I756">
        <v>99</v>
      </c>
      <c r="J756" t="s">
        <v>504</v>
      </c>
      <c r="K756" t="s">
        <v>43</v>
      </c>
      <c r="L756" t="s">
        <v>21</v>
      </c>
      <c r="M756" t="s">
        <v>236</v>
      </c>
      <c r="N756" t="s">
        <v>42</v>
      </c>
      <c r="O756">
        <v>0</v>
      </c>
      <c r="P756" t="s">
        <v>237</v>
      </c>
    </row>
    <row r="757" spans="1:16" x14ac:dyDescent="0.25">
      <c r="A757" t="s">
        <v>1986</v>
      </c>
      <c r="B757">
        <v>1388</v>
      </c>
      <c r="C757" t="s">
        <v>487</v>
      </c>
      <c r="D757" t="s">
        <v>247</v>
      </c>
      <c r="E757" t="s">
        <v>620</v>
      </c>
      <c r="F757" t="s">
        <v>3162</v>
      </c>
      <c r="G757" s="25">
        <v>44312</v>
      </c>
      <c r="H757">
        <v>24</v>
      </c>
      <c r="I757">
        <v>116</v>
      </c>
      <c r="J757" t="s">
        <v>504</v>
      </c>
      <c r="K757" t="s">
        <v>43</v>
      </c>
      <c r="L757" t="s">
        <v>21</v>
      </c>
      <c r="M757" t="s">
        <v>236</v>
      </c>
      <c r="N757" t="s">
        <v>42</v>
      </c>
      <c r="O757">
        <v>0</v>
      </c>
      <c r="P757" t="s">
        <v>237</v>
      </c>
    </row>
    <row r="758" spans="1:16" x14ac:dyDescent="0.25">
      <c r="A758" t="s">
        <v>701</v>
      </c>
      <c r="B758">
        <v>371</v>
      </c>
      <c r="C758" t="s">
        <v>487</v>
      </c>
      <c r="D758" t="s">
        <v>231</v>
      </c>
      <c r="E758" t="s">
        <v>515</v>
      </c>
      <c r="F758" t="s">
        <v>1150</v>
      </c>
      <c r="G758" s="25">
        <v>44227</v>
      </c>
      <c r="H758">
        <v>7</v>
      </c>
      <c r="I758">
        <v>31</v>
      </c>
      <c r="J758" t="s">
        <v>504</v>
      </c>
      <c r="K758" t="s">
        <v>43</v>
      </c>
      <c r="L758" t="s">
        <v>21</v>
      </c>
      <c r="M758" t="s">
        <v>236</v>
      </c>
      <c r="N758" t="s">
        <v>42</v>
      </c>
      <c r="O758">
        <v>750</v>
      </c>
      <c r="P758" t="s">
        <v>237</v>
      </c>
    </row>
    <row r="759" spans="1:16" x14ac:dyDescent="0.25">
      <c r="A759" t="s">
        <v>2755</v>
      </c>
      <c r="B759">
        <v>1157</v>
      </c>
      <c r="C759" t="s">
        <v>487</v>
      </c>
      <c r="D759" t="s">
        <v>322</v>
      </c>
      <c r="E759" t="s">
        <v>534</v>
      </c>
      <c r="F759" t="s">
        <v>3031</v>
      </c>
      <c r="G759" s="25">
        <v>44293</v>
      </c>
      <c r="H759">
        <v>20</v>
      </c>
      <c r="I759">
        <v>97</v>
      </c>
      <c r="J759" t="s">
        <v>504</v>
      </c>
      <c r="K759" t="s">
        <v>43</v>
      </c>
      <c r="L759" t="s">
        <v>21</v>
      </c>
      <c r="M759" t="s">
        <v>236</v>
      </c>
      <c r="N759" t="s">
        <v>42</v>
      </c>
      <c r="O759">
        <v>0</v>
      </c>
      <c r="P759" t="s">
        <v>237</v>
      </c>
    </row>
    <row r="760" spans="1:16" x14ac:dyDescent="0.25">
      <c r="A760" t="s">
        <v>2714</v>
      </c>
      <c r="B760">
        <v>1365</v>
      </c>
      <c r="C760" t="s">
        <v>487</v>
      </c>
      <c r="D760" t="s">
        <v>247</v>
      </c>
      <c r="E760" t="s">
        <v>537</v>
      </c>
      <c r="F760" t="s">
        <v>3153</v>
      </c>
      <c r="G760" s="25">
        <v>44310</v>
      </c>
      <c r="H760">
        <v>23</v>
      </c>
      <c r="I760">
        <v>114</v>
      </c>
      <c r="J760" t="s">
        <v>504</v>
      </c>
      <c r="K760" t="s">
        <v>43</v>
      </c>
      <c r="L760" t="s">
        <v>21</v>
      </c>
      <c r="M760" t="s">
        <v>236</v>
      </c>
      <c r="N760" t="s">
        <v>42</v>
      </c>
      <c r="O760">
        <v>0</v>
      </c>
      <c r="P760" t="s">
        <v>237</v>
      </c>
    </row>
    <row r="761" spans="1:16" x14ac:dyDescent="0.25">
      <c r="A761" t="s">
        <v>2893</v>
      </c>
      <c r="B761">
        <v>1317</v>
      </c>
      <c r="C761" t="s">
        <v>487</v>
      </c>
      <c r="D761" t="s">
        <v>247</v>
      </c>
      <c r="E761" t="s">
        <v>239</v>
      </c>
      <c r="F761" t="s">
        <v>3118</v>
      </c>
      <c r="G761" s="25">
        <v>44306</v>
      </c>
      <c r="H761">
        <v>22</v>
      </c>
      <c r="I761">
        <v>110</v>
      </c>
      <c r="J761" t="s">
        <v>504</v>
      </c>
      <c r="K761" t="s">
        <v>43</v>
      </c>
      <c r="L761" t="s">
        <v>21</v>
      </c>
      <c r="M761" t="s">
        <v>236</v>
      </c>
      <c r="N761" t="s">
        <v>42</v>
      </c>
      <c r="O761">
        <v>0</v>
      </c>
      <c r="P761" t="s">
        <v>237</v>
      </c>
    </row>
    <row r="762" spans="1:16" x14ac:dyDescent="0.25">
      <c r="A762" t="s">
        <v>331</v>
      </c>
      <c r="B762">
        <v>37</v>
      </c>
      <c r="C762" t="s">
        <v>487</v>
      </c>
      <c r="D762" t="s">
        <v>229</v>
      </c>
      <c r="E762" t="s">
        <v>261</v>
      </c>
      <c r="F762" t="s">
        <v>549</v>
      </c>
      <c r="G762" s="25">
        <v>44200</v>
      </c>
      <c r="H762">
        <v>1</v>
      </c>
      <c r="I762">
        <v>4</v>
      </c>
      <c r="J762" t="s">
        <v>504</v>
      </c>
      <c r="K762" t="s">
        <v>43</v>
      </c>
      <c r="L762" t="s">
        <v>21</v>
      </c>
      <c r="M762" t="s">
        <v>236</v>
      </c>
      <c r="N762" t="s">
        <v>42</v>
      </c>
      <c r="O762">
        <v>0</v>
      </c>
      <c r="P762" t="s">
        <v>237</v>
      </c>
    </row>
    <row r="763" spans="1:16" x14ac:dyDescent="0.25">
      <c r="A763" t="s">
        <v>829</v>
      </c>
      <c r="B763">
        <v>424</v>
      </c>
      <c r="C763" t="s">
        <v>487</v>
      </c>
      <c r="D763" t="s">
        <v>231</v>
      </c>
      <c r="E763" t="s">
        <v>620</v>
      </c>
      <c r="F763" t="s">
        <v>1215</v>
      </c>
      <c r="G763" s="25">
        <v>44232</v>
      </c>
      <c r="H763">
        <v>8</v>
      </c>
      <c r="I763">
        <v>36</v>
      </c>
      <c r="J763" t="s">
        <v>504</v>
      </c>
      <c r="K763" t="s">
        <v>43</v>
      </c>
      <c r="L763" t="s">
        <v>21</v>
      </c>
      <c r="M763" t="s">
        <v>236</v>
      </c>
      <c r="N763" t="s">
        <v>42</v>
      </c>
      <c r="O763">
        <v>0</v>
      </c>
      <c r="P763" t="s">
        <v>237</v>
      </c>
    </row>
    <row r="764" spans="1:16" x14ac:dyDescent="0.25">
      <c r="A764" t="s">
        <v>1711</v>
      </c>
      <c r="B764">
        <v>1206</v>
      </c>
      <c r="C764" t="s">
        <v>487</v>
      </c>
      <c r="D764" t="s">
        <v>247</v>
      </c>
      <c r="E764" t="s">
        <v>229</v>
      </c>
      <c r="F764" t="s">
        <v>3063</v>
      </c>
      <c r="G764" s="25">
        <v>44297</v>
      </c>
      <c r="H764">
        <v>21</v>
      </c>
      <c r="I764">
        <v>101</v>
      </c>
      <c r="J764" t="s">
        <v>504</v>
      </c>
      <c r="K764" t="s">
        <v>43</v>
      </c>
      <c r="L764" t="s">
        <v>21</v>
      </c>
      <c r="M764" t="s">
        <v>236</v>
      </c>
      <c r="N764" t="s">
        <v>42</v>
      </c>
      <c r="O764">
        <v>0</v>
      </c>
      <c r="P764" t="s">
        <v>237</v>
      </c>
    </row>
    <row r="765" spans="1:16" x14ac:dyDescent="0.25">
      <c r="A765" t="s">
        <v>2742</v>
      </c>
      <c r="B765">
        <v>1115</v>
      </c>
      <c r="C765" t="s">
        <v>487</v>
      </c>
      <c r="D765" t="s">
        <v>322</v>
      </c>
      <c r="E765" t="s">
        <v>512</v>
      </c>
      <c r="F765" t="s">
        <v>2991</v>
      </c>
      <c r="G765" s="25">
        <v>44289</v>
      </c>
      <c r="H765">
        <v>19</v>
      </c>
      <c r="I765">
        <v>93</v>
      </c>
      <c r="J765" t="s">
        <v>504</v>
      </c>
      <c r="K765" t="s">
        <v>43</v>
      </c>
      <c r="L765" t="s">
        <v>21</v>
      </c>
      <c r="M765" t="s">
        <v>236</v>
      </c>
      <c r="N765" t="s">
        <v>42</v>
      </c>
      <c r="O765">
        <v>6750</v>
      </c>
      <c r="P765" t="s">
        <v>237</v>
      </c>
    </row>
    <row r="766" spans="1:16" x14ac:dyDescent="0.25">
      <c r="A766" t="s">
        <v>832</v>
      </c>
      <c r="B766">
        <v>357</v>
      </c>
      <c r="C766" t="s">
        <v>487</v>
      </c>
      <c r="D766" t="s">
        <v>231</v>
      </c>
      <c r="E766" t="s">
        <v>239</v>
      </c>
      <c r="F766" t="s">
        <v>1139</v>
      </c>
      <c r="G766" s="25">
        <v>44226</v>
      </c>
      <c r="H766">
        <v>6</v>
      </c>
      <c r="I766">
        <v>30</v>
      </c>
      <c r="J766" t="s">
        <v>504</v>
      </c>
      <c r="K766" t="s">
        <v>43</v>
      </c>
      <c r="L766" t="s">
        <v>21</v>
      </c>
      <c r="M766" t="s">
        <v>236</v>
      </c>
      <c r="N766" t="s">
        <v>42</v>
      </c>
      <c r="O766">
        <v>0</v>
      </c>
      <c r="P766" t="s">
        <v>237</v>
      </c>
    </row>
    <row r="767" spans="1:16" x14ac:dyDescent="0.25">
      <c r="A767" t="s">
        <v>588</v>
      </c>
      <c r="B767">
        <v>418</v>
      </c>
      <c r="C767" t="s">
        <v>487</v>
      </c>
      <c r="D767" t="s">
        <v>231</v>
      </c>
      <c r="E767" t="s">
        <v>575</v>
      </c>
      <c r="F767" t="s">
        <v>1210</v>
      </c>
      <c r="G767" s="25">
        <v>44231</v>
      </c>
      <c r="H767">
        <v>7</v>
      </c>
      <c r="I767">
        <v>35</v>
      </c>
      <c r="J767" t="s">
        <v>504</v>
      </c>
      <c r="K767" t="s">
        <v>43</v>
      </c>
      <c r="L767" t="s">
        <v>21</v>
      </c>
      <c r="M767" t="s">
        <v>236</v>
      </c>
      <c r="N767" t="s">
        <v>42</v>
      </c>
      <c r="O767">
        <v>0</v>
      </c>
      <c r="P767" t="s">
        <v>237</v>
      </c>
    </row>
    <row r="768" spans="1:16" x14ac:dyDescent="0.25">
      <c r="A768" t="s">
        <v>1993</v>
      </c>
      <c r="B768">
        <v>1283</v>
      </c>
      <c r="C768" t="s">
        <v>487</v>
      </c>
      <c r="D768" t="s">
        <v>247</v>
      </c>
      <c r="E768" t="s">
        <v>326</v>
      </c>
      <c r="F768" t="s">
        <v>3091</v>
      </c>
      <c r="G768" s="25">
        <v>44303</v>
      </c>
      <c r="H768">
        <v>22</v>
      </c>
      <c r="I768">
        <v>107</v>
      </c>
      <c r="J768" t="s">
        <v>504</v>
      </c>
      <c r="K768" t="s">
        <v>43</v>
      </c>
      <c r="L768" t="s">
        <v>21</v>
      </c>
      <c r="M768" t="s">
        <v>236</v>
      </c>
      <c r="N768" t="s">
        <v>42</v>
      </c>
      <c r="O768">
        <v>5875</v>
      </c>
      <c r="P768" t="s">
        <v>237</v>
      </c>
    </row>
    <row r="769" spans="1:16" x14ac:dyDescent="0.25">
      <c r="A769" t="s">
        <v>242</v>
      </c>
      <c r="B769">
        <v>9</v>
      </c>
      <c r="C769" t="s">
        <v>487</v>
      </c>
      <c r="D769" t="s">
        <v>229</v>
      </c>
      <c r="E769" t="s">
        <v>229</v>
      </c>
      <c r="F769" t="s">
        <v>230</v>
      </c>
      <c r="G769" s="25">
        <v>44197</v>
      </c>
      <c r="H769">
        <v>1</v>
      </c>
      <c r="I769">
        <v>1</v>
      </c>
      <c r="J769" t="s">
        <v>504</v>
      </c>
      <c r="K769" t="s">
        <v>43</v>
      </c>
      <c r="L769" t="s">
        <v>21</v>
      </c>
      <c r="M769" t="s">
        <v>236</v>
      </c>
      <c r="N769" t="s">
        <v>42</v>
      </c>
      <c r="O769">
        <v>0</v>
      </c>
      <c r="P769" t="s">
        <v>237</v>
      </c>
    </row>
    <row r="770" spans="1:16" x14ac:dyDescent="0.25">
      <c r="A770" t="s">
        <v>342</v>
      </c>
      <c r="B770">
        <v>72</v>
      </c>
      <c r="C770" t="s">
        <v>487</v>
      </c>
      <c r="D770" t="s">
        <v>229</v>
      </c>
      <c r="E770" t="s">
        <v>247</v>
      </c>
      <c r="F770" t="s">
        <v>524</v>
      </c>
      <c r="G770" s="25">
        <v>44202</v>
      </c>
      <c r="H770">
        <v>2</v>
      </c>
      <c r="I770">
        <v>6</v>
      </c>
      <c r="J770" t="s">
        <v>504</v>
      </c>
      <c r="K770" t="s">
        <v>43</v>
      </c>
      <c r="L770" t="s">
        <v>21</v>
      </c>
      <c r="M770" t="s">
        <v>236</v>
      </c>
      <c r="N770" t="s">
        <v>42</v>
      </c>
      <c r="O770">
        <v>8000</v>
      </c>
      <c r="P770" t="s">
        <v>237</v>
      </c>
    </row>
    <row r="771" spans="1:16" x14ac:dyDescent="0.25">
      <c r="A771" t="s">
        <v>2793</v>
      </c>
      <c r="B771">
        <v>1407</v>
      </c>
      <c r="C771" t="s">
        <v>487</v>
      </c>
      <c r="D771" t="s">
        <v>247</v>
      </c>
      <c r="E771" t="s">
        <v>552</v>
      </c>
      <c r="F771" t="s">
        <v>3170</v>
      </c>
      <c r="G771" s="25">
        <v>44314</v>
      </c>
      <c r="H771">
        <v>24</v>
      </c>
      <c r="I771">
        <v>118</v>
      </c>
      <c r="J771" t="s">
        <v>504</v>
      </c>
      <c r="K771" t="s">
        <v>43</v>
      </c>
      <c r="L771" t="s">
        <v>21</v>
      </c>
      <c r="M771" t="s">
        <v>236</v>
      </c>
      <c r="N771" t="s">
        <v>42</v>
      </c>
      <c r="O771">
        <v>0</v>
      </c>
      <c r="P771" t="s">
        <v>237</v>
      </c>
    </row>
    <row r="772" spans="1:16" x14ac:dyDescent="0.25">
      <c r="A772" t="s">
        <v>2719</v>
      </c>
      <c r="B772">
        <v>1352</v>
      </c>
      <c r="C772" t="s">
        <v>487</v>
      </c>
      <c r="D772" t="s">
        <v>247</v>
      </c>
      <c r="E772" t="s">
        <v>512</v>
      </c>
      <c r="F772" t="s">
        <v>3146</v>
      </c>
      <c r="G772" s="25">
        <v>44309</v>
      </c>
      <c r="H772">
        <v>23</v>
      </c>
      <c r="I772">
        <v>113</v>
      </c>
      <c r="J772" t="s">
        <v>504</v>
      </c>
      <c r="K772" t="s">
        <v>43</v>
      </c>
      <c r="L772" t="s">
        <v>21</v>
      </c>
      <c r="M772" t="s">
        <v>236</v>
      </c>
      <c r="N772" t="s">
        <v>42</v>
      </c>
      <c r="O772">
        <v>0</v>
      </c>
      <c r="P772" t="s">
        <v>237</v>
      </c>
    </row>
    <row r="773" spans="1:16" x14ac:dyDescent="0.25">
      <c r="A773" t="s">
        <v>2832</v>
      </c>
      <c r="B773">
        <v>1198</v>
      </c>
      <c r="C773" t="s">
        <v>487</v>
      </c>
      <c r="D773" t="s">
        <v>322</v>
      </c>
      <c r="E773" t="s">
        <v>408</v>
      </c>
      <c r="F773" t="s">
        <v>3059</v>
      </c>
      <c r="G773" s="25">
        <v>44296</v>
      </c>
      <c r="H773">
        <v>20</v>
      </c>
      <c r="I773">
        <v>100</v>
      </c>
      <c r="J773" t="s">
        <v>504</v>
      </c>
      <c r="K773" t="s">
        <v>43</v>
      </c>
      <c r="L773" t="s">
        <v>21</v>
      </c>
      <c r="M773" t="s">
        <v>236</v>
      </c>
      <c r="N773" t="s">
        <v>42</v>
      </c>
      <c r="O773">
        <v>0</v>
      </c>
      <c r="P773" t="s">
        <v>237</v>
      </c>
    </row>
    <row r="774" spans="1:16" x14ac:dyDescent="0.25">
      <c r="A774" t="s">
        <v>1991</v>
      </c>
      <c r="B774">
        <v>1066</v>
      </c>
      <c r="C774" t="s">
        <v>487</v>
      </c>
      <c r="D774" t="s">
        <v>322</v>
      </c>
      <c r="E774" t="s">
        <v>371</v>
      </c>
      <c r="F774" t="s">
        <v>2976</v>
      </c>
      <c r="G774" s="25">
        <v>44285</v>
      </c>
      <c r="H774">
        <v>18</v>
      </c>
      <c r="I774">
        <v>89</v>
      </c>
      <c r="J774" t="s">
        <v>504</v>
      </c>
      <c r="K774" t="s">
        <v>43</v>
      </c>
      <c r="L774" t="s">
        <v>21</v>
      </c>
      <c r="M774" t="s">
        <v>236</v>
      </c>
      <c r="N774" t="s">
        <v>42</v>
      </c>
      <c r="O774">
        <v>0</v>
      </c>
      <c r="P774" t="s">
        <v>237</v>
      </c>
    </row>
    <row r="775" spans="1:16" x14ac:dyDescent="0.25">
      <c r="A775" t="s">
        <v>594</v>
      </c>
      <c r="B775">
        <v>304</v>
      </c>
      <c r="C775" t="s">
        <v>487</v>
      </c>
      <c r="D775" t="s">
        <v>231</v>
      </c>
      <c r="E775" t="s">
        <v>247</v>
      </c>
      <c r="F775" t="s">
        <v>1088</v>
      </c>
      <c r="G775" s="25">
        <v>44222</v>
      </c>
      <c r="H775">
        <v>6</v>
      </c>
      <c r="I775">
        <v>26</v>
      </c>
      <c r="J775" t="s">
        <v>504</v>
      </c>
      <c r="K775" t="s">
        <v>43</v>
      </c>
      <c r="L775" t="s">
        <v>21</v>
      </c>
      <c r="M775" t="s">
        <v>236</v>
      </c>
      <c r="N775" t="s">
        <v>42</v>
      </c>
      <c r="O775">
        <v>0</v>
      </c>
      <c r="P775" t="s">
        <v>237</v>
      </c>
    </row>
    <row r="776" spans="1:16" x14ac:dyDescent="0.25">
      <c r="A776" t="s">
        <v>350</v>
      </c>
      <c r="B776">
        <v>77</v>
      </c>
      <c r="C776" t="s">
        <v>487</v>
      </c>
      <c r="D776" t="s">
        <v>229</v>
      </c>
      <c r="E776" t="s">
        <v>326</v>
      </c>
      <c r="F776" t="s">
        <v>522</v>
      </c>
      <c r="G776" s="25">
        <v>44203</v>
      </c>
      <c r="H776">
        <v>2</v>
      </c>
      <c r="I776">
        <v>7</v>
      </c>
      <c r="J776" t="s">
        <v>504</v>
      </c>
      <c r="K776" t="s">
        <v>43</v>
      </c>
      <c r="L776" t="s">
        <v>21</v>
      </c>
      <c r="M776" t="s">
        <v>236</v>
      </c>
      <c r="N776" t="s">
        <v>42</v>
      </c>
      <c r="O776">
        <v>0</v>
      </c>
      <c r="P776" t="s">
        <v>237</v>
      </c>
    </row>
    <row r="777" spans="1:16" x14ac:dyDescent="0.25">
      <c r="A777" t="s">
        <v>1900</v>
      </c>
      <c r="B777">
        <v>1399</v>
      </c>
      <c r="C777" t="s">
        <v>487</v>
      </c>
      <c r="D777" t="s">
        <v>247</v>
      </c>
      <c r="E777" t="s">
        <v>534</v>
      </c>
      <c r="F777" t="s">
        <v>3166</v>
      </c>
      <c r="G777" s="25">
        <v>44313</v>
      </c>
      <c r="H777">
        <v>24</v>
      </c>
      <c r="I777">
        <v>117</v>
      </c>
      <c r="J777" t="s">
        <v>504</v>
      </c>
      <c r="K777" t="s">
        <v>43</v>
      </c>
      <c r="L777" t="s">
        <v>21</v>
      </c>
      <c r="M777" t="s">
        <v>236</v>
      </c>
      <c r="N777" t="s">
        <v>42</v>
      </c>
      <c r="O777">
        <v>0</v>
      </c>
      <c r="P777" t="s">
        <v>237</v>
      </c>
    </row>
    <row r="778" spans="1:16" x14ac:dyDescent="0.25">
      <c r="A778" t="s">
        <v>2021</v>
      </c>
      <c r="B778">
        <v>1074</v>
      </c>
      <c r="C778" t="s">
        <v>487</v>
      </c>
      <c r="D778" t="s">
        <v>322</v>
      </c>
      <c r="E778" t="s">
        <v>239</v>
      </c>
      <c r="F778" t="s">
        <v>2979</v>
      </c>
      <c r="G778" s="25">
        <v>44286</v>
      </c>
      <c r="H778">
        <v>18</v>
      </c>
      <c r="I778">
        <v>90</v>
      </c>
      <c r="J778" t="s">
        <v>504</v>
      </c>
      <c r="K778" t="s">
        <v>43</v>
      </c>
      <c r="L778" t="s">
        <v>21</v>
      </c>
      <c r="M778" t="s">
        <v>236</v>
      </c>
      <c r="N778" t="s">
        <v>42</v>
      </c>
      <c r="O778">
        <v>0</v>
      </c>
      <c r="P778" t="s">
        <v>237</v>
      </c>
    </row>
    <row r="779" spans="1:16" x14ac:dyDescent="0.25">
      <c r="A779" t="s">
        <v>341</v>
      </c>
      <c r="B779">
        <v>13</v>
      </c>
      <c r="C779" t="s">
        <v>487</v>
      </c>
      <c r="D779" t="s">
        <v>229</v>
      </c>
      <c r="E779" t="s">
        <v>231</v>
      </c>
      <c r="F779" t="s">
        <v>568</v>
      </c>
      <c r="G779" s="25">
        <v>44198</v>
      </c>
      <c r="H779">
        <v>1</v>
      </c>
      <c r="I779">
        <v>2</v>
      </c>
      <c r="J779" t="s">
        <v>504</v>
      </c>
      <c r="K779" t="s">
        <v>43</v>
      </c>
      <c r="L779" t="s">
        <v>21</v>
      </c>
      <c r="M779" t="s">
        <v>236</v>
      </c>
      <c r="N779" t="s">
        <v>42</v>
      </c>
      <c r="O779">
        <v>0</v>
      </c>
      <c r="P779" t="s">
        <v>237</v>
      </c>
    </row>
    <row r="780" spans="1:16" x14ac:dyDescent="0.25">
      <c r="A780" t="s">
        <v>2178</v>
      </c>
      <c r="B780">
        <v>716</v>
      </c>
      <c r="C780" t="s">
        <v>487</v>
      </c>
      <c r="D780" t="s">
        <v>256</v>
      </c>
      <c r="E780" t="s">
        <v>408</v>
      </c>
      <c r="F780" t="s">
        <v>1383</v>
      </c>
      <c r="G780" s="25">
        <v>44256</v>
      </c>
      <c r="H780">
        <v>12</v>
      </c>
      <c r="I780">
        <v>60</v>
      </c>
      <c r="J780" t="s">
        <v>504</v>
      </c>
      <c r="K780" t="s">
        <v>43</v>
      </c>
      <c r="L780" t="s">
        <v>21</v>
      </c>
      <c r="M780" t="s">
        <v>236</v>
      </c>
      <c r="N780" t="s">
        <v>42</v>
      </c>
      <c r="O780">
        <v>0</v>
      </c>
      <c r="P780" t="s">
        <v>237</v>
      </c>
    </row>
    <row r="781" spans="1:16" x14ac:dyDescent="0.25">
      <c r="A781" t="s">
        <v>743</v>
      </c>
      <c r="B781">
        <v>221</v>
      </c>
      <c r="C781" t="s">
        <v>487</v>
      </c>
      <c r="D781" t="s">
        <v>229</v>
      </c>
      <c r="E781" t="s">
        <v>531</v>
      </c>
      <c r="F781" t="s">
        <v>532</v>
      </c>
      <c r="G781" s="25">
        <v>44215</v>
      </c>
      <c r="H781">
        <v>4</v>
      </c>
      <c r="I781">
        <v>19</v>
      </c>
      <c r="J781" t="s">
        <v>504</v>
      </c>
      <c r="K781" t="s">
        <v>43</v>
      </c>
      <c r="L781" t="s">
        <v>21</v>
      </c>
      <c r="M781" t="s">
        <v>236</v>
      </c>
      <c r="N781" t="s">
        <v>42</v>
      </c>
      <c r="O781">
        <v>0</v>
      </c>
      <c r="P781" t="s">
        <v>237</v>
      </c>
    </row>
    <row r="782" spans="1:16" x14ac:dyDescent="0.25">
      <c r="A782" t="s">
        <v>1688</v>
      </c>
      <c r="B782">
        <v>698</v>
      </c>
      <c r="C782" t="s">
        <v>487</v>
      </c>
      <c r="D782" t="s">
        <v>256</v>
      </c>
      <c r="E782" t="s">
        <v>531</v>
      </c>
      <c r="F782" t="s">
        <v>1373</v>
      </c>
      <c r="G782" s="25">
        <v>44255</v>
      </c>
      <c r="H782">
        <v>12</v>
      </c>
      <c r="I782">
        <v>59</v>
      </c>
      <c r="J782" t="s">
        <v>504</v>
      </c>
      <c r="K782" t="s">
        <v>43</v>
      </c>
      <c r="L782" t="s">
        <v>21</v>
      </c>
      <c r="M782" t="s">
        <v>236</v>
      </c>
      <c r="N782" t="s">
        <v>42</v>
      </c>
      <c r="O782">
        <v>0</v>
      </c>
      <c r="P782" t="s">
        <v>237</v>
      </c>
    </row>
    <row r="783" spans="1:16" x14ac:dyDescent="0.25">
      <c r="A783" t="s">
        <v>2497</v>
      </c>
      <c r="B783">
        <v>696</v>
      </c>
      <c r="C783" t="s">
        <v>487</v>
      </c>
      <c r="D783" t="s">
        <v>256</v>
      </c>
      <c r="E783" t="s">
        <v>552</v>
      </c>
      <c r="F783" t="s">
        <v>1365</v>
      </c>
      <c r="G783" s="25">
        <v>44254</v>
      </c>
      <c r="H783">
        <v>12</v>
      </c>
      <c r="I783">
        <v>58</v>
      </c>
      <c r="J783" t="s">
        <v>504</v>
      </c>
      <c r="K783" t="s">
        <v>43</v>
      </c>
      <c r="L783" t="s">
        <v>21</v>
      </c>
      <c r="M783" t="s">
        <v>236</v>
      </c>
      <c r="N783" t="s">
        <v>42</v>
      </c>
      <c r="O783">
        <v>23500</v>
      </c>
      <c r="P783" t="s">
        <v>237</v>
      </c>
    </row>
    <row r="784" spans="1:16" x14ac:dyDescent="0.25">
      <c r="A784" t="s">
        <v>2036</v>
      </c>
      <c r="B784">
        <v>512</v>
      </c>
      <c r="C784" t="s">
        <v>487</v>
      </c>
      <c r="D784" t="s">
        <v>256</v>
      </c>
      <c r="E784" t="s">
        <v>256</v>
      </c>
      <c r="F784" t="s">
        <v>1263</v>
      </c>
      <c r="G784" s="25">
        <v>44239</v>
      </c>
      <c r="H784">
        <v>9</v>
      </c>
      <c r="I784">
        <v>43</v>
      </c>
      <c r="J784" t="s">
        <v>504</v>
      </c>
      <c r="K784" t="s">
        <v>43</v>
      </c>
      <c r="L784" t="s">
        <v>21</v>
      </c>
      <c r="M784" t="s">
        <v>236</v>
      </c>
      <c r="N784" t="s">
        <v>42</v>
      </c>
      <c r="O784">
        <v>0</v>
      </c>
      <c r="P784" t="s">
        <v>237</v>
      </c>
    </row>
    <row r="785" spans="1:16" x14ac:dyDescent="0.25">
      <c r="A785" t="s">
        <v>542</v>
      </c>
      <c r="B785">
        <v>292</v>
      </c>
      <c r="C785" t="s">
        <v>487</v>
      </c>
      <c r="D785" t="s">
        <v>231</v>
      </c>
      <c r="E785" t="s">
        <v>322</v>
      </c>
      <c r="F785" t="s">
        <v>1085</v>
      </c>
      <c r="G785" s="25">
        <v>44221</v>
      </c>
      <c r="H785">
        <v>5</v>
      </c>
      <c r="I785">
        <v>25</v>
      </c>
      <c r="J785" t="s">
        <v>504</v>
      </c>
      <c r="K785" t="s">
        <v>43</v>
      </c>
      <c r="L785" t="s">
        <v>21</v>
      </c>
      <c r="M785" t="s">
        <v>236</v>
      </c>
      <c r="N785" t="s">
        <v>42</v>
      </c>
      <c r="O785">
        <v>0</v>
      </c>
      <c r="P785" t="s">
        <v>237</v>
      </c>
    </row>
    <row r="786" spans="1:16" x14ac:dyDescent="0.25">
      <c r="A786" t="s">
        <v>2656</v>
      </c>
      <c r="B786">
        <v>903</v>
      </c>
      <c r="C786" t="s">
        <v>487</v>
      </c>
      <c r="D786" t="s">
        <v>261</v>
      </c>
      <c r="E786" t="s">
        <v>620</v>
      </c>
      <c r="F786" t="s">
        <v>1545</v>
      </c>
      <c r="G786" s="25">
        <v>44272</v>
      </c>
      <c r="H786">
        <v>16</v>
      </c>
      <c r="I786">
        <v>76</v>
      </c>
      <c r="J786" t="s">
        <v>504</v>
      </c>
      <c r="K786" t="s">
        <v>43</v>
      </c>
      <c r="L786" t="s">
        <v>21</v>
      </c>
      <c r="M786" t="s">
        <v>236</v>
      </c>
      <c r="N786" t="s">
        <v>42</v>
      </c>
      <c r="O786">
        <v>0</v>
      </c>
      <c r="P786" t="s">
        <v>237</v>
      </c>
    </row>
    <row r="787" spans="1:16" x14ac:dyDescent="0.25">
      <c r="A787" t="s">
        <v>1553</v>
      </c>
      <c r="B787">
        <v>464</v>
      </c>
      <c r="C787" t="s">
        <v>487</v>
      </c>
      <c r="D787" t="s">
        <v>231</v>
      </c>
      <c r="E787" t="s">
        <v>531</v>
      </c>
      <c r="F787" t="s">
        <v>1230</v>
      </c>
      <c r="G787" s="25">
        <v>44235</v>
      </c>
      <c r="H787">
        <v>8</v>
      </c>
      <c r="I787">
        <v>39</v>
      </c>
      <c r="J787" t="s">
        <v>504</v>
      </c>
      <c r="K787" t="s">
        <v>43</v>
      </c>
      <c r="L787" t="s">
        <v>21</v>
      </c>
      <c r="M787" t="s">
        <v>236</v>
      </c>
      <c r="N787" t="s">
        <v>42</v>
      </c>
      <c r="O787">
        <v>0</v>
      </c>
      <c r="P787" t="s">
        <v>237</v>
      </c>
    </row>
    <row r="788" spans="1:16" x14ac:dyDescent="0.25">
      <c r="A788" t="s">
        <v>758</v>
      </c>
      <c r="B788">
        <v>192</v>
      </c>
      <c r="C788" t="s">
        <v>487</v>
      </c>
      <c r="D788" t="s">
        <v>229</v>
      </c>
      <c r="E788" t="s">
        <v>620</v>
      </c>
      <c r="F788" t="s">
        <v>621</v>
      </c>
      <c r="G788" s="25">
        <v>44212</v>
      </c>
      <c r="H788">
        <v>4</v>
      </c>
      <c r="I788">
        <v>16</v>
      </c>
      <c r="J788" t="s">
        <v>504</v>
      </c>
      <c r="K788" t="s">
        <v>43</v>
      </c>
      <c r="L788" t="s">
        <v>21</v>
      </c>
      <c r="M788" t="s">
        <v>236</v>
      </c>
      <c r="N788" t="s">
        <v>42</v>
      </c>
      <c r="O788">
        <v>12750</v>
      </c>
      <c r="P788" t="s">
        <v>237</v>
      </c>
    </row>
    <row r="789" spans="1:16" x14ac:dyDescent="0.25">
      <c r="A789" t="s">
        <v>528</v>
      </c>
      <c r="B789">
        <v>272</v>
      </c>
      <c r="C789" t="s">
        <v>487</v>
      </c>
      <c r="D789" t="s">
        <v>231</v>
      </c>
      <c r="E789" t="s">
        <v>256</v>
      </c>
      <c r="F789" t="s">
        <v>1064</v>
      </c>
      <c r="G789" s="25">
        <v>44219</v>
      </c>
      <c r="H789">
        <v>5</v>
      </c>
      <c r="I789">
        <v>23</v>
      </c>
      <c r="J789" t="s">
        <v>504</v>
      </c>
      <c r="K789" t="s">
        <v>43</v>
      </c>
      <c r="L789" t="s">
        <v>21</v>
      </c>
      <c r="M789" t="s">
        <v>236</v>
      </c>
      <c r="N789" t="s">
        <v>42</v>
      </c>
      <c r="O789">
        <v>0</v>
      </c>
      <c r="P789" t="s">
        <v>237</v>
      </c>
    </row>
    <row r="790" spans="1:16" x14ac:dyDescent="0.25">
      <c r="A790" t="s">
        <v>2874</v>
      </c>
      <c r="B790">
        <v>684</v>
      </c>
      <c r="C790" t="s">
        <v>487</v>
      </c>
      <c r="D790" t="s">
        <v>256</v>
      </c>
      <c r="E790" t="s">
        <v>534</v>
      </c>
      <c r="F790" t="s">
        <v>1357</v>
      </c>
      <c r="G790" s="25">
        <v>44253</v>
      </c>
      <c r="H790">
        <v>12</v>
      </c>
      <c r="I790">
        <v>57</v>
      </c>
      <c r="J790" t="s">
        <v>504</v>
      </c>
      <c r="K790" t="s">
        <v>43</v>
      </c>
      <c r="L790" t="s">
        <v>21</v>
      </c>
      <c r="M790" t="s">
        <v>236</v>
      </c>
      <c r="N790" t="s">
        <v>42</v>
      </c>
      <c r="O790">
        <v>14500</v>
      </c>
      <c r="P790" t="s">
        <v>237</v>
      </c>
    </row>
    <row r="791" spans="1:16" x14ac:dyDescent="0.25">
      <c r="A791" t="s">
        <v>754</v>
      </c>
      <c r="B791">
        <v>230</v>
      </c>
      <c r="C791" t="s">
        <v>487</v>
      </c>
      <c r="D791" t="s">
        <v>229</v>
      </c>
      <c r="E791" t="s">
        <v>408</v>
      </c>
      <c r="F791" t="s">
        <v>527</v>
      </c>
      <c r="G791" s="25">
        <v>44216</v>
      </c>
      <c r="H791">
        <v>4</v>
      </c>
      <c r="I791">
        <v>20</v>
      </c>
      <c r="J791" t="s">
        <v>504</v>
      </c>
      <c r="K791" t="s">
        <v>43</v>
      </c>
      <c r="L791" t="s">
        <v>21</v>
      </c>
      <c r="M791" t="s">
        <v>236</v>
      </c>
      <c r="N791" t="s">
        <v>42</v>
      </c>
      <c r="O791">
        <v>0</v>
      </c>
      <c r="P791" t="s">
        <v>237</v>
      </c>
    </row>
    <row r="792" spans="1:16" x14ac:dyDescent="0.25">
      <c r="A792" t="s">
        <v>1821</v>
      </c>
      <c r="B792">
        <v>970</v>
      </c>
      <c r="C792" t="s">
        <v>487</v>
      </c>
      <c r="D792" t="s">
        <v>322</v>
      </c>
      <c r="E792" t="s">
        <v>229</v>
      </c>
      <c r="F792" t="s">
        <v>1643</v>
      </c>
      <c r="G792" s="25">
        <v>44277</v>
      </c>
      <c r="H792">
        <v>17</v>
      </c>
      <c r="I792">
        <v>81</v>
      </c>
      <c r="J792" t="s">
        <v>504</v>
      </c>
      <c r="K792" t="s">
        <v>43</v>
      </c>
      <c r="L792" t="s">
        <v>21</v>
      </c>
      <c r="M792" t="s">
        <v>236</v>
      </c>
      <c r="N792" t="s">
        <v>42</v>
      </c>
      <c r="O792">
        <v>0</v>
      </c>
      <c r="P792" t="s">
        <v>237</v>
      </c>
    </row>
    <row r="793" spans="1:16" x14ac:dyDescent="0.25">
      <c r="A793" t="s">
        <v>1873</v>
      </c>
      <c r="B793">
        <v>804</v>
      </c>
      <c r="C793" t="s">
        <v>487</v>
      </c>
      <c r="D793" t="s">
        <v>261</v>
      </c>
      <c r="E793" t="s">
        <v>326</v>
      </c>
      <c r="F793" t="s">
        <v>1440</v>
      </c>
      <c r="G793" s="25">
        <v>44263</v>
      </c>
      <c r="H793">
        <v>14</v>
      </c>
      <c r="I793">
        <v>67</v>
      </c>
      <c r="J793" t="s">
        <v>504</v>
      </c>
      <c r="K793" t="s">
        <v>43</v>
      </c>
      <c r="L793" t="s">
        <v>21</v>
      </c>
      <c r="M793" t="s">
        <v>236</v>
      </c>
      <c r="N793" t="s">
        <v>42</v>
      </c>
      <c r="O793">
        <v>24000</v>
      </c>
      <c r="P793" t="s">
        <v>237</v>
      </c>
    </row>
    <row r="794" spans="1:16" x14ac:dyDescent="0.25">
      <c r="A794" t="s">
        <v>2294</v>
      </c>
      <c r="B794">
        <v>671</v>
      </c>
      <c r="C794" t="s">
        <v>487</v>
      </c>
      <c r="D794" t="s">
        <v>256</v>
      </c>
      <c r="E794" t="s">
        <v>620</v>
      </c>
      <c r="F794" t="s">
        <v>1350</v>
      </c>
      <c r="G794" s="25">
        <v>44252</v>
      </c>
      <c r="H794">
        <v>12</v>
      </c>
      <c r="I794">
        <v>56</v>
      </c>
      <c r="J794" t="s">
        <v>504</v>
      </c>
      <c r="K794" t="s">
        <v>43</v>
      </c>
      <c r="L794" t="s">
        <v>21</v>
      </c>
      <c r="M794" t="s">
        <v>236</v>
      </c>
      <c r="N794" t="s">
        <v>42</v>
      </c>
      <c r="O794">
        <v>9750</v>
      </c>
      <c r="P794" t="s">
        <v>237</v>
      </c>
    </row>
    <row r="795" spans="1:16" x14ac:dyDescent="0.25">
      <c r="A795" t="s">
        <v>1634</v>
      </c>
      <c r="B795">
        <v>546</v>
      </c>
      <c r="C795" t="s">
        <v>487</v>
      </c>
      <c r="D795" t="s">
        <v>256</v>
      </c>
      <c r="E795" t="s">
        <v>247</v>
      </c>
      <c r="F795" t="s">
        <v>1299</v>
      </c>
      <c r="G795" s="25">
        <v>44242</v>
      </c>
      <c r="H795">
        <v>10</v>
      </c>
      <c r="I795">
        <v>46</v>
      </c>
      <c r="J795" t="s">
        <v>504</v>
      </c>
      <c r="K795" t="s">
        <v>43</v>
      </c>
      <c r="L795" t="s">
        <v>21</v>
      </c>
      <c r="M795" t="s">
        <v>236</v>
      </c>
      <c r="N795" t="s">
        <v>42</v>
      </c>
      <c r="O795">
        <v>0</v>
      </c>
      <c r="P795" t="s">
        <v>237</v>
      </c>
    </row>
    <row r="796" spans="1:16" x14ac:dyDescent="0.25">
      <c r="A796" t="s">
        <v>1956</v>
      </c>
      <c r="B796">
        <v>660</v>
      </c>
      <c r="C796" t="s">
        <v>487</v>
      </c>
      <c r="D796" t="s">
        <v>256</v>
      </c>
      <c r="E796" t="s">
        <v>575</v>
      </c>
      <c r="F796" t="s">
        <v>1668</v>
      </c>
      <c r="G796" s="25">
        <v>44251</v>
      </c>
      <c r="H796">
        <v>11</v>
      </c>
      <c r="I796">
        <v>55</v>
      </c>
      <c r="J796" t="s">
        <v>504</v>
      </c>
      <c r="K796" t="s">
        <v>43</v>
      </c>
      <c r="L796" t="s">
        <v>21</v>
      </c>
      <c r="M796" t="s">
        <v>236</v>
      </c>
      <c r="N796" t="s">
        <v>42</v>
      </c>
      <c r="O796">
        <v>10250</v>
      </c>
      <c r="P796" t="s">
        <v>237</v>
      </c>
    </row>
    <row r="797" spans="1:16" x14ac:dyDescent="0.25">
      <c r="A797" t="s">
        <v>1670</v>
      </c>
      <c r="B797">
        <v>980</v>
      </c>
      <c r="C797" t="s">
        <v>487</v>
      </c>
      <c r="D797" t="s">
        <v>322</v>
      </c>
      <c r="E797" t="s">
        <v>231</v>
      </c>
      <c r="F797" t="s">
        <v>2945</v>
      </c>
      <c r="G797" s="25">
        <v>44278</v>
      </c>
      <c r="H797">
        <v>17</v>
      </c>
      <c r="I797">
        <v>82</v>
      </c>
      <c r="J797" t="s">
        <v>504</v>
      </c>
      <c r="K797" t="s">
        <v>43</v>
      </c>
      <c r="L797" t="s">
        <v>21</v>
      </c>
      <c r="M797" t="s">
        <v>236</v>
      </c>
      <c r="N797" t="s">
        <v>42</v>
      </c>
      <c r="O797">
        <v>0</v>
      </c>
      <c r="P797" t="s">
        <v>237</v>
      </c>
    </row>
    <row r="798" spans="1:16" x14ac:dyDescent="0.25">
      <c r="A798" t="s">
        <v>1901</v>
      </c>
      <c r="B798">
        <v>893</v>
      </c>
      <c r="C798" t="s">
        <v>487</v>
      </c>
      <c r="D798" t="s">
        <v>261</v>
      </c>
      <c r="E798" t="s">
        <v>575</v>
      </c>
      <c r="F798" t="s">
        <v>1537</v>
      </c>
      <c r="G798" s="25">
        <v>44271</v>
      </c>
      <c r="H798">
        <v>15</v>
      </c>
      <c r="I798">
        <v>75</v>
      </c>
      <c r="J798" t="s">
        <v>504</v>
      </c>
      <c r="K798" t="s">
        <v>43</v>
      </c>
      <c r="L798" t="s">
        <v>21</v>
      </c>
      <c r="M798" t="s">
        <v>236</v>
      </c>
      <c r="N798" t="s">
        <v>42</v>
      </c>
      <c r="O798">
        <v>0</v>
      </c>
      <c r="P798" t="s">
        <v>237</v>
      </c>
    </row>
    <row r="799" spans="1:16" x14ac:dyDescent="0.25">
      <c r="A799" t="s">
        <v>2550</v>
      </c>
      <c r="B799">
        <v>926</v>
      </c>
      <c r="C799" t="s">
        <v>487</v>
      </c>
      <c r="D799" t="s">
        <v>261</v>
      </c>
      <c r="E799" t="s">
        <v>552</v>
      </c>
      <c r="F799" t="s">
        <v>1585</v>
      </c>
      <c r="G799" s="25">
        <v>44274</v>
      </c>
      <c r="H799">
        <v>16</v>
      </c>
      <c r="I799">
        <v>78</v>
      </c>
      <c r="J799" t="s">
        <v>504</v>
      </c>
      <c r="K799" t="s">
        <v>43</v>
      </c>
      <c r="L799" t="s">
        <v>21</v>
      </c>
      <c r="M799" t="s">
        <v>236</v>
      </c>
      <c r="N799" t="s">
        <v>42</v>
      </c>
      <c r="O799">
        <v>0</v>
      </c>
      <c r="P799" t="s">
        <v>237</v>
      </c>
    </row>
    <row r="800" spans="1:16" x14ac:dyDescent="0.25">
      <c r="A800" t="s">
        <v>844</v>
      </c>
      <c r="B800">
        <v>205</v>
      </c>
      <c r="C800" t="s">
        <v>487</v>
      </c>
      <c r="D800" t="s">
        <v>229</v>
      </c>
      <c r="E800" t="s">
        <v>552</v>
      </c>
      <c r="F800" t="s">
        <v>553</v>
      </c>
      <c r="G800" s="25">
        <v>44214</v>
      </c>
      <c r="H800">
        <v>4</v>
      </c>
      <c r="I800">
        <v>18</v>
      </c>
      <c r="J800" t="s">
        <v>504</v>
      </c>
      <c r="K800" t="s">
        <v>43</v>
      </c>
      <c r="L800" t="s">
        <v>21</v>
      </c>
      <c r="M800" t="s">
        <v>236</v>
      </c>
      <c r="N800" t="s">
        <v>42</v>
      </c>
      <c r="O800">
        <v>0</v>
      </c>
      <c r="P800" t="s">
        <v>237</v>
      </c>
    </row>
    <row r="801" spans="1:16" x14ac:dyDescent="0.25">
      <c r="A801" t="s">
        <v>1571</v>
      </c>
      <c r="B801">
        <v>474</v>
      </c>
      <c r="C801" t="s">
        <v>487</v>
      </c>
      <c r="D801" t="s">
        <v>231</v>
      </c>
      <c r="E801" t="s">
        <v>408</v>
      </c>
      <c r="F801" t="s">
        <v>1234</v>
      </c>
      <c r="G801" s="25">
        <v>44236</v>
      </c>
      <c r="H801">
        <v>8</v>
      </c>
      <c r="I801">
        <v>40</v>
      </c>
      <c r="J801" t="s">
        <v>504</v>
      </c>
      <c r="K801" t="s">
        <v>43</v>
      </c>
      <c r="L801" t="s">
        <v>21</v>
      </c>
      <c r="M801" t="s">
        <v>236</v>
      </c>
      <c r="N801" t="s">
        <v>42</v>
      </c>
      <c r="O801">
        <v>0</v>
      </c>
      <c r="P801" t="s">
        <v>237</v>
      </c>
    </row>
    <row r="802" spans="1:16" x14ac:dyDescent="0.25">
      <c r="A802" t="s">
        <v>2493</v>
      </c>
      <c r="B802">
        <v>766</v>
      </c>
      <c r="C802" t="s">
        <v>487</v>
      </c>
      <c r="D802" t="s">
        <v>261</v>
      </c>
      <c r="E802" t="s">
        <v>261</v>
      </c>
      <c r="F802" t="s">
        <v>1410</v>
      </c>
      <c r="G802" s="25">
        <v>44260</v>
      </c>
      <c r="H802">
        <v>13</v>
      </c>
      <c r="I802">
        <v>64</v>
      </c>
      <c r="J802" t="s">
        <v>504</v>
      </c>
      <c r="K802" t="s">
        <v>43</v>
      </c>
      <c r="L802" t="s">
        <v>21</v>
      </c>
      <c r="M802" t="s">
        <v>236</v>
      </c>
      <c r="N802" t="s">
        <v>42</v>
      </c>
      <c r="O802">
        <v>0</v>
      </c>
      <c r="P802" t="s">
        <v>237</v>
      </c>
    </row>
    <row r="803" spans="1:16" x14ac:dyDescent="0.25">
      <c r="A803" t="s">
        <v>2647</v>
      </c>
      <c r="B803">
        <v>752</v>
      </c>
      <c r="C803" t="s">
        <v>487</v>
      </c>
      <c r="D803" t="s">
        <v>261</v>
      </c>
      <c r="E803" t="s">
        <v>256</v>
      </c>
      <c r="F803" t="s">
        <v>1402</v>
      </c>
      <c r="G803" s="25">
        <v>44259</v>
      </c>
      <c r="H803">
        <v>13</v>
      </c>
      <c r="I803">
        <v>63</v>
      </c>
      <c r="J803" t="s">
        <v>504</v>
      </c>
      <c r="K803" t="s">
        <v>43</v>
      </c>
      <c r="L803" t="s">
        <v>21</v>
      </c>
      <c r="M803" t="s">
        <v>236</v>
      </c>
      <c r="N803" t="s">
        <v>42</v>
      </c>
      <c r="O803">
        <v>0</v>
      </c>
      <c r="P803" t="s">
        <v>237</v>
      </c>
    </row>
    <row r="804" spans="1:16" x14ac:dyDescent="0.25">
      <c r="A804" t="s">
        <v>734</v>
      </c>
      <c r="B804">
        <v>158</v>
      </c>
      <c r="C804" t="s">
        <v>487</v>
      </c>
      <c r="D804" t="s">
        <v>229</v>
      </c>
      <c r="E804" t="s">
        <v>537</v>
      </c>
      <c r="F804" t="s">
        <v>538</v>
      </c>
      <c r="G804" s="25">
        <v>44210</v>
      </c>
      <c r="H804">
        <v>3</v>
      </c>
      <c r="I804">
        <v>14</v>
      </c>
      <c r="J804" t="s">
        <v>504</v>
      </c>
      <c r="K804" t="s">
        <v>43</v>
      </c>
      <c r="L804" t="s">
        <v>21</v>
      </c>
      <c r="M804" t="s">
        <v>236</v>
      </c>
      <c r="N804" t="s">
        <v>42</v>
      </c>
      <c r="O804">
        <v>0</v>
      </c>
      <c r="P804" t="s">
        <v>237</v>
      </c>
    </row>
    <row r="805" spans="1:16" x14ac:dyDescent="0.25">
      <c r="A805" t="s">
        <v>2182</v>
      </c>
      <c r="B805">
        <v>527</v>
      </c>
      <c r="C805" t="s">
        <v>487</v>
      </c>
      <c r="D805" t="s">
        <v>256</v>
      </c>
      <c r="E805" t="s">
        <v>261</v>
      </c>
      <c r="F805" t="s">
        <v>1276</v>
      </c>
      <c r="G805" s="25">
        <v>44240</v>
      </c>
      <c r="H805">
        <v>9</v>
      </c>
      <c r="I805">
        <v>44</v>
      </c>
      <c r="J805" t="s">
        <v>504</v>
      </c>
      <c r="K805" t="s">
        <v>43</v>
      </c>
      <c r="L805" t="s">
        <v>21</v>
      </c>
      <c r="M805" t="s">
        <v>236</v>
      </c>
      <c r="N805" t="s">
        <v>42</v>
      </c>
      <c r="O805">
        <v>0</v>
      </c>
      <c r="P805" t="s">
        <v>237</v>
      </c>
    </row>
    <row r="806" spans="1:16" x14ac:dyDescent="0.25">
      <c r="A806" t="s">
        <v>1882</v>
      </c>
      <c r="B806">
        <v>741</v>
      </c>
      <c r="C806" t="s">
        <v>487</v>
      </c>
      <c r="D806" t="s">
        <v>261</v>
      </c>
      <c r="E806" t="s">
        <v>231</v>
      </c>
      <c r="F806" t="s">
        <v>1400</v>
      </c>
      <c r="G806" s="25">
        <v>44258</v>
      </c>
      <c r="H806">
        <v>13</v>
      </c>
      <c r="I806">
        <v>62</v>
      </c>
      <c r="J806" t="s">
        <v>504</v>
      </c>
      <c r="K806" t="s">
        <v>43</v>
      </c>
      <c r="L806" t="s">
        <v>21</v>
      </c>
      <c r="M806" t="s">
        <v>236</v>
      </c>
      <c r="N806" t="s">
        <v>42</v>
      </c>
      <c r="O806">
        <v>0</v>
      </c>
      <c r="P806" t="s">
        <v>237</v>
      </c>
    </row>
    <row r="807" spans="1:16" x14ac:dyDescent="0.25">
      <c r="A807" t="s">
        <v>2267</v>
      </c>
      <c r="B807">
        <v>937</v>
      </c>
      <c r="C807" t="s">
        <v>487</v>
      </c>
      <c r="D807" t="s">
        <v>261</v>
      </c>
      <c r="E807" t="s">
        <v>531</v>
      </c>
      <c r="F807" t="s">
        <v>1588</v>
      </c>
      <c r="G807" s="25">
        <v>44275</v>
      </c>
      <c r="H807">
        <v>16</v>
      </c>
      <c r="I807">
        <v>79</v>
      </c>
      <c r="J807" t="s">
        <v>504</v>
      </c>
      <c r="K807" t="s">
        <v>43</v>
      </c>
      <c r="L807" t="s">
        <v>21</v>
      </c>
      <c r="M807" t="s">
        <v>236</v>
      </c>
      <c r="N807" t="s">
        <v>42</v>
      </c>
      <c r="O807">
        <v>0</v>
      </c>
      <c r="P807" t="s">
        <v>237</v>
      </c>
    </row>
    <row r="808" spans="1:16" x14ac:dyDescent="0.25">
      <c r="A808" t="s">
        <v>1868</v>
      </c>
      <c r="B808">
        <v>780</v>
      </c>
      <c r="C808" t="s">
        <v>487</v>
      </c>
      <c r="D808" t="s">
        <v>261</v>
      </c>
      <c r="E808" t="s">
        <v>322</v>
      </c>
      <c r="F808" t="s">
        <v>1417</v>
      </c>
      <c r="G808" s="25">
        <v>44261</v>
      </c>
      <c r="H808">
        <v>13</v>
      </c>
      <c r="I808">
        <v>65</v>
      </c>
      <c r="J808" t="s">
        <v>504</v>
      </c>
      <c r="K808" t="s">
        <v>43</v>
      </c>
      <c r="L808" t="s">
        <v>21</v>
      </c>
      <c r="M808" t="s">
        <v>236</v>
      </c>
      <c r="N808" t="s">
        <v>42</v>
      </c>
      <c r="O808">
        <v>11125</v>
      </c>
      <c r="P808" t="s">
        <v>237</v>
      </c>
    </row>
    <row r="809" spans="1:16" x14ac:dyDescent="0.25">
      <c r="A809" t="s">
        <v>821</v>
      </c>
      <c r="B809">
        <v>278</v>
      </c>
      <c r="C809" t="s">
        <v>487</v>
      </c>
      <c r="D809" t="s">
        <v>231</v>
      </c>
      <c r="E809" t="s">
        <v>261</v>
      </c>
      <c r="F809" t="s">
        <v>1065</v>
      </c>
      <c r="G809" s="25">
        <v>44220</v>
      </c>
      <c r="H809">
        <v>5</v>
      </c>
      <c r="I809">
        <v>24</v>
      </c>
      <c r="J809" t="s">
        <v>504</v>
      </c>
      <c r="K809" t="s">
        <v>43</v>
      </c>
      <c r="L809" t="s">
        <v>21</v>
      </c>
      <c r="M809" t="s">
        <v>236</v>
      </c>
      <c r="N809" t="s">
        <v>42</v>
      </c>
      <c r="O809">
        <v>0</v>
      </c>
      <c r="P809" t="s">
        <v>237</v>
      </c>
    </row>
    <row r="810" spans="1:16" x14ac:dyDescent="0.25">
      <c r="A810" t="s">
        <v>2147</v>
      </c>
      <c r="B810">
        <v>915</v>
      </c>
      <c r="C810" t="s">
        <v>487</v>
      </c>
      <c r="D810" t="s">
        <v>261</v>
      </c>
      <c r="E810" t="s">
        <v>534</v>
      </c>
      <c r="F810" t="s">
        <v>1563</v>
      </c>
      <c r="G810" s="25">
        <v>44273</v>
      </c>
      <c r="H810">
        <v>16</v>
      </c>
      <c r="I810">
        <v>77</v>
      </c>
      <c r="J810" t="s">
        <v>504</v>
      </c>
      <c r="K810" t="s">
        <v>43</v>
      </c>
      <c r="L810" t="s">
        <v>21</v>
      </c>
      <c r="M810" t="s">
        <v>236</v>
      </c>
      <c r="N810" t="s">
        <v>42</v>
      </c>
      <c r="O810">
        <v>0</v>
      </c>
      <c r="P810" t="s">
        <v>237</v>
      </c>
    </row>
    <row r="811" spans="1:16" x14ac:dyDescent="0.25">
      <c r="A811" t="s">
        <v>2435</v>
      </c>
      <c r="B811">
        <v>531</v>
      </c>
      <c r="C811" t="s">
        <v>487</v>
      </c>
      <c r="D811" t="s">
        <v>256</v>
      </c>
      <c r="E811" t="s">
        <v>322</v>
      </c>
      <c r="F811" t="s">
        <v>1288</v>
      </c>
      <c r="G811" s="25">
        <v>44241</v>
      </c>
      <c r="H811">
        <v>9</v>
      </c>
      <c r="I811">
        <v>45</v>
      </c>
      <c r="J811" t="s">
        <v>504</v>
      </c>
      <c r="K811" t="s">
        <v>43</v>
      </c>
      <c r="L811" t="s">
        <v>21</v>
      </c>
      <c r="M811" t="s">
        <v>236</v>
      </c>
      <c r="N811" t="s">
        <v>42</v>
      </c>
      <c r="O811">
        <v>0</v>
      </c>
      <c r="P811" t="s">
        <v>237</v>
      </c>
    </row>
    <row r="812" spans="1:16" x14ac:dyDescent="0.25">
      <c r="A812" t="s">
        <v>2749</v>
      </c>
      <c r="B812">
        <v>724</v>
      </c>
      <c r="C812" t="s">
        <v>487</v>
      </c>
      <c r="D812" t="s">
        <v>261</v>
      </c>
      <c r="E812" t="s">
        <v>229</v>
      </c>
      <c r="F812" t="s">
        <v>1388</v>
      </c>
      <c r="G812" s="25">
        <v>44257</v>
      </c>
      <c r="H812">
        <v>13</v>
      </c>
      <c r="I812">
        <v>61</v>
      </c>
      <c r="J812" t="s">
        <v>504</v>
      </c>
      <c r="K812" t="s">
        <v>43</v>
      </c>
      <c r="L812" t="s">
        <v>21</v>
      </c>
      <c r="M812" t="s">
        <v>236</v>
      </c>
      <c r="N812" t="s">
        <v>42</v>
      </c>
      <c r="O812">
        <v>0</v>
      </c>
      <c r="P812" t="s">
        <v>237</v>
      </c>
    </row>
    <row r="813" spans="1:16" x14ac:dyDescent="0.25">
      <c r="A813" t="s">
        <v>2314</v>
      </c>
      <c r="B813">
        <v>792</v>
      </c>
      <c r="C813" t="s">
        <v>487</v>
      </c>
      <c r="D813" t="s">
        <v>261</v>
      </c>
      <c r="E813" t="s">
        <v>247</v>
      </c>
      <c r="F813" t="s">
        <v>1425</v>
      </c>
      <c r="G813" s="25">
        <v>44262</v>
      </c>
      <c r="H813">
        <v>14</v>
      </c>
      <c r="I813">
        <v>66</v>
      </c>
      <c r="J813" t="s">
        <v>504</v>
      </c>
      <c r="K813" t="s">
        <v>43</v>
      </c>
      <c r="L813" t="s">
        <v>21</v>
      </c>
      <c r="M813" t="s">
        <v>236</v>
      </c>
      <c r="N813" t="s">
        <v>42</v>
      </c>
      <c r="O813">
        <v>24000</v>
      </c>
      <c r="P813" t="s">
        <v>237</v>
      </c>
    </row>
    <row r="814" spans="1:16" x14ac:dyDescent="0.25">
      <c r="A814" t="s">
        <v>699</v>
      </c>
      <c r="B814">
        <v>147</v>
      </c>
      <c r="C814" t="s">
        <v>487</v>
      </c>
      <c r="D814" t="s">
        <v>229</v>
      </c>
      <c r="E814" t="s">
        <v>512</v>
      </c>
      <c r="F814" t="s">
        <v>513</v>
      </c>
      <c r="G814" s="25">
        <v>44209</v>
      </c>
      <c r="H814">
        <v>3</v>
      </c>
      <c r="I814">
        <v>13</v>
      </c>
      <c r="J814" t="s">
        <v>504</v>
      </c>
      <c r="K814" t="s">
        <v>43</v>
      </c>
      <c r="L814" t="s">
        <v>21</v>
      </c>
      <c r="M814" t="s">
        <v>236</v>
      </c>
      <c r="N814" t="s">
        <v>42</v>
      </c>
      <c r="O814">
        <v>0</v>
      </c>
      <c r="P814" t="s">
        <v>237</v>
      </c>
    </row>
    <row r="815" spans="1:16" x14ac:dyDescent="0.25">
      <c r="A815" t="s">
        <v>780</v>
      </c>
      <c r="B815">
        <v>193</v>
      </c>
      <c r="C815" t="s">
        <v>487</v>
      </c>
      <c r="D815" t="s">
        <v>229</v>
      </c>
      <c r="E815" t="s">
        <v>534</v>
      </c>
      <c r="F815" t="s">
        <v>535</v>
      </c>
      <c r="G815" s="25">
        <v>44213</v>
      </c>
      <c r="H815">
        <v>4</v>
      </c>
      <c r="I815">
        <v>17</v>
      </c>
      <c r="J815" t="s">
        <v>504</v>
      </c>
      <c r="K815" t="s">
        <v>43</v>
      </c>
      <c r="L815" t="s">
        <v>21</v>
      </c>
      <c r="M815" t="s">
        <v>236</v>
      </c>
      <c r="N815" t="s">
        <v>42</v>
      </c>
      <c r="O815">
        <v>0</v>
      </c>
      <c r="P815" t="s">
        <v>237</v>
      </c>
    </row>
    <row r="816" spans="1:16" x14ac:dyDescent="0.25">
      <c r="A816" t="s">
        <v>2535</v>
      </c>
      <c r="B816">
        <v>954</v>
      </c>
      <c r="C816" t="s">
        <v>487</v>
      </c>
      <c r="D816" t="s">
        <v>261</v>
      </c>
      <c r="E816" t="s">
        <v>408</v>
      </c>
      <c r="F816" t="s">
        <v>1595</v>
      </c>
      <c r="G816" s="25">
        <v>44276</v>
      </c>
      <c r="H816">
        <v>16</v>
      </c>
      <c r="I816">
        <v>80</v>
      </c>
      <c r="J816" t="s">
        <v>504</v>
      </c>
      <c r="K816" t="s">
        <v>43</v>
      </c>
      <c r="L816" t="s">
        <v>21</v>
      </c>
      <c r="M816" t="s">
        <v>236</v>
      </c>
      <c r="N816" t="s">
        <v>42</v>
      </c>
      <c r="O816">
        <v>0</v>
      </c>
      <c r="P816" t="s">
        <v>237</v>
      </c>
    </row>
    <row r="817" spans="1:16" x14ac:dyDescent="0.25">
      <c r="A817" t="s">
        <v>1590</v>
      </c>
      <c r="B817">
        <v>481</v>
      </c>
      <c r="C817" t="s">
        <v>487</v>
      </c>
      <c r="D817" t="s">
        <v>256</v>
      </c>
      <c r="E817" t="s">
        <v>229</v>
      </c>
      <c r="F817" t="s">
        <v>1241</v>
      </c>
      <c r="G817" s="25">
        <v>44237</v>
      </c>
      <c r="H817">
        <v>9</v>
      </c>
      <c r="I817">
        <v>41</v>
      </c>
      <c r="J817" t="s">
        <v>504</v>
      </c>
      <c r="K817" t="s">
        <v>43</v>
      </c>
      <c r="L817" t="s">
        <v>21</v>
      </c>
      <c r="M817" t="s">
        <v>236</v>
      </c>
      <c r="N817" t="s">
        <v>42</v>
      </c>
      <c r="O817">
        <v>0</v>
      </c>
      <c r="P817" t="s">
        <v>237</v>
      </c>
    </row>
    <row r="818" spans="1:16" x14ac:dyDescent="0.25">
      <c r="A818" t="s">
        <v>2305</v>
      </c>
      <c r="B818">
        <v>835</v>
      </c>
      <c r="C818" t="s">
        <v>487</v>
      </c>
      <c r="D818" t="s">
        <v>261</v>
      </c>
      <c r="E818" t="s">
        <v>239</v>
      </c>
      <c r="F818" t="s">
        <v>1703</v>
      </c>
      <c r="G818" s="25">
        <v>44266</v>
      </c>
      <c r="H818">
        <v>14</v>
      </c>
      <c r="I818">
        <v>70</v>
      </c>
      <c r="J818" t="s">
        <v>504</v>
      </c>
      <c r="K818" t="s">
        <v>43</v>
      </c>
      <c r="L818" t="s">
        <v>21</v>
      </c>
      <c r="M818" t="s">
        <v>236</v>
      </c>
      <c r="N818" t="s">
        <v>42</v>
      </c>
      <c r="O818">
        <v>0</v>
      </c>
      <c r="P818" t="s">
        <v>237</v>
      </c>
    </row>
    <row r="819" spans="1:16" x14ac:dyDescent="0.25">
      <c r="A819" t="s">
        <v>286</v>
      </c>
      <c r="B819">
        <v>136</v>
      </c>
      <c r="C819" t="s">
        <v>487</v>
      </c>
      <c r="D819" t="s">
        <v>229</v>
      </c>
      <c r="E819" t="s">
        <v>232</v>
      </c>
      <c r="F819" t="s">
        <v>520</v>
      </c>
      <c r="G819" s="25">
        <v>44208</v>
      </c>
      <c r="H819">
        <v>3</v>
      </c>
      <c r="I819">
        <v>12</v>
      </c>
      <c r="J819" t="s">
        <v>504</v>
      </c>
      <c r="K819" t="s">
        <v>43</v>
      </c>
      <c r="L819" t="s">
        <v>21</v>
      </c>
      <c r="M819" t="s">
        <v>236</v>
      </c>
      <c r="N819" t="s">
        <v>42</v>
      </c>
      <c r="O819">
        <v>0</v>
      </c>
      <c r="P819" t="s">
        <v>237</v>
      </c>
    </row>
    <row r="820" spans="1:16" x14ac:dyDescent="0.25">
      <c r="A820" t="s">
        <v>2630</v>
      </c>
      <c r="B820">
        <v>880</v>
      </c>
      <c r="C820" t="s">
        <v>487</v>
      </c>
      <c r="D820" t="s">
        <v>261</v>
      </c>
      <c r="E820" t="s">
        <v>537</v>
      </c>
      <c r="F820" t="s">
        <v>1530</v>
      </c>
      <c r="G820" s="25">
        <v>44270</v>
      </c>
      <c r="H820">
        <v>15</v>
      </c>
      <c r="I820">
        <v>74</v>
      </c>
      <c r="J820" t="s">
        <v>504</v>
      </c>
      <c r="K820" t="s">
        <v>43</v>
      </c>
      <c r="L820" t="s">
        <v>21</v>
      </c>
      <c r="M820" t="s">
        <v>236</v>
      </c>
      <c r="N820" t="s">
        <v>42</v>
      </c>
      <c r="O820">
        <v>0</v>
      </c>
      <c r="P820" t="s">
        <v>237</v>
      </c>
    </row>
    <row r="821" spans="1:16" x14ac:dyDescent="0.25">
      <c r="A821" t="s">
        <v>2152</v>
      </c>
      <c r="B821">
        <v>619</v>
      </c>
      <c r="C821" t="s">
        <v>487</v>
      </c>
      <c r="D821" t="s">
        <v>256</v>
      </c>
      <c r="E821" t="s">
        <v>232</v>
      </c>
      <c r="F821" t="s">
        <v>1337</v>
      </c>
      <c r="G821" s="25">
        <v>44248</v>
      </c>
      <c r="H821">
        <v>11</v>
      </c>
      <c r="I821">
        <v>52</v>
      </c>
      <c r="J821" t="s">
        <v>504</v>
      </c>
      <c r="K821" t="s">
        <v>43</v>
      </c>
      <c r="L821" t="s">
        <v>21</v>
      </c>
      <c r="M821" t="s">
        <v>236</v>
      </c>
      <c r="N821" t="s">
        <v>42</v>
      </c>
      <c r="O821">
        <v>0</v>
      </c>
      <c r="P821" t="s">
        <v>237</v>
      </c>
    </row>
    <row r="822" spans="1:16" x14ac:dyDescent="0.25">
      <c r="A822" t="s">
        <v>2520</v>
      </c>
      <c r="B822">
        <v>562</v>
      </c>
      <c r="C822" t="s">
        <v>487</v>
      </c>
      <c r="D822" t="s">
        <v>256</v>
      </c>
      <c r="E822" t="s">
        <v>326</v>
      </c>
      <c r="F822" t="s">
        <v>1305</v>
      </c>
      <c r="G822" s="25">
        <v>44243</v>
      </c>
      <c r="H822">
        <v>10</v>
      </c>
      <c r="I822">
        <v>47</v>
      </c>
      <c r="J822" t="s">
        <v>504</v>
      </c>
      <c r="K822" t="s">
        <v>43</v>
      </c>
      <c r="L822" t="s">
        <v>21</v>
      </c>
      <c r="M822" t="s">
        <v>236</v>
      </c>
      <c r="N822" t="s">
        <v>42</v>
      </c>
      <c r="O822">
        <v>0</v>
      </c>
      <c r="P822" t="s">
        <v>237</v>
      </c>
    </row>
    <row r="823" spans="1:16" x14ac:dyDescent="0.25">
      <c r="A823" t="s">
        <v>788</v>
      </c>
      <c r="B823">
        <v>180</v>
      </c>
      <c r="C823" t="s">
        <v>487</v>
      </c>
      <c r="D823" t="s">
        <v>229</v>
      </c>
      <c r="E823" t="s">
        <v>575</v>
      </c>
      <c r="F823" t="s">
        <v>576</v>
      </c>
      <c r="G823" s="25">
        <v>44211</v>
      </c>
      <c r="H823">
        <v>3</v>
      </c>
      <c r="I823">
        <v>15</v>
      </c>
      <c r="J823" t="s">
        <v>504</v>
      </c>
      <c r="K823" t="s">
        <v>43</v>
      </c>
      <c r="L823" t="s">
        <v>21</v>
      </c>
      <c r="M823" t="s">
        <v>236</v>
      </c>
      <c r="N823" t="s">
        <v>42</v>
      </c>
      <c r="O823">
        <v>11250</v>
      </c>
      <c r="P823" t="s">
        <v>237</v>
      </c>
    </row>
    <row r="824" spans="1:16" x14ac:dyDescent="0.25">
      <c r="A824" t="s">
        <v>783</v>
      </c>
      <c r="B824">
        <v>248</v>
      </c>
      <c r="C824" t="s">
        <v>487</v>
      </c>
      <c r="D824" t="s">
        <v>231</v>
      </c>
      <c r="E824" t="s">
        <v>229</v>
      </c>
      <c r="F824" t="s">
        <v>541</v>
      </c>
      <c r="G824" s="25">
        <v>44217</v>
      </c>
      <c r="H824">
        <v>5</v>
      </c>
      <c r="I824">
        <v>21</v>
      </c>
      <c r="J824" t="s">
        <v>504</v>
      </c>
      <c r="K824" t="s">
        <v>43</v>
      </c>
      <c r="L824" t="s">
        <v>21</v>
      </c>
      <c r="M824" t="s">
        <v>236</v>
      </c>
      <c r="N824" t="s">
        <v>42</v>
      </c>
      <c r="O824">
        <v>0</v>
      </c>
      <c r="P824" t="s">
        <v>237</v>
      </c>
    </row>
    <row r="825" spans="1:16" x14ac:dyDescent="0.25">
      <c r="A825" t="s">
        <v>2783</v>
      </c>
      <c r="B825">
        <v>846</v>
      </c>
      <c r="C825" t="s">
        <v>487</v>
      </c>
      <c r="D825" t="s">
        <v>261</v>
      </c>
      <c r="E825" t="s">
        <v>515</v>
      </c>
      <c r="F825" t="s">
        <v>1493</v>
      </c>
      <c r="G825" s="25">
        <v>44267</v>
      </c>
      <c r="H825">
        <v>15</v>
      </c>
      <c r="I825">
        <v>71</v>
      </c>
      <c r="J825" t="s">
        <v>504</v>
      </c>
      <c r="K825" t="s">
        <v>43</v>
      </c>
      <c r="L825" t="s">
        <v>21</v>
      </c>
      <c r="M825" t="s">
        <v>236</v>
      </c>
      <c r="N825" t="s">
        <v>42</v>
      </c>
      <c r="O825">
        <v>0</v>
      </c>
      <c r="P825" t="s">
        <v>237</v>
      </c>
    </row>
    <row r="826" spans="1:16" x14ac:dyDescent="0.25">
      <c r="A826" t="s">
        <v>2004</v>
      </c>
      <c r="B826">
        <v>609</v>
      </c>
      <c r="C826" t="s">
        <v>487</v>
      </c>
      <c r="D826" t="s">
        <v>256</v>
      </c>
      <c r="E826" t="s">
        <v>515</v>
      </c>
      <c r="F826" t="s">
        <v>1329</v>
      </c>
      <c r="G826" s="25">
        <v>44247</v>
      </c>
      <c r="H826">
        <v>11</v>
      </c>
      <c r="I826">
        <v>51</v>
      </c>
      <c r="J826" t="s">
        <v>504</v>
      </c>
      <c r="K826" t="s">
        <v>43</v>
      </c>
      <c r="L826" t="s">
        <v>21</v>
      </c>
      <c r="M826" t="s">
        <v>236</v>
      </c>
      <c r="N826" t="s">
        <v>42</v>
      </c>
      <c r="O826">
        <v>0</v>
      </c>
      <c r="P826" t="s">
        <v>237</v>
      </c>
    </row>
    <row r="827" spans="1:16" x14ac:dyDescent="0.25">
      <c r="A827" t="s">
        <v>2897</v>
      </c>
      <c r="B827">
        <v>565</v>
      </c>
      <c r="C827" t="s">
        <v>487</v>
      </c>
      <c r="D827" t="s">
        <v>256</v>
      </c>
      <c r="E827" t="s">
        <v>381</v>
      </c>
      <c r="F827" t="s">
        <v>1311</v>
      </c>
      <c r="G827" s="25">
        <v>44244</v>
      </c>
      <c r="H827">
        <v>10</v>
      </c>
      <c r="I827">
        <v>48</v>
      </c>
      <c r="J827" t="s">
        <v>504</v>
      </c>
      <c r="K827" t="s">
        <v>43</v>
      </c>
      <c r="L827" t="s">
        <v>21</v>
      </c>
      <c r="M827" t="s">
        <v>236</v>
      </c>
      <c r="N827" t="s">
        <v>42</v>
      </c>
      <c r="O827">
        <v>0</v>
      </c>
      <c r="P827" t="s">
        <v>237</v>
      </c>
    </row>
    <row r="828" spans="1:16" x14ac:dyDescent="0.25">
      <c r="A828" t="s">
        <v>2409</v>
      </c>
      <c r="B828">
        <v>1005</v>
      </c>
      <c r="C828" t="s">
        <v>487</v>
      </c>
      <c r="D828" t="s">
        <v>322</v>
      </c>
      <c r="E828" t="s">
        <v>261</v>
      </c>
      <c r="F828" t="s">
        <v>2956</v>
      </c>
      <c r="G828" s="25">
        <v>44280</v>
      </c>
      <c r="H828">
        <v>17</v>
      </c>
      <c r="I828">
        <v>84</v>
      </c>
      <c r="J828" t="s">
        <v>504</v>
      </c>
      <c r="K828" t="s">
        <v>43</v>
      </c>
      <c r="L828" t="s">
        <v>21</v>
      </c>
      <c r="M828" t="s">
        <v>236</v>
      </c>
      <c r="N828" t="s">
        <v>42</v>
      </c>
      <c r="O828">
        <v>0</v>
      </c>
      <c r="P828" t="s">
        <v>237</v>
      </c>
    </row>
    <row r="829" spans="1:16" x14ac:dyDescent="0.25">
      <c r="A829" t="s">
        <v>1723</v>
      </c>
      <c r="B829">
        <v>598</v>
      </c>
      <c r="C829" t="s">
        <v>487</v>
      </c>
      <c r="D829" t="s">
        <v>256</v>
      </c>
      <c r="E829" t="s">
        <v>239</v>
      </c>
      <c r="F829" t="s">
        <v>1322</v>
      </c>
      <c r="G829" s="25">
        <v>44246</v>
      </c>
      <c r="H829">
        <v>10</v>
      </c>
      <c r="I829">
        <v>50</v>
      </c>
      <c r="J829" t="s">
        <v>504</v>
      </c>
      <c r="K829" t="s">
        <v>43</v>
      </c>
      <c r="L829" t="s">
        <v>21</v>
      </c>
      <c r="M829" t="s">
        <v>236</v>
      </c>
      <c r="N829" t="s">
        <v>42</v>
      </c>
      <c r="O829">
        <v>0</v>
      </c>
      <c r="P829" t="s">
        <v>237</v>
      </c>
    </row>
    <row r="830" spans="1:16" x14ac:dyDescent="0.25">
      <c r="A830" t="s">
        <v>2682</v>
      </c>
      <c r="B830">
        <v>874</v>
      </c>
      <c r="C830" t="s">
        <v>487</v>
      </c>
      <c r="D830" t="s">
        <v>261</v>
      </c>
      <c r="E830" t="s">
        <v>512</v>
      </c>
      <c r="F830" t="s">
        <v>1518</v>
      </c>
      <c r="G830" s="25">
        <v>44269</v>
      </c>
      <c r="H830">
        <v>15</v>
      </c>
      <c r="I830">
        <v>73</v>
      </c>
      <c r="J830" t="s">
        <v>504</v>
      </c>
      <c r="K830" t="s">
        <v>43</v>
      </c>
      <c r="L830" t="s">
        <v>21</v>
      </c>
      <c r="M830" t="s">
        <v>236</v>
      </c>
      <c r="N830" t="s">
        <v>42</v>
      </c>
      <c r="O830">
        <v>0</v>
      </c>
      <c r="P830" t="s">
        <v>237</v>
      </c>
    </row>
    <row r="831" spans="1:16" x14ac:dyDescent="0.25">
      <c r="A831" t="s">
        <v>2851</v>
      </c>
      <c r="B831">
        <v>858</v>
      </c>
      <c r="C831" t="s">
        <v>487</v>
      </c>
      <c r="D831" t="s">
        <v>261</v>
      </c>
      <c r="E831" t="s">
        <v>232</v>
      </c>
      <c r="F831" t="s">
        <v>1500</v>
      </c>
      <c r="G831" s="25">
        <v>44268</v>
      </c>
      <c r="H831">
        <v>15</v>
      </c>
      <c r="I831">
        <v>72</v>
      </c>
      <c r="J831" t="s">
        <v>504</v>
      </c>
      <c r="K831" t="s">
        <v>43</v>
      </c>
      <c r="L831" t="s">
        <v>21</v>
      </c>
      <c r="M831" t="s">
        <v>236</v>
      </c>
      <c r="N831" t="s">
        <v>42</v>
      </c>
      <c r="O831">
        <v>0</v>
      </c>
      <c r="P831" t="s">
        <v>237</v>
      </c>
    </row>
    <row r="832" spans="1:16" x14ac:dyDescent="0.25">
      <c r="A832" t="s">
        <v>591</v>
      </c>
      <c r="B832">
        <v>262</v>
      </c>
      <c r="C832" t="s">
        <v>487</v>
      </c>
      <c r="D832" t="s">
        <v>231</v>
      </c>
      <c r="E832" t="s">
        <v>231</v>
      </c>
      <c r="F832" t="s">
        <v>1080</v>
      </c>
      <c r="G832" s="25">
        <v>44218</v>
      </c>
      <c r="H832">
        <v>5</v>
      </c>
      <c r="I832">
        <v>22</v>
      </c>
      <c r="J832" t="s">
        <v>504</v>
      </c>
      <c r="K832" t="s">
        <v>43</v>
      </c>
      <c r="L832" t="s">
        <v>21</v>
      </c>
      <c r="M832" t="s">
        <v>236</v>
      </c>
      <c r="N832" t="s">
        <v>42</v>
      </c>
      <c r="O832">
        <v>0</v>
      </c>
      <c r="P832" t="s">
        <v>237</v>
      </c>
    </row>
    <row r="833" spans="1:16" x14ac:dyDescent="0.25">
      <c r="A833" t="s">
        <v>1612</v>
      </c>
      <c r="B833">
        <v>493</v>
      </c>
      <c r="C833" t="s">
        <v>487</v>
      </c>
      <c r="D833" t="s">
        <v>256</v>
      </c>
      <c r="E833" t="s">
        <v>231</v>
      </c>
      <c r="F833" t="s">
        <v>1249</v>
      </c>
      <c r="G833" s="25">
        <v>44238</v>
      </c>
      <c r="H833">
        <v>9</v>
      </c>
      <c r="I833">
        <v>42</v>
      </c>
      <c r="J833" t="s">
        <v>504</v>
      </c>
      <c r="K833" t="s">
        <v>43</v>
      </c>
      <c r="L833" t="s">
        <v>21</v>
      </c>
      <c r="M833" t="s">
        <v>236</v>
      </c>
      <c r="N833" t="s">
        <v>42</v>
      </c>
      <c r="O833">
        <v>0</v>
      </c>
      <c r="P833" t="s">
        <v>237</v>
      </c>
    </row>
    <row r="834" spans="1:16" x14ac:dyDescent="0.25">
      <c r="A834" t="s">
        <v>2266</v>
      </c>
      <c r="B834">
        <v>585</v>
      </c>
      <c r="C834" t="s">
        <v>487</v>
      </c>
      <c r="D834" t="s">
        <v>256</v>
      </c>
      <c r="E834" t="s">
        <v>371</v>
      </c>
      <c r="F834" t="s">
        <v>1318</v>
      </c>
      <c r="G834" s="25">
        <v>44245</v>
      </c>
      <c r="H834">
        <v>10</v>
      </c>
      <c r="I834">
        <v>49</v>
      </c>
      <c r="J834" t="s">
        <v>504</v>
      </c>
      <c r="K834" t="s">
        <v>43</v>
      </c>
      <c r="L834" t="s">
        <v>21</v>
      </c>
      <c r="M834" t="s">
        <v>236</v>
      </c>
      <c r="N834" t="s">
        <v>42</v>
      </c>
      <c r="O834">
        <v>0</v>
      </c>
      <c r="P834" t="s">
        <v>237</v>
      </c>
    </row>
    <row r="835" spans="1:16" x14ac:dyDescent="0.25">
      <c r="A835" t="s">
        <v>2296</v>
      </c>
      <c r="B835">
        <v>1019</v>
      </c>
      <c r="C835" t="s">
        <v>487</v>
      </c>
      <c r="D835" t="s">
        <v>322</v>
      </c>
      <c r="E835" t="s">
        <v>322</v>
      </c>
      <c r="F835" t="s">
        <v>2960</v>
      </c>
      <c r="G835" s="25">
        <v>44281</v>
      </c>
      <c r="H835">
        <v>17</v>
      </c>
      <c r="I835">
        <v>85</v>
      </c>
      <c r="J835" t="s">
        <v>504</v>
      </c>
      <c r="K835" t="s">
        <v>43</v>
      </c>
      <c r="L835" t="s">
        <v>21</v>
      </c>
      <c r="M835" t="s">
        <v>236</v>
      </c>
      <c r="N835" t="s">
        <v>42</v>
      </c>
      <c r="O835">
        <v>0</v>
      </c>
      <c r="P835" t="s">
        <v>237</v>
      </c>
    </row>
    <row r="836" spans="1:16" x14ac:dyDescent="0.25">
      <c r="A836" t="s">
        <v>1773</v>
      </c>
      <c r="B836">
        <v>816</v>
      </c>
      <c r="C836" t="s">
        <v>487</v>
      </c>
      <c r="D836" t="s">
        <v>261</v>
      </c>
      <c r="E836" t="s">
        <v>381</v>
      </c>
      <c r="F836" t="s">
        <v>1458</v>
      </c>
      <c r="G836" s="25">
        <v>44264</v>
      </c>
      <c r="H836">
        <v>14</v>
      </c>
      <c r="I836">
        <v>68</v>
      </c>
      <c r="J836" t="s">
        <v>504</v>
      </c>
      <c r="K836" t="s">
        <v>43</v>
      </c>
      <c r="L836" t="s">
        <v>21</v>
      </c>
      <c r="M836" t="s">
        <v>236</v>
      </c>
      <c r="N836" t="s">
        <v>42</v>
      </c>
      <c r="O836">
        <v>24000</v>
      </c>
      <c r="P836" t="s">
        <v>237</v>
      </c>
    </row>
    <row r="837" spans="1:16" x14ac:dyDescent="0.25">
      <c r="A837" t="s">
        <v>1909</v>
      </c>
      <c r="B837">
        <v>630</v>
      </c>
      <c r="C837" t="s">
        <v>487</v>
      </c>
      <c r="D837" t="s">
        <v>256</v>
      </c>
      <c r="E837" t="s">
        <v>512</v>
      </c>
      <c r="F837" t="s">
        <v>1342</v>
      </c>
      <c r="G837" s="25">
        <v>44249</v>
      </c>
      <c r="H837">
        <v>11</v>
      </c>
      <c r="I837">
        <v>53</v>
      </c>
      <c r="J837" t="s">
        <v>504</v>
      </c>
      <c r="K837" t="s">
        <v>43</v>
      </c>
      <c r="L837" t="s">
        <v>21</v>
      </c>
      <c r="M837" t="s">
        <v>236</v>
      </c>
      <c r="N837" t="s">
        <v>42</v>
      </c>
      <c r="O837">
        <v>0</v>
      </c>
      <c r="P837" t="s">
        <v>237</v>
      </c>
    </row>
    <row r="838" spans="1:16" x14ac:dyDescent="0.25">
      <c r="A838" t="s">
        <v>757</v>
      </c>
      <c r="B838">
        <v>456</v>
      </c>
      <c r="C838" t="s">
        <v>487</v>
      </c>
      <c r="D838" t="s">
        <v>231</v>
      </c>
      <c r="E838" t="s">
        <v>552</v>
      </c>
      <c r="F838" t="s">
        <v>1222</v>
      </c>
      <c r="G838" s="25">
        <v>44234</v>
      </c>
      <c r="H838">
        <v>8</v>
      </c>
      <c r="I838">
        <v>38</v>
      </c>
      <c r="J838" t="s">
        <v>504</v>
      </c>
      <c r="K838" t="s">
        <v>43</v>
      </c>
      <c r="L838" t="s">
        <v>21</v>
      </c>
      <c r="M838" t="s">
        <v>236</v>
      </c>
      <c r="N838" t="s">
        <v>42</v>
      </c>
      <c r="O838">
        <v>15000</v>
      </c>
      <c r="P838" t="s">
        <v>237</v>
      </c>
    </row>
    <row r="839" spans="1:16" x14ac:dyDescent="0.25">
      <c r="A839" t="s">
        <v>2361</v>
      </c>
      <c r="B839">
        <v>987</v>
      </c>
      <c r="C839" t="s">
        <v>487</v>
      </c>
      <c r="D839" t="s">
        <v>322</v>
      </c>
      <c r="E839" t="s">
        <v>256</v>
      </c>
      <c r="F839" t="s">
        <v>2952</v>
      </c>
      <c r="G839" s="25">
        <v>44279</v>
      </c>
      <c r="H839">
        <v>17</v>
      </c>
      <c r="I839">
        <v>83</v>
      </c>
      <c r="J839" t="s">
        <v>504</v>
      </c>
      <c r="K839" t="s">
        <v>43</v>
      </c>
      <c r="L839" t="s">
        <v>21</v>
      </c>
      <c r="M839" t="s">
        <v>236</v>
      </c>
      <c r="N839" t="s">
        <v>42</v>
      </c>
      <c r="O839">
        <v>0</v>
      </c>
      <c r="P839" t="s">
        <v>237</v>
      </c>
    </row>
    <row r="840" spans="1:16" x14ac:dyDescent="0.25">
      <c r="A840" t="s">
        <v>2426</v>
      </c>
      <c r="B840">
        <v>827</v>
      </c>
      <c r="C840" t="s">
        <v>487</v>
      </c>
      <c r="D840" t="s">
        <v>261</v>
      </c>
      <c r="E840" t="s">
        <v>371</v>
      </c>
      <c r="F840" t="s">
        <v>1478</v>
      </c>
      <c r="G840" s="25">
        <v>44265</v>
      </c>
      <c r="H840">
        <v>14</v>
      </c>
      <c r="I840">
        <v>69</v>
      </c>
      <c r="J840" t="s">
        <v>504</v>
      </c>
      <c r="K840" t="s">
        <v>43</v>
      </c>
      <c r="L840" t="s">
        <v>21</v>
      </c>
      <c r="M840" t="s">
        <v>236</v>
      </c>
      <c r="N840" t="s">
        <v>42</v>
      </c>
      <c r="O840">
        <v>6875</v>
      </c>
      <c r="P840" t="s">
        <v>237</v>
      </c>
    </row>
    <row r="841" spans="1:16" x14ac:dyDescent="0.25">
      <c r="A841" t="s">
        <v>1829</v>
      </c>
      <c r="B841">
        <v>637</v>
      </c>
      <c r="C841" t="s">
        <v>487</v>
      </c>
      <c r="D841" t="s">
        <v>256</v>
      </c>
      <c r="E841" t="s">
        <v>537</v>
      </c>
      <c r="F841" t="s">
        <v>1348</v>
      </c>
      <c r="G841" s="25">
        <v>44250</v>
      </c>
      <c r="H841">
        <v>11</v>
      </c>
      <c r="I841">
        <v>54</v>
      </c>
      <c r="J841" t="s">
        <v>504</v>
      </c>
      <c r="K841" t="s">
        <v>43</v>
      </c>
      <c r="L841" t="s">
        <v>21</v>
      </c>
      <c r="M841" t="s">
        <v>236</v>
      </c>
      <c r="N841" t="s">
        <v>42</v>
      </c>
      <c r="O841">
        <v>0</v>
      </c>
      <c r="P841" t="s">
        <v>237</v>
      </c>
    </row>
    <row r="842" spans="1:16" x14ac:dyDescent="0.25">
      <c r="A842" t="s">
        <v>2339</v>
      </c>
      <c r="B842">
        <v>529</v>
      </c>
      <c r="C842" t="s">
        <v>487</v>
      </c>
      <c r="D842" t="s">
        <v>256</v>
      </c>
      <c r="E842" t="s">
        <v>322</v>
      </c>
      <c r="F842" t="s">
        <v>1288</v>
      </c>
      <c r="G842" s="25">
        <v>44241</v>
      </c>
      <c r="H842">
        <v>9</v>
      </c>
      <c r="I842">
        <v>45</v>
      </c>
      <c r="J842" t="s">
        <v>505</v>
      </c>
      <c r="K842" t="s">
        <v>41</v>
      </c>
      <c r="L842" t="s">
        <v>21</v>
      </c>
      <c r="M842" t="s">
        <v>266</v>
      </c>
      <c r="N842" t="s">
        <v>40</v>
      </c>
      <c r="O842">
        <v>0</v>
      </c>
      <c r="P842" t="s">
        <v>237</v>
      </c>
    </row>
    <row r="843" spans="1:16" x14ac:dyDescent="0.25">
      <c r="A843" t="s">
        <v>2223</v>
      </c>
      <c r="B843">
        <v>732</v>
      </c>
      <c r="C843" t="s">
        <v>487</v>
      </c>
      <c r="D843" t="s">
        <v>261</v>
      </c>
      <c r="E843" t="s">
        <v>229</v>
      </c>
      <c r="F843" t="s">
        <v>1388</v>
      </c>
      <c r="G843" s="25">
        <v>44257</v>
      </c>
      <c r="H843">
        <v>13</v>
      </c>
      <c r="I843">
        <v>61</v>
      </c>
      <c r="J843" t="s">
        <v>505</v>
      </c>
      <c r="K843" t="s">
        <v>41</v>
      </c>
      <c r="L843" t="s">
        <v>21</v>
      </c>
      <c r="M843" t="s">
        <v>266</v>
      </c>
      <c r="N843" t="s">
        <v>40</v>
      </c>
      <c r="O843">
        <v>18875</v>
      </c>
      <c r="P843" t="s">
        <v>237</v>
      </c>
    </row>
    <row r="844" spans="1:16" x14ac:dyDescent="0.25">
      <c r="A844" t="s">
        <v>2628</v>
      </c>
      <c r="B844">
        <v>636</v>
      </c>
      <c r="C844" t="s">
        <v>487</v>
      </c>
      <c r="D844" t="s">
        <v>256</v>
      </c>
      <c r="E844" t="s">
        <v>512</v>
      </c>
      <c r="F844" t="s">
        <v>1342</v>
      </c>
      <c r="G844" s="25">
        <v>44249</v>
      </c>
      <c r="H844">
        <v>11</v>
      </c>
      <c r="I844">
        <v>53</v>
      </c>
      <c r="J844" t="s">
        <v>505</v>
      </c>
      <c r="K844" t="s">
        <v>41</v>
      </c>
      <c r="L844" t="s">
        <v>21</v>
      </c>
      <c r="M844" t="s">
        <v>266</v>
      </c>
      <c r="N844" t="s">
        <v>40</v>
      </c>
      <c r="O844">
        <v>24000</v>
      </c>
      <c r="P844" t="s">
        <v>237</v>
      </c>
    </row>
    <row r="845" spans="1:16" x14ac:dyDescent="0.25">
      <c r="A845" t="s">
        <v>2075</v>
      </c>
      <c r="B845">
        <v>942</v>
      </c>
      <c r="C845" t="s">
        <v>487</v>
      </c>
      <c r="D845" t="s">
        <v>261</v>
      </c>
      <c r="E845" t="s">
        <v>531</v>
      </c>
      <c r="F845" t="s">
        <v>1588</v>
      </c>
      <c r="G845" s="25">
        <v>44275</v>
      </c>
      <c r="H845">
        <v>16</v>
      </c>
      <c r="I845">
        <v>79</v>
      </c>
      <c r="J845" t="s">
        <v>505</v>
      </c>
      <c r="K845" t="s">
        <v>41</v>
      </c>
      <c r="L845" t="s">
        <v>21</v>
      </c>
      <c r="M845" t="s">
        <v>266</v>
      </c>
      <c r="N845" t="s">
        <v>40</v>
      </c>
      <c r="O845">
        <v>0</v>
      </c>
      <c r="P845" t="s">
        <v>237</v>
      </c>
    </row>
    <row r="846" spans="1:16" x14ac:dyDescent="0.25">
      <c r="A846" t="s">
        <v>308</v>
      </c>
      <c r="B846">
        <v>137</v>
      </c>
      <c r="C846" t="s">
        <v>487</v>
      </c>
      <c r="D846" t="s">
        <v>229</v>
      </c>
      <c r="E846" t="s">
        <v>232</v>
      </c>
      <c r="F846" t="s">
        <v>520</v>
      </c>
      <c r="G846" s="25">
        <v>44208</v>
      </c>
      <c r="H846">
        <v>3</v>
      </c>
      <c r="I846">
        <v>12</v>
      </c>
      <c r="J846" t="s">
        <v>505</v>
      </c>
      <c r="K846" t="s">
        <v>41</v>
      </c>
      <c r="L846" t="s">
        <v>21</v>
      </c>
      <c r="M846" t="s">
        <v>266</v>
      </c>
      <c r="N846" t="s">
        <v>40</v>
      </c>
      <c r="O846">
        <v>0</v>
      </c>
      <c r="P846" t="s">
        <v>237</v>
      </c>
    </row>
    <row r="847" spans="1:16" x14ac:dyDescent="0.25">
      <c r="A847" t="s">
        <v>2337</v>
      </c>
      <c r="B847">
        <v>1260</v>
      </c>
      <c r="C847" t="s">
        <v>487</v>
      </c>
      <c r="D847" t="s">
        <v>247</v>
      </c>
      <c r="E847" t="s">
        <v>322</v>
      </c>
      <c r="F847" t="s">
        <v>3083</v>
      </c>
      <c r="G847" s="25">
        <v>44301</v>
      </c>
      <c r="H847">
        <v>21</v>
      </c>
      <c r="I847">
        <v>105</v>
      </c>
      <c r="J847" t="s">
        <v>505</v>
      </c>
      <c r="K847" t="s">
        <v>41</v>
      </c>
      <c r="L847" t="s">
        <v>21</v>
      </c>
      <c r="M847" t="s">
        <v>266</v>
      </c>
      <c r="N847" t="s">
        <v>40</v>
      </c>
      <c r="O847">
        <v>10375</v>
      </c>
      <c r="P847" t="s">
        <v>237</v>
      </c>
    </row>
    <row r="848" spans="1:16" x14ac:dyDescent="0.25">
      <c r="A848" t="s">
        <v>2078</v>
      </c>
      <c r="B848">
        <v>520</v>
      </c>
      <c r="C848" t="s">
        <v>487</v>
      </c>
      <c r="D848" t="s">
        <v>256</v>
      </c>
      <c r="E848" t="s">
        <v>261</v>
      </c>
      <c r="F848" t="s">
        <v>1276</v>
      </c>
      <c r="G848" s="25">
        <v>44240</v>
      </c>
      <c r="H848">
        <v>9</v>
      </c>
      <c r="I848">
        <v>44</v>
      </c>
      <c r="J848" t="s">
        <v>505</v>
      </c>
      <c r="K848" t="s">
        <v>41</v>
      </c>
      <c r="L848" t="s">
        <v>21</v>
      </c>
      <c r="M848" t="s">
        <v>266</v>
      </c>
      <c r="N848" t="s">
        <v>40</v>
      </c>
      <c r="O848">
        <v>0</v>
      </c>
      <c r="P848" t="s">
        <v>237</v>
      </c>
    </row>
    <row r="849" spans="1:16" x14ac:dyDescent="0.25">
      <c r="A849" t="s">
        <v>2017</v>
      </c>
      <c r="B849">
        <v>932</v>
      </c>
      <c r="C849" t="s">
        <v>487</v>
      </c>
      <c r="D849" t="s">
        <v>261</v>
      </c>
      <c r="E849" t="s">
        <v>552</v>
      </c>
      <c r="F849" t="s">
        <v>1585</v>
      </c>
      <c r="G849" s="25">
        <v>44274</v>
      </c>
      <c r="H849">
        <v>16</v>
      </c>
      <c r="I849">
        <v>78</v>
      </c>
      <c r="J849" t="s">
        <v>505</v>
      </c>
      <c r="K849" t="s">
        <v>41</v>
      </c>
      <c r="L849" t="s">
        <v>21</v>
      </c>
      <c r="M849" t="s">
        <v>266</v>
      </c>
      <c r="N849" t="s">
        <v>40</v>
      </c>
      <c r="O849">
        <v>0</v>
      </c>
      <c r="P849" t="s">
        <v>237</v>
      </c>
    </row>
    <row r="850" spans="1:16" x14ac:dyDescent="0.25">
      <c r="A850" t="s">
        <v>796</v>
      </c>
      <c r="B850">
        <v>243</v>
      </c>
      <c r="C850" t="s">
        <v>487</v>
      </c>
      <c r="D850" t="s">
        <v>231</v>
      </c>
      <c r="E850" t="s">
        <v>229</v>
      </c>
      <c r="F850" t="s">
        <v>541</v>
      </c>
      <c r="G850" s="25">
        <v>44217</v>
      </c>
      <c r="H850">
        <v>5</v>
      </c>
      <c r="I850">
        <v>21</v>
      </c>
      <c r="J850" t="s">
        <v>505</v>
      </c>
      <c r="K850" t="s">
        <v>41</v>
      </c>
      <c r="L850" t="s">
        <v>21</v>
      </c>
      <c r="M850" t="s">
        <v>266</v>
      </c>
      <c r="N850" t="s">
        <v>40</v>
      </c>
      <c r="O850">
        <v>0</v>
      </c>
      <c r="P850" t="s">
        <v>237</v>
      </c>
    </row>
    <row r="851" spans="1:16" x14ac:dyDescent="0.25">
      <c r="A851" t="s">
        <v>2517</v>
      </c>
      <c r="B851">
        <v>755</v>
      </c>
      <c r="C851" t="s">
        <v>487</v>
      </c>
      <c r="D851" t="s">
        <v>261</v>
      </c>
      <c r="E851" t="s">
        <v>256</v>
      </c>
      <c r="F851" t="s">
        <v>1402</v>
      </c>
      <c r="G851" s="25">
        <v>44259</v>
      </c>
      <c r="H851">
        <v>13</v>
      </c>
      <c r="I851">
        <v>63</v>
      </c>
      <c r="J851" t="s">
        <v>505</v>
      </c>
      <c r="K851" t="s">
        <v>41</v>
      </c>
      <c r="L851" t="s">
        <v>21</v>
      </c>
      <c r="M851" t="s">
        <v>266</v>
      </c>
      <c r="N851" t="s">
        <v>40</v>
      </c>
      <c r="O851">
        <v>5125</v>
      </c>
      <c r="P851" t="s">
        <v>237</v>
      </c>
    </row>
    <row r="852" spans="1:16" x14ac:dyDescent="0.25">
      <c r="A852" t="s">
        <v>2626</v>
      </c>
      <c r="B852">
        <v>1270</v>
      </c>
      <c r="C852" t="s">
        <v>487</v>
      </c>
      <c r="D852" t="s">
        <v>247</v>
      </c>
      <c r="E852" t="s">
        <v>247</v>
      </c>
      <c r="F852" t="s">
        <v>3085</v>
      </c>
      <c r="G852" s="25">
        <v>44302</v>
      </c>
      <c r="H852">
        <v>22</v>
      </c>
      <c r="I852">
        <v>106</v>
      </c>
      <c r="J852" t="s">
        <v>505</v>
      </c>
      <c r="K852" t="s">
        <v>41</v>
      </c>
      <c r="L852" t="s">
        <v>21</v>
      </c>
      <c r="M852" t="s">
        <v>266</v>
      </c>
      <c r="N852" t="s">
        <v>40</v>
      </c>
      <c r="O852">
        <v>0</v>
      </c>
      <c r="P852" t="s">
        <v>237</v>
      </c>
    </row>
    <row r="853" spans="1:16" x14ac:dyDescent="0.25">
      <c r="A853" t="s">
        <v>2331</v>
      </c>
      <c r="B853">
        <v>1104</v>
      </c>
      <c r="C853" t="s">
        <v>487</v>
      </c>
      <c r="D853" t="s">
        <v>322</v>
      </c>
      <c r="E853" t="s">
        <v>232</v>
      </c>
      <c r="F853" t="s">
        <v>2987</v>
      </c>
      <c r="G853" s="25">
        <v>44288</v>
      </c>
      <c r="H853">
        <v>19</v>
      </c>
      <c r="I853">
        <v>92</v>
      </c>
      <c r="J853" t="s">
        <v>505</v>
      </c>
      <c r="K853" t="s">
        <v>41</v>
      </c>
      <c r="L853" t="s">
        <v>21</v>
      </c>
      <c r="M853" t="s">
        <v>266</v>
      </c>
      <c r="N853" t="s">
        <v>40</v>
      </c>
      <c r="O853">
        <v>16625</v>
      </c>
      <c r="P853" t="s">
        <v>237</v>
      </c>
    </row>
    <row r="854" spans="1:16" x14ac:dyDescent="0.25">
      <c r="A854" t="s">
        <v>375</v>
      </c>
      <c r="B854">
        <v>50</v>
      </c>
      <c r="C854" t="s">
        <v>487</v>
      </c>
      <c r="D854" t="s">
        <v>229</v>
      </c>
      <c r="E854" t="s">
        <v>322</v>
      </c>
      <c r="F854" t="s">
        <v>529</v>
      </c>
      <c r="G854" s="25">
        <v>44201</v>
      </c>
      <c r="H854">
        <v>1</v>
      </c>
      <c r="I854">
        <v>5</v>
      </c>
      <c r="J854" t="s">
        <v>505</v>
      </c>
      <c r="K854" t="s">
        <v>41</v>
      </c>
      <c r="L854" t="s">
        <v>21</v>
      </c>
      <c r="M854" t="s">
        <v>266</v>
      </c>
      <c r="N854" t="s">
        <v>40</v>
      </c>
      <c r="O854">
        <v>0</v>
      </c>
      <c r="P854" t="s">
        <v>237</v>
      </c>
    </row>
    <row r="855" spans="1:16" x14ac:dyDescent="0.25">
      <c r="A855" t="s">
        <v>750</v>
      </c>
      <c r="B855">
        <v>429</v>
      </c>
      <c r="C855" t="s">
        <v>487</v>
      </c>
      <c r="D855" t="s">
        <v>231</v>
      </c>
      <c r="E855" t="s">
        <v>620</v>
      </c>
      <c r="F855" t="s">
        <v>1215</v>
      </c>
      <c r="G855" s="25">
        <v>44232</v>
      </c>
      <c r="H855">
        <v>8</v>
      </c>
      <c r="I855">
        <v>36</v>
      </c>
      <c r="J855" t="s">
        <v>505</v>
      </c>
      <c r="K855" t="s">
        <v>41</v>
      </c>
      <c r="L855" t="s">
        <v>21</v>
      </c>
      <c r="M855" t="s">
        <v>266</v>
      </c>
      <c r="N855" t="s">
        <v>40</v>
      </c>
      <c r="O855">
        <v>0</v>
      </c>
      <c r="P855" t="s">
        <v>237</v>
      </c>
    </row>
    <row r="856" spans="1:16" x14ac:dyDescent="0.25">
      <c r="A856" t="s">
        <v>372</v>
      </c>
      <c r="B856">
        <v>118</v>
      </c>
      <c r="C856" t="s">
        <v>487</v>
      </c>
      <c r="D856" t="s">
        <v>229</v>
      </c>
      <c r="E856" t="s">
        <v>239</v>
      </c>
      <c r="F856" t="s">
        <v>578</v>
      </c>
      <c r="G856" s="25">
        <v>44206</v>
      </c>
      <c r="H856">
        <v>2</v>
      </c>
      <c r="I856">
        <v>10</v>
      </c>
      <c r="J856" t="s">
        <v>505</v>
      </c>
      <c r="K856" t="s">
        <v>41</v>
      </c>
      <c r="L856" t="s">
        <v>21</v>
      </c>
      <c r="M856" t="s">
        <v>266</v>
      </c>
      <c r="N856" t="s">
        <v>40</v>
      </c>
      <c r="O856">
        <v>0</v>
      </c>
      <c r="P856" t="s">
        <v>237</v>
      </c>
    </row>
    <row r="857" spans="1:16" x14ac:dyDescent="0.25">
      <c r="A857" t="s">
        <v>2181</v>
      </c>
      <c r="B857">
        <v>1046</v>
      </c>
      <c r="C857" t="s">
        <v>487</v>
      </c>
      <c r="D857" t="s">
        <v>322</v>
      </c>
      <c r="E857" t="s">
        <v>381</v>
      </c>
      <c r="F857" t="s">
        <v>2971</v>
      </c>
      <c r="G857" s="25">
        <v>44284</v>
      </c>
      <c r="H857">
        <v>18</v>
      </c>
      <c r="I857">
        <v>88</v>
      </c>
      <c r="J857" t="s">
        <v>505</v>
      </c>
      <c r="K857" t="s">
        <v>41</v>
      </c>
      <c r="L857" t="s">
        <v>21</v>
      </c>
      <c r="M857" t="s">
        <v>266</v>
      </c>
      <c r="N857" t="s">
        <v>40</v>
      </c>
      <c r="O857">
        <v>0</v>
      </c>
      <c r="P857" t="s">
        <v>237</v>
      </c>
    </row>
    <row r="858" spans="1:16" x14ac:dyDescent="0.25">
      <c r="A858" t="s">
        <v>2707</v>
      </c>
      <c r="B858">
        <v>1279</v>
      </c>
      <c r="C858" t="s">
        <v>487</v>
      </c>
      <c r="D858" t="s">
        <v>247</v>
      </c>
      <c r="E858" t="s">
        <v>326</v>
      </c>
      <c r="F858" t="s">
        <v>3091</v>
      </c>
      <c r="G858" s="25">
        <v>44303</v>
      </c>
      <c r="H858">
        <v>22</v>
      </c>
      <c r="I858">
        <v>107</v>
      </c>
      <c r="J858" t="s">
        <v>505</v>
      </c>
      <c r="K858" t="s">
        <v>41</v>
      </c>
      <c r="L858" t="s">
        <v>21</v>
      </c>
      <c r="M858" t="s">
        <v>266</v>
      </c>
      <c r="N858" t="s">
        <v>40</v>
      </c>
      <c r="O858">
        <v>0</v>
      </c>
      <c r="P858" t="s">
        <v>237</v>
      </c>
    </row>
    <row r="859" spans="1:16" x14ac:dyDescent="0.25">
      <c r="A859" t="s">
        <v>1851</v>
      </c>
      <c r="B859">
        <v>744</v>
      </c>
      <c r="C859" t="s">
        <v>487</v>
      </c>
      <c r="D859" t="s">
        <v>261</v>
      </c>
      <c r="E859" t="s">
        <v>231</v>
      </c>
      <c r="F859" t="s">
        <v>1400</v>
      </c>
      <c r="G859" s="25">
        <v>44258</v>
      </c>
      <c r="H859">
        <v>13</v>
      </c>
      <c r="I859">
        <v>62</v>
      </c>
      <c r="J859" t="s">
        <v>505</v>
      </c>
      <c r="K859" t="s">
        <v>41</v>
      </c>
      <c r="L859" t="s">
        <v>21</v>
      </c>
      <c r="M859" t="s">
        <v>266</v>
      </c>
      <c r="N859" t="s">
        <v>40</v>
      </c>
      <c r="O859">
        <v>24000</v>
      </c>
      <c r="P859" t="s">
        <v>237</v>
      </c>
    </row>
    <row r="860" spans="1:16" x14ac:dyDescent="0.25">
      <c r="A860" t="s">
        <v>291</v>
      </c>
      <c r="B860">
        <v>48</v>
      </c>
      <c r="C860" t="s">
        <v>487</v>
      </c>
      <c r="D860" t="s">
        <v>229</v>
      </c>
      <c r="E860" t="s">
        <v>261</v>
      </c>
      <c r="F860" t="s">
        <v>549</v>
      </c>
      <c r="G860" s="25">
        <v>44200</v>
      </c>
      <c r="H860">
        <v>1</v>
      </c>
      <c r="I860">
        <v>4</v>
      </c>
      <c r="J860" t="s">
        <v>505</v>
      </c>
      <c r="K860" t="s">
        <v>41</v>
      </c>
      <c r="L860" t="s">
        <v>21</v>
      </c>
      <c r="M860" t="s">
        <v>266</v>
      </c>
      <c r="N860" t="s">
        <v>40</v>
      </c>
      <c r="O860">
        <v>24000</v>
      </c>
      <c r="P860" t="s">
        <v>237</v>
      </c>
    </row>
    <row r="861" spans="1:16" x14ac:dyDescent="0.25">
      <c r="A861" t="s">
        <v>775</v>
      </c>
      <c r="B861">
        <v>211</v>
      </c>
      <c r="C861" t="s">
        <v>487</v>
      </c>
      <c r="D861" t="s">
        <v>229</v>
      </c>
      <c r="E861" t="s">
        <v>552</v>
      </c>
      <c r="F861" t="s">
        <v>553</v>
      </c>
      <c r="G861" s="25">
        <v>44214</v>
      </c>
      <c r="H861">
        <v>4</v>
      </c>
      <c r="I861">
        <v>18</v>
      </c>
      <c r="J861" t="s">
        <v>505</v>
      </c>
      <c r="K861" t="s">
        <v>41</v>
      </c>
      <c r="L861" t="s">
        <v>21</v>
      </c>
      <c r="M861" t="s">
        <v>266</v>
      </c>
      <c r="N861" t="s">
        <v>40</v>
      </c>
      <c r="O861">
        <v>0</v>
      </c>
      <c r="P861" t="s">
        <v>237</v>
      </c>
    </row>
    <row r="862" spans="1:16" x14ac:dyDescent="0.25">
      <c r="A862" t="s">
        <v>2166</v>
      </c>
      <c r="B862">
        <v>559</v>
      </c>
      <c r="C862" t="s">
        <v>487</v>
      </c>
      <c r="D862" t="s">
        <v>256</v>
      </c>
      <c r="E862" t="s">
        <v>326</v>
      </c>
      <c r="F862" t="s">
        <v>1305</v>
      </c>
      <c r="G862" s="25">
        <v>44243</v>
      </c>
      <c r="H862">
        <v>10</v>
      </c>
      <c r="I862">
        <v>47</v>
      </c>
      <c r="J862" t="s">
        <v>505</v>
      </c>
      <c r="K862" t="s">
        <v>41</v>
      </c>
      <c r="L862" t="s">
        <v>21</v>
      </c>
      <c r="M862" t="s">
        <v>266</v>
      </c>
      <c r="N862" t="s">
        <v>40</v>
      </c>
      <c r="O862">
        <v>0</v>
      </c>
      <c r="P862" t="s">
        <v>237</v>
      </c>
    </row>
    <row r="863" spans="1:16" x14ac:dyDescent="0.25">
      <c r="A863" t="s">
        <v>1690</v>
      </c>
      <c r="B863">
        <v>1384</v>
      </c>
      <c r="C863" t="s">
        <v>487</v>
      </c>
      <c r="D863" t="s">
        <v>247</v>
      </c>
      <c r="E863" t="s">
        <v>620</v>
      </c>
      <c r="F863" t="s">
        <v>3162</v>
      </c>
      <c r="G863" s="25">
        <v>44312</v>
      </c>
      <c r="H863">
        <v>24</v>
      </c>
      <c r="I863">
        <v>116</v>
      </c>
      <c r="J863" t="s">
        <v>505</v>
      </c>
      <c r="K863" t="s">
        <v>41</v>
      </c>
      <c r="L863" t="s">
        <v>21</v>
      </c>
      <c r="M863" t="s">
        <v>266</v>
      </c>
      <c r="N863" t="s">
        <v>40</v>
      </c>
      <c r="O863">
        <v>0</v>
      </c>
      <c r="P863" t="s">
        <v>237</v>
      </c>
    </row>
    <row r="864" spans="1:16" x14ac:dyDescent="0.25">
      <c r="A864" t="s">
        <v>856</v>
      </c>
      <c r="B864">
        <v>352</v>
      </c>
      <c r="C864" t="s">
        <v>487</v>
      </c>
      <c r="D864" t="s">
        <v>231</v>
      </c>
      <c r="E864" t="s">
        <v>239</v>
      </c>
      <c r="F864" t="s">
        <v>1139</v>
      </c>
      <c r="G864" s="25">
        <v>44226</v>
      </c>
      <c r="H864">
        <v>6</v>
      </c>
      <c r="I864">
        <v>30</v>
      </c>
      <c r="J864" t="s">
        <v>505</v>
      </c>
      <c r="K864" t="s">
        <v>41</v>
      </c>
      <c r="L864" t="s">
        <v>21</v>
      </c>
      <c r="M864" t="s">
        <v>266</v>
      </c>
      <c r="N864" t="s">
        <v>40</v>
      </c>
      <c r="O864">
        <v>0</v>
      </c>
      <c r="P864" t="s">
        <v>237</v>
      </c>
    </row>
    <row r="865" spans="1:16" x14ac:dyDescent="0.25">
      <c r="A865" t="s">
        <v>1789</v>
      </c>
      <c r="B865">
        <v>966</v>
      </c>
      <c r="C865" t="s">
        <v>487</v>
      </c>
      <c r="D865" t="s">
        <v>322</v>
      </c>
      <c r="E865" t="s">
        <v>229</v>
      </c>
      <c r="F865" t="s">
        <v>1643</v>
      </c>
      <c r="G865" s="25">
        <v>44277</v>
      </c>
      <c r="H865">
        <v>17</v>
      </c>
      <c r="I865">
        <v>81</v>
      </c>
      <c r="J865" t="s">
        <v>505</v>
      </c>
      <c r="K865" t="s">
        <v>41</v>
      </c>
      <c r="L865" t="s">
        <v>21</v>
      </c>
      <c r="M865" t="s">
        <v>266</v>
      </c>
      <c r="N865" t="s">
        <v>40</v>
      </c>
      <c r="O865">
        <v>0</v>
      </c>
      <c r="P865" t="s">
        <v>237</v>
      </c>
    </row>
    <row r="866" spans="1:16" x14ac:dyDescent="0.25">
      <c r="A866" t="s">
        <v>749</v>
      </c>
      <c r="B866">
        <v>271</v>
      </c>
      <c r="C866" t="s">
        <v>487</v>
      </c>
      <c r="D866" t="s">
        <v>231</v>
      </c>
      <c r="E866" t="s">
        <v>256</v>
      </c>
      <c r="F866" t="s">
        <v>1064</v>
      </c>
      <c r="G866" s="25">
        <v>44219</v>
      </c>
      <c r="H866">
        <v>5</v>
      </c>
      <c r="I866">
        <v>23</v>
      </c>
      <c r="J866" t="s">
        <v>505</v>
      </c>
      <c r="K866" t="s">
        <v>41</v>
      </c>
      <c r="L866" t="s">
        <v>21</v>
      </c>
      <c r="M866" t="s">
        <v>266</v>
      </c>
      <c r="N866" t="s">
        <v>40</v>
      </c>
      <c r="O866">
        <v>0</v>
      </c>
      <c r="P866" t="s">
        <v>237</v>
      </c>
    </row>
    <row r="867" spans="1:16" x14ac:dyDescent="0.25">
      <c r="A867" t="s">
        <v>2496</v>
      </c>
      <c r="B867">
        <v>1334</v>
      </c>
      <c r="C867" t="s">
        <v>487</v>
      </c>
      <c r="D867" t="s">
        <v>247</v>
      </c>
      <c r="E867" t="s">
        <v>232</v>
      </c>
      <c r="F867" t="s">
        <v>3140</v>
      </c>
      <c r="G867" s="25">
        <v>44308</v>
      </c>
      <c r="H867">
        <v>23</v>
      </c>
      <c r="I867">
        <v>112</v>
      </c>
      <c r="J867" t="s">
        <v>505</v>
      </c>
      <c r="K867" t="s">
        <v>41</v>
      </c>
      <c r="L867" t="s">
        <v>21</v>
      </c>
      <c r="M867" t="s">
        <v>266</v>
      </c>
      <c r="N867" t="s">
        <v>40</v>
      </c>
      <c r="O867">
        <v>0</v>
      </c>
      <c r="P867" t="s">
        <v>237</v>
      </c>
    </row>
    <row r="868" spans="1:16" x14ac:dyDescent="0.25">
      <c r="A868" t="s">
        <v>724</v>
      </c>
      <c r="B868">
        <v>237</v>
      </c>
      <c r="C868" t="s">
        <v>487</v>
      </c>
      <c r="D868" t="s">
        <v>229</v>
      </c>
      <c r="E868" t="s">
        <v>408</v>
      </c>
      <c r="F868" t="s">
        <v>527</v>
      </c>
      <c r="G868" s="25">
        <v>44216</v>
      </c>
      <c r="H868">
        <v>4</v>
      </c>
      <c r="I868">
        <v>20</v>
      </c>
      <c r="J868" t="s">
        <v>505</v>
      </c>
      <c r="K868" t="s">
        <v>41</v>
      </c>
      <c r="L868" t="s">
        <v>21</v>
      </c>
      <c r="M868" t="s">
        <v>266</v>
      </c>
      <c r="N868" t="s">
        <v>40</v>
      </c>
      <c r="O868">
        <v>0</v>
      </c>
      <c r="P868" t="s">
        <v>237</v>
      </c>
    </row>
    <row r="869" spans="1:16" x14ac:dyDescent="0.25">
      <c r="A869" t="s">
        <v>761</v>
      </c>
      <c r="B869">
        <v>437</v>
      </c>
      <c r="C869" t="s">
        <v>487</v>
      </c>
      <c r="D869" t="s">
        <v>231</v>
      </c>
      <c r="E869" t="s">
        <v>534</v>
      </c>
      <c r="F869" t="s">
        <v>1731</v>
      </c>
      <c r="G869" s="25">
        <v>44233</v>
      </c>
      <c r="H869">
        <v>8</v>
      </c>
      <c r="I869">
        <v>37</v>
      </c>
      <c r="J869" t="s">
        <v>505</v>
      </c>
      <c r="K869" t="s">
        <v>41</v>
      </c>
      <c r="L869" t="s">
        <v>21</v>
      </c>
      <c r="M869" t="s">
        <v>266</v>
      </c>
      <c r="N869" t="s">
        <v>40</v>
      </c>
      <c r="O869">
        <v>0</v>
      </c>
      <c r="P869" t="s">
        <v>237</v>
      </c>
    </row>
    <row r="870" spans="1:16" x14ac:dyDescent="0.25">
      <c r="A870" t="s">
        <v>297</v>
      </c>
      <c r="B870">
        <v>24</v>
      </c>
      <c r="C870" t="s">
        <v>487</v>
      </c>
      <c r="D870" t="s">
        <v>229</v>
      </c>
      <c r="E870" t="s">
        <v>231</v>
      </c>
      <c r="F870" t="s">
        <v>568</v>
      </c>
      <c r="G870" s="25">
        <v>44198</v>
      </c>
      <c r="H870">
        <v>1</v>
      </c>
      <c r="I870">
        <v>2</v>
      </c>
      <c r="J870" t="s">
        <v>505</v>
      </c>
      <c r="K870" t="s">
        <v>41</v>
      </c>
      <c r="L870" t="s">
        <v>21</v>
      </c>
      <c r="M870" t="s">
        <v>266</v>
      </c>
      <c r="N870" t="s">
        <v>40</v>
      </c>
      <c r="O870">
        <v>0</v>
      </c>
      <c r="P870" t="s">
        <v>237</v>
      </c>
    </row>
    <row r="871" spans="1:16" x14ac:dyDescent="0.25">
      <c r="A871" t="s">
        <v>2008</v>
      </c>
      <c r="B871">
        <v>680</v>
      </c>
      <c r="C871" t="s">
        <v>487</v>
      </c>
      <c r="D871" t="s">
        <v>256</v>
      </c>
      <c r="E871" t="s">
        <v>534</v>
      </c>
      <c r="F871" t="s">
        <v>1357</v>
      </c>
      <c r="G871" s="25">
        <v>44253</v>
      </c>
      <c r="H871">
        <v>12</v>
      </c>
      <c r="I871">
        <v>57</v>
      </c>
      <c r="J871" t="s">
        <v>505</v>
      </c>
      <c r="K871" t="s">
        <v>41</v>
      </c>
      <c r="L871" t="s">
        <v>21</v>
      </c>
      <c r="M871" t="s">
        <v>266</v>
      </c>
      <c r="N871" t="s">
        <v>40</v>
      </c>
      <c r="O871">
        <v>0</v>
      </c>
      <c r="P871" t="s">
        <v>237</v>
      </c>
    </row>
    <row r="872" spans="1:16" x14ac:dyDescent="0.25">
      <c r="A872" t="s">
        <v>1847</v>
      </c>
      <c r="B872">
        <v>1069</v>
      </c>
      <c r="C872" t="s">
        <v>487</v>
      </c>
      <c r="D872" t="s">
        <v>322</v>
      </c>
      <c r="E872" t="s">
        <v>239</v>
      </c>
      <c r="F872" t="s">
        <v>2979</v>
      </c>
      <c r="G872" s="25">
        <v>44286</v>
      </c>
      <c r="H872">
        <v>18</v>
      </c>
      <c r="I872">
        <v>90</v>
      </c>
      <c r="J872" t="s">
        <v>505</v>
      </c>
      <c r="K872" t="s">
        <v>41</v>
      </c>
      <c r="L872" t="s">
        <v>21</v>
      </c>
      <c r="M872" t="s">
        <v>266</v>
      </c>
      <c r="N872" t="s">
        <v>40</v>
      </c>
      <c r="O872">
        <v>0</v>
      </c>
      <c r="P872" t="s">
        <v>237</v>
      </c>
    </row>
    <row r="873" spans="1:16" x14ac:dyDescent="0.25">
      <c r="A873" t="s">
        <v>2603</v>
      </c>
      <c r="B873">
        <v>1057</v>
      </c>
      <c r="C873" t="s">
        <v>487</v>
      </c>
      <c r="D873" t="s">
        <v>322</v>
      </c>
      <c r="E873" t="s">
        <v>371</v>
      </c>
      <c r="F873" t="s">
        <v>2976</v>
      </c>
      <c r="G873" s="25">
        <v>44285</v>
      </c>
      <c r="H873">
        <v>18</v>
      </c>
      <c r="I873">
        <v>89</v>
      </c>
      <c r="J873" t="s">
        <v>505</v>
      </c>
      <c r="K873" t="s">
        <v>41</v>
      </c>
      <c r="L873" t="s">
        <v>21</v>
      </c>
      <c r="M873" t="s">
        <v>266</v>
      </c>
      <c r="N873" t="s">
        <v>40</v>
      </c>
      <c r="O873">
        <v>0</v>
      </c>
      <c r="P873" t="s">
        <v>237</v>
      </c>
    </row>
    <row r="874" spans="1:16" x14ac:dyDescent="0.25">
      <c r="A874" t="s">
        <v>2910</v>
      </c>
      <c r="B874">
        <v>545</v>
      </c>
      <c r="C874" t="s">
        <v>487</v>
      </c>
      <c r="D874" t="s">
        <v>256</v>
      </c>
      <c r="E874" t="s">
        <v>247</v>
      </c>
      <c r="F874" t="s">
        <v>1299</v>
      </c>
      <c r="G874" s="25">
        <v>44242</v>
      </c>
      <c r="H874">
        <v>10</v>
      </c>
      <c r="I874">
        <v>46</v>
      </c>
      <c r="J874" t="s">
        <v>505</v>
      </c>
      <c r="K874" t="s">
        <v>41</v>
      </c>
      <c r="L874" t="s">
        <v>21</v>
      </c>
      <c r="M874" t="s">
        <v>266</v>
      </c>
      <c r="N874" t="s">
        <v>40</v>
      </c>
      <c r="O874">
        <v>0</v>
      </c>
      <c r="P874" t="s">
        <v>237</v>
      </c>
    </row>
    <row r="875" spans="1:16" x14ac:dyDescent="0.25">
      <c r="A875" t="s">
        <v>361</v>
      </c>
      <c r="B875">
        <v>28</v>
      </c>
      <c r="C875" t="s">
        <v>487</v>
      </c>
      <c r="D875" t="s">
        <v>229</v>
      </c>
      <c r="E875" t="s">
        <v>256</v>
      </c>
      <c r="F875" t="s">
        <v>525</v>
      </c>
      <c r="G875" s="25">
        <v>44199</v>
      </c>
      <c r="H875">
        <v>1</v>
      </c>
      <c r="I875">
        <v>3</v>
      </c>
      <c r="J875" t="s">
        <v>505</v>
      </c>
      <c r="K875" t="s">
        <v>41</v>
      </c>
      <c r="L875" t="s">
        <v>21</v>
      </c>
      <c r="M875" t="s">
        <v>266</v>
      </c>
      <c r="N875" t="s">
        <v>40</v>
      </c>
      <c r="O875">
        <v>0</v>
      </c>
      <c r="P875" t="s">
        <v>237</v>
      </c>
    </row>
    <row r="876" spans="1:16" x14ac:dyDescent="0.25">
      <c r="A876" t="s">
        <v>2175</v>
      </c>
      <c r="B876">
        <v>1349</v>
      </c>
      <c r="C876" t="s">
        <v>487</v>
      </c>
      <c r="D876" t="s">
        <v>247</v>
      </c>
      <c r="E876" t="s">
        <v>512</v>
      </c>
      <c r="F876" t="s">
        <v>3146</v>
      </c>
      <c r="G876" s="25">
        <v>44309</v>
      </c>
      <c r="H876">
        <v>23</v>
      </c>
      <c r="I876">
        <v>113</v>
      </c>
      <c r="J876" t="s">
        <v>505</v>
      </c>
      <c r="K876" t="s">
        <v>41</v>
      </c>
      <c r="L876" t="s">
        <v>21</v>
      </c>
      <c r="M876" t="s">
        <v>266</v>
      </c>
      <c r="N876" t="s">
        <v>40</v>
      </c>
      <c r="O876">
        <v>0</v>
      </c>
      <c r="P876" t="s">
        <v>237</v>
      </c>
    </row>
    <row r="877" spans="1:16" x14ac:dyDescent="0.25">
      <c r="A877" t="s">
        <v>2353</v>
      </c>
      <c r="B877">
        <v>979</v>
      </c>
      <c r="C877" t="s">
        <v>487</v>
      </c>
      <c r="D877" t="s">
        <v>322</v>
      </c>
      <c r="E877" t="s">
        <v>231</v>
      </c>
      <c r="F877" t="s">
        <v>2945</v>
      </c>
      <c r="G877" s="25">
        <v>44278</v>
      </c>
      <c r="H877">
        <v>17</v>
      </c>
      <c r="I877">
        <v>82</v>
      </c>
      <c r="J877" t="s">
        <v>505</v>
      </c>
      <c r="K877" t="s">
        <v>41</v>
      </c>
      <c r="L877" t="s">
        <v>21</v>
      </c>
      <c r="M877" t="s">
        <v>266</v>
      </c>
      <c r="N877" t="s">
        <v>40</v>
      </c>
      <c r="O877">
        <v>0</v>
      </c>
      <c r="P877" t="s">
        <v>237</v>
      </c>
    </row>
    <row r="878" spans="1:16" x14ac:dyDescent="0.25">
      <c r="A878" t="s">
        <v>1809</v>
      </c>
      <c r="B878">
        <v>666</v>
      </c>
      <c r="C878" t="s">
        <v>487</v>
      </c>
      <c r="D878" t="s">
        <v>256</v>
      </c>
      <c r="E878" t="s">
        <v>620</v>
      </c>
      <c r="F878" t="s">
        <v>1350</v>
      </c>
      <c r="G878" s="25">
        <v>44252</v>
      </c>
      <c r="H878">
        <v>12</v>
      </c>
      <c r="I878">
        <v>56</v>
      </c>
      <c r="J878" t="s">
        <v>505</v>
      </c>
      <c r="K878" t="s">
        <v>41</v>
      </c>
      <c r="L878" t="s">
        <v>21</v>
      </c>
      <c r="M878" t="s">
        <v>266</v>
      </c>
      <c r="N878" t="s">
        <v>40</v>
      </c>
      <c r="O878">
        <v>0</v>
      </c>
      <c r="P878" t="s">
        <v>237</v>
      </c>
    </row>
    <row r="879" spans="1:16" x14ac:dyDescent="0.25">
      <c r="A879" t="s">
        <v>1788</v>
      </c>
      <c r="B879">
        <v>1358</v>
      </c>
      <c r="C879" t="s">
        <v>487</v>
      </c>
      <c r="D879" t="s">
        <v>247</v>
      </c>
      <c r="E879" t="s">
        <v>537</v>
      </c>
      <c r="F879" t="s">
        <v>3153</v>
      </c>
      <c r="G879" s="25">
        <v>44310</v>
      </c>
      <c r="H879">
        <v>23</v>
      </c>
      <c r="I879">
        <v>114</v>
      </c>
      <c r="J879" t="s">
        <v>505</v>
      </c>
      <c r="K879" t="s">
        <v>41</v>
      </c>
      <c r="L879" t="s">
        <v>21</v>
      </c>
      <c r="M879" t="s">
        <v>266</v>
      </c>
      <c r="N879" t="s">
        <v>40</v>
      </c>
      <c r="O879">
        <v>0</v>
      </c>
      <c r="P879" t="s">
        <v>237</v>
      </c>
    </row>
    <row r="880" spans="1:16" x14ac:dyDescent="0.25">
      <c r="A880" t="s">
        <v>590</v>
      </c>
      <c r="B880">
        <v>460</v>
      </c>
      <c r="C880" t="s">
        <v>487</v>
      </c>
      <c r="D880" t="s">
        <v>231</v>
      </c>
      <c r="E880" t="s">
        <v>531</v>
      </c>
      <c r="F880" t="s">
        <v>1230</v>
      </c>
      <c r="G880" s="25">
        <v>44235</v>
      </c>
      <c r="H880">
        <v>8</v>
      </c>
      <c r="I880">
        <v>39</v>
      </c>
      <c r="J880" t="s">
        <v>505</v>
      </c>
      <c r="K880" t="s">
        <v>41</v>
      </c>
      <c r="L880" t="s">
        <v>21</v>
      </c>
      <c r="M880" t="s">
        <v>266</v>
      </c>
      <c r="N880" t="s">
        <v>40</v>
      </c>
      <c r="O880">
        <v>0</v>
      </c>
      <c r="P880" t="s">
        <v>237</v>
      </c>
    </row>
    <row r="881" spans="1:16" x14ac:dyDescent="0.25">
      <c r="A881" t="s">
        <v>1940</v>
      </c>
      <c r="B881">
        <v>659</v>
      </c>
      <c r="C881" t="s">
        <v>487</v>
      </c>
      <c r="D881" t="s">
        <v>256</v>
      </c>
      <c r="E881" t="s">
        <v>575</v>
      </c>
      <c r="F881" t="s">
        <v>1668</v>
      </c>
      <c r="G881" s="25">
        <v>44251</v>
      </c>
      <c r="H881">
        <v>11</v>
      </c>
      <c r="I881">
        <v>55</v>
      </c>
      <c r="J881" t="s">
        <v>505</v>
      </c>
      <c r="K881" t="s">
        <v>41</v>
      </c>
      <c r="L881" t="s">
        <v>21</v>
      </c>
      <c r="M881" t="s">
        <v>266</v>
      </c>
      <c r="N881" t="s">
        <v>40</v>
      </c>
      <c r="O881">
        <v>9875</v>
      </c>
      <c r="P881" t="s">
        <v>237</v>
      </c>
    </row>
    <row r="882" spans="1:16" x14ac:dyDescent="0.25">
      <c r="A882" t="s">
        <v>660</v>
      </c>
      <c r="B882">
        <v>348</v>
      </c>
      <c r="C882" t="s">
        <v>487</v>
      </c>
      <c r="D882" t="s">
        <v>231</v>
      </c>
      <c r="E882" t="s">
        <v>371</v>
      </c>
      <c r="F882" t="s">
        <v>1124</v>
      </c>
      <c r="G882" s="25">
        <v>44225</v>
      </c>
      <c r="H882">
        <v>6</v>
      </c>
      <c r="I882">
        <v>29</v>
      </c>
      <c r="J882" t="s">
        <v>505</v>
      </c>
      <c r="K882" t="s">
        <v>41</v>
      </c>
      <c r="L882" t="s">
        <v>21</v>
      </c>
      <c r="M882" t="s">
        <v>266</v>
      </c>
      <c r="N882" t="s">
        <v>40</v>
      </c>
      <c r="O882">
        <v>19625</v>
      </c>
      <c r="P882" t="s">
        <v>237</v>
      </c>
    </row>
    <row r="883" spans="1:16" x14ac:dyDescent="0.25">
      <c r="A883" t="s">
        <v>1945</v>
      </c>
      <c r="B883">
        <v>1295</v>
      </c>
      <c r="C883" t="s">
        <v>487</v>
      </c>
      <c r="D883" t="s">
        <v>247</v>
      </c>
      <c r="E883" t="s">
        <v>381</v>
      </c>
      <c r="F883" t="s">
        <v>3107</v>
      </c>
      <c r="G883" s="25">
        <v>44304</v>
      </c>
      <c r="H883">
        <v>22</v>
      </c>
      <c r="I883">
        <v>108</v>
      </c>
      <c r="J883" t="s">
        <v>505</v>
      </c>
      <c r="K883" t="s">
        <v>41</v>
      </c>
      <c r="L883" t="s">
        <v>21</v>
      </c>
      <c r="M883" t="s">
        <v>266</v>
      </c>
      <c r="N883" t="s">
        <v>40</v>
      </c>
      <c r="O883">
        <v>0</v>
      </c>
      <c r="P883" t="s">
        <v>237</v>
      </c>
    </row>
    <row r="884" spans="1:16" x14ac:dyDescent="0.25">
      <c r="A884" t="s">
        <v>2303</v>
      </c>
      <c r="B884">
        <v>989</v>
      </c>
      <c r="C884" t="s">
        <v>487</v>
      </c>
      <c r="D884" t="s">
        <v>322</v>
      </c>
      <c r="E884" t="s">
        <v>256</v>
      </c>
      <c r="F884" t="s">
        <v>2952</v>
      </c>
      <c r="G884" s="25">
        <v>44279</v>
      </c>
      <c r="H884">
        <v>17</v>
      </c>
      <c r="I884">
        <v>83</v>
      </c>
      <c r="J884" t="s">
        <v>505</v>
      </c>
      <c r="K884" t="s">
        <v>41</v>
      </c>
      <c r="L884" t="s">
        <v>21</v>
      </c>
      <c r="M884" t="s">
        <v>266</v>
      </c>
      <c r="N884" t="s">
        <v>40</v>
      </c>
      <c r="O884">
        <v>0</v>
      </c>
      <c r="P884" t="s">
        <v>237</v>
      </c>
    </row>
    <row r="885" spans="1:16" x14ac:dyDescent="0.25">
      <c r="A885" t="s">
        <v>1876</v>
      </c>
      <c r="B885">
        <v>1090</v>
      </c>
      <c r="C885" t="s">
        <v>487</v>
      </c>
      <c r="D885" t="s">
        <v>322</v>
      </c>
      <c r="E885" t="s">
        <v>515</v>
      </c>
      <c r="F885" t="s">
        <v>2983</v>
      </c>
      <c r="G885" s="25">
        <v>44287</v>
      </c>
      <c r="H885">
        <v>19</v>
      </c>
      <c r="I885">
        <v>91</v>
      </c>
      <c r="J885" t="s">
        <v>505</v>
      </c>
      <c r="K885" t="s">
        <v>41</v>
      </c>
      <c r="L885" t="s">
        <v>21</v>
      </c>
      <c r="M885" t="s">
        <v>266</v>
      </c>
      <c r="N885" t="s">
        <v>40</v>
      </c>
      <c r="O885">
        <v>0</v>
      </c>
      <c r="P885" t="s">
        <v>237</v>
      </c>
    </row>
    <row r="886" spans="1:16" x14ac:dyDescent="0.25">
      <c r="A886" t="s">
        <v>1567</v>
      </c>
      <c r="B886">
        <v>470</v>
      </c>
      <c r="C886" t="s">
        <v>487</v>
      </c>
      <c r="D886" t="s">
        <v>231</v>
      </c>
      <c r="E886" t="s">
        <v>408</v>
      </c>
      <c r="F886" t="s">
        <v>1234</v>
      </c>
      <c r="G886" s="25">
        <v>44236</v>
      </c>
      <c r="H886">
        <v>8</v>
      </c>
      <c r="I886">
        <v>40</v>
      </c>
      <c r="J886" t="s">
        <v>505</v>
      </c>
      <c r="K886" t="s">
        <v>41</v>
      </c>
      <c r="L886" t="s">
        <v>21</v>
      </c>
      <c r="M886" t="s">
        <v>266</v>
      </c>
      <c r="N886" t="s">
        <v>40</v>
      </c>
      <c r="O886">
        <v>0</v>
      </c>
      <c r="P886" t="s">
        <v>237</v>
      </c>
    </row>
    <row r="887" spans="1:16" x14ac:dyDescent="0.25">
      <c r="A887" t="s">
        <v>2031</v>
      </c>
      <c r="B887">
        <v>1303</v>
      </c>
      <c r="C887" t="s">
        <v>487</v>
      </c>
      <c r="D887" t="s">
        <v>247</v>
      </c>
      <c r="E887" t="s">
        <v>371</v>
      </c>
      <c r="F887" t="s">
        <v>3112</v>
      </c>
      <c r="G887" s="25">
        <v>44305</v>
      </c>
      <c r="H887">
        <v>22</v>
      </c>
      <c r="I887">
        <v>109</v>
      </c>
      <c r="J887" t="s">
        <v>505</v>
      </c>
      <c r="K887" t="s">
        <v>41</v>
      </c>
      <c r="L887" t="s">
        <v>21</v>
      </c>
      <c r="M887" t="s">
        <v>266</v>
      </c>
      <c r="N887" t="s">
        <v>40</v>
      </c>
      <c r="O887">
        <v>0</v>
      </c>
      <c r="P887" t="s">
        <v>237</v>
      </c>
    </row>
    <row r="888" spans="1:16" x14ac:dyDescent="0.25">
      <c r="A888" t="s">
        <v>521</v>
      </c>
      <c r="B888">
        <v>146</v>
      </c>
      <c r="C888" t="s">
        <v>487</v>
      </c>
      <c r="D888" t="s">
        <v>229</v>
      </c>
      <c r="E888" t="s">
        <v>512</v>
      </c>
      <c r="F888" t="s">
        <v>513</v>
      </c>
      <c r="G888" s="25">
        <v>44209</v>
      </c>
      <c r="H888">
        <v>3</v>
      </c>
      <c r="I888">
        <v>13</v>
      </c>
      <c r="J888" t="s">
        <v>505</v>
      </c>
      <c r="K888" t="s">
        <v>41</v>
      </c>
      <c r="L888" t="s">
        <v>21</v>
      </c>
      <c r="M888" t="s">
        <v>266</v>
      </c>
      <c r="N888" t="s">
        <v>40</v>
      </c>
      <c r="O888">
        <v>0</v>
      </c>
      <c r="P888" t="s">
        <v>237</v>
      </c>
    </row>
    <row r="889" spans="1:16" x14ac:dyDescent="0.25">
      <c r="A889" t="s">
        <v>387</v>
      </c>
      <c r="B889">
        <v>106</v>
      </c>
      <c r="C889" t="s">
        <v>487</v>
      </c>
      <c r="D889" t="s">
        <v>229</v>
      </c>
      <c r="E889" t="s">
        <v>371</v>
      </c>
      <c r="F889" t="s">
        <v>557</v>
      </c>
      <c r="G889" s="25">
        <v>44205</v>
      </c>
      <c r="H889">
        <v>2</v>
      </c>
      <c r="I889">
        <v>9</v>
      </c>
      <c r="J889" t="s">
        <v>505</v>
      </c>
      <c r="K889" t="s">
        <v>41</v>
      </c>
      <c r="L889" t="s">
        <v>21</v>
      </c>
      <c r="M889" t="s">
        <v>266</v>
      </c>
      <c r="N889" t="s">
        <v>40</v>
      </c>
      <c r="O889">
        <v>0</v>
      </c>
      <c r="P889" t="s">
        <v>237</v>
      </c>
    </row>
    <row r="890" spans="1:16" x14ac:dyDescent="0.25">
      <c r="A890" t="s">
        <v>2045</v>
      </c>
      <c r="B890">
        <v>714</v>
      </c>
      <c r="C890" t="s">
        <v>487</v>
      </c>
      <c r="D890" t="s">
        <v>256</v>
      </c>
      <c r="E890" t="s">
        <v>408</v>
      </c>
      <c r="F890" t="s">
        <v>1383</v>
      </c>
      <c r="G890" s="25">
        <v>44256</v>
      </c>
      <c r="H890">
        <v>12</v>
      </c>
      <c r="I890">
        <v>60</v>
      </c>
      <c r="J890" t="s">
        <v>505</v>
      </c>
      <c r="K890" t="s">
        <v>41</v>
      </c>
      <c r="L890" t="s">
        <v>21</v>
      </c>
      <c r="M890" t="s">
        <v>266</v>
      </c>
      <c r="N890" t="s">
        <v>40</v>
      </c>
      <c r="O890">
        <v>0</v>
      </c>
      <c r="P890" t="s">
        <v>237</v>
      </c>
    </row>
    <row r="891" spans="1:16" x14ac:dyDescent="0.25">
      <c r="A891" t="s">
        <v>664</v>
      </c>
      <c r="B891">
        <v>366</v>
      </c>
      <c r="C891" t="s">
        <v>487</v>
      </c>
      <c r="D891" t="s">
        <v>231</v>
      </c>
      <c r="E891" t="s">
        <v>515</v>
      </c>
      <c r="F891" t="s">
        <v>1150</v>
      </c>
      <c r="G891" s="25">
        <v>44227</v>
      </c>
      <c r="H891">
        <v>7</v>
      </c>
      <c r="I891">
        <v>31</v>
      </c>
      <c r="J891" t="s">
        <v>505</v>
      </c>
      <c r="K891" t="s">
        <v>41</v>
      </c>
      <c r="L891" t="s">
        <v>21</v>
      </c>
      <c r="M891" t="s">
        <v>266</v>
      </c>
      <c r="N891" t="s">
        <v>40</v>
      </c>
      <c r="O891">
        <v>0</v>
      </c>
      <c r="P891" t="s">
        <v>237</v>
      </c>
    </row>
    <row r="892" spans="1:16" x14ac:dyDescent="0.25">
      <c r="A892" t="s">
        <v>1907</v>
      </c>
      <c r="B892">
        <v>1312</v>
      </c>
      <c r="C892" t="s">
        <v>487</v>
      </c>
      <c r="D892" t="s">
        <v>247</v>
      </c>
      <c r="E892" t="s">
        <v>239</v>
      </c>
      <c r="F892" t="s">
        <v>3118</v>
      </c>
      <c r="G892" s="25">
        <v>44306</v>
      </c>
      <c r="H892">
        <v>22</v>
      </c>
      <c r="I892">
        <v>110</v>
      </c>
      <c r="J892" t="s">
        <v>505</v>
      </c>
      <c r="K892" t="s">
        <v>41</v>
      </c>
      <c r="L892" t="s">
        <v>21</v>
      </c>
      <c r="M892" t="s">
        <v>266</v>
      </c>
      <c r="N892" t="s">
        <v>40</v>
      </c>
      <c r="O892">
        <v>0</v>
      </c>
      <c r="P892" t="s">
        <v>237</v>
      </c>
    </row>
    <row r="893" spans="1:16" x14ac:dyDescent="0.25">
      <c r="A893" t="s">
        <v>2046</v>
      </c>
      <c r="B893">
        <v>648</v>
      </c>
      <c r="C893" t="s">
        <v>487</v>
      </c>
      <c r="D893" t="s">
        <v>256</v>
      </c>
      <c r="E893" t="s">
        <v>537</v>
      </c>
      <c r="F893" t="s">
        <v>1348</v>
      </c>
      <c r="G893" s="25">
        <v>44250</v>
      </c>
      <c r="H893">
        <v>11</v>
      </c>
      <c r="I893">
        <v>54</v>
      </c>
      <c r="J893" t="s">
        <v>505</v>
      </c>
      <c r="K893" t="s">
        <v>41</v>
      </c>
      <c r="L893" t="s">
        <v>21</v>
      </c>
      <c r="M893" t="s">
        <v>266</v>
      </c>
      <c r="N893" t="s">
        <v>40</v>
      </c>
      <c r="O893">
        <v>24000</v>
      </c>
      <c r="P893" t="s">
        <v>237</v>
      </c>
    </row>
    <row r="894" spans="1:16" x14ac:dyDescent="0.25">
      <c r="A894" t="s">
        <v>2908</v>
      </c>
      <c r="B894">
        <v>699</v>
      </c>
      <c r="C894" t="s">
        <v>487</v>
      </c>
      <c r="D894" t="s">
        <v>256</v>
      </c>
      <c r="E894" t="s">
        <v>531</v>
      </c>
      <c r="F894" t="s">
        <v>1373</v>
      </c>
      <c r="G894" s="25">
        <v>44255</v>
      </c>
      <c r="H894">
        <v>12</v>
      </c>
      <c r="I894">
        <v>59</v>
      </c>
      <c r="J894" t="s">
        <v>505</v>
      </c>
      <c r="K894" t="s">
        <v>41</v>
      </c>
      <c r="L894" t="s">
        <v>21</v>
      </c>
      <c r="M894" t="s">
        <v>266</v>
      </c>
      <c r="N894" t="s">
        <v>40</v>
      </c>
      <c r="O894">
        <v>0</v>
      </c>
      <c r="P894" t="s">
        <v>237</v>
      </c>
    </row>
    <row r="895" spans="1:16" x14ac:dyDescent="0.25">
      <c r="A895" t="s">
        <v>2464</v>
      </c>
      <c r="B895">
        <v>958</v>
      </c>
      <c r="C895" t="s">
        <v>487</v>
      </c>
      <c r="D895" t="s">
        <v>261</v>
      </c>
      <c r="E895" t="s">
        <v>408</v>
      </c>
      <c r="F895" t="s">
        <v>1595</v>
      </c>
      <c r="G895" s="25">
        <v>44276</v>
      </c>
      <c r="H895">
        <v>16</v>
      </c>
      <c r="I895">
        <v>80</v>
      </c>
      <c r="J895" t="s">
        <v>505</v>
      </c>
      <c r="K895" t="s">
        <v>41</v>
      </c>
      <c r="L895" t="s">
        <v>21</v>
      </c>
      <c r="M895" t="s">
        <v>266</v>
      </c>
      <c r="N895" t="s">
        <v>40</v>
      </c>
      <c r="O895">
        <v>0</v>
      </c>
      <c r="P895" t="s">
        <v>237</v>
      </c>
    </row>
    <row r="896" spans="1:16" x14ac:dyDescent="0.25">
      <c r="A896" t="s">
        <v>2867</v>
      </c>
      <c r="B896">
        <v>1370</v>
      </c>
      <c r="C896" t="s">
        <v>487</v>
      </c>
      <c r="D896" t="s">
        <v>247</v>
      </c>
      <c r="E896" t="s">
        <v>575</v>
      </c>
      <c r="F896" t="s">
        <v>3158</v>
      </c>
      <c r="G896" s="25">
        <v>44311</v>
      </c>
      <c r="H896">
        <v>23</v>
      </c>
      <c r="I896">
        <v>115</v>
      </c>
      <c r="J896" t="s">
        <v>505</v>
      </c>
      <c r="K896" t="s">
        <v>41</v>
      </c>
      <c r="L896" t="s">
        <v>21</v>
      </c>
      <c r="M896" t="s">
        <v>266</v>
      </c>
      <c r="N896" t="s">
        <v>40</v>
      </c>
      <c r="O896">
        <v>0</v>
      </c>
      <c r="P896" t="s">
        <v>237</v>
      </c>
    </row>
    <row r="897" spans="1:16" x14ac:dyDescent="0.25">
      <c r="A897" t="s">
        <v>2593</v>
      </c>
      <c r="B897">
        <v>1325</v>
      </c>
      <c r="C897" t="s">
        <v>487</v>
      </c>
      <c r="D897" t="s">
        <v>247</v>
      </c>
      <c r="E897" t="s">
        <v>515</v>
      </c>
      <c r="F897" t="s">
        <v>3134</v>
      </c>
      <c r="G897" s="25">
        <v>44307</v>
      </c>
      <c r="H897">
        <v>23</v>
      </c>
      <c r="I897">
        <v>111</v>
      </c>
      <c r="J897" t="s">
        <v>505</v>
      </c>
      <c r="K897" t="s">
        <v>41</v>
      </c>
      <c r="L897" t="s">
        <v>21</v>
      </c>
      <c r="M897" t="s">
        <v>266</v>
      </c>
      <c r="N897" t="s">
        <v>40</v>
      </c>
      <c r="O897">
        <v>0</v>
      </c>
      <c r="P897" t="s">
        <v>237</v>
      </c>
    </row>
    <row r="898" spans="1:16" x14ac:dyDescent="0.25">
      <c r="A898" t="s">
        <v>2633</v>
      </c>
      <c r="B898">
        <v>690</v>
      </c>
      <c r="C898" t="s">
        <v>487</v>
      </c>
      <c r="D898" t="s">
        <v>256</v>
      </c>
      <c r="E898" t="s">
        <v>552</v>
      </c>
      <c r="F898" t="s">
        <v>1365</v>
      </c>
      <c r="G898" s="25">
        <v>44254</v>
      </c>
      <c r="H898">
        <v>12</v>
      </c>
      <c r="I898">
        <v>58</v>
      </c>
      <c r="J898" t="s">
        <v>505</v>
      </c>
      <c r="K898" t="s">
        <v>41</v>
      </c>
      <c r="L898" t="s">
        <v>21</v>
      </c>
      <c r="M898" t="s">
        <v>266</v>
      </c>
      <c r="N898" t="s">
        <v>40</v>
      </c>
      <c r="O898">
        <v>0</v>
      </c>
      <c r="P898" t="s">
        <v>237</v>
      </c>
    </row>
    <row r="899" spans="1:16" x14ac:dyDescent="0.25">
      <c r="A899" t="s">
        <v>545</v>
      </c>
      <c r="B899">
        <v>225</v>
      </c>
      <c r="C899" t="s">
        <v>487</v>
      </c>
      <c r="D899" t="s">
        <v>229</v>
      </c>
      <c r="E899" t="s">
        <v>531</v>
      </c>
      <c r="F899" t="s">
        <v>532</v>
      </c>
      <c r="G899" s="25">
        <v>44215</v>
      </c>
      <c r="H899">
        <v>4</v>
      </c>
      <c r="I899">
        <v>19</v>
      </c>
      <c r="J899" t="s">
        <v>505</v>
      </c>
      <c r="K899" t="s">
        <v>41</v>
      </c>
      <c r="L899" t="s">
        <v>21</v>
      </c>
      <c r="M899" t="s">
        <v>266</v>
      </c>
      <c r="N899" t="s">
        <v>40</v>
      </c>
      <c r="O899">
        <v>0</v>
      </c>
      <c r="P899" t="s">
        <v>237</v>
      </c>
    </row>
    <row r="900" spans="1:16" x14ac:dyDescent="0.25">
      <c r="A900" t="s">
        <v>574</v>
      </c>
      <c r="B900">
        <v>324</v>
      </c>
      <c r="C900" t="s">
        <v>487</v>
      </c>
      <c r="D900" t="s">
        <v>231</v>
      </c>
      <c r="E900" t="s">
        <v>326</v>
      </c>
      <c r="F900" t="s">
        <v>1095</v>
      </c>
      <c r="G900" s="25">
        <v>44223</v>
      </c>
      <c r="H900">
        <v>6</v>
      </c>
      <c r="I900">
        <v>27</v>
      </c>
      <c r="J900" t="s">
        <v>505</v>
      </c>
      <c r="K900" t="s">
        <v>41</v>
      </c>
      <c r="L900" t="s">
        <v>21</v>
      </c>
      <c r="M900" t="s">
        <v>266</v>
      </c>
      <c r="N900" t="s">
        <v>40</v>
      </c>
      <c r="O900">
        <v>24000</v>
      </c>
      <c r="P900" t="s">
        <v>237</v>
      </c>
    </row>
    <row r="901" spans="1:16" x14ac:dyDescent="0.25">
      <c r="A901" t="s">
        <v>1609</v>
      </c>
      <c r="B901">
        <v>490</v>
      </c>
      <c r="C901" t="s">
        <v>487</v>
      </c>
      <c r="D901" t="s">
        <v>256</v>
      </c>
      <c r="E901" t="s">
        <v>229</v>
      </c>
      <c r="F901" t="s">
        <v>1241</v>
      </c>
      <c r="G901" s="25">
        <v>44237</v>
      </c>
      <c r="H901">
        <v>9</v>
      </c>
      <c r="I901">
        <v>41</v>
      </c>
      <c r="J901" t="s">
        <v>505</v>
      </c>
      <c r="K901" t="s">
        <v>41</v>
      </c>
      <c r="L901" t="s">
        <v>21</v>
      </c>
      <c r="M901" t="s">
        <v>266</v>
      </c>
      <c r="N901" t="s">
        <v>40</v>
      </c>
      <c r="O901">
        <v>0</v>
      </c>
      <c r="P901" t="s">
        <v>237</v>
      </c>
    </row>
    <row r="902" spans="1:16" x14ac:dyDescent="0.25">
      <c r="A902" t="s">
        <v>2767</v>
      </c>
      <c r="B902">
        <v>840</v>
      </c>
      <c r="C902" t="s">
        <v>487</v>
      </c>
      <c r="D902" t="s">
        <v>261</v>
      </c>
      <c r="E902" t="s">
        <v>239</v>
      </c>
      <c r="F902" t="s">
        <v>1703</v>
      </c>
      <c r="G902" s="25">
        <v>44266</v>
      </c>
      <c r="H902">
        <v>14</v>
      </c>
      <c r="I902">
        <v>70</v>
      </c>
      <c r="J902" t="s">
        <v>505</v>
      </c>
      <c r="K902" t="s">
        <v>41</v>
      </c>
      <c r="L902" t="s">
        <v>21</v>
      </c>
      <c r="M902" t="s">
        <v>266</v>
      </c>
      <c r="N902" t="s">
        <v>40</v>
      </c>
      <c r="O902">
        <v>24000</v>
      </c>
      <c r="P902" t="s">
        <v>237</v>
      </c>
    </row>
    <row r="903" spans="1:16" x14ac:dyDescent="0.25">
      <c r="A903" t="s">
        <v>547</v>
      </c>
      <c r="B903">
        <v>400</v>
      </c>
      <c r="C903" t="s">
        <v>487</v>
      </c>
      <c r="D903" t="s">
        <v>231</v>
      </c>
      <c r="E903" t="s">
        <v>537</v>
      </c>
      <c r="F903" t="s">
        <v>1192</v>
      </c>
      <c r="G903" s="25">
        <v>44230</v>
      </c>
      <c r="H903">
        <v>7</v>
      </c>
      <c r="I903">
        <v>34</v>
      </c>
      <c r="J903" t="s">
        <v>505</v>
      </c>
      <c r="K903" t="s">
        <v>41</v>
      </c>
      <c r="L903" t="s">
        <v>21</v>
      </c>
      <c r="M903" t="s">
        <v>266</v>
      </c>
      <c r="N903" t="s">
        <v>40</v>
      </c>
      <c r="O903">
        <v>0</v>
      </c>
      <c r="P903" t="s">
        <v>237</v>
      </c>
    </row>
    <row r="904" spans="1:16" x14ac:dyDescent="0.25">
      <c r="A904" t="s">
        <v>2699</v>
      </c>
      <c r="B904">
        <v>1025</v>
      </c>
      <c r="C904" t="s">
        <v>487</v>
      </c>
      <c r="D904" t="s">
        <v>322</v>
      </c>
      <c r="E904" t="s">
        <v>247</v>
      </c>
      <c r="F904" t="s">
        <v>2963</v>
      </c>
      <c r="G904" s="25">
        <v>44282</v>
      </c>
      <c r="H904">
        <v>18</v>
      </c>
      <c r="I904">
        <v>86</v>
      </c>
      <c r="J904" t="s">
        <v>505</v>
      </c>
      <c r="K904" t="s">
        <v>41</v>
      </c>
      <c r="L904" t="s">
        <v>21</v>
      </c>
      <c r="M904" t="s">
        <v>266</v>
      </c>
      <c r="N904" t="s">
        <v>40</v>
      </c>
      <c r="O904">
        <v>0</v>
      </c>
      <c r="P904" t="s">
        <v>237</v>
      </c>
    </row>
    <row r="905" spans="1:16" x14ac:dyDescent="0.25">
      <c r="A905" t="s">
        <v>2295</v>
      </c>
      <c r="B905">
        <v>1195</v>
      </c>
      <c r="C905" t="s">
        <v>487</v>
      </c>
      <c r="D905" t="s">
        <v>322</v>
      </c>
      <c r="E905" t="s">
        <v>408</v>
      </c>
      <c r="F905" t="s">
        <v>3059</v>
      </c>
      <c r="G905" s="25">
        <v>44296</v>
      </c>
      <c r="H905">
        <v>20</v>
      </c>
      <c r="I905">
        <v>100</v>
      </c>
      <c r="J905" t="s">
        <v>505</v>
      </c>
      <c r="K905" t="s">
        <v>41</v>
      </c>
      <c r="L905" t="s">
        <v>21</v>
      </c>
      <c r="M905" t="s">
        <v>266</v>
      </c>
      <c r="N905" t="s">
        <v>40</v>
      </c>
      <c r="O905">
        <v>0</v>
      </c>
      <c r="P905" t="s">
        <v>237</v>
      </c>
    </row>
    <row r="906" spans="1:16" x14ac:dyDescent="0.25">
      <c r="A906" t="s">
        <v>732</v>
      </c>
      <c r="B906">
        <v>181</v>
      </c>
      <c r="C906" t="s">
        <v>487</v>
      </c>
      <c r="D906" t="s">
        <v>229</v>
      </c>
      <c r="E906" t="s">
        <v>620</v>
      </c>
      <c r="F906" t="s">
        <v>621</v>
      </c>
      <c r="G906" s="25">
        <v>44212</v>
      </c>
      <c r="H906">
        <v>4</v>
      </c>
      <c r="I906">
        <v>16</v>
      </c>
      <c r="J906" t="s">
        <v>505</v>
      </c>
      <c r="K906" t="s">
        <v>41</v>
      </c>
      <c r="L906" t="s">
        <v>21</v>
      </c>
      <c r="M906" t="s">
        <v>266</v>
      </c>
      <c r="N906" t="s">
        <v>40</v>
      </c>
      <c r="O906">
        <v>0</v>
      </c>
      <c r="P906" t="s">
        <v>237</v>
      </c>
    </row>
    <row r="907" spans="1:16" x14ac:dyDescent="0.25">
      <c r="A907" t="s">
        <v>1803</v>
      </c>
      <c r="B907">
        <v>885</v>
      </c>
      <c r="C907" t="s">
        <v>487</v>
      </c>
      <c r="D907" t="s">
        <v>261</v>
      </c>
      <c r="E907" t="s">
        <v>537</v>
      </c>
      <c r="F907" t="s">
        <v>1530</v>
      </c>
      <c r="G907" s="25">
        <v>44270</v>
      </c>
      <c r="H907">
        <v>15</v>
      </c>
      <c r="I907">
        <v>74</v>
      </c>
      <c r="J907" t="s">
        <v>505</v>
      </c>
      <c r="K907" t="s">
        <v>41</v>
      </c>
      <c r="L907" t="s">
        <v>21</v>
      </c>
      <c r="M907" t="s">
        <v>266</v>
      </c>
      <c r="N907" t="s">
        <v>40</v>
      </c>
      <c r="O907">
        <v>0</v>
      </c>
      <c r="P907" t="s">
        <v>237</v>
      </c>
    </row>
    <row r="908" spans="1:16" x14ac:dyDescent="0.25">
      <c r="A908" t="s">
        <v>657</v>
      </c>
      <c r="B908">
        <v>286</v>
      </c>
      <c r="C908" t="s">
        <v>487</v>
      </c>
      <c r="D908" t="s">
        <v>231</v>
      </c>
      <c r="E908" t="s">
        <v>261</v>
      </c>
      <c r="F908" t="s">
        <v>1065</v>
      </c>
      <c r="G908" s="25">
        <v>44220</v>
      </c>
      <c r="H908">
        <v>5</v>
      </c>
      <c r="I908">
        <v>24</v>
      </c>
      <c r="J908" t="s">
        <v>505</v>
      </c>
      <c r="K908" t="s">
        <v>41</v>
      </c>
      <c r="L908" t="s">
        <v>21</v>
      </c>
      <c r="M908" t="s">
        <v>266</v>
      </c>
      <c r="N908" t="s">
        <v>40</v>
      </c>
      <c r="O908">
        <v>0</v>
      </c>
      <c r="P908" t="s">
        <v>237</v>
      </c>
    </row>
    <row r="909" spans="1:16" x14ac:dyDescent="0.25">
      <c r="A909" t="s">
        <v>1908</v>
      </c>
      <c r="B909">
        <v>828</v>
      </c>
      <c r="C909" t="s">
        <v>487</v>
      </c>
      <c r="D909" t="s">
        <v>261</v>
      </c>
      <c r="E909" t="s">
        <v>371</v>
      </c>
      <c r="F909" t="s">
        <v>1478</v>
      </c>
      <c r="G909" s="25">
        <v>44265</v>
      </c>
      <c r="H909">
        <v>14</v>
      </c>
      <c r="I909">
        <v>69</v>
      </c>
      <c r="J909" t="s">
        <v>505</v>
      </c>
      <c r="K909" t="s">
        <v>41</v>
      </c>
      <c r="L909" t="s">
        <v>21</v>
      </c>
      <c r="M909" t="s">
        <v>266</v>
      </c>
      <c r="N909" t="s">
        <v>40</v>
      </c>
      <c r="O909">
        <v>13250</v>
      </c>
      <c r="P909" t="s">
        <v>237</v>
      </c>
    </row>
    <row r="910" spans="1:16" x14ac:dyDescent="0.25">
      <c r="A910" t="s">
        <v>2194</v>
      </c>
      <c r="B910">
        <v>1142</v>
      </c>
      <c r="C910" t="s">
        <v>487</v>
      </c>
      <c r="D910" t="s">
        <v>322</v>
      </c>
      <c r="E910" t="s">
        <v>620</v>
      </c>
      <c r="F910" t="s">
        <v>3025</v>
      </c>
      <c r="G910" s="25">
        <v>44292</v>
      </c>
      <c r="H910">
        <v>20</v>
      </c>
      <c r="I910">
        <v>96</v>
      </c>
      <c r="J910" t="s">
        <v>505</v>
      </c>
      <c r="K910" t="s">
        <v>41</v>
      </c>
      <c r="L910" t="s">
        <v>21</v>
      </c>
      <c r="M910" t="s">
        <v>266</v>
      </c>
      <c r="N910" t="s">
        <v>40</v>
      </c>
      <c r="O910">
        <v>0</v>
      </c>
      <c r="P910" t="s">
        <v>237</v>
      </c>
    </row>
    <row r="911" spans="1:16" x14ac:dyDescent="0.25">
      <c r="A911" t="s">
        <v>2317</v>
      </c>
      <c r="B911">
        <v>1139</v>
      </c>
      <c r="C911" t="s">
        <v>487</v>
      </c>
      <c r="D911" t="s">
        <v>322</v>
      </c>
      <c r="E911" t="s">
        <v>575</v>
      </c>
      <c r="F911" t="s">
        <v>3014</v>
      </c>
      <c r="G911" s="25">
        <v>44291</v>
      </c>
      <c r="H911">
        <v>19</v>
      </c>
      <c r="I911">
        <v>95</v>
      </c>
      <c r="J911" t="s">
        <v>505</v>
      </c>
      <c r="K911" t="s">
        <v>41</v>
      </c>
      <c r="L911" t="s">
        <v>21</v>
      </c>
      <c r="M911" t="s">
        <v>266</v>
      </c>
      <c r="N911" t="s">
        <v>40</v>
      </c>
      <c r="O911">
        <v>0</v>
      </c>
      <c r="P911" t="s">
        <v>237</v>
      </c>
    </row>
    <row r="912" spans="1:16" x14ac:dyDescent="0.25">
      <c r="A912" t="s">
        <v>1814</v>
      </c>
      <c r="B912">
        <v>507</v>
      </c>
      <c r="C912" t="s">
        <v>487</v>
      </c>
      <c r="D912" t="s">
        <v>256</v>
      </c>
      <c r="E912" t="s">
        <v>256</v>
      </c>
      <c r="F912" t="s">
        <v>1263</v>
      </c>
      <c r="G912" s="25">
        <v>44239</v>
      </c>
      <c r="H912">
        <v>9</v>
      </c>
      <c r="I912">
        <v>43</v>
      </c>
      <c r="J912" t="s">
        <v>505</v>
      </c>
      <c r="K912" t="s">
        <v>41</v>
      </c>
      <c r="L912" t="s">
        <v>21</v>
      </c>
      <c r="M912" t="s">
        <v>266</v>
      </c>
      <c r="N912" t="s">
        <v>40</v>
      </c>
      <c r="O912">
        <v>0</v>
      </c>
      <c r="P912" t="s">
        <v>237</v>
      </c>
    </row>
    <row r="913" spans="1:16" x14ac:dyDescent="0.25">
      <c r="A913" t="s">
        <v>800</v>
      </c>
      <c r="B913">
        <v>447</v>
      </c>
      <c r="C913" t="s">
        <v>487</v>
      </c>
      <c r="D913" t="s">
        <v>231</v>
      </c>
      <c r="E913" t="s">
        <v>552</v>
      </c>
      <c r="F913" t="s">
        <v>1222</v>
      </c>
      <c r="G913" s="25">
        <v>44234</v>
      </c>
      <c r="H913">
        <v>8</v>
      </c>
      <c r="I913">
        <v>38</v>
      </c>
      <c r="J913" t="s">
        <v>505</v>
      </c>
      <c r="K913" t="s">
        <v>41</v>
      </c>
      <c r="L913" t="s">
        <v>21</v>
      </c>
      <c r="M913" t="s">
        <v>266</v>
      </c>
      <c r="N913" t="s">
        <v>40</v>
      </c>
      <c r="O913">
        <v>0</v>
      </c>
      <c r="P913" t="s">
        <v>237</v>
      </c>
    </row>
    <row r="914" spans="1:16" x14ac:dyDescent="0.25">
      <c r="A914" t="s">
        <v>2507</v>
      </c>
      <c r="B914">
        <v>599</v>
      </c>
      <c r="C914" t="s">
        <v>487</v>
      </c>
      <c r="D914" t="s">
        <v>256</v>
      </c>
      <c r="E914" t="s">
        <v>239</v>
      </c>
      <c r="F914" t="s">
        <v>1322</v>
      </c>
      <c r="G914" s="25">
        <v>44246</v>
      </c>
      <c r="H914">
        <v>10</v>
      </c>
      <c r="I914">
        <v>50</v>
      </c>
      <c r="J914" t="s">
        <v>505</v>
      </c>
      <c r="K914" t="s">
        <v>41</v>
      </c>
      <c r="L914" t="s">
        <v>21</v>
      </c>
      <c r="M914" t="s">
        <v>266</v>
      </c>
      <c r="N914" t="s">
        <v>40</v>
      </c>
      <c r="O914">
        <v>0</v>
      </c>
      <c r="P914" t="s">
        <v>237</v>
      </c>
    </row>
    <row r="915" spans="1:16" x14ac:dyDescent="0.25">
      <c r="A915" t="s">
        <v>2653</v>
      </c>
      <c r="B915">
        <v>1211</v>
      </c>
      <c r="C915" t="s">
        <v>487</v>
      </c>
      <c r="D915" t="s">
        <v>247</v>
      </c>
      <c r="E915" t="s">
        <v>229</v>
      </c>
      <c r="F915" t="s">
        <v>3063</v>
      </c>
      <c r="G915" s="25">
        <v>44297</v>
      </c>
      <c r="H915">
        <v>21</v>
      </c>
      <c r="I915">
        <v>101</v>
      </c>
      <c r="J915" t="s">
        <v>505</v>
      </c>
      <c r="K915" t="s">
        <v>41</v>
      </c>
      <c r="L915" t="s">
        <v>21</v>
      </c>
      <c r="M915" t="s">
        <v>266</v>
      </c>
      <c r="N915" t="s">
        <v>40</v>
      </c>
      <c r="O915">
        <v>0</v>
      </c>
      <c r="P915" t="s">
        <v>237</v>
      </c>
    </row>
    <row r="916" spans="1:16" x14ac:dyDescent="0.25">
      <c r="A916" t="s">
        <v>2500</v>
      </c>
      <c r="B916">
        <v>1213</v>
      </c>
      <c r="C916" t="s">
        <v>487</v>
      </c>
      <c r="D916" t="s">
        <v>247</v>
      </c>
      <c r="E916" t="s">
        <v>231</v>
      </c>
      <c r="F916" t="s">
        <v>3070</v>
      </c>
      <c r="G916" s="25">
        <v>44298</v>
      </c>
      <c r="H916">
        <v>21</v>
      </c>
      <c r="I916">
        <v>102</v>
      </c>
      <c r="J916" t="s">
        <v>505</v>
      </c>
      <c r="K916" t="s">
        <v>41</v>
      </c>
      <c r="L916" t="s">
        <v>21</v>
      </c>
      <c r="M916" t="s">
        <v>266</v>
      </c>
      <c r="N916" t="s">
        <v>40</v>
      </c>
      <c r="O916">
        <v>0</v>
      </c>
      <c r="P916" t="s">
        <v>237</v>
      </c>
    </row>
    <row r="917" spans="1:16" x14ac:dyDescent="0.25">
      <c r="A917" t="s">
        <v>2877</v>
      </c>
      <c r="B917">
        <v>1417</v>
      </c>
      <c r="C917" t="s">
        <v>487</v>
      </c>
      <c r="D917" t="s">
        <v>247</v>
      </c>
      <c r="E917" t="s">
        <v>531</v>
      </c>
      <c r="F917" t="s">
        <v>3173</v>
      </c>
      <c r="G917" s="25">
        <v>44315</v>
      </c>
      <c r="H917">
        <v>24</v>
      </c>
      <c r="I917">
        <v>119</v>
      </c>
      <c r="J917" t="s">
        <v>505</v>
      </c>
      <c r="K917" t="s">
        <v>41</v>
      </c>
      <c r="L917" t="s">
        <v>21</v>
      </c>
      <c r="M917" t="s">
        <v>266</v>
      </c>
      <c r="N917" t="s">
        <v>40</v>
      </c>
      <c r="O917">
        <v>0</v>
      </c>
      <c r="P917" t="s">
        <v>237</v>
      </c>
    </row>
    <row r="918" spans="1:16" x14ac:dyDescent="0.25">
      <c r="A918" t="s">
        <v>2704</v>
      </c>
      <c r="B918">
        <v>894</v>
      </c>
      <c r="C918" t="s">
        <v>487</v>
      </c>
      <c r="D918" t="s">
        <v>261</v>
      </c>
      <c r="E918" t="s">
        <v>575</v>
      </c>
      <c r="F918" t="s">
        <v>1537</v>
      </c>
      <c r="G918" s="25">
        <v>44271</v>
      </c>
      <c r="H918">
        <v>15</v>
      </c>
      <c r="I918">
        <v>75</v>
      </c>
      <c r="J918" t="s">
        <v>505</v>
      </c>
      <c r="K918" t="s">
        <v>41</v>
      </c>
      <c r="L918" t="s">
        <v>21</v>
      </c>
      <c r="M918" t="s">
        <v>266</v>
      </c>
      <c r="N918" t="s">
        <v>40</v>
      </c>
      <c r="O918">
        <v>0</v>
      </c>
      <c r="P918" t="s">
        <v>237</v>
      </c>
    </row>
    <row r="919" spans="1:16" x14ac:dyDescent="0.25">
      <c r="A919" t="s">
        <v>314</v>
      </c>
      <c r="B919">
        <v>68</v>
      </c>
      <c r="C919" t="s">
        <v>487</v>
      </c>
      <c r="D919" t="s">
        <v>229</v>
      </c>
      <c r="E919" t="s">
        <v>247</v>
      </c>
      <c r="F919" t="s">
        <v>524</v>
      </c>
      <c r="G919" s="25">
        <v>44202</v>
      </c>
      <c r="H919">
        <v>2</v>
      </c>
      <c r="I919">
        <v>6</v>
      </c>
      <c r="J919" t="s">
        <v>505</v>
      </c>
      <c r="K919" t="s">
        <v>41</v>
      </c>
      <c r="L919" t="s">
        <v>21</v>
      </c>
      <c r="M919" t="s">
        <v>266</v>
      </c>
      <c r="N919" t="s">
        <v>40</v>
      </c>
      <c r="O919">
        <v>0</v>
      </c>
      <c r="P919" t="s">
        <v>237</v>
      </c>
    </row>
    <row r="920" spans="1:16" x14ac:dyDescent="0.25">
      <c r="A920" t="s">
        <v>2354</v>
      </c>
      <c r="B920">
        <v>579</v>
      </c>
      <c r="C920" t="s">
        <v>487</v>
      </c>
      <c r="D920" t="s">
        <v>256</v>
      </c>
      <c r="E920" t="s">
        <v>371</v>
      </c>
      <c r="F920" t="s">
        <v>1318</v>
      </c>
      <c r="G920" s="25">
        <v>44245</v>
      </c>
      <c r="H920">
        <v>10</v>
      </c>
      <c r="I920">
        <v>49</v>
      </c>
      <c r="J920" t="s">
        <v>505</v>
      </c>
      <c r="K920" t="s">
        <v>41</v>
      </c>
      <c r="L920" t="s">
        <v>21</v>
      </c>
      <c r="M920" t="s">
        <v>266</v>
      </c>
      <c r="N920" t="s">
        <v>40</v>
      </c>
      <c r="O920">
        <v>0</v>
      </c>
      <c r="P920" t="s">
        <v>237</v>
      </c>
    </row>
    <row r="921" spans="1:16" x14ac:dyDescent="0.25">
      <c r="A921" t="s">
        <v>850</v>
      </c>
      <c r="B921">
        <v>412</v>
      </c>
      <c r="C921" t="s">
        <v>487</v>
      </c>
      <c r="D921" t="s">
        <v>231</v>
      </c>
      <c r="E921" t="s">
        <v>575</v>
      </c>
      <c r="F921" t="s">
        <v>1210</v>
      </c>
      <c r="G921" s="25">
        <v>44231</v>
      </c>
      <c r="H921">
        <v>7</v>
      </c>
      <c r="I921">
        <v>35</v>
      </c>
      <c r="J921" t="s">
        <v>505</v>
      </c>
      <c r="K921" t="s">
        <v>41</v>
      </c>
      <c r="L921" t="s">
        <v>21</v>
      </c>
      <c r="M921" t="s">
        <v>266</v>
      </c>
      <c r="N921" t="s">
        <v>40</v>
      </c>
      <c r="O921">
        <v>0</v>
      </c>
      <c r="P921" t="s">
        <v>237</v>
      </c>
    </row>
    <row r="922" spans="1:16" x14ac:dyDescent="0.25">
      <c r="A922" t="s">
        <v>2328</v>
      </c>
      <c r="B922">
        <v>872</v>
      </c>
      <c r="C922" t="s">
        <v>487</v>
      </c>
      <c r="D922" t="s">
        <v>261</v>
      </c>
      <c r="E922" t="s">
        <v>512</v>
      </c>
      <c r="F922" t="s">
        <v>1518</v>
      </c>
      <c r="G922" s="25">
        <v>44269</v>
      </c>
      <c r="H922">
        <v>15</v>
      </c>
      <c r="I922">
        <v>73</v>
      </c>
      <c r="J922" t="s">
        <v>505</v>
      </c>
      <c r="K922" t="s">
        <v>41</v>
      </c>
      <c r="L922" t="s">
        <v>21</v>
      </c>
      <c r="M922" t="s">
        <v>266</v>
      </c>
      <c r="N922" t="s">
        <v>40</v>
      </c>
      <c r="O922">
        <v>0</v>
      </c>
      <c r="P922" t="s">
        <v>237</v>
      </c>
    </row>
    <row r="923" spans="1:16" x14ac:dyDescent="0.25">
      <c r="A923" t="s">
        <v>327</v>
      </c>
      <c r="B923">
        <v>82</v>
      </c>
      <c r="C923" t="s">
        <v>487</v>
      </c>
      <c r="D923" t="s">
        <v>229</v>
      </c>
      <c r="E923" t="s">
        <v>326</v>
      </c>
      <c r="F923" t="s">
        <v>522</v>
      </c>
      <c r="G923" s="25">
        <v>44203</v>
      </c>
      <c r="H923">
        <v>2</v>
      </c>
      <c r="I923">
        <v>7</v>
      </c>
      <c r="J923" t="s">
        <v>505</v>
      </c>
      <c r="K923" t="s">
        <v>41</v>
      </c>
      <c r="L923" t="s">
        <v>21</v>
      </c>
      <c r="M923" t="s">
        <v>266</v>
      </c>
      <c r="N923" t="s">
        <v>40</v>
      </c>
      <c r="O923">
        <v>0</v>
      </c>
      <c r="P923" t="s">
        <v>237</v>
      </c>
    </row>
    <row r="924" spans="1:16" x14ac:dyDescent="0.25">
      <c r="A924" t="s">
        <v>2605</v>
      </c>
      <c r="B924">
        <v>1168</v>
      </c>
      <c r="C924" t="s">
        <v>487</v>
      </c>
      <c r="D924" t="s">
        <v>322</v>
      </c>
      <c r="E924" t="s">
        <v>552</v>
      </c>
      <c r="F924" t="s">
        <v>3045</v>
      </c>
      <c r="G924" s="25">
        <v>44294</v>
      </c>
      <c r="H924">
        <v>20</v>
      </c>
      <c r="I924">
        <v>98</v>
      </c>
      <c r="J924" t="s">
        <v>505</v>
      </c>
      <c r="K924" t="s">
        <v>41</v>
      </c>
      <c r="L924" t="s">
        <v>21</v>
      </c>
      <c r="M924" t="s">
        <v>266</v>
      </c>
      <c r="N924" t="s">
        <v>40</v>
      </c>
      <c r="O924">
        <v>0</v>
      </c>
      <c r="P924" t="s">
        <v>237</v>
      </c>
    </row>
    <row r="925" spans="1:16" x14ac:dyDescent="0.25">
      <c r="A925" t="s">
        <v>779</v>
      </c>
      <c r="B925">
        <v>259</v>
      </c>
      <c r="C925" t="s">
        <v>487</v>
      </c>
      <c r="D925" t="s">
        <v>231</v>
      </c>
      <c r="E925" t="s">
        <v>231</v>
      </c>
      <c r="F925" t="s">
        <v>1080</v>
      </c>
      <c r="G925" s="25">
        <v>44218</v>
      </c>
      <c r="H925">
        <v>5</v>
      </c>
      <c r="I925">
        <v>22</v>
      </c>
      <c r="J925" t="s">
        <v>505</v>
      </c>
      <c r="K925" t="s">
        <v>41</v>
      </c>
      <c r="L925" t="s">
        <v>21</v>
      </c>
      <c r="M925" t="s">
        <v>266</v>
      </c>
      <c r="N925" t="s">
        <v>40</v>
      </c>
      <c r="O925">
        <v>0</v>
      </c>
      <c r="P925" t="s">
        <v>237</v>
      </c>
    </row>
    <row r="926" spans="1:16" x14ac:dyDescent="0.25">
      <c r="A926" t="s">
        <v>728</v>
      </c>
      <c r="B926">
        <v>336</v>
      </c>
      <c r="C926" t="s">
        <v>487</v>
      </c>
      <c r="D926" t="s">
        <v>231</v>
      </c>
      <c r="E926" t="s">
        <v>381</v>
      </c>
      <c r="F926" t="s">
        <v>1099</v>
      </c>
      <c r="G926" s="25">
        <v>44224</v>
      </c>
      <c r="H926">
        <v>6</v>
      </c>
      <c r="I926">
        <v>28</v>
      </c>
      <c r="J926" t="s">
        <v>505</v>
      </c>
      <c r="K926" t="s">
        <v>41</v>
      </c>
      <c r="L926" t="s">
        <v>21</v>
      </c>
      <c r="M926" t="s">
        <v>266</v>
      </c>
      <c r="N926" t="s">
        <v>40</v>
      </c>
      <c r="O926">
        <v>24000</v>
      </c>
      <c r="P926" t="s">
        <v>237</v>
      </c>
    </row>
    <row r="927" spans="1:16" x14ac:dyDescent="0.25">
      <c r="A927" t="s">
        <v>1671</v>
      </c>
      <c r="B927">
        <v>571</v>
      </c>
      <c r="C927" t="s">
        <v>487</v>
      </c>
      <c r="D927" t="s">
        <v>256</v>
      </c>
      <c r="E927" t="s">
        <v>381</v>
      </c>
      <c r="F927" t="s">
        <v>1311</v>
      </c>
      <c r="G927" s="25">
        <v>44244</v>
      </c>
      <c r="H927">
        <v>10</v>
      </c>
      <c r="I927">
        <v>48</v>
      </c>
      <c r="J927" t="s">
        <v>505</v>
      </c>
      <c r="K927" t="s">
        <v>41</v>
      </c>
      <c r="L927" t="s">
        <v>21</v>
      </c>
      <c r="M927" t="s">
        <v>266</v>
      </c>
      <c r="N927" t="s">
        <v>40</v>
      </c>
      <c r="O927">
        <v>0</v>
      </c>
      <c r="P927" t="s">
        <v>237</v>
      </c>
    </row>
    <row r="928" spans="1:16" x14ac:dyDescent="0.25">
      <c r="A928" t="s">
        <v>1653</v>
      </c>
      <c r="B928">
        <v>1154</v>
      </c>
      <c r="C928" t="s">
        <v>487</v>
      </c>
      <c r="D928" t="s">
        <v>322</v>
      </c>
      <c r="E928" t="s">
        <v>534</v>
      </c>
      <c r="F928" t="s">
        <v>3031</v>
      </c>
      <c r="G928" s="25">
        <v>44293</v>
      </c>
      <c r="H928">
        <v>20</v>
      </c>
      <c r="I928">
        <v>97</v>
      </c>
      <c r="J928" t="s">
        <v>505</v>
      </c>
      <c r="K928" t="s">
        <v>41</v>
      </c>
      <c r="L928" t="s">
        <v>21</v>
      </c>
      <c r="M928" t="s">
        <v>266</v>
      </c>
      <c r="N928" t="s">
        <v>40</v>
      </c>
      <c r="O928">
        <v>0</v>
      </c>
      <c r="P928" t="s">
        <v>237</v>
      </c>
    </row>
    <row r="929" spans="1:16" x14ac:dyDescent="0.25">
      <c r="A929" t="s">
        <v>2325</v>
      </c>
      <c r="B929">
        <v>854</v>
      </c>
      <c r="C929" t="s">
        <v>487</v>
      </c>
      <c r="D929" t="s">
        <v>261</v>
      </c>
      <c r="E929" t="s">
        <v>232</v>
      </c>
      <c r="F929" t="s">
        <v>1500</v>
      </c>
      <c r="G929" s="25">
        <v>44268</v>
      </c>
      <c r="H929">
        <v>15</v>
      </c>
      <c r="I929">
        <v>72</v>
      </c>
      <c r="J929" t="s">
        <v>505</v>
      </c>
      <c r="K929" t="s">
        <v>41</v>
      </c>
      <c r="L929" t="s">
        <v>21</v>
      </c>
      <c r="M929" t="s">
        <v>266</v>
      </c>
      <c r="N929" t="s">
        <v>40</v>
      </c>
      <c r="O929">
        <v>0</v>
      </c>
      <c r="P929" t="s">
        <v>237</v>
      </c>
    </row>
    <row r="930" spans="1:16" x14ac:dyDescent="0.25">
      <c r="A930" t="s">
        <v>2253</v>
      </c>
      <c r="B930">
        <v>851</v>
      </c>
      <c r="C930" t="s">
        <v>487</v>
      </c>
      <c r="D930" t="s">
        <v>261</v>
      </c>
      <c r="E930" t="s">
        <v>515</v>
      </c>
      <c r="F930" t="s">
        <v>1493</v>
      </c>
      <c r="G930" s="25">
        <v>44267</v>
      </c>
      <c r="H930">
        <v>15</v>
      </c>
      <c r="I930">
        <v>71</v>
      </c>
      <c r="J930" t="s">
        <v>505</v>
      </c>
      <c r="K930" t="s">
        <v>41</v>
      </c>
      <c r="L930" t="s">
        <v>21</v>
      </c>
      <c r="M930" t="s">
        <v>266</v>
      </c>
      <c r="N930" t="s">
        <v>40</v>
      </c>
      <c r="O930">
        <v>750</v>
      </c>
      <c r="P930" t="s">
        <v>237</v>
      </c>
    </row>
    <row r="931" spans="1:16" x14ac:dyDescent="0.25">
      <c r="A931" t="s">
        <v>1620</v>
      </c>
      <c r="B931">
        <v>499</v>
      </c>
      <c r="C931" t="s">
        <v>487</v>
      </c>
      <c r="D931" t="s">
        <v>256</v>
      </c>
      <c r="E931" t="s">
        <v>231</v>
      </c>
      <c r="F931" t="s">
        <v>1249</v>
      </c>
      <c r="G931" s="25">
        <v>44238</v>
      </c>
      <c r="H931">
        <v>9</v>
      </c>
      <c r="I931">
        <v>42</v>
      </c>
      <c r="J931" t="s">
        <v>505</v>
      </c>
      <c r="K931" t="s">
        <v>41</v>
      </c>
      <c r="L931" t="s">
        <v>21</v>
      </c>
      <c r="M931" t="s">
        <v>266</v>
      </c>
      <c r="N931" t="s">
        <v>40</v>
      </c>
      <c r="O931">
        <v>0</v>
      </c>
      <c r="P931" t="s">
        <v>237</v>
      </c>
    </row>
    <row r="932" spans="1:16" x14ac:dyDescent="0.25">
      <c r="A932" t="s">
        <v>2462</v>
      </c>
      <c r="B932">
        <v>1178</v>
      </c>
      <c r="C932" t="s">
        <v>487</v>
      </c>
      <c r="D932" t="s">
        <v>322</v>
      </c>
      <c r="E932" t="s">
        <v>531</v>
      </c>
      <c r="F932" t="s">
        <v>3056</v>
      </c>
      <c r="G932" s="25">
        <v>44295</v>
      </c>
      <c r="H932">
        <v>20</v>
      </c>
      <c r="I932">
        <v>99</v>
      </c>
      <c r="J932" t="s">
        <v>505</v>
      </c>
      <c r="K932" t="s">
        <v>41</v>
      </c>
      <c r="L932" t="s">
        <v>21</v>
      </c>
      <c r="M932" t="s">
        <v>266</v>
      </c>
      <c r="N932" t="s">
        <v>40</v>
      </c>
      <c r="O932">
        <v>0</v>
      </c>
      <c r="P932" t="s">
        <v>237</v>
      </c>
    </row>
    <row r="933" spans="1:16" x14ac:dyDescent="0.25">
      <c r="A933" t="s">
        <v>598</v>
      </c>
      <c r="B933">
        <v>168</v>
      </c>
      <c r="C933" t="s">
        <v>487</v>
      </c>
      <c r="D933" t="s">
        <v>229</v>
      </c>
      <c r="E933" t="s">
        <v>537</v>
      </c>
      <c r="F933" t="s">
        <v>538</v>
      </c>
      <c r="G933" s="25">
        <v>44210</v>
      </c>
      <c r="H933">
        <v>3</v>
      </c>
      <c r="I933">
        <v>14</v>
      </c>
      <c r="J933" t="s">
        <v>505</v>
      </c>
      <c r="K933" t="s">
        <v>41</v>
      </c>
      <c r="L933" t="s">
        <v>21</v>
      </c>
      <c r="M933" t="s">
        <v>266</v>
      </c>
      <c r="N933" t="s">
        <v>40</v>
      </c>
      <c r="O933">
        <v>15125</v>
      </c>
      <c r="P933" t="s">
        <v>237</v>
      </c>
    </row>
    <row r="934" spans="1:16" x14ac:dyDescent="0.25">
      <c r="A934" t="s">
        <v>736</v>
      </c>
      <c r="B934">
        <v>179</v>
      </c>
      <c r="C934" t="s">
        <v>487</v>
      </c>
      <c r="D934" t="s">
        <v>229</v>
      </c>
      <c r="E934" t="s">
        <v>575</v>
      </c>
      <c r="F934" t="s">
        <v>576</v>
      </c>
      <c r="G934" s="25">
        <v>44211</v>
      </c>
      <c r="H934">
        <v>3</v>
      </c>
      <c r="I934">
        <v>15</v>
      </c>
      <c r="J934" t="s">
        <v>505</v>
      </c>
      <c r="K934" t="s">
        <v>41</v>
      </c>
      <c r="L934" t="s">
        <v>21</v>
      </c>
      <c r="M934" t="s">
        <v>266</v>
      </c>
      <c r="N934" t="s">
        <v>40</v>
      </c>
      <c r="O934">
        <v>8875</v>
      </c>
      <c r="P934" t="s">
        <v>237</v>
      </c>
    </row>
    <row r="935" spans="1:16" x14ac:dyDescent="0.25">
      <c r="A935" t="s">
        <v>318</v>
      </c>
      <c r="B935">
        <v>130</v>
      </c>
      <c r="C935" t="s">
        <v>487</v>
      </c>
      <c r="D935" t="s">
        <v>229</v>
      </c>
      <c r="E935" t="s">
        <v>515</v>
      </c>
      <c r="F935" t="s">
        <v>516</v>
      </c>
      <c r="G935" s="25">
        <v>44207</v>
      </c>
      <c r="H935">
        <v>3</v>
      </c>
      <c r="I935">
        <v>11</v>
      </c>
      <c r="J935" t="s">
        <v>505</v>
      </c>
      <c r="K935" t="s">
        <v>41</v>
      </c>
      <c r="L935" t="s">
        <v>21</v>
      </c>
      <c r="M935" t="s">
        <v>266</v>
      </c>
      <c r="N935" t="s">
        <v>40</v>
      </c>
      <c r="O935">
        <v>0</v>
      </c>
      <c r="P935" t="s">
        <v>237</v>
      </c>
    </row>
    <row r="936" spans="1:16" x14ac:dyDescent="0.25">
      <c r="A936" t="s">
        <v>733</v>
      </c>
      <c r="B936">
        <v>312</v>
      </c>
      <c r="C936" t="s">
        <v>487</v>
      </c>
      <c r="D936" t="s">
        <v>231</v>
      </c>
      <c r="E936" t="s">
        <v>247</v>
      </c>
      <c r="F936" t="s">
        <v>1088</v>
      </c>
      <c r="G936" s="25">
        <v>44222</v>
      </c>
      <c r="H936">
        <v>6</v>
      </c>
      <c r="I936">
        <v>26</v>
      </c>
      <c r="J936" t="s">
        <v>505</v>
      </c>
      <c r="K936" t="s">
        <v>41</v>
      </c>
      <c r="L936" t="s">
        <v>21</v>
      </c>
      <c r="M936" t="s">
        <v>266</v>
      </c>
      <c r="N936" t="s">
        <v>40</v>
      </c>
      <c r="O936">
        <v>20375</v>
      </c>
      <c r="P936" t="s">
        <v>237</v>
      </c>
    </row>
    <row r="937" spans="1:16" x14ac:dyDescent="0.25">
      <c r="A937" t="s">
        <v>2578</v>
      </c>
      <c r="B937">
        <v>1430</v>
      </c>
      <c r="C937" t="s">
        <v>487</v>
      </c>
      <c r="D937" t="s">
        <v>247</v>
      </c>
      <c r="E937" t="s">
        <v>408</v>
      </c>
      <c r="F937" t="s">
        <v>3178</v>
      </c>
      <c r="G937" s="25">
        <v>44316</v>
      </c>
      <c r="H937">
        <v>24</v>
      </c>
      <c r="I937">
        <v>120</v>
      </c>
      <c r="J937" t="s">
        <v>505</v>
      </c>
      <c r="K937" t="s">
        <v>41</v>
      </c>
      <c r="L937" t="s">
        <v>21</v>
      </c>
      <c r="M937" t="s">
        <v>266</v>
      </c>
      <c r="N937" t="s">
        <v>40</v>
      </c>
      <c r="O937">
        <v>0</v>
      </c>
      <c r="P937" t="s">
        <v>237</v>
      </c>
    </row>
    <row r="938" spans="1:16" x14ac:dyDescent="0.25">
      <c r="A938" t="s">
        <v>1942</v>
      </c>
      <c r="B938">
        <v>1011</v>
      </c>
      <c r="C938" t="s">
        <v>487</v>
      </c>
      <c r="D938" t="s">
        <v>322</v>
      </c>
      <c r="E938" t="s">
        <v>322</v>
      </c>
      <c r="F938" t="s">
        <v>2960</v>
      </c>
      <c r="G938" s="25">
        <v>44281</v>
      </c>
      <c r="H938">
        <v>17</v>
      </c>
      <c r="I938">
        <v>85</v>
      </c>
      <c r="J938" t="s">
        <v>505</v>
      </c>
      <c r="K938" t="s">
        <v>41</v>
      </c>
      <c r="L938" t="s">
        <v>21</v>
      </c>
      <c r="M938" t="s">
        <v>266</v>
      </c>
      <c r="N938" t="s">
        <v>40</v>
      </c>
      <c r="O938">
        <v>0</v>
      </c>
      <c r="P938" t="s">
        <v>237</v>
      </c>
    </row>
    <row r="939" spans="1:16" x14ac:dyDescent="0.25">
      <c r="A939" t="s">
        <v>2803</v>
      </c>
      <c r="B939">
        <v>1122</v>
      </c>
      <c r="C939" t="s">
        <v>487</v>
      </c>
      <c r="D939" t="s">
        <v>322</v>
      </c>
      <c r="E939" t="s">
        <v>537</v>
      </c>
      <c r="F939" t="s">
        <v>2999</v>
      </c>
      <c r="G939" s="25">
        <v>44290</v>
      </c>
      <c r="H939">
        <v>19</v>
      </c>
      <c r="I939">
        <v>94</v>
      </c>
      <c r="J939" t="s">
        <v>505</v>
      </c>
      <c r="K939" t="s">
        <v>41</v>
      </c>
      <c r="L939" t="s">
        <v>21</v>
      </c>
      <c r="M939" t="s">
        <v>266</v>
      </c>
      <c r="N939" t="s">
        <v>40</v>
      </c>
      <c r="O939">
        <v>0</v>
      </c>
      <c r="P939" t="s">
        <v>237</v>
      </c>
    </row>
    <row r="940" spans="1:16" x14ac:dyDescent="0.25">
      <c r="A940" t="s">
        <v>2652</v>
      </c>
      <c r="B940">
        <v>1409</v>
      </c>
      <c r="C940" t="s">
        <v>487</v>
      </c>
      <c r="D940" t="s">
        <v>247</v>
      </c>
      <c r="E940" t="s">
        <v>552</v>
      </c>
      <c r="F940" t="s">
        <v>3170</v>
      </c>
      <c r="G940" s="25">
        <v>44314</v>
      </c>
      <c r="H940">
        <v>24</v>
      </c>
      <c r="I940">
        <v>118</v>
      </c>
      <c r="J940" t="s">
        <v>505</v>
      </c>
      <c r="K940" t="s">
        <v>41</v>
      </c>
      <c r="L940" t="s">
        <v>21</v>
      </c>
      <c r="M940" t="s">
        <v>266</v>
      </c>
      <c r="N940" t="s">
        <v>40</v>
      </c>
      <c r="O940">
        <v>0</v>
      </c>
      <c r="P940" t="s">
        <v>237</v>
      </c>
    </row>
    <row r="941" spans="1:16" x14ac:dyDescent="0.25">
      <c r="A941" t="s">
        <v>1716</v>
      </c>
      <c r="B941">
        <v>1235</v>
      </c>
      <c r="C941" t="s">
        <v>487</v>
      </c>
      <c r="D941" t="s">
        <v>247</v>
      </c>
      <c r="E941" t="s">
        <v>256</v>
      </c>
      <c r="F941" t="s">
        <v>3073</v>
      </c>
      <c r="G941" s="25">
        <v>44299</v>
      </c>
      <c r="H941">
        <v>21</v>
      </c>
      <c r="I941">
        <v>103</v>
      </c>
      <c r="J941" t="s">
        <v>505</v>
      </c>
      <c r="K941" t="s">
        <v>41</v>
      </c>
      <c r="L941" t="s">
        <v>21</v>
      </c>
      <c r="M941" t="s">
        <v>266</v>
      </c>
      <c r="N941" t="s">
        <v>40</v>
      </c>
      <c r="O941">
        <v>9625</v>
      </c>
      <c r="P941" t="s">
        <v>237</v>
      </c>
    </row>
    <row r="942" spans="1:16" x14ac:dyDescent="0.25">
      <c r="A942" t="s">
        <v>1974</v>
      </c>
      <c r="B942">
        <v>796</v>
      </c>
      <c r="C942" t="s">
        <v>487</v>
      </c>
      <c r="D942" t="s">
        <v>261</v>
      </c>
      <c r="E942" t="s">
        <v>326</v>
      </c>
      <c r="F942" t="s">
        <v>1440</v>
      </c>
      <c r="G942" s="25">
        <v>44263</v>
      </c>
      <c r="H942">
        <v>14</v>
      </c>
      <c r="I942">
        <v>67</v>
      </c>
      <c r="J942" t="s">
        <v>505</v>
      </c>
      <c r="K942" t="s">
        <v>41</v>
      </c>
      <c r="L942" t="s">
        <v>21</v>
      </c>
      <c r="M942" t="s">
        <v>266</v>
      </c>
      <c r="N942" t="s">
        <v>40</v>
      </c>
      <c r="O942">
        <v>0</v>
      </c>
      <c r="P942" t="s">
        <v>237</v>
      </c>
    </row>
    <row r="943" spans="1:16" x14ac:dyDescent="0.25">
      <c r="A943" t="s">
        <v>596</v>
      </c>
      <c r="B943">
        <v>194</v>
      </c>
      <c r="C943" t="s">
        <v>487</v>
      </c>
      <c r="D943" t="s">
        <v>229</v>
      </c>
      <c r="E943" t="s">
        <v>534</v>
      </c>
      <c r="F943" t="s">
        <v>535</v>
      </c>
      <c r="G943" s="25">
        <v>44213</v>
      </c>
      <c r="H943">
        <v>4</v>
      </c>
      <c r="I943">
        <v>17</v>
      </c>
      <c r="J943" t="s">
        <v>505</v>
      </c>
      <c r="K943" t="s">
        <v>41</v>
      </c>
      <c r="L943" t="s">
        <v>21</v>
      </c>
      <c r="M943" t="s">
        <v>266</v>
      </c>
      <c r="N943" t="s">
        <v>40</v>
      </c>
      <c r="O943">
        <v>0</v>
      </c>
      <c r="P943" t="s">
        <v>237</v>
      </c>
    </row>
    <row r="944" spans="1:16" x14ac:dyDescent="0.25">
      <c r="A944" t="s">
        <v>572</v>
      </c>
      <c r="B944">
        <v>296</v>
      </c>
      <c r="C944" t="s">
        <v>487</v>
      </c>
      <c r="D944" t="s">
        <v>231</v>
      </c>
      <c r="E944" t="s">
        <v>322</v>
      </c>
      <c r="F944" t="s">
        <v>1085</v>
      </c>
      <c r="G944" s="25">
        <v>44221</v>
      </c>
      <c r="H944">
        <v>5</v>
      </c>
      <c r="I944">
        <v>25</v>
      </c>
      <c r="J944" t="s">
        <v>505</v>
      </c>
      <c r="K944" t="s">
        <v>41</v>
      </c>
      <c r="L944" t="s">
        <v>21</v>
      </c>
      <c r="M944" t="s">
        <v>266</v>
      </c>
      <c r="N944" t="s">
        <v>40</v>
      </c>
      <c r="O944">
        <v>0</v>
      </c>
      <c r="P944" t="s">
        <v>237</v>
      </c>
    </row>
    <row r="945" spans="1:16" x14ac:dyDescent="0.25">
      <c r="A945" t="s">
        <v>295</v>
      </c>
      <c r="B945">
        <v>11</v>
      </c>
      <c r="C945" t="s">
        <v>487</v>
      </c>
      <c r="D945" t="s">
        <v>229</v>
      </c>
      <c r="E945" t="s">
        <v>229</v>
      </c>
      <c r="F945" t="s">
        <v>230</v>
      </c>
      <c r="G945" s="25">
        <v>44197</v>
      </c>
      <c r="H945">
        <v>1</v>
      </c>
      <c r="I945">
        <v>1</v>
      </c>
      <c r="J945" t="s">
        <v>505</v>
      </c>
      <c r="K945" t="s">
        <v>41</v>
      </c>
      <c r="L945" t="s">
        <v>21</v>
      </c>
      <c r="M945" t="s">
        <v>266</v>
      </c>
      <c r="N945" t="s">
        <v>40</v>
      </c>
      <c r="O945">
        <v>0</v>
      </c>
      <c r="P945" t="s">
        <v>237</v>
      </c>
    </row>
    <row r="946" spans="1:16" x14ac:dyDescent="0.25">
      <c r="A946" t="s">
        <v>2895</v>
      </c>
      <c r="B946">
        <v>789</v>
      </c>
      <c r="C946" t="s">
        <v>487</v>
      </c>
      <c r="D946" t="s">
        <v>261</v>
      </c>
      <c r="E946" t="s">
        <v>247</v>
      </c>
      <c r="F946" t="s">
        <v>1425</v>
      </c>
      <c r="G946" s="25">
        <v>44262</v>
      </c>
      <c r="H946">
        <v>14</v>
      </c>
      <c r="I946">
        <v>66</v>
      </c>
      <c r="J946" t="s">
        <v>505</v>
      </c>
      <c r="K946" t="s">
        <v>41</v>
      </c>
      <c r="L946" t="s">
        <v>21</v>
      </c>
      <c r="M946" t="s">
        <v>266</v>
      </c>
      <c r="N946" t="s">
        <v>40</v>
      </c>
      <c r="O946">
        <v>0</v>
      </c>
      <c r="P946" t="s">
        <v>237</v>
      </c>
    </row>
    <row r="947" spans="1:16" x14ac:dyDescent="0.25">
      <c r="A947" t="s">
        <v>2745</v>
      </c>
      <c r="B947">
        <v>1402</v>
      </c>
      <c r="C947" t="s">
        <v>487</v>
      </c>
      <c r="D947" t="s">
        <v>247</v>
      </c>
      <c r="E947" t="s">
        <v>534</v>
      </c>
      <c r="F947" t="s">
        <v>3166</v>
      </c>
      <c r="G947" s="25">
        <v>44313</v>
      </c>
      <c r="H947">
        <v>24</v>
      </c>
      <c r="I947">
        <v>117</v>
      </c>
      <c r="J947" t="s">
        <v>505</v>
      </c>
      <c r="K947" t="s">
        <v>41</v>
      </c>
      <c r="L947" t="s">
        <v>21</v>
      </c>
      <c r="M947" t="s">
        <v>266</v>
      </c>
      <c r="N947" t="s">
        <v>40</v>
      </c>
      <c r="O947">
        <v>0</v>
      </c>
      <c r="P947" t="s">
        <v>237</v>
      </c>
    </row>
    <row r="948" spans="1:16" x14ac:dyDescent="0.25">
      <c r="A948" t="s">
        <v>1687</v>
      </c>
      <c r="B948">
        <v>1116</v>
      </c>
      <c r="C948" t="s">
        <v>487</v>
      </c>
      <c r="D948" t="s">
        <v>322</v>
      </c>
      <c r="E948" t="s">
        <v>512</v>
      </c>
      <c r="F948" t="s">
        <v>2991</v>
      </c>
      <c r="G948" s="25">
        <v>44289</v>
      </c>
      <c r="H948">
        <v>19</v>
      </c>
      <c r="I948">
        <v>93</v>
      </c>
      <c r="J948" t="s">
        <v>505</v>
      </c>
      <c r="K948" t="s">
        <v>41</v>
      </c>
      <c r="L948" t="s">
        <v>21</v>
      </c>
      <c r="M948" t="s">
        <v>266</v>
      </c>
      <c r="N948" t="s">
        <v>40</v>
      </c>
      <c r="O948">
        <v>13375</v>
      </c>
      <c r="P948" t="s">
        <v>237</v>
      </c>
    </row>
    <row r="949" spans="1:16" x14ac:dyDescent="0.25">
      <c r="A949" t="s">
        <v>2058</v>
      </c>
      <c r="B949">
        <v>1248</v>
      </c>
      <c r="C949" t="s">
        <v>487</v>
      </c>
      <c r="D949" t="s">
        <v>247</v>
      </c>
      <c r="E949" t="s">
        <v>261</v>
      </c>
      <c r="F949" t="s">
        <v>3078</v>
      </c>
      <c r="G949" s="25">
        <v>44300</v>
      </c>
      <c r="H949">
        <v>21</v>
      </c>
      <c r="I949">
        <v>104</v>
      </c>
      <c r="J949" t="s">
        <v>505</v>
      </c>
      <c r="K949" t="s">
        <v>41</v>
      </c>
      <c r="L949" t="s">
        <v>21</v>
      </c>
      <c r="M949" t="s">
        <v>266</v>
      </c>
      <c r="N949" t="s">
        <v>40</v>
      </c>
      <c r="O949">
        <v>24000</v>
      </c>
      <c r="P949" t="s">
        <v>237</v>
      </c>
    </row>
    <row r="950" spans="1:16" x14ac:dyDescent="0.25">
      <c r="A950" t="s">
        <v>2278</v>
      </c>
      <c r="B950">
        <v>773</v>
      </c>
      <c r="C950" t="s">
        <v>487</v>
      </c>
      <c r="D950" t="s">
        <v>261</v>
      </c>
      <c r="E950" t="s">
        <v>322</v>
      </c>
      <c r="F950" t="s">
        <v>1417</v>
      </c>
      <c r="G950" s="25">
        <v>44261</v>
      </c>
      <c r="H950">
        <v>13</v>
      </c>
      <c r="I950">
        <v>65</v>
      </c>
      <c r="J950" t="s">
        <v>505</v>
      </c>
      <c r="K950" t="s">
        <v>41</v>
      </c>
      <c r="L950" t="s">
        <v>21</v>
      </c>
      <c r="M950" t="s">
        <v>266</v>
      </c>
      <c r="N950" t="s">
        <v>40</v>
      </c>
      <c r="O950">
        <v>0</v>
      </c>
      <c r="P950" t="s">
        <v>237</v>
      </c>
    </row>
    <row r="951" spans="1:16" x14ac:dyDescent="0.25">
      <c r="A951" t="s">
        <v>2144</v>
      </c>
      <c r="B951">
        <v>998</v>
      </c>
      <c r="C951" t="s">
        <v>487</v>
      </c>
      <c r="D951" t="s">
        <v>322</v>
      </c>
      <c r="E951" t="s">
        <v>261</v>
      </c>
      <c r="F951" t="s">
        <v>2956</v>
      </c>
      <c r="G951" s="25">
        <v>44280</v>
      </c>
      <c r="H951">
        <v>17</v>
      </c>
      <c r="I951">
        <v>84</v>
      </c>
      <c r="J951" t="s">
        <v>505</v>
      </c>
      <c r="K951" t="s">
        <v>41</v>
      </c>
      <c r="L951" t="s">
        <v>21</v>
      </c>
      <c r="M951" t="s">
        <v>266</v>
      </c>
      <c r="N951" t="s">
        <v>40</v>
      </c>
      <c r="O951">
        <v>0</v>
      </c>
      <c r="P951" t="s">
        <v>237</v>
      </c>
    </row>
    <row r="952" spans="1:16" x14ac:dyDescent="0.25">
      <c r="A952" t="s">
        <v>1746</v>
      </c>
      <c r="B952">
        <v>921</v>
      </c>
      <c r="C952" t="s">
        <v>487</v>
      </c>
      <c r="D952" t="s">
        <v>261</v>
      </c>
      <c r="E952" t="s">
        <v>534</v>
      </c>
      <c r="F952" t="s">
        <v>1563</v>
      </c>
      <c r="G952" s="25">
        <v>44273</v>
      </c>
      <c r="H952">
        <v>16</v>
      </c>
      <c r="I952">
        <v>77</v>
      </c>
      <c r="J952" t="s">
        <v>505</v>
      </c>
      <c r="K952" t="s">
        <v>41</v>
      </c>
      <c r="L952" t="s">
        <v>21</v>
      </c>
      <c r="M952" t="s">
        <v>266</v>
      </c>
      <c r="N952" t="s">
        <v>40</v>
      </c>
      <c r="O952">
        <v>0</v>
      </c>
      <c r="P952" t="s">
        <v>237</v>
      </c>
    </row>
    <row r="953" spans="1:16" x14ac:dyDescent="0.25">
      <c r="A953" t="s">
        <v>2568</v>
      </c>
      <c r="B953">
        <v>767</v>
      </c>
      <c r="C953" t="s">
        <v>487</v>
      </c>
      <c r="D953" t="s">
        <v>261</v>
      </c>
      <c r="E953" t="s">
        <v>261</v>
      </c>
      <c r="F953" t="s">
        <v>1410</v>
      </c>
      <c r="G953" s="25">
        <v>44260</v>
      </c>
      <c r="H953">
        <v>13</v>
      </c>
      <c r="I953">
        <v>64</v>
      </c>
      <c r="J953" t="s">
        <v>505</v>
      </c>
      <c r="K953" t="s">
        <v>41</v>
      </c>
      <c r="L953" t="s">
        <v>21</v>
      </c>
      <c r="M953" t="s">
        <v>266</v>
      </c>
      <c r="N953" t="s">
        <v>40</v>
      </c>
      <c r="O953">
        <v>0</v>
      </c>
      <c r="P953" t="s">
        <v>237</v>
      </c>
    </row>
    <row r="954" spans="1:16" x14ac:dyDescent="0.25">
      <c r="A954" t="s">
        <v>2728</v>
      </c>
      <c r="B954">
        <v>623</v>
      </c>
      <c r="C954" t="s">
        <v>487</v>
      </c>
      <c r="D954" t="s">
        <v>256</v>
      </c>
      <c r="E954" t="s">
        <v>232</v>
      </c>
      <c r="F954" t="s">
        <v>1337</v>
      </c>
      <c r="G954" s="25">
        <v>44248</v>
      </c>
      <c r="H954">
        <v>11</v>
      </c>
      <c r="I954">
        <v>52</v>
      </c>
      <c r="J954" t="s">
        <v>505</v>
      </c>
      <c r="K954" t="s">
        <v>41</v>
      </c>
      <c r="L954" t="s">
        <v>21</v>
      </c>
      <c r="M954" t="s">
        <v>266</v>
      </c>
      <c r="N954" t="s">
        <v>40</v>
      </c>
      <c r="O954">
        <v>6125</v>
      </c>
      <c r="P954" t="s">
        <v>237</v>
      </c>
    </row>
    <row r="955" spans="1:16" x14ac:dyDescent="0.25">
      <c r="A955" t="s">
        <v>747</v>
      </c>
      <c r="B955">
        <v>381</v>
      </c>
      <c r="C955" t="s">
        <v>487</v>
      </c>
      <c r="D955" t="s">
        <v>231</v>
      </c>
      <c r="E955" t="s">
        <v>232</v>
      </c>
      <c r="F955" t="s">
        <v>1162</v>
      </c>
      <c r="G955" s="25">
        <v>44228</v>
      </c>
      <c r="H955">
        <v>7</v>
      </c>
      <c r="I955">
        <v>32</v>
      </c>
      <c r="J955" t="s">
        <v>505</v>
      </c>
      <c r="K955" t="s">
        <v>41</v>
      </c>
      <c r="L955" t="s">
        <v>21</v>
      </c>
      <c r="M955" t="s">
        <v>266</v>
      </c>
      <c r="N955" t="s">
        <v>40</v>
      </c>
      <c r="O955">
        <v>0</v>
      </c>
      <c r="P955" t="s">
        <v>237</v>
      </c>
    </row>
    <row r="956" spans="1:16" x14ac:dyDescent="0.25">
      <c r="A956" t="s">
        <v>1790</v>
      </c>
      <c r="B956">
        <v>812</v>
      </c>
      <c r="C956" t="s">
        <v>487</v>
      </c>
      <c r="D956" t="s">
        <v>261</v>
      </c>
      <c r="E956" t="s">
        <v>381</v>
      </c>
      <c r="F956" t="s">
        <v>1458</v>
      </c>
      <c r="G956" s="25">
        <v>44264</v>
      </c>
      <c r="H956">
        <v>14</v>
      </c>
      <c r="I956">
        <v>68</v>
      </c>
      <c r="J956" t="s">
        <v>505</v>
      </c>
      <c r="K956" t="s">
        <v>41</v>
      </c>
      <c r="L956" t="s">
        <v>21</v>
      </c>
      <c r="M956" t="s">
        <v>266</v>
      </c>
      <c r="N956" t="s">
        <v>40</v>
      </c>
      <c r="O956">
        <v>0</v>
      </c>
      <c r="P956" t="s">
        <v>237</v>
      </c>
    </row>
    <row r="957" spans="1:16" x14ac:dyDescent="0.25">
      <c r="A957" t="s">
        <v>1941</v>
      </c>
      <c r="B957">
        <v>1033</v>
      </c>
      <c r="C957" t="s">
        <v>487</v>
      </c>
      <c r="D957" t="s">
        <v>322</v>
      </c>
      <c r="E957" t="s">
        <v>326</v>
      </c>
      <c r="F957" t="s">
        <v>2967</v>
      </c>
      <c r="G957" s="25">
        <v>44283</v>
      </c>
      <c r="H957">
        <v>18</v>
      </c>
      <c r="I957">
        <v>87</v>
      </c>
      <c r="J957" t="s">
        <v>505</v>
      </c>
      <c r="K957" t="s">
        <v>41</v>
      </c>
      <c r="L957" t="s">
        <v>21</v>
      </c>
      <c r="M957" t="s">
        <v>266</v>
      </c>
      <c r="N957" t="s">
        <v>40</v>
      </c>
      <c r="O957">
        <v>0</v>
      </c>
      <c r="P957" t="s">
        <v>237</v>
      </c>
    </row>
    <row r="958" spans="1:16" x14ac:dyDescent="0.25">
      <c r="A958" t="s">
        <v>380</v>
      </c>
      <c r="B958">
        <v>94</v>
      </c>
      <c r="C958" t="s">
        <v>487</v>
      </c>
      <c r="D958" t="s">
        <v>229</v>
      </c>
      <c r="E958" t="s">
        <v>381</v>
      </c>
      <c r="F958" t="s">
        <v>518</v>
      </c>
      <c r="G958" s="25">
        <v>44204</v>
      </c>
      <c r="H958">
        <v>2</v>
      </c>
      <c r="I958">
        <v>8</v>
      </c>
      <c r="J958" t="s">
        <v>505</v>
      </c>
      <c r="K958" t="s">
        <v>41</v>
      </c>
      <c r="L958" t="s">
        <v>21</v>
      </c>
      <c r="M958" t="s">
        <v>266</v>
      </c>
      <c r="N958" t="s">
        <v>40</v>
      </c>
      <c r="O958">
        <v>0</v>
      </c>
      <c r="P958" t="s">
        <v>237</v>
      </c>
    </row>
    <row r="959" spans="1:16" x14ac:dyDescent="0.25">
      <c r="A959" t="s">
        <v>764</v>
      </c>
      <c r="B959">
        <v>395</v>
      </c>
      <c r="C959" t="s">
        <v>487</v>
      </c>
      <c r="D959" t="s">
        <v>231</v>
      </c>
      <c r="E959" t="s">
        <v>512</v>
      </c>
      <c r="F959" t="s">
        <v>1174</v>
      </c>
      <c r="G959" s="25">
        <v>44229</v>
      </c>
      <c r="H959">
        <v>7</v>
      </c>
      <c r="I959">
        <v>33</v>
      </c>
      <c r="J959" t="s">
        <v>505</v>
      </c>
      <c r="K959" t="s">
        <v>41</v>
      </c>
      <c r="L959" t="s">
        <v>21</v>
      </c>
      <c r="M959" t="s">
        <v>266</v>
      </c>
      <c r="N959" t="s">
        <v>40</v>
      </c>
      <c r="O959">
        <v>0</v>
      </c>
      <c r="P959" t="s">
        <v>237</v>
      </c>
    </row>
    <row r="960" spans="1:16" x14ac:dyDescent="0.25">
      <c r="A960" t="s">
        <v>2706</v>
      </c>
      <c r="B960">
        <v>608</v>
      </c>
      <c r="C960" t="s">
        <v>487</v>
      </c>
      <c r="D960" t="s">
        <v>256</v>
      </c>
      <c r="E960" t="s">
        <v>515</v>
      </c>
      <c r="F960" t="s">
        <v>1329</v>
      </c>
      <c r="G960" s="25">
        <v>44247</v>
      </c>
      <c r="H960">
        <v>11</v>
      </c>
      <c r="I960">
        <v>51</v>
      </c>
      <c r="J960" t="s">
        <v>505</v>
      </c>
      <c r="K960" t="s">
        <v>41</v>
      </c>
      <c r="L960" t="s">
        <v>21</v>
      </c>
      <c r="M960" t="s">
        <v>266</v>
      </c>
      <c r="N960" t="s">
        <v>40</v>
      </c>
      <c r="O960">
        <v>0</v>
      </c>
      <c r="P960" t="s">
        <v>237</v>
      </c>
    </row>
    <row r="961" spans="1:16" x14ac:dyDescent="0.25">
      <c r="A961" t="s">
        <v>2333</v>
      </c>
      <c r="B961">
        <v>907</v>
      </c>
      <c r="C961" t="s">
        <v>487</v>
      </c>
      <c r="D961" t="s">
        <v>261</v>
      </c>
      <c r="E961" t="s">
        <v>620</v>
      </c>
      <c r="F961" t="s">
        <v>1545</v>
      </c>
      <c r="G961" s="25">
        <v>44272</v>
      </c>
      <c r="H961">
        <v>16</v>
      </c>
      <c r="I961">
        <v>76</v>
      </c>
      <c r="J961" t="s">
        <v>505</v>
      </c>
      <c r="K961" t="s">
        <v>41</v>
      </c>
      <c r="L961" t="s">
        <v>21</v>
      </c>
      <c r="M961" t="s">
        <v>266</v>
      </c>
      <c r="N961" t="s">
        <v>40</v>
      </c>
      <c r="O961">
        <v>0</v>
      </c>
      <c r="P961" t="s">
        <v>237</v>
      </c>
    </row>
    <row r="962" spans="1:16" x14ac:dyDescent="0.25">
      <c r="A962" t="s">
        <v>1606</v>
      </c>
      <c r="B962">
        <v>488</v>
      </c>
      <c r="C962" t="s">
        <v>487</v>
      </c>
      <c r="D962" t="s">
        <v>256</v>
      </c>
      <c r="E962" t="s">
        <v>229</v>
      </c>
      <c r="F962" t="s">
        <v>1241</v>
      </c>
      <c r="G962" s="25">
        <v>44237</v>
      </c>
      <c r="H962">
        <v>9</v>
      </c>
      <c r="I962">
        <v>41</v>
      </c>
      <c r="J962" t="s">
        <v>506</v>
      </c>
      <c r="K962" t="s">
        <v>414</v>
      </c>
      <c r="L962" t="s">
        <v>21</v>
      </c>
      <c r="M962" t="s">
        <v>411</v>
      </c>
      <c r="N962" t="s">
        <v>50</v>
      </c>
      <c r="O962">
        <v>0</v>
      </c>
      <c r="P962" t="s">
        <v>237</v>
      </c>
    </row>
    <row r="963" spans="1:16" x14ac:dyDescent="0.25">
      <c r="A963" t="s">
        <v>285</v>
      </c>
      <c r="B963">
        <v>110</v>
      </c>
      <c r="C963" t="s">
        <v>487</v>
      </c>
      <c r="D963" t="s">
        <v>229</v>
      </c>
      <c r="E963" t="s">
        <v>239</v>
      </c>
      <c r="F963" t="s">
        <v>578</v>
      </c>
      <c r="G963" s="25">
        <v>44206</v>
      </c>
      <c r="H963">
        <v>2</v>
      </c>
      <c r="I963">
        <v>10</v>
      </c>
      <c r="J963" t="s">
        <v>506</v>
      </c>
      <c r="K963" t="s">
        <v>414</v>
      </c>
      <c r="L963" t="s">
        <v>21</v>
      </c>
      <c r="M963" t="s">
        <v>411</v>
      </c>
      <c r="N963" t="s">
        <v>50</v>
      </c>
      <c r="O963">
        <v>0</v>
      </c>
      <c r="P963" t="s">
        <v>237</v>
      </c>
    </row>
    <row r="964" spans="1:16" x14ac:dyDescent="0.25">
      <c r="A964" t="s">
        <v>364</v>
      </c>
      <c r="B964">
        <v>126</v>
      </c>
      <c r="C964" t="s">
        <v>487</v>
      </c>
      <c r="D964" t="s">
        <v>229</v>
      </c>
      <c r="E964" t="s">
        <v>515</v>
      </c>
      <c r="F964" t="s">
        <v>516</v>
      </c>
      <c r="G964" s="25">
        <v>44207</v>
      </c>
      <c r="H964">
        <v>3</v>
      </c>
      <c r="I964">
        <v>11</v>
      </c>
      <c r="J964" t="s">
        <v>506</v>
      </c>
      <c r="K964" t="s">
        <v>414</v>
      </c>
      <c r="L964" t="s">
        <v>21</v>
      </c>
      <c r="M964" t="s">
        <v>411</v>
      </c>
      <c r="N964" t="s">
        <v>50</v>
      </c>
      <c r="O964">
        <v>0</v>
      </c>
      <c r="P964" t="s">
        <v>237</v>
      </c>
    </row>
    <row r="965" spans="1:16" x14ac:dyDescent="0.25">
      <c r="A965" t="s">
        <v>559</v>
      </c>
      <c r="B965">
        <v>449</v>
      </c>
      <c r="C965" t="s">
        <v>487</v>
      </c>
      <c r="D965" t="s">
        <v>231</v>
      </c>
      <c r="E965" t="s">
        <v>552</v>
      </c>
      <c r="F965" t="s">
        <v>1222</v>
      </c>
      <c r="G965" s="25">
        <v>44234</v>
      </c>
      <c r="H965">
        <v>8</v>
      </c>
      <c r="I965">
        <v>38</v>
      </c>
      <c r="J965" t="s">
        <v>506</v>
      </c>
      <c r="K965" t="s">
        <v>414</v>
      </c>
      <c r="L965" t="s">
        <v>21</v>
      </c>
      <c r="M965" t="s">
        <v>411</v>
      </c>
      <c r="N965" t="s">
        <v>50</v>
      </c>
      <c r="O965">
        <v>0</v>
      </c>
      <c r="P965" t="s">
        <v>237</v>
      </c>
    </row>
    <row r="966" spans="1:16" x14ac:dyDescent="0.25">
      <c r="A966" t="s">
        <v>2379</v>
      </c>
      <c r="B966">
        <v>898</v>
      </c>
      <c r="C966" t="s">
        <v>487</v>
      </c>
      <c r="D966" t="s">
        <v>261</v>
      </c>
      <c r="E966" t="s">
        <v>575</v>
      </c>
      <c r="F966" t="s">
        <v>1537</v>
      </c>
      <c r="G966" s="25">
        <v>44271</v>
      </c>
      <c r="H966">
        <v>15</v>
      </c>
      <c r="I966">
        <v>75</v>
      </c>
      <c r="J966" t="s">
        <v>506</v>
      </c>
      <c r="K966" t="s">
        <v>414</v>
      </c>
      <c r="L966" t="s">
        <v>21</v>
      </c>
      <c r="M966" t="s">
        <v>411</v>
      </c>
      <c r="N966" t="s">
        <v>50</v>
      </c>
      <c r="O966">
        <v>0</v>
      </c>
      <c r="P966" t="s">
        <v>237</v>
      </c>
    </row>
    <row r="967" spans="1:16" x14ac:dyDescent="0.25">
      <c r="A967" t="s">
        <v>1655</v>
      </c>
      <c r="B967">
        <v>1000</v>
      </c>
      <c r="C967" t="s">
        <v>487</v>
      </c>
      <c r="D967" t="s">
        <v>322</v>
      </c>
      <c r="E967" t="s">
        <v>261</v>
      </c>
      <c r="F967" t="s">
        <v>2956</v>
      </c>
      <c r="G967" s="25">
        <v>44280</v>
      </c>
      <c r="H967">
        <v>17</v>
      </c>
      <c r="I967">
        <v>84</v>
      </c>
      <c r="J967" t="s">
        <v>506</v>
      </c>
      <c r="K967" t="s">
        <v>414</v>
      </c>
      <c r="L967" t="s">
        <v>21</v>
      </c>
      <c r="M967" t="s">
        <v>411</v>
      </c>
      <c r="N967" t="s">
        <v>50</v>
      </c>
      <c r="O967">
        <v>0</v>
      </c>
      <c r="P967" t="s">
        <v>237</v>
      </c>
    </row>
    <row r="968" spans="1:16" x14ac:dyDescent="0.25">
      <c r="A968" t="s">
        <v>791</v>
      </c>
      <c r="B968">
        <v>157</v>
      </c>
      <c r="C968" t="s">
        <v>487</v>
      </c>
      <c r="D968" t="s">
        <v>229</v>
      </c>
      <c r="E968" t="s">
        <v>537</v>
      </c>
      <c r="F968" t="s">
        <v>538</v>
      </c>
      <c r="G968" s="25">
        <v>44210</v>
      </c>
      <c r="H968">
        <v>3</v>
      </c>
      <c r="I968">
        <v>14</v>
      </c>
      <c r="J968" t="s">
        <v>506</v>
      </c>
      <c r="K968" t="s">
        <v>414</v>
      </c>
      <c r="L968" t="s">
        <v>21</v>
      </c>
      <c r="M968" t="s">
        <v>411</v>
      </c>
      <c r="N968" t="s">
        <v>50</v>
      </c>
      <c r="O968">
        <v>0</v>
      </c>
      <c r="P968" t="s">
        <v>237</v>
      </c>
    </row>
    <row r="969" spans="1:16" x14ac:dyDescent="0.25">
      <c r="A969" t="s">
        <v>330</v>
      </c>
      <c r="B969">
        <v>67</v>
      </c>
      <c r="C969" t="s">
        <v>487</v>
      </c>
      <c r="D969" t="s">
        <v>229</v>
      </c>
      <c r="E969" t="s">
        <v>247</v>
      </c>
      <c r="F969" t="s">
        <v>524</v>
      </c>
      <c r="G969" s="25">
        <v>44202</v>
      </c>
      <c r="H969">
        <v>2</v>
      </c>
      <c r="I969">
        <v>6</v>
      </c>
      <c r="J969" t="s">
        <v>506</v>
      </c>
      <c r="K969" t="s">
        <v>414</v>
      </c>
      <c r="L969" t="s">
        <v>21</v>
      </c>
      <c r="M969" t="s">
        <v>411</v>
      </c>
      <c r="N969" t="s">
        <v>50</v>
      </c>
      <c r="O969">
        <v>0</v>
      </c>
      <c r="P969" t="s">
        <v>237</v>
      </c>
    </row>
    <row r="970" spans="1:16" x14ac:dyDescent="0.25">
      <c r="A970" t="s">
        <v>852</v>
      </c>
      <c r="B970">
        <v>279</v>
      </c>
      <c r="C970" t="s">
        <v>487</v>
      </c>
      <c r="D970" t="s">
        <v>231</v>
      </c>
      <c r="E970" t="s">
        <v>261</v>
      </c>
      <c r="F970" t="s">
        <v>1065</v>
      </c>
      <c r="G970" s="25">
        <v>44220</v>
      </c>
      <c r="H970">
        <v>5</v>
      </c>
      <c r="I970">
        <v>24</v>
      </c>
      <c r="J970" t="s">
        <v>506</v>
      </c>
      <c r="K970" t="s">
        <v>414</v>
      </c>
      <c r="L970" t="s">
        <v>21</v>
      </c>
      <c r="M970" t="s">
        <v>411</v>
      </c>
      <c r="N970" t="s">
        <v>50</v>
      </c>
      <c r="O970">
        <v>0</v>
      </c>
      <c r="P970" t="s">
        <v>237</v>
      </c>
    </row>
    <row r="971" spans="1:16" x14ac:dyDescent="0.25">
      <c r="A971" t="s">
        <v>2574</v>
      </c>
      <c r="B971">
        <v>790</v>
      </c>
      <c r="C971" t="s">
        <v>487</v>
      </c>
      <c r="D971" t="s">
        <v>261</v>
      </c>
      <c r="E971" t="s">
        <v>247</v>
      </c>
      <c r="F971" t="s">
        <v>1425</v>
      </c>
      <c r="G971" s="25">
        <v>44262</v>
      </c>
      <c r="H971">
        <v>14</v>
      </c>
      <c r="I971">
        <v>66</v>
      </c>
      <c r="J971" t="s">
        <v>506</v>
      </c>
      <c r="K971" t="s">
        <v>414</v>
      </c>
      <c r="L971" t="s">
        <v>21</v>
      </c>
      <c r="M971" t="s">
        <v>411</v>
      </c>
      <c r="N971" t="s">
        <v>50</v>
      </c>
      <c r="O971">
        <v>0</v>
      </c>
      <c r="P971" t="s">
        <v>237</v>
      </c>
    </row>
    <row r="972" spans="1:16" x14ac:dyDescent="0.25">
      <c r="A972" t="s">
        <v>2048</v>
      </c>
      <c r="B972">
        <v>1129</v>
      </c>
      <c r="C972" t="s">
        <v>487</v>
      </c>
      <c r="D972" t="s">
        <v>322</v>
      </c>
      <c r="E972" t="s">
        <v>575</v>
      </c>
      <c r="F972" t="s">
        <v>3014</v>
      </c>
      <c r="G972" s="25">
        <v>44291</v>
      </c>
      <c r="H972">
        <v>19</v>
      </c>
      <c r="I972">
        <v>95</v>
      </c>
      <c r="J972" t="s">
        <v>506</v>
      </c>
      <c r="K972" t="s">
        <v>414</v>
      </c>
      <c r="L972" t="s">
        <v>21</v>
      </c>
      <c r="M972" t="s">
        <v>411</v>
      </c>
      <c r="N972" t="s">
        <v>50</v>
      </c>
      <c r="O972">
        <v>0</v>
      </c>
      <c r="P972" t="s">
        <v>237</v>
      </c>
    </row>
    <row r="973" spans="1:16" x14ac:dyDescent="0.25">
      <c r="A973" t="s">
        <v>2492</v>
      </c>
      <c r="B973">
        <v>810</v>
      </c>
      <c r="C973" t="s">
        <v>487</v>
      </c>
      <c r="D973" t="s">
        <v>261</v>
      </c>
      <c r="E973" t="s">
        <v>381</v>
      </c>
      <c r="F973" t="s">
        <v>1458</v>
      </c>
      <c r="G973" s="25">
        <v>44264</v>
      </c>
      <c r="H973">
        <v>14</v>
      </c>
      <c r="I973">
        <v>68</v>
      </c>
      <c r="J973" t="s">
        <v>506</v>
      </c>
      <c r="K973" t="s">
        <v>414</v>
      </c>
      <c r="L973" t="s">
        <v>21</v>
      </c>
      <c r="M973" t="s">
        <v>411</v>
      </c>
      <c r="N973" t="s">
        <v>50</v>
      </c>
      <c r="O973">
        <v>0</v>
      </c>
      <c r="P973" t="s">
        <v>237</v>
      </c>
    </row>
    <row r="974" spans="1:16" x14ac:dyDescent="0.25">
      <c r="A974" t="s">
        <v>587</v>
      </c>
      <c r="B974">
        <v>462</v>
      </c>
      <c r="C974" t="s">
        <v>487</v>
      </c>
      <c r="D974" t="s">
        <v>231</v>
      </c>
      <c r="E974" t="s">
        <v>531</v>
      </c>
      <c r="F974" t="s">
        <v>1230</v>
      </c>
      <c r="G974" s="25">
        <v>44235</v>
      </c>
      <c r="H974">
        <v>8</v>
      </c>
      <c r="I974">
        <v>39</v>
      </c>
      <c r="J974" t="s">
        <v>506</v>
      </c>
      <c r="K974" t="s">
        <v>414</v>
      </c>
      <c r="L974" t="s">
        <v>21</v>
      </c>
      <c r="M974" t="s">
        <v>411</v>
      </c>
      <c r="N974" t="s">
        <v>50</v>
      </c>
      <c r="O974">
        <v>0</v>
      </c>
      <c r="P974" t="s">
        <v>237</v>
      </c>
    </row>
    <row r="975" spans="1:16" x14ac:dyDescent="0.25">
      <c r="A975" t="s">
        <v>602</v>
      </c>
      <c r="B975">
        <v>140</v>
      </c>
      <c r="C975" t="s">
        <v>487</v>
      </c>
      <c r="D975" t="s">
        <v>229</v>
      </c>
      <c r="E975" t="s">
        <v>232</v>
      </c>
      <c r="F975" t="s">
        <v>520</v>
      </c>
      <c r="G975" s="25">
        <v>44208</v>
      </c>
      <c r="H975">
        <v>3</v>
      </c>
      <c r="I975">
        <v>12</v>
      </c>
      <c r="J975" t="s">
        <v>506</v>
      </c>
      <c r="K975" t="s">
        <v>414</v>
      </c>
      <c r="L975" t="s">
        <v>21</v>
      </c>
      <c r="M975" t="s">
        <v>411</v>
      </c>
      <c r="N975" t="s">
        <v>50</v>
      </c>
      <c r="O975">
        <v>0</v>
      </c>
      <c r="P975" t="s">
        <v>237</v>
      </c>
    </row>
    <row r="976" spans="1:16" x14ac:dyDescent="0.25">
      <c r="A976" t="s">
        <v>2532</v>
      </c>
      <c r="B976">
        <v>1029</v>
      </c>
      <c r="C976" t="s">
        <v>487</v>
      </c>
      <c r="D976" t="s">
        <v>322</v>
      </c>
      <c r="E976" t="s">
        <v>247</v>
      </c>
      <c r="F976" t="s">
        <v>2963</v>
      </c>
      <c r="G976" s="25">
        <v>44282</v>
      </c>
      <c r="H976">
        <v>18</v>
      </c>
      <c r="I976">
        <v>86</v>
      </c>
      <c r="J976" t="s">
        <v>506</v>
      </c>
      <c r="K976" t="s">
        <v>414</v>
      </c>
      <c r="L976" t="s">
        <v>21</v>
      </c>
      <c r="M976" t="s">
        <v>411</v>
      </c>
      <c r="N976" t="s">
        <v>50</v>
      </c>
      <c r="O976">
        <v>0</v>
      </c>
      <c r="P976" t="s">
        <v>237</v>
      </c>
    </row>
    <row r="977" spans="1:16" x14ac:dyDescent="0.25">
      <c r="A977" t="s">
        <v>2816</v>
      </c>
      <c r="B977">
        <v>1052</v>
      </c>
      <c r="C977" t="s">
        <v>487</v>
      </c>
      <c r="D977" t="s">
        <v>322</v>
      </c>
      <c r="E977" t="s">
        <v>381</v>
      </c>
      <c r="F977" t="s">
        <v>2971</v>
      </c>
      <c r="G977" s="25">
        <v>44284</v>
      </c>
      <c r="H977">
        <v>18</v>
      </c>
      <c r="I977">
        <v>88</v>
      </c>
      <c r="J977" t="s">
        <v>506</v>
      </c>
      <c r="K977" t="s">
        <v>414</v>
      </c>
      <c r="L977" t="s">
        <v>21</v>
      </c>
      <c r="M977" t="s">
        <v>411</v>
      </c>
      <c r="N977" t="s">
        <v>50</v>
      </c>
      <c r="O977">
        <v>0</v>
      </c>
      <c r="P977" t="s">
        <v>237</v>
      </c>
    </row>
    <row r="978" spans="1:16" x14ac:dyDescent="0.25">
      <c r="A978" t="s">
        <v>2461</v>
      </c>
      <c r="B978">
        <v>1222</v>
      </c>
      <c r="C978" t="s">
        <v>487</v>
      </c>
      <c r="D978" t="s">
        <v>247</v>
      </c>
      <c r="E978" t="s">
        <v>231</v>
      </c>
      <c r="F978" t="s">
        <v>3070</v>
      </c>
      <c r="G978" s="25">
        <v>44298</v>
      </c>
      <c r="H978">
        <v>21</v>
      </c>
      <c r="I978">
        <v>102</v>
      </c>
      <c r="J978" t="s">
        <v>506</v>
      </c>
      <c r="K978" t="s">
        <v>414</v>
      </c>
      <c r="L978" t="s">
        <v>21</v>
      </c>
      <c r="M978" t="s">
        <v>411</v>
      </c>
      <c r="N978" t="s">
        <v>50</v>
      </c>
      <c r="O978">
        <v>0</v>
      </c>
      <c r="P978" t="s">
        <v>237</v>
      </c>
    </row>
    <row r="979" spans="1:16" x14ac:dyDescent="0.25">
      <c r="A979" t="s">
        <v>1958</v>
      </c>
      <c r="B979">
        <v>919</v>
      </c>
      <c r="C979" t="s">
        <v>487</v>
      </c>
      <c r="D979" t="s">
        <v>261</v>
      </c>
      <c r="E979" t="s">
        <v>534</v>
      </c>
      <c r="F979" t="s">
        <v>1563</v>
      </c>
      <c r="G979" s="25">
        <v>44273</v>
      </c>
      <c r="H979">
        <v>16</v>
      </c>
      <c r="I979">
        <v>77</v>
      </c>
      <c r="J979" t="s">
        <v>506</v>
      </c>
      <c r="K979" t="s">
        <v>414</v>
      </c>
      <c r="L979" t="s">
        <v>21</v>
      </c>
      <c r="M979" t="s">
        <v>411</v>
      </c>
      <c r="N979" t="s">
        <v>50</v>
      </c>
      <c r="O979">
        <v>0</v>
      </c>
      <c r="P979" t="s">
        <v>237</v>
      </c>
    </row>
    <row r="980" spans="1:16" x14ac:dyDescent="0.25">
      <c r="A980" t="s">
        <v>370</v>
      </c>
      <c r="B980">
        <v>95</v>
      </c>
      <c r="C980" t="s">
        <v>487</v>
      </c>
      <c r="D980" t="s">
        <v>229</v>
      </c>
      <c r="E980" t="s">
        <v>381</v>
      </c>
      <c r="F980" t="s">
        <v>518</v>
      </c>
      <c r="G980" s="25">
        <v>44204</v>
      </c>
      <c r="H980">
        <v>2</v>
      </c>
      <c r="I980">
        <v>8</v>
      </c>
      <c r="J980" t="s">
        <v>506</v>
      </c>
      <c r="K980" t="s">
        <v>414</v>
      </c>
      <c r="L980" t="s">
        <v>21</v>
      </c>
      <c r="M980" t="s">
        <v>411</v>
      </c>
      <c r="N980" t="s">
        <v>50</v>
      </c>
      <c r="O980">
        <v>0</v>
      </c>
      <c r="P980" t="s">
        <v>237</v>
      </c>
    </row>
    <row r="981" spans="1:16" x14ac:dyDescent="0.25">
      <c r="A981" t="s">
        <v>2585</v>
      </c>
      <c r="B981">
        <v>1228</v>
      </c>
      <c r="C981" t="s">
        <v>487</v>
      </c>
      <c r="D981" t="s">
        <v>247</v>
      </c>
      <c r="E981" t="s">
        <v>256</v>
      </c>
      <c r="F981" t="s">
        <v>3073</v>
      </c>
      <c r="G981" s="25">
        <v>44299</v>
      </c>
      <c r="H981">
        <v>21</v>
      </c>
      <c r="I981">
        <v>103</v>
      </c>
      <c r="J981" t="s">
        <v>506</v>
      </c>
      <c r="K981" t="s">
        <v>414</v>
      </c>
      <c r="L981" t="s">
        <v>21</v>
      </c>
      <c r="M981" t="s">
        <v>411</v>
      </c>
      <c r="N981" t="s">
        <v>50</v>
      </c>
      <c r="O981">
        <v>0</v>
      </c>
      <c r="P981" t="s">
        <v>237</v>
      </c>
    </row>
    <row r="982" spans="1:16" x14ac:dyDescent="0.25">
      <c r="A982" t="s">
        <v>659</v>
      </c>
      <c r="B982">
        <v>392</v>
      </c>
      <c r="C982" t="s">
        <v>487</v>
      </c>
      <c r="D982" t="s">
        <v>231</v>
      </c>
      <c r="E982" t="s">
        <v>512</v>
      </c>
      <c r="F982" t="s">
        <v>1174</v>
      </c>
      <c r="G982" s="25">
        <v>44229</v>
      </c>
      <c r="H982">
        <v>7</v>
      </c>
      <c r="I982">
        <v>33</v>
      </c>
      <c r="J982" t="s">
        <v>506</v>
      </c>
      <c r="K982" t="s">
        <v>414</v>
      </c>
      <c r="L982" t="s">
        <v>21</v>
      </c>
      <c r="M982" t="s">
        <v>411</v>
      </c>
      <c r="N982" t="s">
        <v>50</v>
      </c>
      <c r="O982">
        <v>0</v>
      </c>
      <c r="P982" t="s">
        <v>237</v>
      </c>
    </row>
    <row r="983" spans="1:16" x14ac:dyDescent="0.25">
      <c r="A983" t="s">
        <v>1849</v>
      </c>
      <c r="B983">
        <v>986</v>
      </c>
      <c r="C983" t="s">
        <v>487</v>
      </c>
      <c r="D983" t="s">
        <v>322</v>
      </c>
      <c r="E983" t="s">
        <v>256</v>
      </c>
      <c r="F983" t="s">
        <v>2952</v>
      </c>
      <c r="G983" s="25">
        <v>44279</v>
      </c>
      <c r="H983">
        <v>17</v>
      </c>
      <c r="I983">
        <v>83</v>
      </c>
      <c r="J983" t="s">
        <v>506</v>
      </c>
      <c r="K983" t="s">
        <v>414</v>
      </c>
      <c r="L983" t="s">
        <v>21</v>
      </c>
      <c r="M983" t="s">
        <v>411</v>
      </c>
      <c r="N983" t="s">
        <v>50</v>
      </c>
      <c r="O983">
        <v>0</v>
      </c>
      <c r="P983" t="s">
        <v>237</v>
      </c>
    </row>
    <row r="984" spans="1:16" x14ac:dyDescent="0.25">
      <c r="A984" t="s">
        <v>2822</v>
      </c>
      <c r="B984">
        <v>1126</v>
      </c>
      <c r="C984" t="s">
        <v>487</v>
      </c>
      <c r="D984" t="s">
        <v>322</v>
      </c>
      <c r="E984" t="s">
        <v>537</v>
      </c>
      <c r="F984" t="s">
        <v>2999</v>
      </c>
      <c r="G984" s="25">
        <v>44290</v>
      </c>
      <c r="H984">
        <v>19</v>
      </c>
      <c r="I984">
        <v>94</v>
      </c>
      <c r="J984" t="s">
        <v>506</v>
      </c>
      <c r="K984" t="s">
        <v>414</v>
      </c>
      <c r="L984" t="s">
        <v>21</v>
      </c>
      <c r="M984" t="s">
        <v>411</v>
      </c>
      <c r="N984" t="s">
        <v>50</v>
      </c>
      <c r="O984">
        <v>0</v>
      </c>
      <c r="P984" t="s">
        <v>237</v>
      </c>
    </row>
    <row r="985" spans="1:16" x14ac:dyDescent="0.25">
      <c r="A985" t="s">
        <v>1730</v>
      </c>
      <c r="B985">
        <v>794</v>
      </c>
      <c r="C985" t="s">
        <v>487</v>
      </c>
      <c r="D985" t="s">
        <v>261</v>
      </c>
      <c r="E985" t="s">
        <v>326</v>
      </c>
      <c r="F985" t="s">
        <v>1440</v>
      </c>
      <c r="G985" s="25">
        <v>44263</v>
      </c>
      <c r="H985">
        <v>14</v>
      </c>
      <c r="I985">
        <v>67</v>
      </c>
      <c r="J985" t="s">
        <v>506</v>
      </c>
      <c r="K985" t="s">
        <v>414</v>
      </c>
      <c r="L985" t="s">
        <v>21</v>
      </c>
      <c r="M985" t="s">
        <v>411</v>
      </c>
      <c r="N985" t="s">
        <v>50</v>
      </c>
      <c r="O985">
        <v>0</v>
      </c>
      <c r="P985" t="s">
        <v>237</v>
      </c>
    </row>
    <row r="986" spans="1:16" x14ac:dyDescent="0.25">
      <c r="A986" t="s">
        <v>2608</v>
      </c>
      <c r="B986">
        <v>1043</v>
      </c>
      <c r="C986" t="s">
        <v>487</v>
      </c>
      <c r="D986" t="s">
        <v>322</v>
      </c>
      <c r="E986" t="s">
        <v>326</v>
      </c>
      <c r="F986" t="s">
        <v>2967</v>
      </c>
      <c r="G986" s="25">
        <v>44283</v>
      </c>
      <c r="H986">
        <v>18</v>
      </c>
      <c r="I986">
        <v>87</v>
      </c>
      <c r="J986" t="s">
        <v>506</v>
      </c>
      <c r="K986" t="s">
        <v>414</v>
      </c>
      <c r="L986" t="s">
        <v>21</v>
      </c>
      <c r="M986" t="s">
        <v>411</v>
      </c>
      <c r="N986" t="s">
        <v>50</v>
      </c>
      <c r="O986">
        <v>0</v>
      </c>
      <c r="P986" t="s">
        <v>237</v>
      </c>
    </row>
    <row r="987" spans="1:16" x14ac:dyDescent="0.25">
      <c r="A987" t="s">
        <v>2819</v>
      </c>
      <c r="B987">
        <v>982</v>
      </c>
      <c r="C987" t="s">
        <v>487</v>
      </c>
      <c r="D987" t="s">
        <v>322</v>
      </c>
      <c r="E987" t="s">
        <v>231</v>
      </c>
      <c r="F987" t="s">
        <v>2945</v>
      </c>
      <c r="G987" s="25">
        <v>44278</v>
      </c>
      <c r="H987">
        <v>17</v>
      </c>
      <c r="I987">
        <v>82</v>
      </c>
      <c r="J987" t="s">
        <v>506</v>
      </c>
      <c r="K987" t="s">
        <v>414</v>
      </c>
      <c r="L987" t="s">
        <v>21</v>
      </c>
      <c r="M987" t="s">
        <v>411</v>
      </c>
      <c r="N987" t="s">
        <v>50</v>
      </c>
      <c r="O987">
        <v>0</v>
      </c>
      <c r="P987" t="s">
        <v>237</v>
      </c>
    </row>
    <row r="988" spans="1:16" x14ac:dyDescent="0.25">
      <c r="A988" t="s">
        <v>2830</v>
      </c>
      <c r="B988">
        <v>1058</v>
      </c>
      <c r="C988" t="s">
        <v>487</v>
      </c>
      <c r="D988" t="s">
        <v>322</v>
      </c>
      <c r="E988" t="s">
        <v>371</v>
      </c>
      <c r="F988" t="s">
        <v>2976</v>
      </c>
      <c r="G988" s="25">
        <v>44285</v>
      </c>
      <c r="H988">
        <v>18</v>
      </c>
      <c r="I988">
        <v>89</v>
      </c>
      <c r="J988" t="s">
        <v>506</v>
      </c>
      <c r="K988" t="s">
        <v>414</v>
      </c>
      <c r="L988" t="s">
        <v>21</v>
      </c>
      <c r="M988" t="s">
        <v>411</v>
      </c>
      <c r="N988" t="s">
        <v>50</v>
      </c>
      <c r="O988">
        <v>0</v>
      </c>
      <c r="P988" t="s">
        <v>237</v>
      </c>
    </row>
    <row r="989" spans="1:16" x14ac:dyDescent="0.25">
      <c r="A989" t="s">
        <v>2865</v>
      </c>
      <c r="B989">
        <v>908</v>
      </c>
      <c r="C989" t="s">
        <v>487</v>
      </c>
      <c r="D989" t="s">
        <v>261</v>
      </c>
      <c r="E989" t="s">
        <v>620</v>
      </c>
      <c r="F989" t="s">
        <v>1545</v>
      </c>
      <c r="G989" s="25">
        <v>44272</v>
      </c>
      <c r="H989">
        <v>16</v>
      </c>
      <c r="I989">
        <v>76</v>
      </c>
      <c r="J989" t="s">
        <v>506</v>
      </c>
      <c r="K989" t="s">
        <v>414</v>
      </c>
      <c r="L989" t="s">
        <v>21</v>
      </c>
      <c r="M989" t="s">
        <v>411</v>
      </c>
      <c r="N989" t="s">
        <v>50</v>
      </c>
      <c r="O989">
        <v>0</v>
      </c>
      <c r="P989" t="s">
        <v>237</v>
      </c>
    </row>
    <row r="990" spans="1:16" x14ac:dyDescent="0.25">
      <c r="A990" t="s">
        <v>2760</v>
      </c>
      <c r="B990">
        <v>1180</v>
      </c>
      <c r="C990" t="s">
        <v>487</v>
      </c>
      <c r="D990" t="s">
        <v>322</v>
      </c>
      <c r="E990" t="s">
        <v>531</v>
      </c>
      <c r="F990" t="s">
        <v>3056</v>
      </c>
      <c r="G990" s="25">
        <v>44295</v>
      </c>
      <c r="H990">
        <v>20</v>
      </c>
      <c r="I990">
        <v>99</v>
      </c>
      <c r="J990" t="s">
        <v>506</v>
      </c>
      <c r="K990" t="s">
        <v>414</v>
      </c>
      <c r="L990" t="s">
        <v>21</v>
      </c>
      <c r="M990" t="s">
        <v>411</v>
      </c>
      <c r="N990" t="s">
        <v>50</v>
      </c>
      <c r="O990">
        <v>0</v>
      </c>
      <c r="P990" t="s">
        <v>237</v>
      </c>
    </row>
    <row r="991" spans="1:16" x14ac:dyDescent="0.25">
      <c r="A991" t="s">
        <v>700</v>
      </c>
      <c r="B991">
        <v>415</v>
      </c>
      <c r="C991" t="s">
        <v>487</v>
      </c>
      <c r="D991" t="s">
        <v>231</v>
      </c>
      <c r="E991" t="s">
        <v>575</v>
      </c>
      <c r="F991" t="s">
        <v>1210</v>
      </c>
      <c r="G991" s="25">
        <v>44231</v>
      </c>
      <c r="H991">
        <v>7</v>
      </c>
      <c r="I991">
        <v>35</v>
      </c>
      <c r="J991" t="s">
        <v>506</v>
      </c>
      <c r="K991" t="s">
        <v>414</v>
      </c>
      <c r="L991" t="s">
        <v>21</v>
      </c>
      <c r="M991" t="s">
        <v>411</v>
      </c>
      <c r="N991" t="s">
        <v>50</v>
      </c>
      <c r="O991">
        <v>0</v>
      </c>
      <c r="P991" t="s">
        <v>237</v>
      </c>
    </row>
    <row r="992" spans="1:16" x14ac:dyDescent="0.25">
      <c r="A992" t="s">
        <v>691</v>
      </c>
      <c r="B992">
        <v>407</v>
      </c>
      <c r="C992" t="s">
        <v>487</v>
      </c>
      <c r="D992" t="s">
        <v>231</v>
      </c>
      <c r="E992" t="s">
        <v>537</v>
      </c>
      <c r="F992" t="s">
        <v>1192</v>
      </c>
      <c r="G992" s="25">
        <v>44230</v>
      </c>
      <c r="H992">
        <v>7</v>
      </c>
      <c r="I992">
        <v>34</v>
      </c>
      <c r="J992" t="s">
        <v>506</v>
      </c>
      <c r="K992" t="s">
        <v>414</v>
      </c>
      <c r="L992" t="s">
        <v>21</v>
      </c>
      <c r="M992" t="s">
        <v>411</v>
      </c>
      <c r="N992" t="s">
        <v>50</v>
      </c>
      <c r="O992">
        <v>0</v>
      </c>
      <c r="P992" t="s">
        <v>237</v>
      </c>
    </row>
    <row r="993" spans="1:16" x14ac:dyDescent="0.25">
      <c r="A993" t="s">
        <v>2122</v>
      </c>
      <c r="B993">
        <v>939</v>
      </c>
      <c r="C993" t="s">
        <v>487</v>
      </c>
      <c r="D993" t="s">
        <v>261</v>
      </c>
      <c r="E993" t="s">
        <v>531</v>
      </c>
      <c r="F993" t="s">
        <v>1588</v>
      </c>
      <c r="G993" s="25">
        <v>44275</v>
      </c>
      <c r="H993">
        <v>16</v>
      </c>
      <c r="I993">
        <v>79</v>
      </c>
      <c r="J993" t="s">
        <v>506</v>
      </c>
      <c r="K993" t="s">
        <v>414</v>
      </c>
      <c r="L993" t="s">
        <v>21</v>
      </c>
      <c r="M993" t="s">
        <v>411</v>
      </c>
      <c r="N993" t="s">
        <v>50</v>
      </c>
      <c r="O993">
        <v>0</v>
      </c>
      <c r="P993" t="s">
        <v>237</v>
      </c>
    </row>
    <row r="994" spans="1:16" x14ac:dyDescent="0.25">
      <c r="A994" t="s">
        <v>1616</v>
      </c>
      <c r="B994">
        <v>497</v>
      </c>
      <c r="C994" t="s">
        <v>487</v>
      </c>
      <c r="D994" t="s">
        <v>256</v>
      </c>
      <c r="E994" t="s">
        <v>231</v>
      </c>
      <c r="F994" t="s">
        <v>1249</v>
      </c>
      <c r="G994" s="25">
        <v>44238</v>
      </c>
      <c r="H994">
        <v>9</v>
      </c>
      <c r="I994">
        <v>42</v>
      </c>
      <c r="J994" t="s">
        <v>506</v>
      </c>
      <c r="K994" t="s">
        <v>414</v>
      </c>
      <c r="L994" t="s">
        <v>21</v>
      </c>
      <c r="M994" t="s">
        <v>411</v>
      </c>
      <c r="N994" t="s">
        <v>50</v>
      </c>
      <c r="O994">
        <v>0</v>
      </c>
      <c r="P994" t="s">
        <v>237</v>
      </c>
    </row>
    <row r="995" spans="1:16" x14ac:dyDescent="0.25">
      <c r="A995" t="s">
        <v>1879</v>
      </c>
      <c r="B995">
        <v>855</v>
      </c>
      <c r="C995" t="s">
        <v>487</v>
      </c>
      <c r="D995" t="s">
        <v>261</v>
      </c>
      <c r="E995" t="s">
        <v>232</v>
      </c>
      <c r="F995" t="s">
        <v>1500</v>
      </c>
      <c r="G995" s="25">
        <v>44268</v>
      </c>
      <c r="H995">
        <v>15</v>
      </c>
      <c r="I995">
        <v>72</v>
      </c>
      <c r="J995" t="s">
        <v>506</v>
      </c>
      <c r="K995" t="s">
        <v>414</v>
      </c>
      <c r="L995" t="s">
        <v>21</v>
      </c>
      <c r="M995" t="s">
        <v>411</v>
      </c>
      <c r="N995" t="s">
        <v>50</v>
      </c>
      <c r="O995">
        <v>0</v>
      </c>
      <c r="P995" t="s">
        <v>237</v>
      </c>
    </row>
    <row r="996" spans="1:16" x14ac:dyDescent="0.25">
      <c r="A996" t="s">
        <v>1779</v>
      </c>
      <c r="B996">
        <v>1173</v>
      </c>
      <c r="C996" t="s">
        <v>487</v>
      </c>
      <c r="D996" t="s">
        <v>322</v>
      </c>
      <c r="E996" t="s">
        <v>552</v>
      </c>
      <c r="F996" t="s">
        <v>3045</v>
      </c>
      <c r="G996" s="25">
        <v>44294</v>
      </c>
      <c r="H996">
        <v>20</v>
      </c>
      <c r="I996">
        <v>98</v>
      </c>
      <c r="J996" t="s">
        <v>506</v>
      </c>
      <c r="K996" t="s">
        <v>414</v>
      </c>
      <c r="L996" t="s">
        <v>21</v>
      </c>
      <c r="M996" t="s">
        <v>411</v>
      </c>
      <c r="N996" t="s">
        <v>50</v>
      </c>
      <c r="O996">
        <v>0</v>
      </c>
      <c r="P996" t="s">
        <v>237</v>
      </c>
    </row>
    <row r="997" spans="1:16" x14ac:dyDescent="0.25">
      <c r="A997" t="s">
        <v>345</v>
      </c>
      <c r="B997">
        <v>81</v>
      </c>
      <c r="C997" t="s">
        <v>487</v>
      </c>
      <c r="D997" t="s">
        <v>229</v>
      </c>
      <c r="E997" t="s">
        <v>326</v>
      </c>
      <c r="F997" t="s">
        <v>522</v>
      </c>
      <c r="G997" s="25">
        <v>44203</v>
      </c>
      <c r="H997">
        <v>2</v>
      </c>
      <c r="I997">
        <v>7</v>
      </c>
      <c r="J997" t="s">
        <v>506</v>
      </c>
      <c r="K997" t="s">
        <v>414</v>
      </c>
      <c r="L997" t="s">
        <v>21</v>
      </c>
      <c r="M997" t="s">
        <v>411</v>
      </c>
      <c r="N997" t="s">
        <v>50</v>
      </c>
      <c r="O997">
        <v>0</v>
      </c>
      <c r="P997" t="s">
        <v>237</v>
      </c>
    </row>
    <row r="998" spans="1:16" x14ac:dyDescent="0.25">
      <c r="A998" t="s">
        <v>1570</v>
      </c>
      <c r="B998">
        <v>473</v>
      </c>
      <c r="C998" t="s">
        <v>487</v>
      </c>
      <c r="D998" t="s">
        <v>231</v>
      </c>
      <c r="E998" t="s">
        <v>408</v>
      </c>
      <c r="F998" t="s">
        <v>1234</v>
      </c>
      <c r="G998" s="25">
        <v>44236</v>
      </c>
      <c r="H998">
        <v>8</v>
      </c>
      <c r="I998">
        <v>40</v>
      </c>
      <c r="J998" t="s">
        <v>506</v>
      </c>
      <c r="K998" t="s">
        <v>414</v>
      </c>
      <c r="L998" t="s">
        <v>21</v>
      </c>
      <c r="M998" t="s">
        <v>411</v>
      </c>
      <c r="N998" t="s">
        <v>50</v>
      </c>
      <c r="O998">
        <v>0</v>
      </c>
      <c r="P998" t="s">
        <v>237</v>
      </c>
    </row>
    <row r="999" spans="1:16" x14ac:dyDescent="0.25">
      <c r="A999" t="s">
        <v>1681</v>
      </c>
      <c r="B999">
        <v>1097</v>
      </c>
      <c r="C999" t="s">
        <v>487</v>
      </c>
      <c r="D999" t="s">
        <v>322</v>
      </c>
      <c r="E999" t="s">
        <v>232</v>
      </c>
      <c r="F999" t="s">
        <v>2987</v>
      </c>
      <c r="G999" s="25">
        <v>44288</v>
      </c>
      <c r="H999">
        <v>19</v>
      </c>
      <c r="I999">
        <v>92</v>
      </c>
      <c r="J999" t="s">
        <v>506</v>
      </c>
      <c r="K999" t="s">
        <v>414</v>
      </c>
      <c r="L999" t="s">
        <v>21</v>
      </c>
      <c r="M999" t="s">
        <v>411</v>
      </c>
      <c r="N999" t="s">
        <v>50</v>
      </c>
      <c r="O999">
        <v>0</v>
      </c>
      <c r="P999" t="s">
        <v>237</v>
      </c>
    </row>
    <row r="1000" spans="1:16" x14ac:dyDescent="0.25">
      <c r="A1000" t="s">
        <v>2727</v>
      </c>
      <c r="B1000">
        <v>865</v>
      </c>
      <c r="C1000" t="s">
        <v>487</v>
      </c>
      <c r="D1000" t="s">
        <v>261</v>
      </c>
      <c r="E1000" t="s">
        <v>512</v>
      </c>
      <c r="F1000" t="s">
        <v>1518</v>
      </c>
      <c r="G1000" s="25">
        <v>44269</v>
      </c>
      <c r="H1000">
        <v>15</v>
      </c>
      <c r="I1000">
        <v>73</v>
      </c>
      <c r="J1000" t="s">
        <v>506</v>
      </c>
      <c r="K1000" t="s">
        <v>414</v>
      </c>
      <c r="L1000" t="s">
        <v>21</v>
      </c>
      <c r="M1000" t="s">
        <v>411</v>
      </c>
      <c r="N1000" t="s">
        <v>50</v>
      </c>
      <c r="O1000">
        <v>0</v>
      </c>
      <c r="P1000" t="s">
        <v>237</v>
      </c>
    </row>
    <row r="1001" spans="1:16" x14ac:dyDescent="0.25">
      <c r="A1001" t="s">
        <v>819</v>
      </c>
      <c r="B1001">
        <v>152</v>
      </c>
      <c r="C1001" t="s">
        <v>487</v>
      </c>
      <c r="D1001" t="s">
        <v>229</v>
      </c>
      <c r="E1001" t="s">
        <v>512</v>
      </c>
      <c r="F1001" t="s">
        <v>513</v>
      </c>
      <c r="G1001" s="25">
        <v>44209</v>
      </c>
      <c r="H1001">
        <v>3</v>
      </c>
      <c r="I1001">
        <v>13</v>
      </c>
      <c r="J1001" t="s">
        <v>506</v>
      </c>
      <c r="K1001" t="s">
        <v>414</v>
      </c>
      <c r="L1001" t="s">
        <v>21</v>
      </c>
      <c r="M1001" t="s">
        <v>411</v>
      </c>
      <c r="N1001" t="s">
        <v>50</v>
      </c>
      <c r="O1001">
        <v>0</v>
      </c>
      <c r="P1001" t="s">
        <v>237</v>
      </c>
    </row>
    <row r="1002" spans="1:16" x14ac:dyDescent="0.25">
      <c r="A1002" t="s">
        <v>2861</v>
      </c>
      <c r="B1002">
        <v>928</v>
      </c>
      <c r="C1002" t="s">
        <v>487</v>
      </c>
      <c r="D1002" t="s">
        <v>261</v>
      </c>
      <c r="E1002" t="s">
        <v>552</v>
      </c>
      <c r="F1002" t="s">
        <v>1585</v>
      </c>
      <c r="G1002" s="25">
        <v>44274</v>
      </c>
      <c r="H1002">
        <v>16</v>
      </c>
      <c r="I1002">
        <v>78</v>
      </c>
      <c r="J1002" t="s">
        <v>506</v>
      </c>
      <c r="K1002" t="s">
        <v>414</v>
      </c>
      <c r="L1002" t="s">
        <v>21</v>
      </c>
      <c r="M1002" t="s">
        <v>411</v>
      </c>
      <c r="N1002" t="s">
        <v>50</v>
      </c>
      <c r="O1002">
        <v>0</v>
      </c>
      <c r="P1002" t="s">
        <v>237</v>
      </c>
    </row>
    <row r="1003" spans="1:16" x14ac:dyDescent="0.25">
      <c r="A1003" t="s">
        <v>651</v>
      </c>
      <c r="B1003">
        <v>173</v>
      </c>
      <c r="C1003" t="s">
        <v>487</v>
      </c>
      <c r="D1003" t="s">
        <v>229</v>
      </c>
      <c r="E1003" t="s">
        <v>575</v>
      </c>
      <c r="F1003" t="s">
        <v>576</v>
      </c>
      <c r="G1003" s="25">
        <v>44211</v>
      </c>
      <c r="H1003">
        <v>3</v>
      </c>
      <c r="I1003">
        <v>15</v>
      </c>
      <c r="J1003" t="s">
        <v>506</v>
      </c>
      <c r="K1003" t="s">
        <v>414</v>
      </c>
      <c r="L1003" t="s">
        <v>21</v>
      </c>
      <c r="M1003" t="s">
        <v>411</v>
      </c>
      <c r="N1003" t="s">
        <v>50</v>
      </c>
      <c r="O1003">
        <v>0</v>
      </c>
      <c r="P1003" t="s">
        <v>237</v>
      </c>
    </row>
    <row r="1004" spans="1:16" x14ac:dyDescent="0.25">
      <c r="A1004" t="s">
        <v>706</v>
      </c>
      <c r="B1004">
        <v>308</v>
      </c>
      <c r="C1004" t="s">
        <v>487</v>
      </c>
      <c r="D1004" t="s">
        <v>231</v>
      </c>
      <c r="E1004" t="s">
        <v>247</v>
      </c>
      <c r="F1004" t="s">
        <v>1088</v>
      </c>
      <c r="G1004" s="25">
        <v>44222</v>
      </c>
      <c r="H1004">
        <v>6</v>
      </c>
      <c r="I1004">
        <v>26</v>
      </c>
      <c r="J1004" t="s">
        <v>506</v>
      </c>
      <c r="K1004" t="s">
        <v>414</v>
      </c>
      <c r="L1004" t="s">
        <v>21</v>
      </c>
      <c r="M1004" t="s">
        <v>411</v>
      </c>
      <c r="N1004" t="s">
        <v>50</v>
      </c>
      <c r="O1004">
        <v>0</v>
      </c>
      <c r="P1004" t="s">
        <v>237</v>
      </c>
    </row>
    <row r="1005" spans="1:16" x14ac:dyDescent="0.25">
      <c r="A1005" t="s">
        <v>848</v>
      </c>
      <c r="B1005">
        <v>428</v>
      </c>
      <c r="C1005" t="s">
        <v>487</v>
      </c>
      <c r="D1005" t="s">
        <v>231</v>
      </c>
      <c r="E1005" t="s">
        <v>620</v>
      </c>
      <c r="F1005" t="s">
        <v>1215</v>
      </c>
      <c r="G1005" s="25">
        <v>44232</v>
      </c>
      <c r="H1005">
        <v>8</v>
      </c>
      <c r="I1005">
        <v>36</v>
      </c>
      <c r="J1005" t="s">
        <v>506</v>
      </c>
      <c r="K1005" t="s">
        <v>414</v>
      </c>
      <c r="L1005" t="s">
        <v>21</v>
      </c>
      <c r="M1005" t="s">
        <v>411</v>
      </c>
      <c r="N1005" t="s">
        <v>50</v>
      </c>
      <c r="O1005">
        <v>0</v>
      </c>
      <c r="P1005" t="s">
        <v>237</v>
      </c>
    </row>
    <row r="1006" spans="1:16" x14ac:dyDescent="0.25">
      <c r="A1006" t="s">
        <v>2852</v>
      </c>
      <c r="B1006">
        <v>1161</v>
      </c>
      <c r="C1006" t="s">
        <v>487</v>
      </c>
      <c r="D1006" t="s">
        <v>322</v>
      </c>
      <c r="E1006" t="s">
        <v>534</v>
      </c>
      <c r="F1006" t="s">
        <v>3031</v>
      </c>
      <c r="G1006" s="25">
        <v>44293</v>
      </c>
      <c r="H1006">
        <v>20</v>
      </c>
      <c r="I1006">
        <v>97</v>
      </c>
      <c r="J1006" t="s">
        <v>506</v>
      </c>
      <c r="K1006" t="s">
        <v>414</v>
      </c>
      <c r="L1006" t="s">
        <v>21</v>
      </c>
      <c r="M1006" t="s">
        <v>411</v>
      </c>
      <c r="N1006" t="s">
        <v>50</v>
      </c>
      <c r="O1006">
        <v>0</v>
      </c>
      <c r="P1006" t="s">
        <v>237</v>
      </c>
    </row>
    <row r="1007" spans="1:16" x14ac:dyDescent="0.25">
      <c r="A1007" t="s">
        <v>2067</v>
      </c>
      <c r="B1007">
        <v>822</v>
      </c>
      <c r="C1007" t="s">
        <v>487</v>
      </c>
      <c r="D1007" t="s">
        <v>261</v>
      </c>
      <c r="E1007" t="s">
        <v>371</v>
      </c>
      <c r="F1007" t="s">
        <v>1478</v>
      </c>
      <c r="G1007" s="25">
        <v>44265</v>
      </c>
      <c r="H1007">
        <v>14</v>
      </c>
      <c r="I1007">
        <v>69</v>
      </c>
      <c r="J1007" t="s">
        <v>506</v>
      </c>
      <c r="K1007" t="s">
        <v>414</v>
      </c>
      <c r="L1007" t="s">
        <v>21</v>
      </c>
      <c r="M1007" t="s">
        <v>411</v>
      </c>
      <c r="N1007" t="s">
        <v>50</v>
      </c>
      <c r="O1007">
        <v>0</v>
      </c>
      <c r="P1007" t="s">
        <v>237</v>
      </c>
    </row>
    <row r="1008" spans="1:16" x14ac:dyDescent="0.25">
      <c r="A1008" t="s">
        <v>2131</v>
      </c>
      <c r="B1008">
        <v>506</v>
      </c>
      <c r="C1008" t="s">
        <v>487</v>
      </c>
      <c r="D1008" t="s">
        <v>256</v>
      </c>
      <c r="E1008" t="s">
        <v>256</v>
      </c>
      <c r="F1008" t="s">
        <v>1263</v>
      </c>
      <c r="G1008" s="25">
        <v>44239</v>
      </c>
      <c r="H1008">
        <v>9</v>
      </c>
      <c r="I1008">
        <v>43</v>
      </c>
      <c r="J1008" t="s">
        <v>506</v>
      </c>
      <c r="K1008" t="s">
        <v>414</v>
      </c>
      <c r="L1008" t="s">
        <v>21</v>
      </c>
      <c r="M1008" t="s">
        <v>411</v>
      </c>
      <c r="N1008" t="s">
        <v>50</v>
      </c>
      <c r="O1008">
        <v>0</v>
      </c>
      <c r="P1008" t="s">
        <v>237</v>
      </c>
    </row>
    <row r="1009" spans="1:16" x14ac:dyDescent="0.25">
      <c r="A1009" t="s">
        <v>769</v>
      </c>
      <c r="B1009">
        <v>436</v>
      </c>
      <c r="C1009" t="s">
        <v>487</v>
      </c>
      <c r="D1009" t="s">
        <v>231</v>
      </c>
      <c r="E1009" t="s">
        <v>534</v>
      </c>
      <c r="F1009" t="s">
        <v>1731</v>
      </c>
      <c r="G1009" s="25">
        <v>44233</v>
      </c>
      <c r="H1009">
        <v>8</v>
      </c>
      <c r="I1009">
        <v>37</v>
      </c>
      <c r="J1009" t="s">
        <v>506</v>
      </c>
      <c r="K1009" t="s">
        <v>414</v>
      </c>
      <c r="L1009" t="s">
        <v>21</v>
      </c>
      <c r="M1009" t="s">
        <v>411</v>
      </c>
      <c r="N1009" t="s">
        <v>50</v>
      </c>
      <c r="O1009">
        <v>0</v>
      </c>
      <c r="P1009" t="s">
        <v>237</v>
      </c>
    </row>
    <row r="1010" spans="1:16" x14ac:dyDescent="0.25">
      <c r="A1010" t="s">
        <v>2847</v>
      </c>
      <c r="B1010">
        <v>962</v>
      </c>
      <c r="C1010" t="s">
        <v>487</v>
      </c>
      <c r="D1010" t="s">
        <v>322</v>
      </c>
      <c r="E1010" t="s">
        <v>229</v>
      </c>
      <c r="F1010" t="s">
        <v>1643</v>
      </c>
      <c r="G1010" s="25">
        <v>44277</v>
      </c>
      <c r="H1010">
        <v>17</v>
      </c>
      <c r="I1010">
        <v>81</v>
      </c>
      <c r="J1010" t="s">
        <v>506</v>
      </c>
      <c r="K1010" t="s">
        <v>414</v>
      </c>
      <c r="L1010" t="s">
        <v>21</v>
      </c>
      <c r="M1010" t="s">
        <v>411</v>
      </c>
      <c r="N1010" t="s">
        <v>50</v>
      </c>
      <c r="O1010">
        <v>0</v>
      </c>
      <c r="P1010" t="s">
        <v>237</v>
      </c>
    </row>
    <row r="1011" spans="1:16" x14ac:dyDescent="0.25">
      <c r="A1011" t="s">
        <v>2245</v>
      </c>
      <c r="B1011">
        <v>1112</v>
      </c>
      <c r="C1011" t="s">
        <v>487</v>
      </c>
      <c r="D1011" t="s">
        <v>322</v>
      </c>
      <c r="E1011" t="s">
        <v>512</v>
      </c>
      <c r="F1011" t="s">
        <v>2991</v>
      </c>
      <c r="G1011" s="25">
        <v>44289</v>
      </c>
      <c r="H1011">
        <v>19</v>
      </c>
      <c r="I1011">
        <v>93</v>
      </c>
      <c r="J1011" t="s">
        <v>506</v>
      </c>
      <c r="K1011" t="s">
        <v>414</v>
      </c>
      <c r="L1011" t="s">
        <v>21</v>
      </c>
      <c r="M1011" t="s">
        <v>411</v>
      </c>
      <c r="N1011" t="s">
        <v>50</v>
      </c>
      <c r="O1011">
        <v>0</v>
      </c>
      <c r="P1011" t="s">
        <v>237</v>
      </c>
    </row>
    <row r="1012" spans="1:16" x14ac:dyDescent="0.25">
      <c r="A1012" t="s">
        <v>2632</v>
      </c>
      <c r="B1012">
        <v>1205</v>
      </c>
      <c r="C1012" t="s">
        <v>487</v>
      </c>
      <c r="D1012" t="s">
        <v>247</v>
      </c>
      <c r="E1012" t="s">
        <v>229</v>
      </c>
      <c r="F1012" t="s">
        <v>3063</v>
      </c>
      <c r="G1012" s="25">
        <v>44297</v>
      </c>
      <c r="H1012">
        <v>21</v>
      </c>
      <c r="I1012">
        <v>101</v>
      </c>
      <c r="J1012" t="s">
        <v>506</v>
      </c>
      <c r="K1012" t="s">
        <v>414</v>
      </c>
      <c r="L1012" t="s">
        <v>21</v>
      </c>
      <c r="M1012" t="s">
        <v>411</v>
      </c>
      <c r="N1012" t="s">
        <v>50</v>
      </c>
      <c r="O1012">
        <v>0</v>
      </c>
      <c r="P1012" t="s">
        <v>237</v>
      </c>
    </row>
    <row r="1013" spans="1:16" x14ac:dyDescent="0.25">
      <c r="A1013" t="s">
        <v>556</v>
      </c>
      <c r="B1013">
        <v>185</v>
      </c>
      <c r="C1013" t="s">
        <v>487</v>
      </c>
      <c r="D1013" t="s">
        <v>229</v>
      </c>
      <c r="E1013" t="s">
        <v>620</v>
      </c>
      <c r="F1013" t="s">
        <v>621</v>
      </c>
      <c r="G1013" s="25">
        <v>44212</v>
      </c>
      <c r="H1013">
        <v>4</v>
      </c>
      <c r="I1013">
        <v>16</v>
      </c>
      <c r="J1013" t="s">
        <v>506</v>
      </c>
      <c r="K1013" t="s">
        <v>414</v>
      </c>
      <c r="L1013" t="s">
        <v>21</v>
      </c>
      <c r="M1013" t="s">
        <v>411</v>
      </c>
      <c r="N1013" t="s">
        <v>50</v>
      </c>
      <c r="O1013">
        <v>0</v>
      </c>
      <c r="P1013" t="s">
        <v>237</v>
      </c>
    </row>
    <row r="1014" spans="1:16" x14ac:dyDescent="0.25">
      <c r="A1014" t="s">
        <v>2100</v>
      </c>
      <c r="B1014">
        <v>1197</v>
      </c>
      <c r="C1014" t="s">
        <v>487</v>
      </c>
      <c r="D1014" t="s">
        <v>322</v>
      </c>
      <c r="E1014" t="s">
        <v>408</v>
      </c>
      <c r="F1014" t="s">
        <v>3059</v>
      </c>
      <c r="G1014" s="25">
        <v>44296</v>
      </c>
      <c r="H1014">
        <v>20</v>
      </c>
      <c r="I1014">
        <v>100</v>
      </c>
      <c r="J1014" t="s">
        <v>506</v>
      </c>
      <c r="K1014" t="s">
        <v>414</v>
      </c>
      <c r="L1014" t="s">
        <v>21</v>
      </c>
      <c r="M1014" t="s">
        <v>411</v>
      </c>
      <c r="N1014" t="s">
        <v>50</v>
      </c>
      <c r="O1014">
        <v>0</v>
      </c>
      <c r="P1014" t="s">
        <v>237</v>
      </c>
    </row>
    <row r="1015" spans="1:16" x14ac:dyDescent="0.25">
      <c r="A1015" t="s">
        <v>1817</v>
      </c>
      <c r="B1015">
        <v>1079</v>
      </c>
      <c r="C1015" t="s">
        <v>487</v>
      </c>
      <c r="D1015" t="s">
        <v>322</v>
      </c>
      <c r="E1015" t="s">
        <v>239</v>
      </c>
      <c r="F1015" t="s">
        <v>2979</v>
      </c>
      <c r="G1015" s="25">
        <v>44286</v>
      </c>
      <c r="H1015">
        <v>18</v>
      </c>
      <c r="I1015">
        <v>90</v>
      </c>
      <c r="J1015" t="s">
        <v>506</v>
      </c>
      <c r="K1015" t="s">
        <v>414</v>
      </c>
      <c r="L1015" t="s">
        <v>21</v>
      </c>
      <c r="M1015" t="s">
        <v>411</v>
      </c>
      <c r="N1015" t="s">
        <v>50</v>
      </c>
      <c r="O1015">
        <v>0</v>
      </c>
      <c r="P1015" t="s">
        <v>237</v>
      </c>
    </row>
    <row r="1016" spans="1:16" x14ac:dyDescent="0.25">
      <c r="A1016" t="s">
        <v>1772</v>
      </c>
      <c r="B1016">
        <v>838</v>
      </c>
      <c r="C1016" t="s">
        <v>487</v>
      </c>
      <c r="D1016" t="s">
        <v>261</v>
      </c>
      <c r="E1016" t="s">
        <v>239</v>
      </c>
      <c r="F1016" t="s">
        <v>1703</v>
      </c>
      <c r="G1016" s="25">
        <v>44266</v>
      </c>
      <c r="H1016">
        <v>14</v>
      </c>
      <c r="I1016">
        <v>70</v>
      </c>
      <c r="J1016" t="s">
        <v>506</v>
      </c>
      <c r="K1016" t="s">
        <v>414</v>
      </c>
      <c r="L1016" t="s">
        <v>21</v>
      </c>
      <c r="M1016" t="s">
        <v>411</v>
      </c>
      <c r="N1016" t="s">
        <v>50</v>
      </c>
      <c r="O1016">
        <v>0</v>
      </c>
      <c r="P1016" t="s">
        <v>237</v>
      </c>
    </row>
    <row r="1017" spans="1:16" x14ac:dyDescent="0.25">
      <c r="A1017" t="s">
        <v>2265</v>
      </c>
      <c r="B1017">
        <v>1086</v>
      </c>
      <c r="C1017" t="s">
        <v>487</v>
      </c>
      <c r="D1017" t="s">
        <v>322</v>
      </c>
      <c r="E1017" t="s">
        <v>515</v>
      </c>
      <c r="F1017" t="s">
        <v>2983</v>
      </c>
      <c r="G1017" s="25">
        <v>44287</v>
      </c>
      <c r="H1017">
        <v>19</v>
      </c>
      <c r="I1017">
        <v>91</v>
      </c>
      <c r="J1017" t="s">
        <v>506</v>
      </c>
      <c r="K1017" t="s">
        <v>414</v>
      </c>
      <c r="L1017" t="s">
        <v>21</v>
      </c>
      <c r="M1017" t="s">
        <v>411</v>
      </c>
      <c r="N1017" t="s">
        <v>50</v>
      </c>
      <c r="O1017">
        <v>0</v>
      </c>
      <c r="P1017" t="s">
        <v>237</v>
      </c>
    </row>
    <row r="1018" spans="1:16" x14ac:dyDescent="0.25">
      <c r="A1018" t="s">
        <v>2160</v>
      </c>
      <c r="B1018">
        <v>881</v>
      </c>
      <c r="C1018" t="s">
        <v>487</v>
      </c>
      <c r="D1018" t="s">
        <v>261</v>
      </c>
      <c r="E1018" t="s">
        <v>537</v>
      </c>
      <c r="F1018" t="s">
        <v>1530</v>
      </c>
      <c r="G1018" s="25">
        <v>44270</v>
      </c>
      <c r="H1018">
        <v>15</v>
      </c>
      <c r="I1018">
        <v>74</v>
      </c>
      <c r="J1018" t="s">
        <v>506</v>
      </c>
      <c r="K1018" t="s">
        <v>414</v>
      </c>
      <c r="L1018" t="s">
        <v>21</v>
      </c>
      <c r="M1018" t="s">
        <v>411</v>
      </c>
      <c r="N1018" t="s">
        <v>50</v>
      </c>
      <c r="O1018">
        <v>0</v>
      </c>
      <c r="P1018" t="s">
        <v>237</v>
      </c>
    </row>
    <row r="1019" spans="1:16" x14ac:dyDescent="0.25">
      <c r="A1019" t="s">
        <v>2506</v>
      </c>
      <c r="B1019">
        <v>841</v>
      </c>
      <c r="C1019" t="s">
        <v>487</v>
      </c>
      <c r="D1019" t="s">
        <v>261</v>
      </c>
      <c r="E1019" t="s">
        <v>515</v>
      </c>
      <c r="F1019" t="s">
        <v>1493</v>
      </c>
      <c r="G1019" s="25">
        <v>44267</v>
      </c>
      <c r="H1019">
        <v>15</v>
      </c>
      <c r="I1019">
        <v>71</v>
      </c>
      <c r="J1019" t="s">
        <v>506</v>
      </c>
      <c r="K1019" t="s">
        <v>414</v>
      </c>
      <c r="L1019" t="s">
        <v>21</v>
      </c>
      <c r="M1019" t="s">
        <v>411</v>
      </c>
      <c r="N1019" t="s">
        <v>50</v>
      </c>
      <c r="O1019">
        <v>0</v>
      </c>
      <c r="P1019" t="s">
        <v>237</v>
      </c>
    </row>
    <row r="1020" spans="1:16" x14ac:dyDescent="0.25">
      <c r="A1020" t="s">
        <v>2025</v>
      </c>
      <c r="B1020">
        <v>1148</v>
      </c>
      <c r="C1020" t="s">
        <v>487</v>
      </c>
      <c r="D1020" t="s">
        <v>322</v>
      </c>
      <c r="E1020" t="s">
        <v>620</v>
      </c>
      <c r="F1020" t="s">
        <v>3025</v>
      </c>
      <c r="G1020" s="25">
        <v>44292</v>
      </c>
      <c r="H1020">
        <v>20</v>
      </c>
      <c r="I1020">
        <v>96</v>
      </c>
      <c r="J1020" t="s">
        <v>506</v>
      </c>
      <c r="K1020" t="s">
        <v>414</v>
      </c>
      <c r="L1020" t="s">
        <v>21</v>
      </c>
      <c r="M1020" t="s">
        <v>411</v>
      </c>
      <c r="N1020" t="s">
        <v>50</v>
      </c>
      <c r="O1020">
        <v>0</v>
      </c>
      <c r="P1020" t="s">
        <v>237</v>
      </c>
    </row>
    <row r="1021" spans="1:16" x14ac:dyDescent="0.25">
      <c r="A1021" t="s">
        <v>1955</v>
      </c>
      <c r="B1021">
        <v>1012</v>
      </c>
      <c r="C1021" t="s">
        <v>487</v>
      </c>
      <c r="D1021" t="s">
        <v>322</v>
      </c>
      <c r="E1021" t="s">
        <v>322</v>
      </c>
      <c r="F1021" t="s">
        <v>2960</v>
      </c>
      <c r="G1021" s="25">
        <v>44281</v>
      </c>
      <c r="H1021">
        <v>17</v>
      </c>
      <c r="I1021">
        <v>85</v>
      </c>
      <c r="J1021" t="s">
        <v>506</v>
      </c>
      <c r="K1021" t="s">
        <v>414</v>
      </c>
      <c r="L1021" t="s">
        <v>21</v>
      </c>
      <c r="M1021" t="s">
        <v>411</v>
      </c>
      <c r="N1021" t="s">
        <v>50</v>
      </c>
      <c r="O1021">
        <v>0</v>
      </c>
      <c r="P1021" t="s">
        <v>237</v>
      </c>
    </row>
    <row r="1022" spans="1:16" x14ac:dyDescent="0.25">
      <c r="A1022" t="s">
        <v>2711</v>
      </c>
      <c r="B1022">
        <v>951</v>
      </c>
      <c r="C1022" t="s">
        <v>487</v>
      </c>
      <c r="D1022" t="s">
        <v>261</v>
      </c>
      <c r="E1022" t="s">
        <v>408</v>
      </c>
      <c r="F1022" t="s">
        <v>1595</v>
      </c>
      <c r="G1022" s="25">
        <v>44276</v>
      </c>
      <c r="H1022">
        <v>16</v>
      </c>
      <c r="I1022">
        <v>80</v>
      </c>
      <c r="J1022" t="s">
        <v>506</v>
      </c>
      <c r="K1022" t="s">
        <v>414</v>
      </c>
      <c r="L1022" t="s">
        <v>21</v>
      </c>
      <c r="M1022" t="s">
        <v>411</v>
      </c>
      <c r="N1022" t="s">
        <v>50</v>
      </c>
      <c r="O1022">
        <v>0</v>
      </c>
      <c r="P1022" t="s">
        <v>237</v>
      </c>
    </row>
    <row r="1023" spans="1:16" x14ac:dyDescent="0.25">
      <c r="A1023" t="s">
        <v>352</v>
      </c>
      <c r="B1023">
        <v>105</v>
      </c>
      <c r="C1023" t="s">
        <v>487</v>
      </c>
      <c r="D1023" t="s">
        <v>229</v>
      </c>
      <c r="E1023" t="s">
        <v>371</v>
      </c>
      <c r="F1023" t="s">
        <v>557</v>
      </c>
      <c r="G1023" s="25">
        <v>44205</v>
      </c>
      <c r="H1023">
        <v>2</v>
      </c>
      <c r="I1023">
        <v>9</v>
      </c>
      <c r="J1023" t="s">
        <v>506</v>
      </c>
      <c r="K1023" t="s">
        <v>414</v>
      </c>
      <c r="L1023" t="s">
        <v>21</v>
      </c>
      <c r="M1023" t="s">
        <v>411</v>
      </c>
      <c r="N1023" t="s">
        <v>50</v>
      </c>
      <c r="O1023">
        <v>0</v>
      </c>
      <c r="P1023" t="s">
        <v>237</v>
      </c>
    </row>
    <row r="1024" spans="1:16" x14ac:dyDescent="0.25">
      <c r="A1024" t="s">
        <v>607</v>
      </c>
      <c r="B1024">
        <v>291</v>
      </c>
      <c r="C1024" t="s">
        <v>487</v>
      </c>
      <c r="D1024" t="s">
        <v>231</v>
      </c>
      <c r="E1024" t="s">
        <v>322</v>
      </c>
      <c r="F1024" t="s">
        <v>1085</v>
      </c>
      <c r="G1024" s="25">
        <v>44221</v>
      </c>
      <c r="H1024">
        <v>5</v>
      </c>
      <c r="I1024">
        <v>25</v>
      </c>
      <c r="J1024" t="s">
        <v>506</v>
      </c>
      <c r="K1024" t="s">
        <v>414</v>
      </c>
      <c r="L1024" t="s">
        <v>21</v>
      </c>
      <c r="M1024" t="s">
        <v>411</v>
      </c>
      <c r="N1024" t="s">
        <v>50</v>
      </c>
      <c r="O1024">
        <v>0</v>
      </c>
      <c r="P1024" t="s">
        <v>237</v>
      </c>
    </row>
    <row r="1025" spans="1:16" x14ac:dyDescent="0.25">
      <c r="A1025" t="s">
        <v>650</v>
      </c>
      <c r="B1025">
        <v>217</v>
      </c>
      <c r="C1025" t="s">
        <v>487</v>
      </c>
      <c r="D1025" t="s">
        <v>229</v>
      </c>
      <c r="E1025" t="s">
        <v>531</v>
      </c>
      <c r="F1025" t="s">
        <v>532</v>
      </c>
      <c r="G1025" s="25">
        <v>44215</v>
      </c>
      <c r="H1025">
        <v>4</v>
      </c>
      <c r="I1025">
        <v>19</v>
      </c>
      <c r="J1025" t="s">
        <v>506</v>
      </c>
      <c r="K1025" t="s">
        <v>414</v>
      </c>
      <c r="L1025" t="s">
        <v>21</v>
      </c>
      <c r="M1025" t="s">
        <v>411</v>
      </c>
      <c r="N1025" t="s">
        <v>50</v>
      </c>
      <c r="O1025">
        <v>0</v>
      </c>
      <c r="P1025" t="s">
        <v>237</v>
      </c>
    </row>
    <row r="1026" spans="1:16" x14ac:dyDescent="0.25">
      <c r="A1026" t="s">
        <v>762</v>
      </c>
      <c r="B1026">
        <v>349</v>
      </c>
      <c r="C1026" t="s">
        <v>487</v>
      </c>
      <c r="D1026" t="s">
        <v>231</v>
      </c>
      <c r="E1026" t="s">
        <v>239</v>
      </c>
      <c r="F1026" t="s">
        <v>1139</v>
      </c>
      <c r="G1026" s="25">
        <v>44226</v>
      </c>
      <c r="H1026">
        <v>6</v>
      </c>
      <c r="I1026">
        <v>30</v>
      </c>
      <c r="J1026" t="s">
        <v>506</v>
      </c>
      <c r="K1026" t="s">
        <v>414</v>
      </c>
      <c r="L1026" t="s">
        <v>21</v>
      </c>
      <c r="M1026" t="s">
        <v>411</v>
      </c>
      <c r="N1026" t="s">
        <v>50</v>
      </c>
      <c r="O1026">
        <v>0</v>
      </c>
      <c r="P1026" t="s">
        <v>237</v>
      </c>
    </row>
    <row r="1027" spans="1:16" x14ac:dyDescent="0.25">
      <c r="A1027" t="s">
        <v>2185</v>
      </c>
      <c r="B1027">
        <v>723</v>
      </c>
      <c r="C1027" t="s">
        <v>487</v>
      </c>
      <c r="D1027" t="s">
        <v>261</v>
      </c>
      <c r="E1027" t="s">
        <v>229</v>
      </c>
      <c r="F1027" t="s">
        <v>1388</v>
      </c>
      <c r="G1027" s="25">
        <v>44257</v>
      </c>
      <c r="H1027">
        <v>13</v>
      </c>
      <c r="I1027">
        <v>61</v>
      </c>
      <c r="J1027" t="s">
        <v>506</v>
      </c>
      <c r="K1027" t="s">
        <v>414</v>
      </c>
      <c r="L1027" t="s">
        <v>21</v>
      </c>
      <c r="M1027" t="s">
        <v>411</v>
      </c>
      <c r="N1027" t="s">
        <v>50</v>
      </c>
      <c r="O1027">
        <v>0</v>
      </c>
      <c r="P1027" t="s">
        <v>237</v>
      </c>
    </row>
    <row r="1028" spans="1:16" x14ac:dyDescent="0.25">
      <c r="A1028" t="s">
        <v>2855</v>
      </c>
      <c r="B1028">
        <v>558</v>
      </c>
      <c r="C1028" t="s">
        <v>487</v>
      </c>
      <c r="D1028" t="s">
        <v>256</v>
      </c>
      <c r="E1028" t="s">
        <v>326</v>
      </c>
      <c r="F1028" t="s">
        <v>1305</v>
      </c>
      <c r="G1028" s="25">
        <v>44243</v>
      </c>
      <c r="H1028">
        <v>10</v>
      </c>
      <c r="I1028">
        <v>47</v>
      </c>
      <c r="J1028" t="s">
        <v>506</v>
      </c>
      <c r="K1028" t="s">
        <v>414</v>
      </c>
      <c r="L1028" t="s">
        <v>21</v>
      </c>
      <c r="M1028" t="s">
        <v>411</v>
      </c>
      <c r="N1028" t="s">
        <v>50</v>
      </c>
      <c r="O1028">
        <v>0</v>
      </c>
      <c r="P1028" t="s">
        <v>237</v>
      </c>
    </row>
    <row r="1029" spans="1:16" x14ac:dyDescent="0.25">
      <c r="A1029" t="s">
        <v>2671</v>
      </c>
      <c r="B1029">
        <v>1297</v>
      </c>
      <c r="C1029" t="s">
        <v>487</v>
      </c>
      <c r="D1029" t="s">
        <v>247</v>
      </c>
      <c r="E1029" t="s">
        <v>371</v>
      </c>
      <c r="F1029" t="s">
        <v>3112</v>
      </c>
      <c r="G1029" s="25">
        <v>44305</v>
      </c>
      <c r="H1029">
        <v>22</v>
      </c>
      <c r="I1029">
        <v>109</v>
      </c>
      <c r="J1029" t="s">
        <v>506</v>
      </c>
      <c r="K1029" t="s">
        <v>414</v>
      </c>
      <c r="L1029" t="s">
        <v>21</v>
      </c>
      <c r="M1029" t="s">
        <v>411</v>
      </c>
      <c r="N1029" t="s">
        <v>50</v>
      </c>
      <c r="O1029">
        <v>0</v>
      </c>
      <c r="P1029" t="s">
        <v>237</v>
      </c>
    </row>
    <row r="1030" spans="1:16" x14ac:dyDescent="0.25">
      <c r="A1030" t="s">
        <v>2254</v>
      </c>
      <c r="B1030">
        <v>631</v>
      </c>
      <c r="C1030" t="s">
        <v>487</v>
      </c>
      <c r="D1030" t="s">
        <v>256</v>
      </c>
      <c r="E1030" t="s">
        <v>512</v>
      </c>
      <c r="F1030" t="s">
        <v>1342</v>
      </c>
      <c r="G1030" s="25">
        <v>44249</v>
      </c>
      <c r="H1030">
        <v>11</v>
      </c>
      <c r="I1030">
        <v>53</v>
      </c>
      <c r="J1030" t="s">
        <v>506</v>
      </c>
      <c r="K1030" t="s">
        <v>414</v>
      </c>
      <c r="L1030" t="s">
        <v>21</v>
      </c>
      <c r="M1030" t="s">
        <v>411</v>
      </c>
      <c r="N1030" t="s">
        <v>50</v>
      </c>
      <c r="O1030">
        <v>0</v>
      </c>
      <c r="P1030" t="s">
        <v>237</v>
      </c>
    </row>
    <row r="1031" spans="1:16" x14ac:dyDescent="0.25">
      <c r="A1031" t="s">
        <v>2023</v>
      </c>
      <c r="B1031">
        <v>1389</v>
      </c>
      <c r="C1031" t="s">
        <v>487</v>
      </c>
      <c r="D1031" t="s">
        <v>247</v>
      </c>
      <c r="E1031" t="s">
        <v>620</v>
      </c>
      <c r="F1031" t="s">
        <v>3162</v>
      </c>
      <c r="G1031" s="25">
        <v>44312</v>
      </c>
      <c r="H1031">
        <v>24</v>
      </c>
      <c r="I1031">
        <v>116</v>
      </c>
      <c r="J1031" t="s">
        <v>506</v>
      </c>
      <c r="K1031" t="s">
        <v>414</v>
      </c>
      <c r="L1031" t="s">
        <v>21</v>
      </c>
      <c r="M1031" t="s">
        <v>411</v>
      </c>
      <c r="N1031" t="s">
        <v>50</v>
      </c>
      <c r="O1031">
        <v>0</v>
      </c>
      <c r="P1031" t="s">
        <v>237</v>
      </c>
    </row>
    <row r="1032" spans="1:16" x14ac:dyDescent="0.25">
      <c r="A1032" t="s">
        <v>1864</v>
      </c>
      <c r="B1032">
        <v>530</v>
      </c>
      <c r="C1032" t="s">
        <v>487</v>
      </c>
      <c r="D1032" t="s">
        <v>256</v>
      </c>
      <c r="E1032" t="s">
        <v>322</v>
      </c>
      <c r="F1032" t="s">
        <v>1288</v>
      </c>
      <c r="G1032" s="25">
        <v>44241</v>
      </c>
      <c r="H1032">
        <v>9</v>
      </c>
      <c r="I1032">
        <v>45</v>
      </c>
      <c r="J1032" t="s">
        <v>506</v>
      </c>
      <c r="K1032" t="s">
        <v>414</v>
      </c>
      <c r="L1032" t="s">
        <v>21</v>
      </c>
      <c r="M1032" t="s">
        <v>411</v>
      </c>
      <c r="N1032" t="s">
        <v>50</v>
      </c>
      <c r="O1032">
        <v>0</v>
      </c>
      <c r="P1032" t="s">
        <v>237</v>
      </c>
    </row>
    <row r="1033" spans="1:16" x14ac:dyDescent="0.25">
      <c r="A1033" t="s">
        <v>320</v>
      </c>
      <c r="B1033">
        <v>14</v>
      </c>
      <c r="C1033" t="s">
        <v>487</v>
      </c>
      <c r="D1033" t="s">
        <v>229</v>
      </c>
      <c r="E1033" t="s">
        <v>231</v>
      </c>
      <c r="F1033" t="s">
        <v>568</v>
      </c>
      <c r="G1033" s="25">
        <v>44198</v>
      </c>
      <c r="H1033">
        <v>1</v>
      </c>
      <c r="I1033">
        <v>2</v>
      </c>
      <c r="J1033" t="s">
        <v>506</v>
      </c>
      <c r="K1033" t="s">
        <v>414</v>
      </c>
      <c r="L1033" t="s">
        <v>21</v>
      </c>
      <c r="M1033" t="s">
        <v>411</v>
      </c>
      <c r="N1033" t="s">
        <v>50</v>
      </c>
      <c r="O1033">
        <v>0</v>
      </c>
      <c r="P1033" t="s">
        <v>237</v>
      </c>
    </row>
    <row r="1034" spans="1:16" x14ac:dyDescent="0.25">
      <c r="A1034" t="s">
        <v>854</v>
      </c>
      <c r="B1034">
        <v>373</v>
      </c>
      <c r="C1034" t="s">
        <v>487</v>
      </c>
      <c r="D1034" t="s">
        <v>231</v>
      </c>
      <c r="E1034" t="s">
        <v>232</v>
      </c>
      <c r="F1034" t="s">
        <v>1162</v>
      </c>
      <c r="G1034" s="25">
        <v>44228</v>
      </c>
      <c r="H1034">
        <v>7</v>
      </c>
      <c r="I1034">
        <v>32</v>
      </c>
      <c r="J1034" t="s">
        <v>506</v>
      </c>
      <c r="K1034" t="s">
        <v>414</v>
      </c>
      <c r="L1034" t="s">
        <v>21</v>
      </c>
      <c r="M1034" t="s">
        <v>411</v>
      </c>
      <c r="N1034" t="s">
        <v>50</v>
      </c>
      <c r="O1034">
        <v>0</v>
      </c>
      <c r="P1034" t="s">
        <v>237</v>
      </c>
    </row>
    <row r="1035" spans="1:16" x14ac:dyDescent="0.25">
      <c r="A1035" t="s">
        <v>683</v>
      </c>
      <c r="B1035">
        <v>244</v>
      </c>
      <c r="C1035" t="s">
        <v>487</v>
      </c>
      <c r="D1035" t="s">
        <v>231</v>
      </c>
      <c r="E1035" t="s">
        <v>229</v>
      </c>
      <c r="F1035" t="s">
        <v>541</v>
      </c>
      <c r="G1035" s="25">
        <v>44217</v>
      </c>
      <c r="H1035">
        <v>5</v>
      </c>
      <c r="I1035">
        <v>21</v>
      </c>
      <c r="J1035" t="s">
        <v>506</v>
      </c>
      <c r="K1035" t="s">
        <v>414</v>
      </c>
      <c r="L1035" t="s">
        <v>21</v>
      </c>
      <c r="M1035" t="s">
        <v>411</v>
      </c>
      <c r="N1035" t="s">
        <v>50</v>
      </c>
      <c r="O1035">
        <v>0</v>
      </c>
      <c r="P1035" t="s">
        <v>237</v>
      </c>
    </row>
    <row r="1036" spans="1:16" x14ac:dyDescent="0.25">
      <c r="A1036" t="s">
        <v>2914</v>
      </c>
      <c r="B1036">
        <v>1394</v>
      </c>
      <c r="C1036" t="s">
        <v>487</v>
      </c>
      <c r="D1036" t="s">
        <v>247</v>
      </c>
      <c r="E1036" t="s">
        <v>534</v>
      </c>
      <c r="F1036" t="s">
        <v>3166</v>
      </c>
      <c r="G1036" s="25">
        <v>44313</v>
      </c>
      <c r="H1036">
        <v>24</v>
      </c>
      <c r="I1036">
        <v>117</v>
      </c>
      <c r="J1036" t="s">
        <v>506</v>
      </c>
      <c r="K1036" t="s">
        <v>414</v>
      </c>
      <c r="L1036" t="s">
        <v>21</v>
      </c>
      <c r="M1036" t="s">
        <v>411</v>
      </c>
      <c r="N1036" t="s">
        <v>50</v>
      </c>
      <c r="O1036">
        <v>0</v>
      </c>
      <c r="P1036" t="s">
        <v>237</v>
      </c>
    </row>
    <row r="1037" spans="1:16" x14ac:dyDescent="0.25">
      <c r="A1037" t="s">
        <v>2065</v>
      </c>
      <c r="B1037">
        <v>616</v>
      </c>
      <c r="C1037" t="s">
        <v>487</v>
      </c>
      <c r="D1037" t="s">
        <v>256</v>
      </c>
      <c r="E1037" t="s">
        <v>232</v>
      </c>
      <c r="F1037" t="s">
        <v>1337</v>
      </c>
      <c r="G1037" s="25">
        <v>44248</v>
      </c>
      <c r="H1037">
        <v>11</v>
      </c>
      <c r="I1037">
        <v>52</v>
      </c>
      <c r="J1037" t="s">
        <v>506</v>
      </c>
      <c r="K1037" t="s">
        <v>414</v>
      </c>
      <c r="L1037" t="s">
        <v>21</v>
      </c>
      <c r="M1037" t="s">
        <v>411</v>
      </c>
      <c r="N1037" t="s">
        <v>50</v>
      </c>
      <c r="O1037">
        <v>0</v>
      </c>
      <c r="P1037" t="s">
        <v>237</v>
      </c>
    </row>
    <row r="1038" spans="1:16" x14ac:dyDescent="0.25">
      <c r="A1038" t="s">
        <v>1822</v>
      </c>
      <c r="B1038">
        <v>1285</v>
      </c>
      <c r="C1038" t="s">
        <v>487</v>
      </c>
      <c r="D1038" t="s">
        <v>247</v>
      </c>
      <c r="E1038" t="s">
        <v>381</v>
      </c>
      <c r="F1038" t="s">
        <v>3107</v>
      </c>
      <c r="G1038" s="25">
        <v>44304</v>
      </c>
      <c r="H1038">
        <v>22</v>
      </c>
      <c r="I1038">
        <v>108</v>
      </c>
      <c r="J1038" t="s">
        <v>506</v>
      </c>
      <c r="K1038" t="s">
        <v>414</v>
      </c>
      <c r="L1038" t="s">
        <v>21</v>
      </c>
      <c r="M1038" t="s">
        <v>411</v>
      </c>
      <c r="N1038" t="s">
        <v>50</v>
      </c>
      <c r="O1038">
        <v>0</v>
      </c>
      <c r="P1038" t="s">
        <v>237</v>
      </c>
    </row>
    <row r="1039" spans="1:16" x14ac:dyDescent="0.25">
      <c r="A1039" t="s">
        <v>2213</v>
      </c>
      <c r="B1039">
        <v>740</v>
      </c>
      <c r="C1039" t="s">
        <v>487</v>
      </c>
      <c r="D1039" t="s">
        <v>261</v>
      </c>
      <c r="E1039" t="s">
        <v>231</v>
      </c>
      <c r="F1039" t="s">
        <v>1400</v>
      </c>
      <c r="G1039" s="25">
        <v>44258</v>
      </c>
      <c r="H1039">
        <v>13</v>
      </c>
      <c r="I1039">
        <v>62</v>
      </c>
      <c r="J1039" t="s">
        <v>506</v>
      </c>
      <c r="K1039" t="s">
        <v>414</v>
      </c>
      <c r="L1039" t="s">
        <v>21</v>
      </c>
      <c r="M1039" t="s">
        <v>411</v>
      </c>
      <c r="N1039" t="s">
        <v>50</v>
      </c>
      <c r="O1039">
        <v>0</v>
      </c>
      <c r="P1039" t="s">
        <v>237</v>
      </c>
    </row>
    <row r="1040" spans="1:16" x14ac:dyDescent="0.25">
      <c r="A1040" t="s">
        <v>666</v>
      </c>
      <c r="B1040">
        <v>343</v>
      </c>
      <c r="C1040" t="s">
        <v>487</v>
      </c>
      <c r="D1040" t="s">
        <v>231</v>
      </c>
      <c r="E1040" t="s">
        <v>371</v>
      </c>
      <c r="F1040" t="s">
        <v>1124</v>
      </c>
      <c r="G1040" s="25">
        <v>44225</v>
      </c>
      <c r="H1040">
        <v>6</v>
      </c>
      <c r="I1040">
        <v>29</v>
      </c>
      <c r="J1040" t="s">
        <v>506</v>
      </c>
      <c r="K1040" t="s">
        <v>414</v>
      </c>
      <c r="L1040" t="s">
        <v>21</v>
      </c>
      <c r="M1040" t="s">
        <v>411</v>
      </c>
      <c r="N1040" t="s">
        <v>50</v>
      </c>
      <c r="O1040">
        <v>0</v>
      </c>
      <c r="P1040" t="s">
        <v>237</v>
      </c>
    </row>
    <row r="1041" spans="1:16" x14ac:dyDescent="0.25">
      <c r="A1041" t="s">
        <v>1897</v>
      </c>
      <c r="B1041">
        <v>607</v>
      </c>
      <c r="C1041" t="s">
        <v>487</v>
      </c>
      <c r="D1041" t="s">
        <v>256</v>
      </c>
      <c r="E1041" t="s">
        <v>515</v>
      </c>
      <c r="F1041" t="s">
        <v>1329</v>
      </c>
      <c r="G1041" s="25">
        <v>44247</v>
      </c>
      <c r="H1041">
        <v>11</v>
      </c>
      <c r="I1041">
        <v>51</v>
      </c>
      <c r="J1041" t="s">
        <v>506</v>
      </c>
      <c r="K1041" t="s">
        <v>414</v>
      </c>
      <c r="L1041" t="s">
        <v>21</v>
      </c>
      <c r="M1041" t="s">
        <v>411</v>
      </c>
      <c r="N1041" t="s">
        <v>50</v>
      </c>
      <c r="O1041">
        <v>0</v>
      </c>
      <c r="P1041" t="s">
        <v>237</v>
      </c>
    </row>
    <row r="1042" spans="1:16" x14ac:dyDescent="0.25">
      <c r="A1042" t="s">
        <v>2085</v>
      </c>
      <c r="B1042">
        <v>1412</v>
      </c>
      <c r="C1042" t="s">
        <v>487</v>
      </c>
      <c r="D1042" t="s">
        <v>247</v>
      </c>
      <c r="E1042" t="s">
        <v>552</v>
      </c>
      <c r="F1042" t="s">
        <v>3170</v>
      </c>
      <c r="G1042" s="25">
        <v>44314</v>
      </c>
      <c r="H1042">
        <v>24</v>
      </c>
      <c r="I1042">
        <v>118</v>
      </c>
      <c r="J1042" t="s">
        <v>506</v>
      </c>
      <c r="K1042" t="s">
        <v>414</v>
      </c>
      <c r="L1042" t="s">
        <v>21</v>
      </c>
      <c r="M1042" t="s">
        <v>411</v>
      </c>
      <c r="N1042" t="s">
        <v>50</v>
      </c>
      <c r="O1042">
        <v>0</v>
      </c>
      <c r="P1042" t="s">
        <v>237</v>
      </c>
    </row>
    <row r="1043" spans="1:16" x14ac:dyDescent="0.25">
      <c r="A1043" t="s">
        <v>680</v>
      </c>
      <c r="B1043">
        <v>361</v>
      </c>
      <c r="C1043" t="s">
        <v>487</v>
      </c>
      <c r="D1043" t="s">
        <v>231</v>
      </c>
      <c r="E1043" t="s">
        <v>515</v>
      </c>
      <c r="F1043" t="s">
        <v>1150</v>
      </c>
      <c r="G1043" s="25">
        <v>44227</v>
      </c>
      <c r="H1043">
        <v>7</v>
      </c>
      <c r="I1043">
        <v>31</v>
      </c>
      <c r="J1043" t="s">
        <v>506</v>
      </c>
      <c r="K1043" t="s">
        <v>414</v>
      </c>
      <c r="L1043" t="s">
        <v>21</v>
      </c>
      <c r="M1043" t="s">
        <v>411</v>
      </c>
      <c r="N1043" t="s">
        <v>50</v>
      </c>
      <c r="O1043">
        <v>0</v>
      </c>
      <c r="P1043" t="s">
        <v>237</v>
      </c>
    </row>
    <row r="1044" spans="1:16" x14ac:dyDescent="0.25">
      <c r="A1044" t="s">
        <v>260</v>
      </c>
      <c r="B1044">
        <v>34</v>
      </c>
      <c r="C1044" t="s">
        <v>487</v>
      </c>
      <c r="D1044" t="s">
        <v>229</v>
      </c>
      <c r="E1044" t="s">
        <v>256</v>
      </c>
      <c r="F1044" t="s">
        <v>525</v>
      </c>
      <c r="G1044" s="25">
        <v>44199</v>
      </c>
      <c r="H1044">
        <v>1</v>
      </c>
      <c r="I1044">
        <v>3</v>
      </c>
      <c r="J1044" t="s">
        <v>506</v>
      </c>
      <c r="K1044" t="s">
        <v>414</v>
      </c>
      <c r="L1044" t="s">
        <v>21</v>
      </c>
      <c r="M1044" t="s">
        <v>411</v>
      </c>
      <c r="N1044" t="s">
        <v>50</v>
      </c>
      <c r="O1044">
        <v>0</v>
      </c>
      <c r="P1044" t="s">
        <v>237</v>
      </c>
    </row>
    <row r="1045" spans="1:16" x14ac:dyDescent="0.25">
      <c r="A1045" t="s">
        <v>2818</v>
      </c>
      <c r="B1045">
        <v>678</v>
      </c>
      <c r="C1045" t="s">
        <v>487</v>
      </c>
      <c r="D1045" t="s">
        <v>256</v>
      </c>
      <c r="E1045" t="s">
        <v>534</v>
      </c>
      <c r="F1045" t="s">
        <v>1357</v>
      </c>
      <c r="G1045" s="25">
        <v>44253</v>
      </c>
      <c r="H1045">
        <v>12</v>
      </c>
      <c r="I1045">
        <v>57</v>
      </c>
      <c r="J1045" t="s">
        <v>506</v>
      </c>
      <c r="K1045" t="s">
        <v>414</v>
      </c>
      <c r="L1045" t="s">
        <v>21</v>
      </c>
      <c r="M1045" t="s">
        <v>411</v>
      </c>
      <c r="N1045" t="s">
        <v>50</v>
      </c>
      <c r="O1045">
        <v>0</v>
      </c>
      <c r="P1045" t="s">
        <v>237</v>
      </c>
    </row>
    <row r="1046" spans="1:16" x14ac:dyDescent="0.25">
      <c r="A1046" t="s">
        <v>1887</v>
      </c>
      <c r="B1046">
        <v>1342</v>
      </c>
      <c r="C1046" t="s">
        <v>487</v>
      </c>
      <c r="D1046" t="s">
        <v>247</v>
      </c>
      <c r="E1046" t="s">
        <v>232</v>
      </c>
      <c r="F1046" t="s">
        <v>3140</v>
      </c>
      <c r="G1046" s="25">
        <v>44308</v>
      </c>
      <c r="H1046">
        <v>23</v>
      </c>
      <c r="I1046">
        <v>112</v>
      </c>
      <c r="J1046" t="s">
        <v>506</v>
      </c>
      <c r="K1046" t="s">
        <v>414</v>
      </c>
      <c r="L1046" t="s">
        <v>21</v>
      </c>
      <c r="M1046" t="s">
        <v>411</v>
      </c>
      <c r="N1046" t="s">
        <v>50</v>
      </c>
      <c r="O1046">
        <v>0</v>
      </c>
      <c r="P1046" t="s">
        <v>237</v>
      </c>
    </row>
    <row r="1047" spans="1:16" x14ac:dyDescent="0.25">
      <c r="A1047" t="s">
        <v>2329</v>
      </c>
      <c r="B1047">
        <v>1345</v>
      </c>
      <c r="C1047" t="s">
        <v>487</v>
      </c>
      <c r="D1047" t="s">
        <v>247</v>
      </c>
      <c r="E1047" t="s">
        <v>512</v>
      </c>
      <c r="F1047" t="s">
        <v>3146</v>
      </c>
      <c r="G1047" s="25">
        <v>44309</v>
      </c>
      <c r="H1047">
        <v>23</v>
      </c>
      <c r="I1047">
        <v>113</v>
      </c>
      <c r="J1047" t="s">
        <v>506</v>
      </c>
      <c r="K1047" t="s">
        <v>414</v>
      </c>
      <c r="L1047" t="s">
        <v>21</v>
      </c>
      <c r="M1047" t="s">
        <v>411</v>
      </c>
      <c r="N1047" t="s">
        <v>50</v>
      </c>
      <c r="O1047">
        <v>0</v>
      </c>
      <c r="P1047" t="s">
        <v>237</v>
      </c>
    </row>
    <row r="1048" spans="1:16" x14ac:dyDescent="0.25">
      <c r="A1048" t="s">
        <v>1859</v>
      </c>
      <c r="B1048">
        <v>1326</v>
      </c>
      <c r="C1048" t="s">
        <v>487</v>
      </c>
      <c r="D1048" t="s">
        <v>247</v>
      </c>
      <c r="E1048" t="s">
        <v>515</v>
      </c>
      <c r="F1048" t="s">
        <v>3134</v>
      </c>
      <c r="G1048" s="25">
        <v>44307</v>
      </c>
      <c r="H1048">
        <v>23</v>
      </c>
      <c r="I1048">
        <v>111</v>
      </c>
      <c r="J1048" t="s">
        <v>506</v>
      </c>
      <c r="K1048" t="s">
        <v>414</v>
      </c>
      <c r="L1048" t="s">
        <v>21</v>
      </c>
      <c r="M1048" t="s">
        <v>411</v>
      </c>
      <c r="N1048" t="s">
        <v>50</v>
      </c>
      <c r="O1048">
        <v>0</v>
      </c>
      <c r="P1048" t="s">
        <v>237</v>
      </c>
    </row>
    <row r="1049" spans="1:16" x14ac:dyDescent="0.25">
      <c r="A1049" t="s">
        <v>1659</v>
      </c>
      <c r="B1049">
        <v>693</v>
      </c>
      <c r="C1049" t="s">
        <v>487</v>
      </c>
      <c r="D1049" t="s">
        <v>256</v>
      </c>
      <c r="E1049" t="s">
        <v>552</v>
      </c>
      <c r="F1049" t="s">
        <v>1365</v>
      </c>
      <c r="G1049" s="25">
        <v>44254</v>
      </c>
      <c r="H1049">
        <v>12</v>
      </c>
      <c r="I1049">
        <v>58</v>
      </c>
      <c r="J1049" t="s">
        <v>506</v>
      </c>
      <c r="K1049" t="s">
        <v>414</v>
      </c>
      <c r="L1049" t="s">
        <v>21</v>
      </c>
      <c r="M1049" t="s">
        <v>411</v>
      </c>
      <c r="N1049" t="s">
        <v>50</v>
      </c>
      <c r="O1049">
        <v>0</v>
      </c>
      <c r="P1049" t="s">
        <v>237</v>
      </c>
    </row>
    <row r="1050" spans="1:16" x14ac:dyDescent="0.25">
      <c r="A1050" t="s">
        <v>2888</v>
      </c>
      <c r="B1050">
        <v>667</v>
      </c>
      <c r="C1050" t="s">
        <v>487</v>
      </c>
      <c r="D1050" t="s">
        <v>256</v>
      </c>
      <c r="E1050" t="s">
        <v>620</v>
      </c>
      <c r="F1050" t="s">
        <v>1350</v>
      </c>
      <c r="G1050" s="25">
        <v>44252</v>
      </c>
      <c r="H1050">
        <v>12</v>
      </c>
      <c r="I1050">
        <v>56</v>
      </c>
      <c r="J1050" t="s">
        <v>506</v>
      </c>
      <c r="K1050" t="s">
        <v>414</v>
      </c>
      <c r="L1050" t="s">
        <v>21</v>
      </c>
      <c r="M1050" t="s">
        <v>411</v>
      </c>
      <c r="N1050" t="s">
        <v>50</v>
      </c>
      <c r="O1050">
        <v>0</v>
      </c>
      <c r="P1050" t="s">
        <v>237</v>
      </c>
    </row>
    <row r="1051" spans="1:16" x14ac:dyDescent="0.25">
      <c r="A1051" t="s">
        <v>2796</v>
      </c>
      <c r="B1051">
        <v>547</v>
      </c>
      <c r="C1051" t="s">
        <v>487</v>
      </c>
      <c r="D1051" t="s">
        <v>256</v>
      </c>
      <c r="E1051" t="s">
        <v>247</v>
      </c>
      <c r="F1051" t="s">
        <v>1299</v>
      </c>
      <c r="G1051" s="25">
        <v>44242</v>
      </c>
      <c r="H1051">
        <v>10</v>
      </c>
      <c r="I1051">
        <v>46</v>
      </c>
      <c r="J1051" t="s">
        <v>506</v>
      </c>
      <c r="K1051" t="s">
        <v>414</v>
      </c>
      <c r="L1051" t="s">
        <v>21</v>
      </c>
      <c r="M1051" t="s">
        <v>411</v>
      </c>
      <c r="N1051" t="s">
        <v>50</v>
      </c>
      <c r="O1051">
        <v>0</v>
      </c>
      <c r="P1051" t="s">
        <v>237</v>
      </c>
    </row>
    <row r="1052" spans="1:16" x14ac:dyDescent="0.25">
      <c r="A1052" t="s">
        <v>774</v>
      </c>
      <c r="B1052">
        <v>233</v>
      </c>
      <c r="C1052" t="s">
        <v>487</v>
      </c>
      <c r="D1052" t="s">
        <v>229</v>
      </c>
      <c r="E1052" t="s">
        <v>408</v>
      </c>
      <c r="F1052" t="s">
        <v>527</v>
      </c>
      <c r="G1052" s="25">
        <v>44216</v>
      </c>
      <c r="H1052">
        <v>4</v>
      </c>
      <c r="I1052">
        <v>20</v>
      </c>
      <c r="J1052" t="s">
        <v>506</v>
      </c>
      <c r="K1052" t="s">
        <v>414</v>
      </c>
      <c r="L1052" t="s">
        <v>21</v>
      </c>
      <c r="M1052" t="s">
        <v>411</v>
      </c>
      <c r="N1052" t="s">
        <v>50</v>
      </c>
      <c r="O1052">
        <v>0</v>
      </c>
      <c r="P1052" t="s">
        <v>237</v>
      </c>
    </row>
    <row r="1053" spans="1:16" x14ac:dyDescent="0.25">
      <c r="A1053" t="s">
        <v>2746</v>
      </c>
      <c r="B1053">
        <v>654</v>
      </c>
      <c r="C1053" t="s">
        <v>487</v>
      </c>
      <c r="D1053" t="s">
        <v>256</v>
      </c>
      <c r="E1053" t="s">
        <v>575</v>
      </c>
      <c r="F1053" t="s">
        <v>1668</v>
      </c>
      <c r="G1053" s="25">
        <v>44251</v>
      </c>
      <c r="H1053">
        <v>11</v>
      </c>
      <c r="I1053">
        <v>55</v>
      </c>
      <c r="J1053" t="s">
        <v>506</v>
      </c>
      <c r="K1053" t="s">
        <v>414</v>
      </c>
      <c r="L1053" t="s">
        <v>21</v>
      </c>
      <c r="M1053" t="s">
        <v>411</v>
      </c>
      <c r="N1053" t="s">
        <v>50</v>
      </c>
      <c r="O1053">
        <v>0</v>
      </c>
      <c r="P1053" t="s">
        <v>237</v>
      </c>
    </row>
    <row r="1054" spans="1:16" x14ac:dyDescent="0.25">
      <c r="A1054" t="s">
        <v>2858</v>
      </c>
      <c r="B1054">
        <v>1316</v>
      </c>
      <c r="C1054" t="s">
        <v>487</v>
      </c>
      <c r="D1054" t="s">
        <v>247</v>
      </c>
      <c r="E1054" t="s">
        <v>239</v>
      </c>
      <c r="F1054" t="s">
        <v>3118</v>
      </c>
      <c r="G1054" s="25">
        <v>44306</v>
      </c>
      <c r="H1054">
        <v>22</v>
      </c>
      <c r="I1054">
        <v>110</v>
      </c>
      <c r="J1054" t="s">
        <v>506</v>
      </c>
      <c r="K1054" t="s">
        <v>414</v>
      </c>
      <c r="L1054" t="s">
        <v>21</v>
      </c>
      <c r="M1054" t="s">
        <v>411</v>
      </c>
      <c r="N1054" t="s">
        <v>50</v>
      </c>
      <c r="O1054">
        <v>0</v>
      </c>
      <c r="P1054" t="s">
        <v>237</v>
      </c>
    </row>
    <row r="1055" spans="1:16" x14ac:dyDescent="0.25">
      <c r="A1055" t="s">
        <v>246</v>
      </c>
      <c r="B1055">
        <v>39</v>
      </c>
      <c r="C1055" t="s">
        <v>487</v>
      </c>
      <c r="D1055" t="s">
        <v>229</v>
      </c>
      <c r="E1055" t="s">
        <v>261</v>
      </c>
      <c r="F1055" t="s">
        <v>549</v>
      </c>
      <c r="G1055" s="25">
        <v>44200</v>
      </c>
      <c r="H1055">
        <v>1</v>
      </c>
      <c r="I1055">
        <v>4</v>
      </c>
      <c r="J1055" t="s">
        <v>506</v>
      </c>
      <c r="K1055" t="s">
        <v>414</v>
      </c>
      <c r="L1055" t="s">
        <v>21</v>
      </c>
      <c r="M1055" t="s">
        <v>411</v>
      </c>
      <c r="N1055" t="s">
        <v>50</v>
      </c>
      <c r="O1055">
        <v>0</v>
      </c>
      <c r="P1055" t="s">
        <v>237</v>
      </c>
    </row>
    <row r="1056" spans="1:16" x14ac:dyDescent="0.25">
      <c r="A1056" t="s">
        <v>2778</v>
      </c>
      <c r="B1056">
        <v>1366</v>
      </c>
      <c r="C1056" t="s">
        <v>487</v>
      </c>
      <c r="D1056" t="s">
        <v>247</v>
      </c>
      <c r="E1056" t="s">
        <v>537</v>
      </c>
      <c r="F1056" t="s">
        <v>3153</v>
      </c>
      <c r="G1056" s="25">
        <v>44310</v>
      </c>
      <c r="H1056">
        <v>23</v>
      </c>
      <c r="I1056">
        <v>114</v>
      </c>
      <c r="J1056" t="s">
        <v>506</v>
      </c>
      <c r="K1056" t="s">
        <v>414</v>
      </c>
      <c r="L1056" t="s">
        <v>21</v>
      </c>
      <c r="M1056" t="s">
        <v>411</v>
      </c>
      <c r="N1056" t="s">
        <v>50</v>
      </c>
      <c r="O1056">
        <v>0</v>
      </c>
      <c r="P1056" t="s">
        <v>237</v>
      </c>
    </row>
    <row r="1057" spans="1:16" x14ac:dyDescent="0.25">
      <c r="A1057" t="s">
        <v>2095</v>
      </c>
      <c r="B1057">
        <v>705</v>
      </c>
      <c r="C1057" t="s">
        <v>487</v>
      </c>
      <c r="D1057" t="s">
        <v>256</v>
      </c>
      <c r="E1057" t="s">
        <v>531</v>
      </c>
      <c r="F1057" t="s">
        <v>1373</v>
      </c>
      <c r="G1057" s="25">
        <v>44255</v>
      </c>
      <c r="H1057">
        <v>12</v>
      </c>
      <c r="I1057">
        <v>59</v>
      </c>
      <c r="J1057" t="s">
        <v>506</v>
      </c>
      <c r="K1057" t="s">
        <v>414</v>
      </c>
      <c r="L1057" t="s">
        <v>21</v>
      </c>
      <c r="M1057" t="s">
        <v>411</v>
      </c>
      <c r="N1057" t="s">
        <v>50</v>
      </c>
      <c r="O1057">
        <v>0</v>
      </c>
      <c r="P1057" t="s">
        <v>237</v>
      </c>
    </row>
    <row r="1058" spans="1:16" x14ac:dyDescent="0.25">
      <c r="A1058" t="s">
        <v>2610</v>
      </c>
      <c r="B1058">
        <v>647</v>
      </c>
      <c r="C1058" t="s">
        <v>487</v>
      </c>
      <c r="D1058" t="s">
        <v>256</v>
      </c>
      <c r="E1058" t="s">
        <v>537</v>
      </c>
      <c r="F1058" t="s">
        <v>1348</v>
      </c>
      <c r="G1058" s="25">
        <v>44250</v>
      </c>
      <c r="H1058">
        <v>11</v>
      </c>
      <c r="I1058">
        <v>54</v>
      </c>
      <c r="J1058" t="s">
        <v>506</v>
      </c>
      <c r="K1058" t="s">
        <v>414</v>
      </c>
      <c r="L1058" t="s">
        <v>21</v>
      </c>
      <c r="M1058" t="s">
        <v>411</v>
      </c>
      <c r="N1058" t="s">
        <v>50</v>
      </c>
      <c r="O1058">
        <v>0</v>
      </c>
      <c r="P1058" t="s">
        <v>237</v>
      </c>
    </row>
    <row r="1059" spans="1:16" x14ac:dyDescent="0.25">
      <c r="A1059" t="s">
        <v>851</v>
      </c>
      <c r="B1059">
        <v>323</v>
      </c>
      <c r="C1059" t="s">
        <v>487</v>
      </c>
      <c r="D1059" t="s">
        <v>231</v>
      </c>
      <c r="E1059" t="s">
        <v>326</v>
      </c>
      <c r="F1059" t="s">
        <v>1095</v>
      </c>
      <c r="G1059" s="25">
        <v>44223</v>
      </c>
      <c r="H1059">
        <v>6</v>
      </c>
      <c r="I1059">
        <v>27</v>
      </c>
      <c r="J1059" t="s">
        <v>506</v>
      </c>
      <c r="K1059" t="s">
        <v>414</v>
      </c>
      <c r="L1059" t="s">
        <v>21</v>
      </c>
      <c r="M1059" t="s">
        <v>411</v>
      </c>
      <c r="N1059" t="s">
        <v>50</v>
      </c>
      <c r="O1059">
        <v>0</v>
      </c>
      <c r="P1059" t="s">
        <v>237</v>
      </c>
    </row>
    <row r="1060" spans="1:16" x14ac:dyDescent="0.25">
      <c r="A1060" t="s">
        <v>1765</v>
      </c>
      <c r="B1060">
        <v>709</v>
      </c>
      <c r="C1060" t="s">
        <v>487</v>
      </c>
      <c r="D1060" t="s">
        <v>256</v>
      </c>
      <c r="E1060" t="s">
        <v>408</v>
      </c>
      <c r="F1060" t="s">
        <v>1383</v>
      </c>
      <c r="G1060" s="25">
        <v>44256</v>
      </c>
      <c r="H1060">
        <v>12</v>
      </c>
      <c r="I1060">
        <v>60</v>
      </c>
      <c r="J1060" t="s">
        <v>506</v>
      </c>
      <c r="K1060" t="s">
        <v>414</v>
      </c>
      <c r="L1060" t="s">
        <v>21</v>
      </c>
      <c r="M1060" t="s">
        <v>411</v>
      </c>
      <c r="N1060" t="s">
        <v>50</v>
      </c>
      <c r="O1060">
        <v>0</v>
      </c>
      <c r="P1060" t="s">
        <v>237</v>
      </c>
    </row>
    <row r="1061" spans="1:16" x14ac:dyDescent="0.25">
      <c r="A1061" t="s">
        <v>2731</v>
      </c>
      <c r="B1061">
        <v>1376</v>
      </c>
      <c r="C1061" t="s">
        <v>487</v>
      </c>
      <c r="D1061" t="s">
        <v>247</v>
      </c>
      <c r="E1061" t="s">
        <v>575</v>
      </c>
      <c r="F1061" t="s">
        <v>3158</v>
      </c>
      <c r="G1061" s="25">
        <v>44311</v>
      </c>
      <c r="H1061">
        <v>23</v>
      </c>
      <c r="I1061">
        <v>115</v>
      </c>
      <c r="J1061" t="s">
        <v>506</v>
      </c>
      <c r="K1061" t="s">
        <v>414</v>
      </c>
      <c r="L1061" t="s">
        <v>21</v>
      </c>
      <c r="M1061" t="s">
        <v>411</v>
      </c>
      <c r="N1061" t="s">
        <v>50</v>
      </c>
      <c r="O1061">
        <v>0</v>
      </c>
      <c r="P1061" t="s">
        <v>237</v>
      </c>
    </row>
    <row r="1062" spans="1:16" x14ac:dyDescent="0.25">
      <c r="A1062" t="s">
        <v>707</v>
      </c>
      <c r="B1062">
        <v>198</v>
      </c>
      <c r="C1062" t="s">
        <v>487</v>
      </c>
      <c r="D1062" t="s">
        <v>229</v>
      </c>
      <c r="E1062" t="s">
        <v>534</v>
      </c>
      <c r="F1062" t="s">
        <v>535</v>
      </c>
      <c r="G1062" s="25">
        <v>44213</v>
      </c>
      <c r="H1062">
        <v>4</v>
      </c>
      <c r="I1062">
        <v>17</v>
      </c>
      <c r="J1062" t="s">
        <v>506</v>
      </c>
      <c r="K1062" t="s">
        <v>414</v>
      </c>
      <c r="L1062" t="s">
        <v>21</v>
      </c>
      <c r="M1062" t="s">
        <v>411</v>
      </c>
      <c r="N1062" t="s">
        <v>50</v>
      </c>
      <c r="O1062">
        <v>0</v>
      </c>
      <c r="P1062" t="s">
        <v>237</v>
      </c>
    </row>
    <row r="1063" spans="1:16" x14ac:dyDescent="0.25">
      <c r="A1063" t="s">
        <v>1666</v>
      </c>
      <c r="B1063">
        <v>1244</v>
      </c>
      <c r="C1063" t="s">
        <v>487</v>
      </c>
      <c r="D1063" t="s">
        <v>247</v>
      </c>
      <c r="E1063" t="s">
        <v>261</v>
      </c>
      <c r="F1063" t="s">
        <v>3078</v>
      </c>
      <c r="G1063" s="25">
        <v>44300</v>
      </c>
      <c r="H1063">
        <v>21</v>
      </c>
      <c r="I1063">
        <v>104</v>
      </c>
      <c r="J1063" t="s">
        <v>506</v>
      </c>
      <c r="K1063" t="s">
        <v>414</v>
      </c>
      <c r="L1063" t="s">
        <v>21</v>
      </c>
      <c r="M1063" t="s">
        <v>411</v>
      </c>
      <c r="N1063" t="s">
        <v>50</v>
      </c>
      <c r="O1063">
        <v>0</v>
      </c>
      <c r="P1063" t="s">
        <v>237</v>
      </c>
    </row>
    <row r="1064" spans="1:16" x14ac:dyDescent="0.25">
      <c r="A1064" t="s">
        <v>2158</v>
      </c>
      <c r="B1064">
        <v>1435</v>
      </c>
      <c r="C1064" t="s">
        <v>487</v>
      </c>
      <c r="D1064" t="s">
        <v>247</v>
      </c>
      <c r="E1064" t="s">
        <v>408</v>
      </c>
      <c r="F1064" t="s">
        <v>3178</v>
      </c>
      <c r="G1064" s="25">
        <v>44316</v>
      </c>
      <c r="H1064">
        <v>24</v>
      </c>
      <c r="I1064">
        <v>120</v>
      </c>
      <c r="J1064" t="s">
        <v>506</v>
      </c>
      <c r="K1064" t="s">
        <v>414</v>
      </c>
      <c r="L1064" t="s">
        <v>21</v>
      </c>
      <c r="M1064" t="s">
        <v>411</v>
      </c>
      <c r="N1064" t="s">
        <v>50</v>
      </c>
      <c r="O1064">
        <v>0</v>
      </c>
      <c r="P1064" t="s">
        <v>237</v>
      </c>
    </row>
    <row r="1065" spans="1:16" x14ac:dyDescent="0.25">
      <c r="A1065" t="s">
        <v>842</v>
      </c>
      <c r="B1065">
        <v>276</v>
      </c>
      <c r="C1065" t="s">
        <v>487</v>
      </c>
      <c r="D1065" t="s">
        <v>231</v>
      </c>
      <c r="E1065" t="s">
        <v>256</v>
      </c>
      <c r="F1065" t="s">
        <v>1064</v>
      </c>
      <c r="G1065" s="25">
        <v>44219</v>
      </c>
      <c r="H1065">
        <v>5</v>
      </c>
      <c r="I1065">
        <v>23</v>
      </c>
      <c r="J1065" t="s">
        <v>506</v>
      </c>
      <c r="K1065" t="s">
        <v>414</v>
      </c>
      <c r="L1065" t="s">
        <v>21</v>
      </c>
      <c r="M1065" t="s">
        <v>411</v>
      </c>
      <c r="N1065" t="s">
        <v>50</v>
      </c>
      <c r="O1065">
        <v>0</v>
      </c>
      <c r="P1065" t="s">
        <v>237</v>
      </c>
    </row>
    <row r="1066" spans="1:16" x14ac:dyDescent="0.25">
      <c r="A1066" t="s">
        <v>1739</v>
      </c>
      <c r="B1066">
        <v>584</v>
      </c>
      <c r="C1066" t="s">
        <v>487</v>
      </c>
      <c r="D1066" t="s">
        <v>256</v>
      </c>
      <c r="E1066" t="s">
        <v>371</v>
      </c>
      <c r="F1066" t="s">
        <v>1318</v>
      </c>
      <c r="G1066" s="25">
        <v>44245</v>
      </c>
      <c r="H1066">
        <v>10</v>
      </c>
      <c r="I1066">
        <v>49</v>
      </c>
      <c r="J1066" t="s">
        <v>506</v>
      </c>
      <c r="K1066" t="s">
        <v>414</v>
      </c>
      <c r="L1066" t="s">
        <v>21</v>
      </c>
      <c r="M1066" t="s">
        <v>411</v>
      </c>
      <c r="N1066" t="s">
        <v>50</v>
      </c>
      <c r="O1066">
        <v>0</v>
      </c>
      <c r="P1066" t="s">
        <v>237</v>
      </c>
    </row>
    <row r="1067" spans="1:16" x14ac:dyDescent="0.25">
      <c r="A1067" t="s">
        <v>583</v>
      </c>
      <c r="B1067">
        <v>261</v>
      </c>
      <c r="C1067" t="s">
        <v>487</v>
      </c>
      <c r="D1067" t="s">
        <v>231</v>
      </c>
      <c r="E1067" t="s">
        <v>231</v>
      </c>
      <c r="F1067" t="s">
        <v>1080</v>
      </c>
      <c r="G1067" s="25">
        <v>44218</v>
      </c>
      <c r="H1067">
        <v>5</v>
      </c>
      <c r="I1067">
        <v>22</v>
      </c>
      <c r="J1067" t="s">
        <v>506</v>
      </c>
      <c r="K1067" t="s">
        <v>414</v>
      </c>
      <c r="L1067" t="s">
        <v>21</v>
      </c>
      <c r="M1067" t="s">
        <v>411</v>
      </c>
      <c r="N1067" t="s">
        <v>50</v>
      </c>
      <c r="O1067">
        <v>0</v>
      </c>
      <c r="P1067" t="s">
        <v>237</v>
      </c>
    </row>
    <row r="1068" spans="1:16" x14ac:dyDescent="0.25">
      <c r="A1068" t="s">
        <v>2000</v>
      </c>
      <c r="B1068">
        <v>769</v>
      </c>
      <c r="C1068" t="s">
        <v>487</v>
      </c>
      <c r="D1068" t="s">
        <v>261</v>
      </c>
      <c r="E1068" t="s">
        <v>322</v>
      </c>
      <c r="F1068" t="s">
        <v>1417</v>
      </c>
      <c r="G1068" s="25">
        <v>44261</v>
      </c>
      <c r="H1068">
        <v>13</v>
      </c>
      <c r="I1068">
        <v>65</v>
      </c>
      <c r="J1068" t="s">
        <v>506</v>
      </c>
      <c r="K1068" t="s">
        <v>414</v>
      </c>
      <c r="L1068" t="s">
        <v>21</v>
      </c>
      <c r="M1068" t="s">
        <v>411</v>
      </c>
      <c r="N1068" t="s">
        <v>50</v>
      </c>
      <c r="O1068">
        <v>0</v>
      </c>
      <c r="P1068" t="s">
        <v>237</v>
      </c>
    </row>
    <row r="1069" spans="1:16" x14ac:dyDescent="0.25">
      <c r="A1069" t="s">
        <v>2279</v>
      </c>
      <c r="B1069">
        <v>1258</v>
      </c>
      <c r="C1069" t="s">
        <v>487</v>
      </c>
      <c r="D1069" t="s">
        <v>247</v>
      </c>
      <c r="E1069" t="s">
        <v>322</v>
      </c>
      <c r="F1069" t="s">
        <v>3083</v>
      </c>
      <c r="G1069" s="25">
        <v>44301</v>
      </c>
      <c r="H1069">
        <v>21</v>
      </c>
      <c r="I1069">
        <v>105</v>
      </c>
      <c r="J1069" t="s">
        <v>506</v>
      </c>
      <c r="K1069" t="s">
        <v>414</v>
      </c>
      <c r="L1069" t="s">
        <v>21</v>
      </c>
      <c r="M1069" t="s">
        <v>411</v>
      </c>
      <c r="N1069" t="s">
        <v>50</v>
      </c>
      <c r="O1069">
        <v>0</v>
      </c>
      <c r="P1069" t="s">
        <v>237</v>
      </c>
    </row>
    <row r="1070" spans="1:16" x14ac:dyDescent="0.25">
      <c r="A1070" t="s">
        <v>1685</v>
      </c>
      <c r="B1070">
        <v>1424</v>
      </c>
      <c r="C1070" t="s">
        <v>487</v>
      </c>
      <c r="D1070" t="s">
        <v>247</v>
      </c>
      <c r="E1070" t="s">
        <v>531</v>
      </c>
      <c r="F1070" t="s">
        <v>3173</v>
      </c>
      <c r="G1070" s="25">
        <v>44315</v>
      </c>
      <c r="H1070">
        <v>24</v>
      </c>
      <c r="I1070">
        <v>119</v>
      </c>
      <c r="J1070" t="s">
        <v>506</v>
      </c>
      <c r="K1070" t="s">
        <v>414</v>
      </c>
      <c r="L1070" t="s">
        <v>21</v>
      </c>
      <c r="M1070" t="s">
        <v>411</v>
      </c>
      <c r="N1070" t="s">
        <v>50</v>
      </c>
      <c r="O1070">
        <v>0</v>
      </c>
      <c r="P1070" t="s">
        <v>237</v>
      </c>
    </row>
    <row r="1071" spans="1:16" x14ac:dyDescent="0.25">
      <c r="A1071" t="s">
        <v>2411</v>
      </c>
      <c r="B1071">
        <v>522</v>
      </c>
      <c r="C1071" t="s">
        <v>487</v>
      </c>
      <c r="D1071" t="s">
        <v>256</v>
      </c>
      <c r="E1071" t="s">
        <v>261</v>
      </c>
      <c r="F1071" t="s">
        <v>1276</v>
      </c>
      <c r="G1071" s="25">
        <v>44240</v>
      </c>
      <c r="H1071">
        <v>9</v>
      </c>
      <c r="I1071">
        <v>44</v>
      </c>
      <c r="J1071" t="s">
        <v>506</v>
      </c>
      <c r="K1071" t="s">
        <v>414</v>
      </c>
      <c r="L1071" t="s">
        <v>21</v>
      </c>
      <c r="M1071" t="s">
        <v>411</v>
      </c>
      <c r="N1071" t="s">
        <v>50</v>
      </c>
      <c r="O1071">
        <v>0</v>
      </c>
      <c r="P1071" t="s">
        <v>237</v>
      </c>
    </row>
    <row r="1072" spans="1:16" x14ac:dyDescent="0.25">
      <c r="A1072" t="s">
        <v>1640</v>
      </c>
      <c r="B1072">
        <v>597</v>
      </c>
      <c r="C1072" t="s">
        <v>487</v>
      </c>
      <c r="D1072" t="s">
        <v>256</v>
      </c>
      <c r="E1072" t="s">
        <v>239</v>
      </c>
      <c r="F1072" t="s">
        <v>1322</v>
      </c>
      <c r="G1072" s="25">
        <v>44246</v>
      </c>
      <c r="H1072">
        <v>10</v>
      </c>
      <c r="I1072">
        <v>50</v>
      </c>
      <c r="J1072" t="s">
        <v>506</v>
      </c>
      <c r="K1072" t="s">
        <v>414</v>
      </c>
      <c r="L1072" t="s">
        <v>21</v>
      </c>
      <c r="M1072" t="s">
        <v>411</v>
      </c>
      <c r="N1072" t="s">
        <v>50</v>
      </c>
      <c r="O1072">
        <v>0</v>
      </c>
      <c r="P1072" t="s">
        <v>237</v>
      </c>
    </row>
    <row r="1073" spans="1:16" x14ac:dyDescent="0.25">
      <c r="A1073" t="s">
        <v>275</v>
      </c>
      <c r="B1073">
        <v>7</v>
      </c>
      <c r="C1073" t="s">
        <v>487</v>
      </c>
      <c r="D1073" t="s">
        <v>229</v>
      </c>
      <c r="E1073" t="s">
        <v>229</v>
      </c>
      <c r="F1073" t="s">
        <v>230</v>
      </c>
      <c r="G1073" s="25">
        <v>44197</v>
      </c>
      <c r="H1073">
        <v>1</v>
      </c>
      <c r="I1073">
        <v>1</v>
      </c>
      <c r="J1073" t="s">
        <v>506</v>
      </c>
      <c r="K1073" t="s">
        <v>414</v>
      </c>
      <c r="L1073" t="s">
        <v>21</v>
      </c>
      <c r="M1073" t="s">
        <v>411</v>
      </c>
      <c r="N1073" t="s">
        <v>50</v>
      </c>
      <c r="O1073">
        <v>0</v>
      </c>
      <c r="P1073" t="s">
        <v>237</v>
      </c>
    </row>
    <row r="1074" spans="1:16" x14ac:dyDescent="0.25">
      <c r="A1074" t="s">
        <v>2180</v>
      </c>
      <c r="B1074">
        <v>1266</v>
      </c>
      <c r="C1074" t="s">
        <v>487</v>
      </c>
      <c r="D1074" t="s">
        <v>247</v>
      </c>
      <c r="E1074" t="s">
        <v>247</v>
      </c>
      <c r="F1074" t="s">
        <v>3085</v>
      </c>
      <c r="G1074" s="25">
        <v>44302</v>
      </c>
      <c r="H1074">
        <v>22</v>
      </c>
      <c r="I1074">
        <v>106</v>
      </c>
      <c r="J1074" t="s">
        <v>506</v>
      </c>
      <c r="K1074" t="s">
        <v>414</v>
      </c>
      <c r="L1074" t="s">
        <v>21</v>
      </c>
      <c r="M1074" t="s">
        <v>411</v>
      </c>
      <c r="N1074" t="s">
        <v>50</v>
      </c>
      <c r="O1074">
        <v>0</v>
      </c>
      <c r="P1074" t="s">
        <v>237</v>
      </c>
    </row>
    <row r="1075" spans="1:16" x14ac:dyDescent="0.25">
      <c r="A1075" t="s">
        <v>2344</v>
      </c>
      <c r="B1075">
        <v>757</v>
      </c>
      <c r="C1075" t="s">
        <v>487</v>
      </c>
      <c r="D1075" t="s">
        <v>261</v>
      </c>
      <c r="E1075" t="s">
        <v>261</v>
      </c>
      <c r="F1075" t="s">
        <v>1410</v>
      </c>
      <c r="G1075" s="25">
        <v>44260</v>
      </c>
      <c r="H1075">
        <v>13</v>
      </c>
      <c r="I1075">
        <v>64</v>
      </c>
      <c r="J1075" t="s">
        <v>506</v>
      </c>
      <c r="K1075" t="s">
        <v>414</v>
      </c>
      <c r="L1075" t="s">
        <v>21</v>
      </c>
      <c r="M1075" t="s">
        <v>411</v>
      </c>
      <c r="N1075" t="s">
        <v>50</v>
      </c>
      <c r="O1075">
        <v>0</v>
      </c>
      <c r="P1075" t="s">
        <v>237</v>
      </c>
    </row>
    <row r="1076" spans="1:16" x14ac:dyDescent="0.25">
      <c r="A1076" t="s">
        <v>1836</v>
      </c>
      <c r="B1076">
        <v>566</v>
      </c>
      <c r="C1076" t="s">
        <v>487</v>
      </c>
      <c r="D1076" t="s">
        <v>256</v>
      </c>
      <c r="E1076" t="s">
        <v>381</v>
      </c>
      <c r="F1076" t="s">
        <v>1311</v>
      </c>
      <c r="G1076" s="25">
        <v>44244</v>
      </c>
      <c r="H1076">
        <v>10</v>
      </c>
      <c r="I1076">
        <v>48</v>
      </c>
      <c r="J1076" t="s">
        <v>506</v>
      </c>
      <c r="K1076" t="s">
        <v>414</v>
      </c>
      <c r="L1076" t="s">
        <v>21</v>
      </c>
      <c r="M1076" t="s">
        <v>411</v>
      </c>
      <c r="N1076" t="s">
        <v>50</v>
      </c>
      <c r="O1076">
        <v>0</v>
      </c>
      <c r="P1076" t="s">
        <v>237</v>
      </c>
    </row>
    <row r="1077" spans="1:16" x14ac:dyDescent="0.25">
      <c r="A1077" t="s">
        <v>778</v>
      </c>
      <c r="B1077">
        <v>206</v>
      </c>
      <c r="C1077" t="s">
        <v>487</v>
      </c>
      <c r="D1077" t="s">
        <v>229</v>
      </c>
      <c r="E1077" t="s">
        <v>552</v>
      </c>
      <c r="F1077" t="s">
        <v>553</v>
      </c>
      <c r="G1077" s="25">
        <v>44214</v>
      </c>
      <c r="H1077">
        <v>4</v>
      </c>
      <c r="I1077">
        <v>18</v>
      </c>
      <c r="J1077" t="s">
        <v>506</v>
      </c>
      <c r="K1077" t="s">
        <v>414</v>
      </c>
      <c r="L1077" t="s">
        <v>21</v>
      </c>
      <c r="M1077" t="s">
        <v>411</v>
      </c>
      <c r="N1077" t="s">
        <v>50</v>
      </c>
      <c r="O1077">
        <v>0</v>
      </c>
      <c r="P1077" t="s">
        <v>237</v>
      </c>
    </row>
    <row r="1078" spans="1:16" x14ac:dyDescent="0.25">
      <c r="A1078" t="s">
        <v>317</v>
      </c>
      <c r="B1078">
        <v>49</v>
      </c>
      <c r="C1078" t="s">
        <v>487</v>
      </c>
      <c r="D1078" t="s">
        <v>229</v>
      </c>
      <c r="E1078" t="s">
        <v>322</v>
      </c>
      <c r="F1078" t="s">
        <v>529</v>
      </c>
      <c r="G1078" s="25">
        <v>44201</v>
      </c>
      <c r="H1078">
        <v>1</v>
      </c>
      <c r="I1078">
        <v>5</v>
      </c>
      <c r="J1078" t="s">
        <v>506</v>
      </c>
      <c r="K1078" t="s">
        <v>414</v>
      </c>
      <c r="L1078" t="s">
        <v>21</v>
      </c>
      <c r="M1078" t="s">
        <v>411</v>
      </c>
      <c r="N1078" t="s">
        <v>50</v>
      </c>
      <c r="O1078">
        <v>0</v>
      </c>
      <c r="P1078" t="s">
        <v>237</v>
      </c>
    </row>
    <row r="1079" spans="1:16" x14ac:dyDescent="0.25">
      <c r="A1079" t="s">
        <v>2771</v>
      </c>
      <c r="B1079">
        <v>753</v>
      </c>
      <c r="C1079" t="s">
        <v>487</v>
      </c>
      <c r="D1079" t="s">
        <v>261</v>
      </c>
      <c r="E1079" t="s">
        <v>256</v>
      </c>
      <c r="F1079" t="s">
        <v>1402</v>
      </c>
      <c r="G1079" s="25">
        <v>44259</v>
      </c>
      <c r="H1079">
        <v>13</v>
      </c>
      <c r="I1079">
        <v>63</v>
      </c>
      <c r="J1079" t="s">
        <v>506</v>
      </c>
      <c r="K1079" t="s">
        <v>414</v>
      </c>
      <c r="L1079" t="s">
        <v>21</v>
      </c>
      <c r="M1079" t="s">
        <v>411</v>
      </c>
      <c r="N1079" t="s">
        <v>50</v>
      </c>
      <c r="O1079">
        <v>0</v>
      </c>
      <c r="P1079" t="s">
        <v>237</v>
      </c>
    </row>
    <row r="1080" spans="1:16" x14ac:dyDescent="0.25">
      <c r="A1080" t="s">
        <v>2193</v>
      </c>
      <c r="B1080">
        <v>1274</v>
      </c>
      <c r="C1080" t="s">
        <v>487</v>
      </c>
      <c r="D1080" t="s">
        <v>247</v>
      </c>
      <c r="E1080" t="s">
        <v>326</v>
      </c>
      <c r="F1080" t="s">
        <v>3091</v>
      </c>
      <c r="G1080" s="25">
        <v>44303</v>
      </c>
      <c r="H1080">
        <v>22</v>
      </c>
      <c r="I1080">
        <v>107</v>
      </c>
      <c r="J1080" t="s">
        <v>506</v>
      </c>
      <c r="K1080" t="s">
        <v>414</v>
      </c>
      <c r="L1080" t="s">
        <v>21</v>
      </c>
      <c r="M1080" t="s">
        <v>411</v>
      </c>
      <c r="N1080" t="s">
        <v>50</v>
      </c>
      <c r="O1080">
        <v>0</v>
      </c>
      <c r="P1080" t="s">
        <v>237</v>
      </c>
    </row>
    <row r="1081" spans="1:16" x14ac:dyDescent="0.25">
      <c r="A1081" t="s">
        <v>742</v>
      </c>
      <c r="B1081">
        <v>331</v>
      </c>
      <c r="C1081" t="s">
        <v>487</v>
      </c>
      <c r="D1081" t="s">
        <v>231</v>
      </c>
      <c r="E1081" t="s">
        <v>381</v>
      </c>
      <c r="F1081" t="s">
        <v>1099</v>
      </c>
      <c r="G1081" s="25">
        <v>44224</v>
      </c>
      <c r="H1081">
        <v>6</v>
      </c>
      <c r="I1081">
        <v>28</v>
      </c>
      <c r="J1081" t="s">
        <v>506</v>
      </c>
      <c r="K1081" t="s">
        <v>414</v>
      </c>
      <c r="L1081" t="s">
        <v>21</v>
      </c>
      <c r="M1081" t="s">
        <v>411</v>
      </c>
      <c r="N1081" t="s">
        <v>50</v>
      </c>
      <c r="O1081">
        <v>0</v>
      </c>
      <c r="P1081" t="s">
        <v>237</v>
      </c>
    </row>
    <row r="1082" spans="1:16" x14ac:dyDescent="0.25">
      <c r="A1082" t="s">
        <v>2754</v>
      </c>
      <c r="B1082">
        <v>1315</v>
      </c>
      <c r="C1082" t="s">
        <v>487</v>
      </c>
      <c r="D1082" t="s">
        <v>247</v>
      </c>
      <c r="E1082" t="s">
        <v>239</v>
      </c>
      <c r="F1082" t="s">
        <v>3118</v>
      </c>
      <c r="G1082" s="25">
        <v>44306</v>
      </c>
      <c r="H1082">
        <v>22</v>
      </c>
      <c r="I1082">
        <v>110</v>
      </c>
      <c r="J1082" t="s">
        <v>507</v>
      </c>
      <c r="K1082" t="s">
        <v>49</v>
      </c>
      <c r="L1082" t="s">
        <v>21</v>
      </c>
      <c r="M1082" t="s">
        <v>413</v>
      </c>
      <c r="N1082" t="s">
        <v>48</v>
      </c>
      <c r="O1082">
        <v>0</v>
      </c>
      <c r="P1082" t="s">
        <v>237</v>
      </c>
    </row>
    <row r="1083" spans="1:16" x14ac:dyDescent="0.25">
      <c r="A1083" t="s">
        <v>726</v>
      </c>
      <c r="B1083">
        <v>171</v>
      </c>
      <c r="C1083" t="s">
        <v>487</v>
      </c>
      <c r="D1083" t="s">
        <v>229</v>
      </c>
      <c r="E1083" t="s">
        <v>575</v>
      </c>
      <c r="F1083" t="s">
        <v>576</v>
      </c>
      <c r="G1083" s="25">
        <v>44211</v>
      </c>
      <c r="H1083">
        <v>3</v>
      </c>
      <c r="I1083">
        <v>15</v>
      </c>
      <c r="J1083" t="s">
        <v>507</v>
      </c>
      <c r="K1083" t="s">
        <v>49</v>
      </c>
      <c r="L1083" t="s">
        <v>21</v>
      </c>
      <c r="M1083" t="s">
        <v>413</v>
      </c>
      <c r="N1083" t="s">
        <v>48</v>
      </c>
      <c r="O1083">
        <v>0</v>
      </c>
      <c r="P1083" t="s">
        <v>237</v>
      </c>
    </row>
    <row r="1084" spans="1:16" x14ac:dyDescent="0.25">
      <c r="A1084" t="s">
        <v>2863</v>
      </c>
      <c r="B1084">
        <v>1434</v>
      </c>
      <c r="C1084" t="s">
        <v>487</v>
      </c>
      <c r="D1084" t="s">
        <v>247</v>
      </c>
      <c r="E1084" t="s">
        <v>408</v>
      </c>
      <c r="F1084" t="s">
        <v>3178</v>
      </c>
      <c r="G1084" s="25">
        <v>44316</v>
      </c>
      <c r="H1084">
        <v>24</v>
      </c>
      <c r="I1084">
        <v>120</v>
      </c>
      <c r="J1084" t="s">
        <v>507</v>
      </c>
      <c r="K1084" t="s">
        <v>49</v>
      </c>
      <c r="L1084" t="s">
        <v>21</v>
      </c>
      <c r="M1084" t="s">
        <v>413</v>
      </c>
      <c r="N1084" t="s">
        <v>48</v>
      </c>
      <c r="O1084">
        <v>0</v>
      </c>
      <c r="P1084" t="s">
        <v>237</v>
      </c>
    </row>
    <row r="1085" spans="1:16" x14ac:dyDescent="0.25">
      <c r="A1085" t="s">
        <v>2586</v>
      </c>
      <c r="B1085">
        <v>1162</v>
      </c>
      <c r="C1085" t="s">
        <v>487</v>
      </c>
      <c r="D1085" t="s">
        <v>322</v>
      </c>
      <c r="E1085" t="s">
        <v>534</v>
      </c>
      <c r="F1085" t="s">
        <v>3031</v>
      </c>
      <c r="G1085" s="25">
        <v>44293</v>
      </c>
      <c r="H1085">
        <v>20</v>
      </c>
      <c r="I1085">
        <v>97</v>
      </c>
      <c r="J1085" t="s">
        <v>507</v>
      </c>
      <c r="K1085" t="s">
        <v>49</v>
      </c>
      <c r="L1085" t="s">
        <v>21</v>
      </c>
      <c r="M1085" t="s">
        <v>413</v>
      </c>
      <c r="N1085" t="s">
        <v>48</v>
      </c>
      <c r="O1085">
        <v>0</v>
      </c>
      <c r="P1085" t="s">
        <v>237</v>
      </c>
    </row>
    <row r="1086" spans="1:16" x14ac:dyDescent="0.25">
      <c r="A1086" t="s">
        <v>1992</v>
      </c>
      <c r="B1086">
        <v>868</v>
      </c>
      <c r="C1086" t="s">
        <v>487</v>
      </c>
      <c r="D1086" t="s">
        <v>261</v>
      </c>
      <c r="E1086" t="s">
        <v>512</v>
      </c>
      <c r="F1086" t="s">
        <v>1518</v>
      </c>
      <c r="G1086" s="25">
        <v>44269</v>
      </c>
      <c r="H1086">
        <v>15</v>
      </c>
      <c r="I1086">
        <v>73</v>
      </c>
      <c r="J1086" t="s">
        <v>507</v>
      </c>
      <c r="K1086" t="s">
        <v>49</v>
      </c>
      <c r="L1086" t="s">
        <v>21</v>
      </c>
      <c r="M1086" t="s">
        <v>413</v>
      </c>
      <c r="N1086" t="s">
        <v>48</v>
      </c>
      <c r="O1086">
        <v>0</v>
      </c>
      <c r="P1086" t="s">
        <v>237</v>
      </c>
    </row>
    <row r="1087" spans="1:16" x14ac:dyDescent="0.25">
      <c r="A1087" t="s">
        <v>857</v>
      </c>
      <c r="B1087">
        <v>220</v>
      </c>
      <c r="C1087" t="s">
        <v>487</v>
      </c>
      <c r="D1087" t="s">
        <v>229</v>
      </c>
      <c r="E1087" t="s">
        <v>531</v>
      </c>
      <c r="F1087" t="s">
        <v>532</v>
      </c>
      <c r="G1087" s="25">
        <v>44215</v>
      </c>
      <c r="H1087">
        <v>4</v>
      </c>
      <c r="I1087">
        <v>19</v>
      </c>
      <c r="J1087" t="s">
        <v>507</v>
      </c>
      <c r="K1087" t="s">
        <v>49</v>
      </c>
      <c r="L1087" t="s">
        <v>21</v>
      </c>
      <c r="M1087" t="s">
        <v>413</v>
      </c>
      <c r="N1087" t="s">
        <v>48</v>
      </c>
      <c r="O1087">
        <v>0</v>
      </c>
      <c r="P1087" t="s">
        <v>237</v>
      </c>
    </row>
    <row r="1088" spans="1:16" x14ac:dyDescent="0.25">
      <c r="A1088" t="s">
        <v>1738</v>
      </c>
      <c r="B1088">
        <v>535</v>
      </c>
      <c r="C1088" t="s">
        <v>487</v>
      </c>
      <c r="D1088" t="s">
        <v>256</v>
      </c>
      <c r="E1088" t="s">
        <v>322</v>
      </c>
      <c r="F1088" t="s">
        <v>1288</v>
      </c>
      <c r="G1088" s="25">
        <v>44241</v>
      </c>
      <c r="H1088">
        <v>9</v>
      </c>
      <c r="I1088">
        <v>45</v>
      </c>
      <c r="J1088" t="s">
        <v>507</v>
      </c>
      <c r="K1088" t="s">
        <v>49</v>
      </c>
      <c r="L1088" t="s">
        <v>21</v>
      </c>
      <c r="M1088" t="s">
        <v>413</v>
      </c>
      <c r="N1088" t="s">
        <v>48</v>
      </c>
      <c r="O1088">
        <v>0</v>
      </c>
      <c r="P1088" t="s">
        <v>237</v>
      </c>
    </row>
    <row r="1089" spans="1:16" x14ac:dyDescent="0.25">
      <c r="A1089" t="s">
        <v>1843</v>
      </c>
      <c r="B1089">
        <v>712</v>
      </c>
      <c r="C1089" t="s">
        <v>487</v>
      </c>
      <c r="D1089" t="s">
        <v>256</v>
      </c>
      <c r="E1089" t="s">
        <v>408</v>
      </c>
      <c r="F1089" t="s">
        <v>1383</v>
      </c>
      <c r="G1089" s="25">
        <v>44256</v>
      </c>
      <c r="H1089">
        <v>12</v>
      </c>
      <c r="I1089">
        <v>60</v>
      </c>
      <c r="J1089" t="s">
        <v>507</v>
      </c>
      <c r="K1089" t="s">
        <v>49</v>
      </c>
      <c r="L1089" t="s">
        <v>21</v>
      </c>
      <c r="M1089" t="s">
        <v>413</v>
      </c>
      <c r="N1089" t="s">
        <v>48</v>
      </c>
      <c r="O1089">
        <v>0</v>
      </c>
      <c r="P1089" t="s">
        <v>237</v>
      </c>
    </row>
    <row r="1090" spans="1:16" x14ac:dyDescent="0.25">
      <c r="A1090" t="s">
        <v>1724</v>
      </c>
      <c r="B1090">
        <v>863</v>
      </c>
      <c r="C1090" t="s">
        <v>487</v>
      </c>
      <c r="D1090" t="s">
        <v>261</v>
      </c>
      <c r="E1090" t="s">
        <v>232</v>
      </c>
      <c r="F1090" t="s">
        <v>1500</v>
      </c>
      <c r="G1090" s="25">
        <v>44268</v>
      </c>
      <c r="H1090">
        <v>15</v>
      </c>
      <c r="I1090">
        <v>72</v>
      </c>
      <c r="J1090" t="s">
        <v>507</v>
      </c>
      <c r="K1090" t="s">
        <v>49</v>
      </c>
      <c r="L1090" t="s">
        <v>21</v>
      </c>
      <c r="M1090" t="s">
        <v>413</v>
      </c>
      <c r="N1090" t="s">
        <v>48</v>
      </c>
      <c r="O1090">
        <v>0</v>
      </c>
      <c r="P1090" t="s">
        <v>237</v>
      </c>
    </row>
    <row r="1091" spans="1:16" x14ac:dyDescent="0.25">
      <c r="A1091" t="s">
        <v>2501</v>
      </c>
      <c r="B1091">
        <v>1169</v>
      </c>
      <c r="C1091" t="s">
        <v>487</v>
      </c>
      <c r="D1091" t="s">
        <v>322</v>
      </c>
      <c r="E1091" t="s">
        <v>552</v>
      </c>
      <c r="F1091" t="s">
        <v>3045</v>
      </c>
      <c r="G1091" s="25">
        <v>44294</v>
      </c>
      <c r="H1091">
        <v>20</v>
      </c>
      <c r="I1091">
        <v>98</v>
      </c>
      <c r="J1091" t="s">
        <v>507</v>
      </c>
      <c r="K1091" t="s">
        <v>49</v>
      </c>
      <c r="L1091" t="s">
        <v>21</v>
      </c>
      <c r="M1091" t="s">
        <v>413</v>
      </c>
      <c r="N1091" t="s">
        <v>48</v>
      </c>
      <c r="O1091">
        <v>0</v>
      </c>
      <c r="P1091" t="s">
        <v>237</v>
      </c>
    </row>
    <row r="1092" spans="1:16" x14ac:dyDescent="0.25">
      <c r="A1092" t="s">
        <v>1614</v>
      </c>
      <c r="B1092">
        <v>495</v>
      </c>
      <c r="C1092" t="s">
        <v>487</v>
      </c>
      <c r="D1092" t="s">
        <v>256</v>
      </c>
      <c r="E1092" t="s">
        <v>231</v>
      </c>
      <c r="F1092" t="s">
        <v>1249</v>
      </c>
      <c r="G1092" s="25">
        <v>44238</v>
      </c>
      <c r="H1092">
        <v>9</v>
      </c>
      <c r="I1092">
        <v>42</v>
      </c>
      <c r="J1092" t="s">
        <v>507</v>
      </c>
      <c r="K1092" t="s">
        <v>49</v>
      </c>
      <c r="L1092" t="s">
        <v>21</v>
      </c>
      <c r="M1092" t="s">
        <v>413</v>
      </c>
      <c r="N1092" t="s">
        <v>48</v>
      </c>
      <c r="O1092">
        <v>0</v>
      </c>
      <c r="P1092" t="s">
        <v>237</v>
      </c>
    </row>
    <row r="1093" spans="1:16" x14ac:dyDescent="0.25">
      <c r="A1093" t="s">
        <v>2142</v>
      </c>
      <c r="B1093">
        <v>1306</v>
      </c>
      <c r="C1093" t="s">
        <v>487</v>
      </c>
      <c r="D1093" t="s">
        <v>247</v>
      </c>
      <c r="E1093" t="s">
        <v>371</v>
      </c>
      <c r="F1093" t="s">
        <v>3112</v>
      </c>
      <c r="G1093" s="25">
        <v>44305</v>
      </c>
      <c r="H1093">
        <v>22</v>
      </c>
      <c r="I1093">
        <v>109</v>
      </c>
      <c r="J1093" t="s">
        <v>507</v>
      </c>
      <c r="K1093" t="s">
        <v>49</v>
      </c>
      <c r="L1093" t="s">
        <v>21</v>
      </c>
      <c r="M1093" t="s">
        <v>413</v>
      </c>
      <c r="N1093" t="s">
        <v>48</v>
      </c>
      <c r="O1093">
        <v>0</v>
      </c>
      <c r="P1093" t="s">
        <v>237</v>
      </c>
    </row>
    <row r="1094" spans="1:16" x14ac:dyDescent="0.25">
      <c r="A1094" t="s">
        <v>533</v>
      </c>
      <c r="B1094">
        <v>369</v>
      </c>
      <c r="C1094" t="s">
        <v>487</v>
      </c>
      <c r="D1094" t="s">
        <v>231</v>
      </c>
      <c r="E1094" t="s">
        <v>515</v>
      </c>
      <c r="F1094" t="s">
        <v>1150</v>
      </c>
      <c r="G1094" s="25">
        <v>44227</v>
      </c>
      <c r="H1094">
        <v>7</v>
      </c>
      <c r="I1094">
        <v>31</v>
      </c>
      <c r="J1094" t="s">
        <v>507</v>
      </c>
      <c r="K1094" t="s">
        <v>49</v>
      </c>
      <c r="L1094" t="s">
        <v>21</v>
      </c>
      <c r="M1094" t="s">
        <v>413</v>
      </c>
      <c r="N1094" t="s">
        <v>48</v>
      </c>
      <c r="O1094">
        <v>0</v>
      </c>
      <c r="P1094" t="s">
        <v>237</v>
      </c>
    </row>
    <row r="1095" spans="1:16" x14ac:dyDescent="0.25">
      <c r="A1095" t="s">
        <v>262</v>
      </c>
      <c r="B1095">
        <v>127</v>
      </c>
      <c r="C1095" t="s">
        <v>487</v>
      </c>
      <c r="D1095" t="s">
        <v>229</v>
      </c>
      <c r="E1095" t="s">
        <v>515</v>
      </c>
      <c r="F1095" t="s">
        <v>516</v>
      </c>
      <c r="G1095" s="25">
        <v>44207</v>
      </c>
      <c r="H1095">
        <v>3</v>
      </c>
      <c r="I1095">
        <v>11</v>
      </c>
      <c r="J1095" t="s">
        <v>507</v>
      </c>
      <c r="K1095" t="s">
        <v>49</v>
      </c>
      <c r="L1095" t="s">
        <v>21</v>
      </c>
      <c r="M1095" t="s">
        <v>413</v>
      </c>
      <c r="N1095" t="s">
        <v>48</v>
      </c>
      <c r="O1095">
        <v>0</v>
      </c>
      <c r="P1095" t="s">
        <v>237</v>
      </c>
    </row>
    <row r="1096" spans="1:16" x14ac:dyDescent="0.25">
      <c r="A1096" t="s">
        <v>1888</v>
      </c>
      <c r="B1096">
        <v>726</v>
      </c>
      <c r="C1096" t="s">
        <v>487</v>
      </c>
      <c r="D1096" t="s">
        <v>261</v>
      </c>
      <c r="E1096" t="s">
        <v>229</v>
      </c>
      <c r="F1096" t="s">
        <v>1388</v>
      </c>
      <c r="G1096" s="25">
        <v>44257</v>
      </c>
      <c r="H1096">
        <v>13</v>
      </c>
      <c r="I1096">
        <v>61</v>
      </c>
      <c r="J1096" t="s">
        <v>507</v>
      </c>
      <c r="K1096" t="s">
        <v>49</v>
      </c>
      <c r="L1096" t="s">
        <v>21</v>
      </c>
      <c r="M1096" t="s">
        <v>413</v>
      </c>
      <c r="N1096" t="s">
        <v>48</v>
      </c>
      <c r="O1096">
        <v>0</v>
      </c>
      <c r="P1096" t="s">
        <v>237</v>
      </c>
    </row>
    <row r="1097" spans="1:16" x14ac:dyDescent="0.25">
      <c r="A1097" t="s">
        <v>2886</v>
      </c>
      <c r="B1097">
        <v>847</v>
      </c>
      <c r="C1097" t="s">
        <v>487</v>
      </c>
      <c r="D1097" t="s">
        <v>261</v>
      </c>
      <c r="E1097" t="s">
        <v>515</v>
      </c>
      <c r="F1097" t="s">
        <v>1493</v>
      </c>
      <c r="G1097" s="25">
        <v>44267</v>
      </c>
      <c r="H1097">
        <v>15</v>
      </c>
      <c r="I1097">
        <v>71</v>
      </c>
      <c r="J1097" t="s">
        <v>507</v>
      </c>
      <c r="K1097" t="s">
        <v>49</v>
      </c>
      <c r="L1097" t="s">
        <v>21</v>
      </c>
      <c r="M1097" t="s">
        <v>413</v>
      </c>
      <c r="N1097" t="s">
        <v>48</v>
      </c>
      <c r="O1097">
        <v>0</v>
      </c>
      <c r="P1097" t="s">
        <v>237</v>
      </c>
    </row>
    <row r="1098" spans="1:16" x14ac:dyDescent="0.25">
      <c r="A1098" t="s">
        <v>2751</v>
      </c>
      <c r="B1098">
        <v>1183</v>
      </c>
      <c r="C1098" t="s">
        <v>487</v>
      </c>
      <c r="D1098" t="s">
        <v>322</v>
      </c>
      <c r="E1098" t="s">
        <v>531</v>
      </c>
      <c r="F1098" t="s">
        <v>3056</v>
      </c>
      <c r="G1098" s="25">
        <v>44295</v>
      </c>
      <c r="H1098">
        <v>20</v>
      </c>
      <c r="I1098">
        <v>99</v>
      </c>
      <c r="J1098" t="s">
        <v>507</v>
      </c>
      <c r="K1098" t="s">
        <v>49</v>
      </c>
      <c r="L1098" t="s">
        <v>21</v>
      </c>
      <c r="M1098" t="s">
        <v>413</v>
      </c>
      <c r="N1098" t="s">
        <v>48</v>
      </c>
      <c r="O1098">
        <v>0</v>
      </c>
      <c r="P1098" t="s">
        <v>237</v>
      </c>
    </row>
    <row r="1099" spans="1:16" x14ac:dyDescent="0.25">
      <c r="A1099" t="s">
        <v>2655</v>
      </c>
      <c r="B1099">
        <v>1123</v>
      </c>
      <c r="C1099" t="s">
        <v>487</v>
      </c>
      <c r="D1099" t="s">
        <v>322</v>
      </c>
      <c r="E1099" t="s">
        <v>537</v>
      </c>
      <c r="F1099" t="s">
        <v>2999</v>
      </c>
      <c r="G1099" s="25">
        <v>44290</v>
      </c>
      <c r="H1099">
        <v>19</v>
      </c>
      <c r="I1099">
        <v>94</v>
      </c>
      <c r="J1099" t="s">
        <v>507</v>
      </c>
      <c r="K1099" t="s">
        <v>49</v>
      </c>
      <c r="L1099" t="s">
        <v>21</v>
      </c>
      <c r="M1099" t="s">
        <v>413</v>
      </c>
      <c r="N1099" t="s">
        <v>48</v>
      </c>
      <c r="O1099">
        <v>0</v>
      </c>
      <c r="P1099" t="s">
        <v>237</v>
      </c>
    </row>
    <row r="1100" spans="1:16" x14ac:dyDescent="0.25">
      <c r="A1100" t="s">
        <v>550</v>
      </c>
      <c r="B1100">
        <v>421</v>
      </c>
      <c r="C1100" t="s">
        <v>487</v>
      </c>
      <c r="D1100" t="s">
        <v>231</v>
      </c>
      <c r="E1100" t="s">
        <v>620</v>
      </c>
      <c r="F1100" t="s">
        <v>1215</v>
      </c>
      <c r="G1100" s="25">
        <v>44232</v>
      </c>
      <c r="H1100">
        <v>8</v>
      </c>
      <c r="I1100">
        <v>36</v>
      </c>
      <c r="J1100" t="s">
        <v>507</v>
      </c>
      <c r="K1100" t="s">
        <v>49</v>
      </c>
      <c r="L1100" t="s">
        <v>21</v>
      </c>
      <c r="M1100" t="s">
        <v>413</v>
      </c>
      <c r="N1100" t="s">
        <v>48</v>
      </c>
      <c r="O1100">
        <v>0</v>
      </c>
      <c r="P1100" t="s">
        <v>237</v>
      </c>
    </row>
    <row r="1101" spans="1:16" x14ac:dyDescent="0.25">
      <c r="A1101" t="s">
        <v>2127</v>
      </c>
      <c r="B1101">
        <v>676</v>
      </c>
      <c r="C1101" t="s">
        <v>487</v>
      </c>
      <c r="D1101" t="s">
        <v>256</v>
      </c>
      <c r="E1101" t="s">
        <v>534</v>
      </c>
      <c r="F1101" t="s">
        <v>1357</v>
      </c>
      <c r="G1101" s="25">
        <v>44253</v>
      </c>
      <c r="H1101">
        <v>12</v>
      </c>
      <c r="I1101">
        <v>57</v>
      </c>
      <c r="J1101" t="s">
        <v>507</v>
      </c>
      <c r="K1101" t="s">
        <v>49</v>
      </c>
      <c r="L1101" t="s">
        <v>21</v>
      </c>
      <c r="M1101" t="s">
        <v>413</v>
      </c>
      <c r="N1101" t="s">
        <v>48</v>
      </c>
      <c r="O1101">
        <v>0</v>
      </c>
      <c r="P1101" t="s">
        <v>237</v>
      </c>
    </row>
    <row r="1102" spans="1:16" x14ac:dyDescent="0.25">
      <c r="A1102" t="s">
        <v>1916</v>
      </c>
      <c r="B1102">
        <v>906</v>
      </c>
      <c r="C1102" t="s">
        <v>487</v>
      </c>
      <c r="D1102" t="s">
        <v>261</v>
      </c>
      <c r="E1102" t="s">
        <v>620</v>
      </c>
      <c r="F1102" t="s">
        <v>1545</v>
      </c>
      <c r="G1102" s="25">
        <v>44272</v>
      </c>
      <c r="H1102">
        <v>16</v>
      </c>
      <c r="I1102">
        <v>76</v>
      </c>
      <c r="J1102" t="s">
        <v>507</v>
      </c>
      <c r="K1102" t="s">
        <v>49</v>
      </c>
      <c r="L1102" t="s">
        <v>21</v>
      </c>
      <c r="M1102" t="s">
        <v>413</v>
      </c>
      <c r="N1102" t="s">
        <v>48</v>
      </c>
      <c r="O1102">
        <v>0</v>
      </c>
      <c r="P1102" t="s">
        <v>237</v>
      </c>
    </row>
    <row r="1103" spans="1:16" x14ac:dyDescent="0.25">
      <c r="A1103" t="s">
        <v>2844</v>
      </c>
      <c r="B1103">
        <v>1339</v>
      </c>
      <c r="C1103" t="s">
        <v>487</v>
      </c>
      <c r="D1103" t="s">
        <v>247</v>
      </c>
      <c r="E1103" t="s">
        <v>232</v>
      </c>
      <c r="F1103" t="s">
        <v>3140</v>
      </c>
      <c r="G1103" s="25">
        <v>44308</v>
      </c>
      <c r="H1103">
        <v>23</v>
      </c>
      <c r="I1103">
        <v>112</v>
      </c>
      <c r="J1103" t="s">
        <v>507</v>
      </c>
      <c r="K1103" t="s">
        <v>49</v>
      </c>
      <c r="L1103" t="s">
        <v>21</v>
      </c>
      <c r="M1103" t="s">
        <v>413</v>
      </c>
      <c r="N1103" t="s">
        <v>48</v>
      </c>
      <c r="O1103">
        <v>0</v>
      </c>
      <c r="P1103" t="s">
        <v>237</v>
      </c>
    </row>
    <row r="1104" spans="1:16" x14ac:dyDescent="0.25">
      <c r="A1104" t="s">
        <v>283</v>
      </c>
      <c r="B1104">
        <v>32</v>
      </c>
      <c r="C1104" t="s">
        <v>487</v>
      </c>
      <c r="D1104" t="s">
        <v>229</v>
      </c>
      <c r="E1104" t="s">
        <v>256</v>
      </c>
      <c r="F1104" t="s">
        <v>525</v>
      </c>
      <c r="G1104" s="25">
        <v>44199</v>
      </c>
      <c r="H1104">
        <v>1</v>
      </c>
      <c r="I1104">
        <v>3</v>
      </c>
      <c r="J1104" t="s">
        <v>507</v>
      </c>
      <c r="K1104" t="s">
        <v>49</v>
      </c>
      <c r="L1104" t="s">
        <v>21</v>
      </c>
      <c r="M1104" t="s">
        <v>413</v>
      </c>
      <c r="N1104" t="s">
        <v>48</v>
      </c>
      <c r="O1104">
        <v>0</v>
      </c>
      <c r="P1104" t="s">
        <v>237</v>
      </c>
    </row>
    <row r="1105" spans="1:16" x14ac:dyDescent="0.25">
      <c r="A1105" t="s">
        <v>1603</v>
      </c>
      <c r="B1105">
        <v>486</v>
      </c>
      <c r="C1105" t="s">
        <v>487</v>
      </c>
      <c r="D1105" t="s">
        <v>256</v>
      </c>
      <c r="E1105" t="s">
        <v>229</v>
      </c>
      <c r="F1105" t="s">
        <v>1241</v>
      </c>
      <c r="G1105" s="25">
        <v>44237</v>
      </c>
      <c r="H1105">
        <v>9</v>
      </c>
      <c r="I1105">
        <v>41</v>
      </c>
      <c r="J1105" t="s">
        <v>507</v>
      </c>
      <c r="K1105" t="s">
        <v>49</v>
      </c>
      <c r="L1105" t="s">
        <v>21</v>
      </c>
      <c r="M1105" t="s">
        <v>413</v>
      </c>
      <c r="N1105" t="s">
        <v>48</v>
      </c>
      <c r="O1105">
        <v>0</v>
      </c>
      <c r="P1105" t="s">
        <v>237</v>
      </c>
    </row>
    <row r="1106" spans="1:16" x14ac:dyDescent="0.25">
      <c r="A1106" t="s">
        <v>2627</v>
      </c>
      <c r="B1106">
        <v>896</v>
      </c>
      <c r="C1106" t="s">
        <v>487</v>
      </c>
      <c r="D1106" t="s">
        <v>261</v>
      </c>
      <c r="E1106" t="s">
        <v>575</v>
      </c>
      <c r="F1106" t="s">
        <v>1537</v>
      </c>
      <c r="G1106" s="25">
        <v>44271</v>
      </c>
      <c r="H1106">
        <v>15</v>
      </c>
      <c r="I1106">
        <v>75</v>
      </c>
      <c r="J1106" t="s">
        <v>507</v>
      </c>
      <c r="K1106" t="s">
        <v>49</v>
      </c>
      <c r="L1106" t="s">
        <v>21</v>
      </c>
      <c r="M1106" t="s">
        <v>413</v>
      </c>
      <c r="N1106" t="s">
        <v>48</v>
      </c>
      <c r="O1106">
        <v>0</v>
      </c>
      <c r="P1106" t="s">
        <v>237</v>
      </c>
    </row>
    <row r="1107" spans="1:16" x14ac:dyDescent="0.25">
      <c r="A1107" t="s">
        <v>1947</v>
      </c>
      <c r="B1107">
        <v>1137</v>
      </c>
      <c r="C1107" t="s">
        <v>487</v>
      </c>
      <c r="D1107" t="s">
        <v>322</v>
      </c>
      <c r="E1107" t="s">
        <v>575</v>
      </c>
      <c r="F1107" t="s">
        <v>3014</v>
      </c>
      <c r="G1107" s="25">
        <v>44291</v>
      </c>
      <c r="H1107">
        <v>19</v>
      </c>
      <c r="I1107">
        <v>95</v>
      </c>
      <c r="J1107" t="s">
        <v>507</v>
      </c>
      <c r="K1107" t="s">
        <v>49</v>
      </c>
      <c r="L1107" t="s">
        <v>21</v>
      </c>
      <c r="M1107" t="s">
        <v>413</v>
      </c>
      <c r="N1107" t="s">
        <v>48</v>
      </c>
      <c r="O1107">
        <v>0</v>
      </c>
      <c r="P1107" t="s">
        <v>237</v>
      </c>
    </row>
    <row r="1108" spans="1:16" x14ac:dyDescent="0.25">
      <c r="A1108" t="s">
        <v>329</v>
      </c>
      <c r="B1108">
        <v>89</v>
      </c>
      <c r="C1108" t="s">
        <v>487</v>
      </c>
      <c r="D1108" t="s">
        <v>229</v>
      </c>
      <c r="E1108" t="s">
        <v>381</v>
      </c>
      <c r="F1108" t="s">
        <v>518</v>
      </c>
      <c r="G1108" s="25">
        <v>44204</v>
      </c>
      <c r="H1108">
        <v>2</v>
      </c>
      <c r="I1108">
        <v>8</v>
      </c>
      <c r="J1108" t="s">
        <v>507</v>
      </c>
      <c r="K1108" t="s">
        <v>49</v>
      </c>
      <c r="L1108" t="s">
        <v>21</v>
      </c>
      <c r="M1108" t="s">
        <v>413</v>
      </c>
      <c r="N1108" t="s">
        <v>48</v>
      </c>
      <c r="O1108">
        <v>0</v>
      </c>
      <c r="P1108" t="s">
        <v>237</v>
      </c>
    </row>
    <row r="1109" spans="1:16" x14ac:dyDescent="0.25">
      <c r="A1109" t="s">
        <v>2385</v>
      </c>
      <c r="B1109">
        <v>886</v>
      </c>
      <c r="C1109" t="s">
        <v>487</v>
      </c>
      <c r="D1109" t="s">
        <v>261</v>
      </c>
      <c r="E1109" t="s">
        <v>537</v>
      </c>
      <c r="F1109" t="s">
        <v>1530</v>
      </c>
      <c r="G1109" s="25">
        <v>44270</v>
      </c>
      <c r="H1109">
        <v>15</v>
      </c>
      <c r="I1109">
        <v>74</v>
      </c>
      <c r="J1109" t="s">
        <v>507</v>
      </c>
      <c r="K1109" t="s">
        <v>49</v>
      </c>
      <c r="L1109" t="s">
        <v>21</v>
      </c>
      <c r="M1109" t="s">
        <v>413</v>
      </c>
      <c r="N1109" t="s">
        <v>48</v>
      </c>
      <c r="O1109">
        <v>0</v>
      </c>
      <c r="P1109" t="s">
        <v>237</v>
      </c>
    </row>
    <row r="1110" spans="1:16" x14ac:dyDescent="0.25">
      <c r="A1110" t="s">
        <v>2499</v>
      </c>
      <c r="B1110">
        <v>1323</v>
      </c>
      <c r="C1110" t="s">
        <v>487</v>
      </c>
      <c r="D1110" t="s">
        <v>247</v>
      </c>
      <c r="E1110" t="s">
        <v>515</v>
      </c>
      <c r="F1110" t="s">
        <v>3134</v>
      </c>
      <c r="G1110" s="25">
        <v>44307</v>
      </c>
      <c r="H1110">
        <v>23</v>
      </c>
      <c r="I1110">
        <v>111</v>
      </c>
      <c r="J1110" t="s">
        <v>507</v>
      </c>
      <c r="K1110" t="s">
        <v>49</v>
      </c>
      <c r="L1110" t="s">
        <v>21</v>
      </c>
      <c r="M1110" t="s">
        <v>413</v>
      </c>
      <c r="N1110" t="s">
        <v>48</v>
      </c>
      <c r="O1110">
        <v>0</v>
      </c>
      <c r="P1110" t="s">
        <v>237</v>
      </c>
    </row>
    <row r="1111" spans="1:16" x14ac:dyDescent="0.25">
      <c r="A1111" t="s">
        <v>2442</v>
      </c>
      <c r="B1111">
        <v>1145</v>
      </c>
      <c r="C1111" t="s">
        <v>487</v>
      </c>
      <c r="D1111" t="s">
        <v>322</v>
      </c>
      <c r="E1111" t="s">
        <v>620</v>
      </c>
      <c r="F1111" t="s">
        <v>3025</v>
      </c>
      <c r="G1111" s="25">
        <v>44292</v>
      </c>
      <c r="H1111">
        <v>20</v>
      </c>
      <c r="I1111">
        <v>96</v>
      </c>
      <c r="J1111" t="s">
        <v>507</v>
      </c>
      <c r="K1111" t="s">
        <v>49</v>
      </c>
      <c r="L1111" t="s">
        <v>21</v>
      </c>
      <c r="M1111" t="s">
        <v>413</v>
      </c>
      <c r="N1111" t="s">
        <v>48</v>
      </c>
      <c r="O1111">
        <v>0</v>
      </c>
      <c r="P1111" t="s">
        <v>237</v>
      </c>
    </row>
    <row r="1112" spans="1:16" x14ac:dyDescent="0.25">
      <c r="A1112" t="s">
        <v>1664</v>
      </c>
      <c r="B1112">
        <v>694</v>
      </c>
      <c r="C1112" t="s">
        <v>487</v>
      </c>
      <c r="D1112" t="s">
        <v>256</v>
      </c>
      <c r="E1112" t="s">
        <v>552</v>
      </c>
      <c r="F1112" t="s">
        <v>1365</v>
      </c>
      <c r="G1112" s="25">
        <v>44254</v>
      </c>
      <c r="H1112">
        <v>12</v>
      </c>
      <c r="I1112">
        <v>58</v>
      </c>
      <c r="J1112" t="s">
        <v>507</v>
      </c>
      <c r="K1112" t="s">
        <v>49</v>
      </c>
      <c r="L1112" t="s">
        <v>21</v>
      </c>
      <c r="M1112" t="s">
        <v>413</v>
      </c>
      <c r="N1112" t="s">
        <v>48</v>
      </c>
      <c r="O1112">
        <v>0</v>
      </c>
      <c r="P1112" t="s">
        <v>237</v>
      </c>
    </row>
    <row r="1113" spans="1:16" x14ac:dyDescent="0.25">
      <c r="A1113" t="s">
        <v>709</v>
      </c>
      <c r="B1113">
        <v>416</v>
      </c>
      <c r="C1113" t="s">
        <v>487</v>
      </c>
      <c r="D1113" t="s">
        <v>231</v>
      </c>
      <c r="E1113" t="s">
        <v>575</v>
      </c>
      <c r="F1113" t="s">
        <v>1210</v>
      </c>
      <c r="G1113" s="25">
        <v>44231</v>
      </c>
      <c r="H1113">
        <v>7</v>
      </c>
      <c r="I1113">
        <v>35</v>
      </c>
      <c r="J1113" t="s">
        <v>507</v>
      </c>
      <c r="K1113" t="s">
        <v>49</v>
      </c>
      <c r="L1113" t="s">
        <v>21</v>
      </c>
      <c r="M1113" t="s">
        <v>413</v>
      </c>
      <c r="N1113" t="s">
        <v>48</v>
      </c>
      <c r="O1113">
        <v>0</v>
      </c>
      <c r="P1113" t="s">
        <v>237</v>
      </c>
    </row>
    <row r="1114" spans="1:16" x14ac:dyDescent="0.25">
      <c r="A1114" t="s">
        <v>358</v>
      </c>
      <c r="B1114">
        <v>38</v>
      </c>
      <c r="C1114" t="s">
        <v>487</v>
      </c>
      <c r="D1114" t="s">
        <v>229</v>
      </c>
      <c r="E1114" t="s">
        <v>261</v>
      </c>
      <c r="F1114" t="s">
        <v>549</v>
      </c>
      <c r="G1114" s="25">
        <v>44200</v>
      </c>
      <c r="H1114">
        <v>1</v>
      </c>
      <c r="I1114">
        <v>4</v>
      </c>
      <c r="J1114" t="s">
        <v>507</v>
      </c>
      <c r="K1114" t="s">
        <v>49</v>
      </c>
      <c r="L1114" t="s">
        <v>21</v>
      </c>
      <c r="M1114" t="s">
        <v>413</v>
      </c>
      <c r="N1114" t="s">
        <v>48</v>
      </c>
      <c r="O1114">
        <v>0</v>
      </c>
      <c r="P1114" t="s">
        <v>237</v>
      </c>
    </row>
    <row r="1115" spans="1:16" x14ac:dyDescent="0.25">
      <c r="A1115" t="s">
        <v>1757</v>
      </c>
      <c r="B1115">
        <v>586</v>
      </c>
      <c r="C1115" t="s">
        <v>487</v>
      </c>
      <c r="D1115" t="s">
        <v>256</v>
      </c>
      <c r="E1115" t="s">
        <v>371</v>
      </c>
      <c r="F1115" t="s">
        <v>1318</v>
      </c>
      <c r="G1115" s="25">
        <v>44245</v>
      </c>
      <c r="H1115">
        <v>10</v>
      </c>
      <c r="I1115">
        <v>49</v>
      </c>
      <c r="J1115" t="s">
        <v>507</v>
      </c>
      <c r="K1115" t="s">
        <v>49</v>
      </c>
      <c r="L1115" t="s">
        <v>21</v>
      </c>
      <c r="M1115" t="s">
        <v>413</v>
      </c>
      <c r="N1115" t="s">
        <v>48</v>
      </c>
      <c r="O1115">
        <v>0</v>
      </c>
      <c r="P1115" t="s">
        <v>237</v>
      </c>
    </row>
    <row r="1116" spans="1:16" x14ac:dyDescent="0.25">
      <c r="A1116" t="s">
        <v>1682</v>
      </c>
      <c r="B1116">
        <v>701</v>
      </c>
      <c r="C1116" t="s">
        <v>487</v>
      </c>
      <c r="D1116" t="s">
        <v>256</v>
      </c>
      <c r="E1116" t="s">
        <v>531</v>
      </c>
      <c r="F1116" t="s">
        <v>1373</v>
      </c>
      <c r="G1116" s="25">
        <v>44255</v>
      </c>
      <c r="H1116">
        <v>12</v>
      </c>
      <c r="I1116">
        <v>59</v>
      </c>
      <c r="J1116" t="s">
        <v>507</v>
      </c>
      <c r="K1116" t="s">
        <v>49</v>
      </c>
      <c r="L1116" t="s">
        <v>21</v>
      </c>
      <c r="M1116" t="s">
        <v>413</v>
      </c>
      <c r="N1116" t="s">
        <v>48</v>
      </c>
      <c r="O1116">
        <v>0</v>
      </c>
      <c r="P1116" t="s">
        <v>237</v>
      </c>
    </row>
    <row r="1117" spans="1:16" x14ac:dyDescent="0.25">
      <c r="A1117" t="s">
        <v>2407</v>
      </c>
      <c r="B1117">
        <v>1269</v>
      </c>
      <c r="C1117" t="s">
        <v>487</v>
      </c>
      <c r="D1117" t="s">
        <v>247</v>
      </c>
      <c r="E1117" t="s">
        <v>247</v>
      </c>
      <c r="F1117" t="s">
        <v>3085</v>
      </c>
      <c r="G1117" s="25">
        <v>44302</v>
      </c>
      <c r="H1117">
        <v>22</v>
      </c>
      <c r="I1117">
        <v>106</v>
      </c>
      <c r="J1117" t="s">
        <v>507</v>
      </c>
      <c r="K1117" t="s">
        <v>49</v>
      </c>
      <c r="L1117" t="s">
        <v>21</v>
      </c>
      <c r="M1117" t="s">
        <v>413</v>
      </c>
      <c r="N1117" t="s">
        <v>48</v>
      </c>
      <c r="O1117">
        <v>0</v>
      </c>
      <c r="P1117" t="s">
        <v>237</v>
      </c>
    </row>
    <row r="1118" spans="1:16" x14ac:dyDescent="0.25">
      <c r="A1118" t="s">
        <v>2032</v>
      </c>
      <c r="B1118">
        <v>1215</v>
      </c>
      <c r="C1118" t="s">
        <v>487</v>
      </c>
      <c r="D1118" t="s">
        <v>247</v>
      </c>
      <c r="E1118" t="s">
        <v>231</v>
      </c>
      <c r="F1118" t="s">
        <v>3070</v>
      </c>
      <c r="G1118" s="25">
        <v>44298</v>
      </c>
      <c r="H1118">
        <v>21</v>
      </c>
      <c r="I1118">
        <v>102</v>
      </c>
      <c r="J1118" t="s">
        <v>507</v>
      </c>
      <c r="K1118" t="s">
        <v>49</v>
      </c>
      <c r="L1118" t="s">
        <v>21</v>
      </c>
      <c r="M1118" t="s">
        <v>413</v>
      </c>
      <c r="N1118" t="s">
        <v>48</v>
      </c>
      <c r="O1118">
        <v>0</v>
      </c>
      <c r="P1118" t="s">
        <v>237</v>
      </c>
    </row>
    <row r="1119" spans="1:16" x14ac:dyDescent="0.25">
      <c r="A1119" t="s">
        <v>564</v>
      </c>
      <c r="B1119">
        <v>452</v>
      </c>
      <c r="C1119" t="s">
        <v>487</v>
      </c>
      <c r="D1119" t="s">
        <v>231</v>
      </c>
      <c r="E1119" t="s">
        <v>552</v>
      </c>
      <c r="F1119" t="s">
        <v>1222</v>
      </c>
      <c r="G1119" s="25">
        <v>44234</v>
      </c>
      <c r="H1119">
        <v>8</v>
      </c>
      <c r="I1119">
        <v>38</v>
      </c>
      <c r="J1119" t="s">
        <v>507</v>
      </c>
      <c r="K1119" t="s">
        <v>49</v>
      </c>
      <c r="L1119" t="s">
        <v>21</v>
      </c>
      <c r="M1119" t="s">
        <v>413</v>
      </c>
      <c r="N1119" t="s">
        <v>48</v>
      </c>
      <c r="O1119">
        <v>0</v>
      </c>
      <c r="P1119" t="s">
        <v>237</v>
      </c>
    </row>
    <row r="1120" spans="1:16" x14ac:dyDescent="0.25">
      <c r="A1120" t="s">
        <v>1874</v>
      </c>
      <c r="B1120">
        <v>760</v>
      </c>
      <c r="C1120" t="s">
        <v>487</v>
      </c>
      <c r="D1120" t="s">
        <v>261</v>
      </c>
      <c r="E1120" t="s">
        <v>261</v>
      </c>
      <c r="F1120" t="s">
        <v>1410</v>
      </c>
      <c r="G1120" s="25">
        <v>44260</v>
      </c>
      <c r="H1120">
        <v>13</v>
      </c>
      <c r="I1120">
        <v>64</v>
      </c>
      <c r="J1120" t="s">
        <v>507</v>
      </c>
      <c r="K1120" t="s">
        <v>49</v>
      </c>
      <c r="L1120" t="s">
        <v>21</v>
      </c>
      <c r="M1120" t="s">
        <v>413</v>
      </c>
      <c r="N1120" t="s">
        <v>48</v>
      </c>
      <c r="O1120">
        <v>0</v>
      </c>
      <c r="P1120" t="s">
        <v>237</v>
      </c>
    </row>
    <row r="1121" spans="1:16" x14ac:dyDescent="0.25">
      <c r="A1121" t="s">
        <v>1841</v>
      </c>
      <c r="B1121">
        <v>809</v>
      </c>
      <c r="C1121" t="s">
        <v>487</v>
      </c>
      <c r="D1121" t="s">
        <v>261</v>
      </c>
      <c r="E1121" t="s">
        <v>381</v>
      </c>
      <c r="F1121" t="s">
        <v>1458</v>
      </c>
      <c r="G1121" s="25">
        <v>44264</v>
      </c>
      <c r="H1121">
        <v>14</v>
      </c>
      <c r="I1121">
        <v>68</v>
      </c>
      <c r="J1121" t="s">
        <v>507</v>
      </c>
      <c r="K1121" t="s">
        <v>49</v>
      </c>
      <c r="L1121" t="s">
        <v>21</v>
      </c>
      <c r="M1121" t="s">
        <v>413</v>
      </c>
      <c r="N1121" t="s">
        <v>48</v>
      </c>
      <c r="O1121">
        <v>0</v>
      </c>
      <c r="P1121" t="s">
        <v>237</v>
      </c>
    </row>
    <row r="1122" spans="1:16" x14ac:dyDescent="0.25">
      <c r="A1122" t="s">
        <v>355</v>
      </c>
      <c r="B1122">
        <v>53</v>
      </c>
      <c r="C1122" t="s">
        <v>487</v>
      </c>
      <c r="D1122" t="s">
        <v>229</v>
      </c>
      <c r="E1122" t="s">
        <v>322</v>
      </c>
      <c r="F1122" t="s">
        <v>529</v>
      </c>
      <c r="G1122" s="25">
        <v>44201</v>
      </c>
      <c r="H1122">
        <v>1</v>
      </c>
      <c r="I1122">
        <v>5</v>
      </c>
      <c r="J1122" t="s">
        <v>507</v>
      </c>
      <c r="K1122" t="s">
        <v>49</v>
      </c>
      <c r="L1122" t="s">
        <v>21</v>
      </c>
      <c r="M1122" t="s">
        <v>413</v>
      </c>
      <c r="N1122" t="s">
        <v>48</v>
      </c>
      <c r="O1122">
        <v>0</v>
      </c>
      <c r="P1122" t="s">
        <v>237</v>
      </c>
    </row>
    <row r="1123" spans="1:16" x14ac:dyDescent="0.25">
      <c r="A1123" t="s">
        <v>1976</v>
      </c>
      <c r="B1123">
        <v>510</v>
      </c>
      <c r="C1123" t="s">
        <v>487</v>
      </c>
      <c r="D1123" t="s">
        <v>256</v>
      </c>
      <c r="E1123" t="s">
        <v>256</v>
      </c>
      <c r="F1123" t="s">
        <v>1263</v>
      </c>
      <c r="G1123" s="25">
        <v>44239</v>
      </c>
      <c r="H1123">
        <v>9</v>
      </c>
      <c r="I1123">
        <v>43</v>
      </c>
      <c r="J1123" t="s">
        <v>507</v>
      </c>
      <c r="K1123" t="s">
        <v>49</v>
      </c>
      <c r="L1123" t="s">
        <v>21</v>
      </c>
      <c r="M1123" t="s">
        <v>413</v>
      </c>
      <c r="N1123" t="s">
        <v>48</v>
      </c>
      <c r="O1123">
        <v>0</v>
      </c>
      <c r="P1123" t="s">
        <v>237</v>
      </c>
    </row>
    <row r="1124" spans="1:16" x14ac:dyDescent="0.25">
      <c r="A1124" t="s">
        <v>2396</v>
      </c>
      <c r="B1124">
        <v>802</v>
      </c>
      <c r="C1124" t="s">
        <v>487</v>
      </c>
      <c r="D1124" t="s">
        <v>261</v>
      </c>
      <c r="E1124" t="s">
        <v>326</v>
      </c>
      <c r="F1124" t="s">
        <v>1440</v>
      </c>
      <c r="G1124" s="25">
        <v>44263</v>
      </c>
      <c r="H1124">
        <v>14</v>
      </c>
      <c r="I1124">
        <v>67</v>
      </c>
      <c r="J1124" t="s">
        <v>507</v>
      </c>
      <c r="K1124" t="s">
        <v>49</v>
      </c>
      <c r="L1124" t="s">
        <v>21</v>
      </c>
      <c r="M1124" t="s">
        <v>413</v>
      </c>
      <c r="N1124" t="s">
        <v>48</v>
      </c>
      <c r="O1124">
        <v>0</v>
      </c>
      <c r="P1124" t="s">
        <v>237</v>
      </c>
    </row>
    <row r="1125" spans="1:16" x14ac:dyDescent="0.25">
      <c r="A1125" t="s">
        <v>2602</v>
      </c>
      <c r="B1125">
        <v>1233</v>
      </c>
      <c r="C1125" t="s">
        <v>487</v>
      </c>
      <c r="D1125" t="s">
        <v>247</v>
      </c>
      <c r="E1125" t="s">
        <v>256</v>
      </c>
      <c r="F1125" t="s">
        <v>3073</v>
      </c>
      <c r="G1125" s="25">
        <v>44299</v>
      </c>
      <c r="H1125">
        <v>21</v>
      </c>
      <c r="I1125">
        <v>103</v>
      </c>
      <c r="J1125" t="s">
        <v>507</v>
      </c>
      <c r="K1125" t="s">
        <v>49</v>
      </c>
      <c r="L1125" t="s">
        <v>21</v>
      </c>
      <c r="M1125" t="s">
        <v>413</v>
      </c>
      <c r="N1125" t="s">
        <v>48</v>
      </c>
      <c r="O1125">
        <v>0</v>
      </c>
      <c r="P1125" t="s">
        <v>237</v>
      </c>
    </row>
    <row r="1126" spans="1:16" x14ac:dyDescent="0.25">
      <c r="A1126" t="s">
        <v>2440</v>
      </c>
      <c r="B1126">
        <v>573</v>
      </c>
      <c r="C1126" t="s">
        <v>487</v>
      </c>
      <c r="D1126" t="s">
        <v>256</v>
      </c>
      <c r="E1126" t="s">
        <v>381</v>
      </c>
      <c r="F1126" t="s">
        <v>1311</v>
      </c>
      <c r="G1126" s="25">
        <v>44244</v>
      </c>
      <c r="H1126">
        <v>10</v>
      </c>
      <c r="I1126">
        <v>48</v>
      </c>
      <c r="J1126" t="s">
        <v>507</v>
      </c>
      <c r="K1126" t="s">
        <v>49</v>
      </c>
      <c r="L1126" t="s">
        <v>21</v>
      </c>
      <c r="M1126" t="s">
        <v>413</v>
      </c>
      <c r="N1126" t="s">
        <v>48</v>
      </c>
      <c r="O1126">
        <v>0</v>
      </c>
      <c r="P1126" t="s">
        <v>237</v>
      </c>
    </row>
    <row r="1127" spans="1:16" x14ac:dyDescent="0.25">
      <c r="A1127" t="s">
        <v>1691</v>
      </c>
      <c r="B1127">
        <v>1252</v>
      </c>
      <c r="C1127" t="s">
        <v>487</v>
      </c>
      <c r="D1127" t="s">
        <v>247</v>
      </c>
      <c r="E1127" t="s">
        <v>322</v>
      </c>
      <c r="F1127" t="s">
        <v>3083</v>
      </c>
      <c r="G1127" s="25">
        <v>44301</v>
      </c>
      <c r="H1127">
        <v>21</v>
      </c>
      <c r="I1127">
        <v>105</v>
      </c>
      <c r="J1127" t="s">
        <v>507</v>
      </c>
      <c r="K1127" t="s">
        <v>49</v>
      </c>
      <c r="L1127" t="s">
        <v>21</v>
      </c>
      <c r="M1127" t="s">
        <v>413</v>
      </c>
      <c r="N1127" t="s">
        <v>48</v>
      </c>
      <c r="O1127">
        <v>0</v>
      </c>
      <c r="P1127" t="s">
        <v>237</v>
      </c>
    </row>
    <row r="1128" spans="1:16" x14ac:dyDescent="0.25">
      <c r="A1128" t="s">
        <v>639</v>
      </c>
      <c r="B1128">
        <v>318</v>
      </c>
      <c r="C1128" t="s">
        <v>487</v>
      </c>
      <c r="D1128" t="s">
        <v>231</v>
      </c>
      <c r="E1128" t="s">
        <v>326</v>
      </c>
      <c r="F1128" t="s">
        <v>1095</v>
      </c>
      <c r="G1128" s="25">
        <v>44223</v>
      </c>
      <c r="H1128">
        <v>6</v>
      </c>
      <c r="I1128">
        <v>27</v>
      </c>
      <c r="J1128" t="s">
        <v>507</v>
      </c>
      <c r="K1128" t="s">
        <v>49</v>
      </c>
      <c r="L1128" t="s">
        <v>21</v>
      </c>
      <c r="M1128" t="s">
        <v>413</v>
      </c>
      <c r="N1128" t="s">
        <v>48</v>
      </c>
      <c r="O1128">
        <v>0</v>
      </c>
      <c r="P1128" t="s">
        <v>237</v>
      </c>
    </row>
    <row r="1129" spans="1:16" x14ac:dyDescent="0.25">
      <c r="A1129" t="s">
        <v>2768</v>
      </c>
      <c r="B1129">
        <v>774</v>
      </c>
      <c r="C1129" t="s">
        <v>487</v>
      </c>
      <c r="D1129" t="s">
        <v>261</v>
      </c>
      <c r="E1129" t="s">
        <v>322</v>
      </c>
      <c r="F1129" t="s">
        <v>1417</v>
      </c>
      <c r="G1129" s="25">
        <v>44261</v>
      </c>
      <c r="H1129">
        <v>13</v>
      </c>
      <c r="I1129">
        <v>65</v>
      </c>
      <c r="J1129" t="s">
        <v>507</v>
      </c>
      <c r="K1129" t="s">
        <v>49</v>
      </c>
      <c r="L1129" t="s">
        <v>21</v>
      </c>
      <c r="M1129" t="s">
        <v>413</v>
      </c>
      <c r="N1129" t="s">
        <v>48</v>
      </c>
      <c r="O1129">
        <v>0</v>
      </c>
      <c r="P1129" t="s">
        <v>237</v>
      </c>
    </row>
    <row r="1130" spans="1:16" x14ac:dyDescent="0.25">
      <c r="A1130" t="s">
        <v>645</v>
      </c>
      <c r="B1130">
        <v>389</v>
      </c>
      <c r="C1130" t="s">
        <v>487</v>
      </c>
      <c r="D1130" t="s">
        <v>231</v>
      </c>
      <c r="E1130" t="s">
        <v>512</v>
      </c>
      <c r="F1130" t="s">
        <v>1174</v>
      </c>
      <c r="G1130" s="25">
        <v>44229</v>
      </c>
      <c r="H1130">
        <v>7</v>
      </c>
      <c r="I1130">
        <v>33</v>
      </c>
      <c r="J1130" t="s">
        <v>507</v>
      </c>
      <c r="K1130" t="s">
        <v>49</v>
      </c>
      <c r="L1130" t="s">
        <v>21</v>
      </c>
      <c r="M1130" t="s">
        <v>413</v>
      </c>
      <c r="N1130" t="s">
        <v>48</v>
      </c>
      <c r="O1130">
        <v>0</v>
      </c>
      <c r="P1130" t="s">
        <v>237</v>
      </c>
    </row>
    <row r="1131" spans="1:16" x14ac:dyDescent="0.25">
      <c r="A1131" t="s">
        <v>584</v>
      </c>
      <c r="B1131">
        <v>195</v>
      </c>
      <c r="C1131" t="s">
        <v>487</v>
      </c>
      <c r="D1131" t="s">
        <v>229</v>
      </c>
      <c r="E1131" t="s">
        <v>534</v>
      </c>
      <c r="F1131" t="s">
        <v>535</v>
      </c>
      <c r="G1131" s="25">
        <v>44213</v>
      </c>
      <c r="H1131">
        <v>4</v>
      </c>
      <c r="I1131">
        <v>17</v>
      </c>
      <c r="J1131" t="s">
        <v>507</v>
      </c>
      <c r="K1131" t="s">
        <v>49</v>
      </c>
      <c r="L1131" t="s">
        <v>21</v>
      </c>
      <c r="M1131" t="s">
        <v>413</v>
      </c>
      <c r="N1131" t="s">
        <v>48</v>
      </c>
      <c r="O1131">
        <v>0</v>
      </c>
      <c r="P1131" t="s">
        <v>237</v>
      </c>
    </row>
    <row r="1132" spans="1:16" x14ac:dyDescent="0.25">
      <c r="A1132" t="s">
        <v>523</v>
      </c>
      <c r="B1132">
        <v>277</v>
      </c>
      <c r="C1132" t="s">
        <v>487</v>
      </c>
      <c r="D1132" t="s">
        <v>231</v>
      </c>
      <c r="E1132" t="s">
        <v>261</v>
      </c>
      <c r="F1132" t="s">
        <v>1065</v>
      </c>
      <c r="G1132" s="25">
        <v>44220</v>
      </c>
      <c r="H1132">
        <v>5</v>
      </c>
      <c r="I1132">
        <v>24</v>
      </c>
      <c r="J1132" t="s">
        <v>507</v>
      </c>
      <c r="K1132" t="s">
        <v>49</v>
      </c>
      <c r="L1132" t="s">
        <v>21</v>
      </c>
      <c r="M1132" t="s">
        <v>413</v>
      </c>
      <c r="N1132" t="s">
        <v>48</v>
      </c>
      <c r="O1132">
        <v>0</v>
      </c>
      <c r="P1132" t="s">
        <v>237</v>
      </c>
    </row>
    <row r="1133" spans="1:16" x14ac:dyDescent="0.25">
      <c r="A1133" t="s">
        <v>2468</v>
      </c>
      <c r="B1133">
        <v>1247</v>
      </c>
      <c r="C1133" t="s">
        <v>487</v>
      </c>
      <c r="D1133" t="s">
        <v>247</v>
      </c>
      <c r="E1133" t="s">
        <v>261</v>
      </c>
      <c r="F1133" t="s">
        <v>3078</v>
      </c>
      <c r="G1133" s="25">
        <v>44300</v>
      </c>
      <c r="H1133">
        <v>21</v>
      </c>
      <c r="I1133">
        <v>104</v>
      </c>
      <c r="J1133" t="s">
        <v>507</v>
      </c>
      <c r="K1133" t="s">
        <v>49</v>
      </c>
      <c r="L1133" t="s">
        <v>21</v>
      </c>
      <c r="M1133" t="s">
        <v>413</v>
      </c>
      <c r="N1133" t="s">
        <v>48</v>
      </c>
      <c r="O1133">
        <v>0</v>
      </c>
      <c r="P1133" t="s">
        <v>237</v>
      </c>
    </row>
    <row r="1134" spans="1:16" x14ac:dyDescent="0.25">
      <c r="A1134" t="s">
        <v>2665</v>
      </c>
      <c r="B1134">
        <v>781</v>
      </c>
      <c r="C1134" t="s">
        <v>487</v>
      </c>
      <c r="D1134" t="s">
        <v>261</v>
      </c>
      <c r="E1134" t="s">
        <v>247</v>
      </c>
      <c r="F1134" t="s">
        <v>1425</v>
      </c>
      <c r="G1134" s="25">
        <v>44262</v>
      </c>
      <c r="H1134">
        <v>14</v>
      </c>
      <c r="I1134">
        <v>66</v>
      </c>
      <c r="J1134" t="s">
        <v>507</v>
      </c>
      <c r="K1134" t="s">
        <v>49</v>
      </c>
      <c r="L1134" t="s">
        <v>21</v>
      </c>
      <c r="M1134" t="s">
        <v>413</v>
      </c>
      <c r="N1134" t="s">
        <v>48</v>
      </c>
      <c r="O1134">
        <v>0</v>
      </c>
      <c r="P1134" t="s">
        <v>237</v>
      </c>
    </row>
    <row r="1135" spans="1:16" x14ac:dyDescent="0.25">
      <c r="A1135" t="s">
        <v>785</v>
      </c>
      <c r="B1135">
        <v>335</v>
      </c>
      <c r="C1135" t="s">
        <v>487</v>
      </c>
      <c r="D1135" t="s">
        <v>231</v>
      </c>
      <c r="E1135" t="s">
        <v>381</v>
      </c>
      <c r="F1135" t="s">
        <v>1099</v>
      </c>
      <c r="G1135" s="25">
        <v>44224</v>
      </c>
      <c r="H1135">
        <v>6</v>
      </c>
      <c r="I1135">
        <v>28</v>
      </c>
      <c r="J1135" t="s">
        <v>507</v>
      </c>
      <c r="K1135" t="s">
        <v>49</v>
      </c>
      <c r="L1135" t="s">
        <v>21</v>
      </c>
      <c r="M1135" t="s">
        <v>413</v>
      </c>
      <c r="N1135" t="s">
        <v>48</v>
      </c>
      <c r="O1135">
        <v>0</v>
      </c>
      <c r="P1135" t="s">
        <v>237</v>
      </c>
    </row>
    <row r="1136" spans="1:16" x14ac:dyDescent="0.25">
      <c r="A1136" t="s">
        <v>1686</v>
      </c>
      <c r="B1136">
        <v>1292</v>
      </c>
      <c r="C1136" t="s">
        <v>487</v>
      </c>
      <c r="D1136" t="s">
        <v>247</v>
      </c>
      <c r="E1136" t="s">
        <v>381</v>
      </c>
      <c r="F1136" t="s">
        <v>3107</v>
      </c>
      <c r="G1136" s="25">
        <v>44304</v>
      </c>
      <c r="H1136">
        <v>22</v>
      </c>
      <c r="I1136">
        <v>108</v>
      </c>
      <c r="J1136" t="s">
        <v>507</v>
      </c>
      <c r="K1136" t="s">
        <v>49</v>
      </c>
      <c r="L1136" t="s">
        <v>21</v>
      </c>
      <c r="M1136" t="s">
        <v>413</v>
      </c>
      <c r="N1136" t="s">
        <v>48</v>
      </c>
      <c r="O1136">
        <v>0</v>
      </c>
      <c r="P1136" t="s">
        <v>237</v>
      </c>
    </row>
    <row r="1137" spans="1:16" x14ac:dyDescent="0.25">
      <c r="A1137" t="s">
        <v>1995</v>
      </c>
      <c r="B1137">
        <v>733</v>
      </c>
      <c r="C1137" t="s">
        <v>487</v>
      </c>
      <c r="D1137" t="s">
        <v>261</v>
      </c>
      <c r="E1137" t="s">
        <v>231</v>
      </c>
      <c r="F1137" t="s">
        <v>1400</v>
      </c>
      <c r="G1137" s="25">
        <v>44258</v>
      </c>
      <c r="H1137">
        <v>13</v>
      </c>
      <c r="I1137">
        <v>62</v>
      </c>
      <c r="J1137" t="s">
        <v>507</v>
      </c>
      <c r="K1137" t="s">
        <v>49</v>
      </c>
      <c r="L1137" t="s">
        <v>21</v>
      </c>
      <c r="M1137" t="s">
        <v>413</v>
      </c>
      <c r="N1137" t="s">
        <v>48</v>
      </c>
      <c r="O1137">
        <v>0</v>
      </c>
      <c r="P1137" t="s">
        <v>237</v>
      </c>
    </row>
    <row r="1138" spans="1:16" x14ac:dyDescent="0.25">
      <c r="A1138" t="s">
        <v>831</v>
      </c>
      <c r="B1138">
        <v>401</v>
      </c>
      <c r="C1138" t="s">
        <v>487</v>
      </c>
      <c r="D1138" t="s">
        <v>231</v>
      </c>
      <c r="E1138" t="s">
        <v>537</v>
      </c>
      <c r="F1138" t="s">
        <v>1192</v>
      </c>
      <c r="G1138" s="25">
        <v>44230</v>
      </c>
      <c r="H1138">
        <v>7</v>
      </c>
      <c r="I1138">
        <v>34</v>
      </c>
      <c r="J1138" t="s">
        <v>507</v>
      </c>
      <c r="K1138" t="s">
        <v>49</v>
      </c>
      <c r="L1138" t="s">
        <v>21</v>
      </c>
      <c r="M1138" t="s">
        <v>413</v>
      </c>
      <c r="N1138" t="s">
        <v>48</v>
      </c>
      <c r="O1138">
        <v>0</v>
      </c>
      <c r="P1138" t="s">
        <v>237</v>
      </c>
    </row>
    <row r="1139" spans="1:16" x14ac:dyDescent="0.25">
      <c r="A1139" t="s">
        <v>2829</v>
      </c>
      <c r="B1139">
        <v>837</v>
      </c>
      <c r="C1139" t="s">
        <v>487</v>
      </c>
      <c r="D1139" t="s">
        <v>261</v>
      </c>
      <c r="E1139" t="s">
        <v>239</v>
      </c>
      <c r="F1139" t="s">
        <v>1703</v>
      </c>
      <c r="G1139" s="25">
        <v>44266</v>
      </c>
      <c r="H1139">
        <v>14</v>
      </c>
      <c r="I1139">
        <v>70</v>
      </c>
      <c r="J1139" t="s">
        <v>507</v>
      </c>
      <c r="K1139" t="s">
        <v>49</v>
      </c>
      <c r="L1139" t="s">
        <v>21</v>
      </c>
      <c r="M1139" t="s">
        <v>413</v>
      </c>
      <c r="N1139" t="s">
        <v>48</v>
      </c>
      <c r="O1139">
        <v>0</v>
      </c>
      <c r="P1139" t="s">
        <v>237</v>
      </c>
    </row>
    <row r="1140" spans="1:16" x14ac:dyDescent="0.25">
      <c r="A1140" t="s">
        <v>2508</v>
      </c>
      <c r="B1140">
        <v>1194</v>
      </c>
      <c r="C1140" t="s">
        <v>487</v>
      </c>
      <c r="D1140" t="s">
        <v>322</v>
      </c>
      <c r="E1140" t="s">
        <v>408</v>
      </c>
      <c r="F1140" t="s">
        <v>3059</v>
      </c>
      <c r="G1140" s="25">
        <v>44296</v>
      </c>
      <c r="H1140">
        <v>20</v>
      </c>
      <c r="I1140">
        <v>100</v>
      </c>
      <c r="J1140" t="s">
        <v>507</v>
      </c>
      <c r="K1140" t="s">
        <v>49</v>
      </c>
      <c r="L1140" t="s">
        <v>21</v>
      </c>
      <c r="M1140" t="s">
        <v>413</v>
      </c>
      <c r="N1140" t="s">
        <v>48</v>
      </c>
      <c r="O1140">
        <v>0</v>
      </c>
      <c r="P1140" t="s">
        <v>237</v>
      </c>
    </row>
    <row r="1141" spans="1:16" x14ac:dyDescent="0.25">
      <c r="A1141" t="s">
        <v>2870</v>
      </c>
      <c r="B1141">
        <v>1013</v>
      </c>
      <c r="C1141" t="s">
        <v>487</v>
      </c>
      <c r="D1141" t="s">
        <v>322</v>
      </c>
      <c r="E1141" t="s">
        <v>322</v>
      </c>
      <c r="F1141" t="s">
        <v>2960</v>
      </c>
      <c r="G1141" s="25">
        <v>44281</v>
      </c>
      <c r="H1141">
        <v>17</v>
      </c>
      <c r="I1141">
        <v>85</v>
      </c>
      <c r="J1141" t="s">
        <v>507</v>
      </c>
      <c r="K1141" t="s">
        <v>49</v>
      </c>
      <c r="L1141" t="s">
        <v>21</v>
      </c>
      <c r="M1141" t="s">
        <v>413</v>
      </c>
      <c r="N1141" t="s">
        <v>48</v>
      </c>
      <c r="O1141">
        <v>0</v>
      </c>
      <c r="P1141" t="s">
        <v>237</v>
      </c>
    </row>
    <row r="1142" spans="1:16" x14ac:dyDescent="0.25">
      <c r="A1142" t="s">
        <v>344</v>
      </c>
      <c r="B1142">
        <v>74</v>
      </c>
      <c r="C1142" t="s">
        <v>487</v>
      </c>
      <c r="D1142" t="s">
        <v>229</v>
      </c>
      <c r="E1142" t="s">
        <v>326</v>
      </c>
      <c r="F1142" t="s">
        <v>522</v>
      </c>
      <c r="G1142" s="25">
        <v>44203</v>
      </c>
      <c r="H1142">
        <v>2</v>
      </c>
      <c r="I1142">
        <v>7</v>
      </c>
      <c r="J1142" t="s">
        <v>507</v>
      </c>
      <c r="K1142" t="s">
        <v>49</v>
      </c>
      <c r="L1142" t="s">
        <v>21</v>
      </c>
      <c r="M1142" t="s">
        <v>413</v>
      </c>
      <c r="N1142" t="s">
        <v>48</v>
      </c>
      <c r="O1142">
        <v>0</v>
      </c>
      <c r="P1142" t="s">
        <v>237</v>
      </c>
    </row>
    <row r="1143" spans="1:16" x14ac:dyDescent="0.25">
      <c r="A1143" t="s">
        <v>637</v>
      </c>
      <c r="B1143">
        <v>209</v>
      </c>
      <c r="C1143" t="s">
        <v>487</v>
      </c>
      <c r="D1143" t="s">
        <v>229</v>
      </c>
      <c r="E1143" t="s">
        <v>552</v>
      </c>
      <c r="F1143" t="s">
        <v>553</v>
      </c>
      <c r="G1143" s="25">
        <v>44214</v>
      </c>
      <c r="H1143">
        <v>4</v>
      </c>
      <c r="I1143">
        <v>18</v>
      </c>
      <c r="J1143" t="s">
        <v>507</v>
      </c>
      <c r="K1143" t="s">
        <v>49</v>
      </c>
      <c r="L1143" t="s">
        <v>21</v>
      </c>
      <c r="M1143" t="s">
        <v>413</v>
      </c>
      <c r="N1143" t="s">
        <v>48</v>
      </c>
      <c r="O1143">
        <v>0</v>
      </c>
      <c r="P1143" t="s">
        <v>237</v>
      </c>
    </row>
    <row r="1144" spans="1:16" x14ac:dyDescent="0.25">
      <c r="A1144" t="s">
        <v>2170</v>
      </c>
      <c r="B1144">
        <v>1022</v>
      </c>
      <c r="C1144" t="s">
        <v>487</v>
      </c>
      <c r="D1144" t="s">
        <v>322</v>
      </c>
      <c r="E1144" t="s">
        <v>247</v>
      </c>
      <c r="F1144" t="s">
        <v>2963</v>
      </c>
      <c r="G1144" s="25">
        <v>44282</v>
      </c>
      <c r="H1144">
        <v>18</v>
      </c>
      <c r="I1144">
        <v>86</v>
      </c>
      <c r="J1144" t="s">
        <v>507</v>
      </c>
      <c r="K1144" t="s">
        <v>49</v>
      </c>
      <c r="L1144" t="s">
        <v>21</v>
      </c>
      <c r="M1144" t="s">
        <v>413</v>
      </c>
      <c r="N1144" t="s">
        <v>48</v>
      </c>
      <c r="O1144">
        <v>0</v>
      </c>
      <c r="P1144" t="s">
        <v>237</v>
      </c>
    </row>
    <row r="1145" spans="1:16" x14ac:dyDescent="0.25">
      <c r="A1145" t="s">
        <v>551</v>
      </c>
      <c r="B1145">
        <v>377</v>
      </c>
      <c r="C1145" t="s">
        <v>487</v>
      </c>
      <c r="D1145" t="s">
        <v>231</v>
      </c>
      <c r="E1145" t="s">
        <v>232</v>
      </c>
      <c r="F1145" t="s">
        <v>1162</v>
      </c>
      <c r="G1145" s="25">
        <v>44228</v>
      </c>
      <c r="H1145">
        <v>7</v>
      </c>
      <c r="I1145">
        <v>32</v>
      </c>
      <c r="J1145" t="s">
        <v>507</v>
      </c>
      <c r="K1145" t="s">
        <v>49</v>
      </c>
      <c r="L1145" t="s">
        <v>21</v>
      </c>
      <c r="M1145" t="s">
        <v>413</v>
      </c>
      <c r="N1145" t="s">
        <v>48</v>
      </c>
      <c r="O1145">
        <v>0</v>
      </c>
      <c r="P1145" t="s">
        <v>237</v>
      </c>
    </row>
    <row r="1146" spans="1:16" x14ac:dyDescent="0.25">
      <c r="A1146" t="s">
        <v>2414</v>
      </c>
      <c r="B1146">
        <v>526</v>
      </c>
      <c r="C1146" t="s">
        <v>487</v>
      </c>
      <c r="D1146" t="s">
        <v>256</v>
      </c>
      <c r="E1146" t="s">
        <v>261</v>
      </c>
      <c r="F1146" t="s">
        <v>1276</v>
      </c>
      <c r="G1146" s="25">
        <v>44240</v>
      </c>
      <c r="H1146">
        <v>9</v>
      </c>
      <c r="I1146">
        <v>44</v>
      </c>
      <c r="J1146" t="s">
        <v>507</v>
      </c>
      <c r="K1146" t="s">
        <v>49</v>
      </c>
      <c r="L1146" t="s">
        <v>21</v>
      </c>
      <c r="M1146" t="s">
        <v>413</v>
      </c>
      <c r="N1146" t="s">
        <v>48</v>
      </c>
      <c r="O1146">
        <v>0</v>
      </c>
      <c r="P1146" t="s">
        <v>237</v>
      </c>
    </row>
    <row r="1147" spans="1:16" x14ac:dyDescent="0.25">
      <c r="A1147" t="s">
        <v>2831</v>
      </c>
      <c r="B1147">
        <v>823</v>
      </c>
      <c r="C1147" t="s">
        <v>487</v>
      </c>
      <c r="D1147" t="s">
        <v>261</v>
      </c>
      <c r="E1147" t="s">
        <v>371</v>
      </c>
      <c r="F1147" t="s">
        <v>1478</v>
      </c>
      <c r="G1147" s="25">
        <v>44265</v>
      </c>
      <c r="H1147">
        <v>14</v>
      </c>
      <c r="I1147">
        <v>69</v>
      </c>
      <c r="J1147" t="s">
        <v>507</v>
      </c>
      <c r="K1147" t="s">
        <v>49</v>
      </c>
      <c r="L1147" t="s">
        <v>21</v>
      </c>
      <c r="M1147" t="s">
        <v>413</v>
      </c>
      <c r="N1147" t="s">
        <v>48</v>
      </c>
      <c r="O1147">
        <v>0</v>
      </c>
      <c r="P1147" t="s">
        <v>237</v>
      </c>
    </row>
    <row r="1148" spans="1:16" x14ac:dyDescent="0.25">
      <c r="A1148" t="s">
        <v>1816</v>
      </c>
      <c r="B1148">
        <v>1277</v>
      </c>
      <c r="C1148" t="s">
        <v>487</v>
      </c>
      <c r="D1148" t="s">
        <v>247</v>
      </c>
      <c r="E1148" t="s">
        <v>326</v>
      </c>
      <c r="F1148" t="s">
        <v>3091</v>
      </c>
      <c r="G1148" s="25">
        <v>44303</v>
      </c>
      <c r="H1148">
        <v>22</v>
      </c>
      <c r="I1148">
        <v>107</v>
      </c>
      <c r="J1148" t="s">
        <v>507</v>
      </c>
      <c r="K1148" t="s">
        <v>49</v>
      </c>
      <c r="L1148" t="s">
        <v>21</v>
      </c>
      <c r="M1148" t="s">
        <v>413</v>
      </c>
      <c r="N1148" t="s">
        <v>48</v>
      </c>
      <c r="O1148">
        <v>0</v>
      </c>
      <c r="P1148" t="s">
        <v>237</v>
      </c>
    </row>
    <row r="1149" spans="1:16" x14ac:dyDescent="0.25">
      <c r="A1149" t="s">
        <v>311</v>
      </c>
      <c r="B1149">
        <v>69</v>
      </c>
      <c r="C1149" t="s">
        <v>487</v>
      </c>
      <c r="D1149" t="s">
        <v>229</v>
      </c>
      <c r="E1149" t="s">
        <v>247</v>
      </c>
      <c r="F1149" t="s">
        <v>524</v>
      </c>
      <c r="G1149" s="25">
        <v>44202</v>
      </c>
      <c r="H1149">
        <v>2</v>
      </c>
      <c r="I1149">
        <v>6</v>
      </c>
      <c r="J1149" t="s">
        <v>507</v>
      </c>
      <c r="K1149" t="s">
        <v>49</v>
      </c>
      <c r="L1149" t="s">
        <v>21</v>
      </c>
      <c r="M1149" t="s">
        <v>413</v>
      </c>
      <c r="N1149" t="s">
        <v>48</v>
      </c>
      <c r="O1149">
        <v>0</v>
      </c>
      <c r="P1149" t="s">
        <v>237</v>
      </c>
    </row>
    <row r="1150" spans="1:16" x14ac:dyDescent="0.25">
      <c r="A1150" t="s">
        <v>569</v>
      </c>
      <c r="B1150">
        <v>187</v>
      </c>
      <c r="C1150" t="s">
        <v>487</v>
      </c>
      <c r="D1150" t="s">
        <v>229</v>
      </c>
      <c r="E1150" t="s">
        <v>620</v>
      </c>
      <c r="F1150" t="s">
        <v>621</v>
      </c>
      <c r="G1150" s="25">
        <v>44212</v>
      </c>
      <c r="H1150">
        <v>4</v>
      </c>
      <c r="I1150">
        <v>16</v>
      </c>
      <c r="J1150" t="s">
        <v>507</v>
      </c>
      <c r="K1150" t="s">
        <v>49</v>
      </c>
      <c r="L1150" t="s">
        <v>21</v>
      </c>
      <c r="M1150" t="s">
        <v>413</v>
      </c>
      <c r="N1150" t="s">
        <v>48</v>
      </c>
      <c r="O1150">
        <v>0</v>
      </c>
      <c r="P1150" t="s">
        <v>237</v>
      </c>
    </row>
    <row r="1151" spans="1:16" x14ac:dyDescent="0.25">
      <c r="A1151" t="s">
        <v>2794</v>
      </c>
      <c r="B1151">
        <v>1209</v>
      </c>
      <c r="C1151" t="s">
        <v>487</v>
      </c>
      <c r="D1151" t="s">
        <v>247</v>
      </c>
      <c r="E1151" t="s">
        <v>229</v>
      </c>
      <c r="F1151" t="s">
        <v>3063</v>
      </c>
      <c r="G1151" s="25">
        <v>44297</v>
      </c>
      <c r="H1151">
        <v>21</v>
      </c>
      <c r="I1151">
        <v>101</v>
      </c>
      <c r="J1151" t="s">
        <v>507</v>
      </c>
      <c r="K1151" t="s">
        <v>49</v>
      </c>
      <c r="L1151" t="s">
        <v>21</v>
      </c>
      <c r="M1151" t="s">
        <v>413</v>
      </c>
      <c r="N1151" t="s">
        <v>48</v>
      </c>
      <c r="O1151">
        <v>0</v>
      </c>
      <c r="P1151" t="s">
        <v>237</v>
      </c>
    </row>
    <row r="1152" spans="1:16" x14ac:dyDescent="0.25">
      <c r="A1152" t="s">
        <v>2712</v>
      </c>
      <c r="B1152">
        <v>754</v>
      </c>
      <c r="C1152" t="s">
        <v>487</v>
      </c>
      <c r="D1152" t="s">
        <v>261</v>
      </c>
      <c r="E1152" t="s">
        <v>256</v>
      </c>
      <c r="F1152" t="s">
        <v>1402</v>
      </c>
      <c r="G1152" s="25">
        <v>44259</v>
      </c>
      <c r="H1152">
        <v>13</v>
      </c>
      <c r="I1152">
        <v>63</v>
      </c>
      <c r="J1152" t="s">
        <v>507</v>
      </c>
      <c r="K1152" t="s">
        <v>49</v>
      </c>
      <c r="L1152" t="s">
        <v>21</v>
      </c>
      <c r="M1152" t="s">
        <v>413</v>
      </c>
      <c r="N1152" t="s">
        <v>48</v>
      </c>
      <c r="O1152">
        <v>0</v>
      </c>
      <c r="P1152" t="s">
        <v>237</v>
      </c>
    </row>
    <row r="1153" spans="1:16" x14ac:dyDescent="0.25">
      <c r="A1153" t="s">
        <v>2393</v>
      </c>
      <c r="B1153">
        <v>1395</v>
      </c>
      <c r="C1153" t="s">
        <v>487</v>
      </c>
      <c r="D1153" t="s">
        <v>247</v>
      </c>
      <c r="E1153" t="s">
        <v>534</v>
      </c>
      <c r="F1153" t="s">
        <v>3166</v>
      </c>
      <c r="G1153" s="25">
        <v>44313</v>
      </c>
      <c r="H1153">
        <v>24</v>
      </c>
      <c r="I1153">
        <v>117</v>
      </c>
      <c r="J1153" t="s">
        <v>507</v>
      </c>
      <c r="K1153" t="s">
        <v>49</v>
      </c>
      <c r="L1153" t="s">
        <v>21</v>
      </c>
      <c r="M1153" t="s">
        <v>413</v>
      </c>
      <c r="N1153" t="s">
        <v>48</v>
      </c>
      <c r="O1153">
        <v>0</v>
      </c>
      <c r="P1153" t="s">
        <v>237</v>
      </c>
    </row>
    <row r="1154" spans="1:16" x14ac:dyDescent="0.25">
      <c r="A1154" t="s">
        <v>2850</v>
      </c>
      <c r="B1154">
        <v>1078</v>
      </c>
      <c r="C1154" t="s">
        <v>487</v>
      </c>
      <c r="D1154" t="s">
        <v>322</v>
      </c>
      <c r="E1154" t="s">
        <v>239</v>
      </c>
      <c r="F1154" t="s">
        <v>2979</v>
      </c>
      <c r="G1154" s="25">
        <v>44286</v>
      </c>
      <c r="H1154">
        <v>18</v>
      </c>
      <c r="I1154">
        <v>90</v>
      </c>
      <c r="J1154" t="s">
        <v>507</v>
      </c>
      <c r="K1154" t="s">
        <v>49</v>
      </c>
      <c r="L1154" t="s">
        <v>21</v>
      </c>
      <c r="M1154" t="s">
        <v>413</v>
      </c>
      <c r="N1154" t="s">
        <v>48</v>
      </c>
      <c r="O1154">
        <v>0</v>
      </c>
      <c r="P1154" t="s">
        <v>237</v>
      </c>
    </row>
    <row r="1155" spans="1:16" x14ac:dyDescent="0.25">
      <c r="A1155" t="s">
        <v>2112</v>
      </c>
      <c r="B1155">
        <v>628</v>
      </c>
      <c r="C1155" t="s">
        <v>487</v>
      </c>
      <c r="D1155" t="s">
        <v>256</v>
      </c>
      <c r="E1155" t="s">
        <v>512</v>
      </c>
      <c r="F1155" t="s">
        <v>1342</v>
      </c>
      <c r="G1155" s="25">
        <v>44249</v>
      </c>
      <c r="H1155">
        <v>11</v>
      </c>
      <c r="I1155">
        <v>53</v>
      </c>
      <c r="J1155" t="s">
        <v>507</v>
      </c>
      <c r="K1155" t="s">
        <v>49</v>
      </c>
      <c r="L1155" t="s">
        <v>21</v>
      </c>
      <c r="M1155" t="s">
        <v>413</v>
      </c>
      <c r="N1155" t="s">
        <v>48</v>
      </c>
      <c r="O1155">
        <v>0</v>
      </c>
      <c r="P1155" t="s">
        <v>237</v>
      </c>
    </row>
    <row r="1156" spans="1:16" x14ac:dyDescent="0.25">
      <c r="A1156" t="s">
        <v>599</v>
      </c>
      <c r="B1156">
        <v>145</v>
      </c>
      <c r="C1156" t="s">
        <v>487</v>
      </c>
      <c r="D1156" t="s">
        <v>229</v>
      </c>
      <c r="E1156" t="s">
        <v>512</v>
      </c>
      <c r="F1156" t="s">
        <v>513</v>
      </c>
      <c r="G1156" s="25">
        <v>44209</v>
      </c>
      <c r="H1156">
        <v>3</v>
      </c>
      <c r="I1156">
        <v>13</v>
      </c>
      <c r="J1156" t="s">
        <v>507</v>
      </c>
      <c r="K1156" t="s">
        <v>49</v>
      </c>
      <c r="L1156" t="s">
        <v>21</v>
      </c>
      <c r="M1156" t="s">
        <v>413</v>
      </c>
      <c r="N1156" t="s">
        <v>48</v>
      </c>
      <c r="O1156">
        <v>0</v>
      </c>
      <c r="P1156" t="s">
        <v>237</v>
      </c>
    </row>
    <row r="1157" spans="1:16" x14ac:dyDescent="0.25">
      <c r="A1157" t="s">
        <v>2156</v>
      </c>
      <c r="B1157">
        <v>1083</v>
      </c>
      <c r="C1157" t="s">
        <v>487</v>
      </c>
      <c r="D1157" t="s">
        <v>322</v>
      </c>
      <c r="E1157" t="s">
        <v>515</v>
      </c>
      <c r="F1157" t="s">
        <v>2983</v>
      </c>
      <c r="G1157" s="25">
        <v>44287</v>
      </c>
      <c r="H1157">
        <v>19</v>
      </c>
      <c r="I1157">
        <v>91</v>
      </c>
      <c r="J1157" t="s">
        <v>507</v>
      </c>
      <c r="K1157" t="s">
        <v>49</v>
      </c>
      <c r="L1157" t="s">
        <v>21</v>
      </c>
      <c r="M1157" t="s">
        <v>413</v>
      </c>
      <c r="N1157" t="s">
        <v>48</v>
      </c>
      <c r="O1157">
        <v>0</v>
      </c>
      <c r="P1157" t="s">
        <v>237</v>
      </c>
    </row>
    <row r="1158" spans="1:16" x14ac:dyDescent="0.25">
      <c r="A1158" t="s">
        <v>2810</v>
      </c>
      <c r="B1158">
        <v>1425</v>
      </c>
      <c r="C1158" t="s">
        <v>487</v>
      </c>
      <c r="D1158" t="s">
        <v>247</v>
      </c>
      <c r="E1158" t="s">
        <v>531</v>
      </c>
      <c r="F1158" t="s">
        <v>3173</v>
      </c>
      <c r="G1158" s="25">
        <v>44315</v>
      </c>
      <c r="H1158">
        <v>24</v>
      </c>
      <c r="I1158">
        <v>119</v>
      </c>
      <c r="J1158" t="s">
        <v>507</v>
      </c>
      <c r="K1158" t="s">
        <v>49</v>
      </c>
      <c r="L1158" t="s">
        <v>21</v>
      </c>
      <c r="M1158" t="s">
        <v>413</v>
      </c>
      <c r="N1158" t="s">
        <v>48</v>
      </c>
      <c r="O1158">
        <v>0</v>
      </c>
      <c r="P1158" t="s">
        <v>237</v>
      </c>
    </row>
    <row r="1159" spans="1:16" x14ac:dyDescent="0.25">
      <c r="A1159" t="s">
        <v>373</v>
      </c>
      <c r="B1159">
        <v>16</v>
      </c>
      <c r="C1159" t="s">
        <v>487</v>
      </c>
      <c r="D1159" t="s">
        <v>229</v>
      </c>
      <c r="E1159" t="s">
        <v>231</v>
      </c>
      <c r="F1159" t="s">
        <v>568</v>
      </c>
      <c r="G1159" s="25">
        <v>44198</v>
      </c>
      <c r="H1159">
        <v>1</v>
      </c>
      <c r="I1159">
        <v>2</v>
      </c>
      <c r="J1159" t="s">
        <v>507</v>
      </c>
      <c r="K1159" t="s">
        <v>49</v>
      </c>
      <c r="L1159" t="s">
        <v>21</v>
      </c>
      <c r="M1159" t="s">
        <v>413</v>
      </c>
      <c r="N1159" t="s">
        <v>48</v>
      </c>
      <c r="O1159">
        <v>0</v>
      </c>
      <c r="P1159" t="s">
        <v>237</v>
      </c>
    </row>
    <row r="1160" spans="1:16" x14ac:dyDescent="0.25">
      <c r="A1160" t="s">
        <v>2726</v>
      </c>
      <c r="B1160">
        <v>953</v>
      </c>
      <c r="C1160" t="s">
        <v>487</v>
      </c>
      <c r="D1160" t="s">
        <v>261</v>
      </c>
      <c r="E1160" t="s">
        <v>408</v>
      </c>
      <c r="F1160" t="s">
        <v>1595</v>
      </c>
      <c r="G1160" s="25">
        <v>44276</v>
      </c>
      <c r="H1160">
        <v>16</v>
      </c>
      <c r="I1160">
        <v>80</v>
      </c>
      <c r="J1160" t="s">
        <v>507</v>
      </c>
      <c r="K1160" t="s">
        <v>49</v>
      </c>
      <c r="L1160" t="s">
        <v>21</v>
      </c>
      <c r="M1160" t="s">
        <v>413</v>
      </c>
      <c r="N1160" t="s">
        <v>48</v>
      </c>
      <c r="O1160">
        <v>0</v>
      </c>
      <c r="P1160" t="s">
        <v>237</v>
      </c>
    </row>
    <row r="1161" spans="1:16" x14ac:dyDescent="0.25">
      <c r="A1161" t="s">
        <v>2621</v>
      </c>
      <c r="B1161">
        <v>1383</v>
      </c>
      <c r="C1161" t="s">
        <v>487</v>
      </c>
      <c r="D1161" t="s">
        <v>247</v>
      </c>
      <c r="E1161" t="s">
        <v>620</v>
      </c>
      <c r="F1161" t="s">
        <v>3162</v>
      </c>
      <c r="G1161" s="25">
        <v>44312</v>
      </c>
      <c r="H1161">
        <v>24</v>
      </c>
      <c r="I1161">
        <v>116</v>
      </c>
      <c r="J1161" t="s">
        <v>507</v>
      </c>
      <c r="K1161" t="s">
        <v>49</v>
      </c>
      <c r="L1161" t="s">
        <v>21</v>
      </c>
      <c r="M1161" t="s">
        <v>413</v>
      </c>
      <c r="N1161" t="s">
        <v>48</v>
      </c>
      <c r="O1161">
        <v>0</v>
      </c>
      <c r="P1161" t="s">
        <v>237</v>
      </c>
    </row>
    <row r="1162" spans="1:16" x14ac:dyDescent="0.25">
      <c r="A1162" t="s">
        <v>2390</v>
      </c>
      <c r="B1162">
        <v>947</v>
      </c>
      <c r="C1162" t="s">
        <v>487</v>
      </c>
      <c r="D1162" t="s">
        <v>261</v>
      </c>
      <c r="E1162" t="s">
        <v>531</v>
      </c>
      <c r="F1162" t="s">
        <v>1588</v>
      </c>
      <c r="G1162" s="25">
        <v>44275</v>
      </c>
      <c r="H1162">
        <v>16</v>
      </c>
      <c r="I1162">
        <v>79</v>
      </c>
      <c r="J1162" t="s">
        <v>507</v>
      </c>
      <c r="K1162" t="s">
        <v>49</v>
      </c>
      <c r="L1162" t="s">
        <v>21</v>
      </c>
      <c r="M1162" t="s">
        <v>413</v>
      </c>
      <c r="N1162" t="s">
        <v>48</v>
      </c>
      <c r="O1162">
        <v>0</v>
      </c>
      <c r="P1162" t="s">
        <v>237</v>
      </c>
    </row>
    <row r="1163" spans="1:16" x14ac:dyDescent="0.25">
      <c r="A1163" t="s">
        <v>2902</v>
      </c>
      <c r="B1163">
        <v>592</v>
      </c>
      <c r="C1163" t="s">
        <v>487</v>
      </c>
      <c r="D1163" t="s">
        <v>256</v>
      </c>
      <c r="E1163" t="s">
        <v>239</v>
      </c>
      <c r="F1163" t="s">
        <v>1322</v>
      </c>
      <c r="G1163" s="25">
        <v>44246</v>
      </c>
      <c r="H1163">
        <v>10</v>
      </c>
      <c r="I1163">
        <v>50</v>
      </c>
      <c r="J1163" t="s">
        <v>507</v>
      </c>
      <c r="K1163" t="s">
        <v>49</v>
      </c>
      <c r="L1163" t="s">
        <v>21</v>
      </c>
      <c r="M1163" t="s">
        <v>413</v>
      </c>
      <c r="N1163" t="s">
        <v>48</v>
      </c>
      <c r="O1163">
        <v>0</v>
      </c>
      <c r="P1163" t="s">
        <v>237</v>
      </c>
    </row>
    <row r="1164" spans="1:16" x14ac:dyDescent="0.25">
      <c r="A1164" t="s">
        <v>366</v>
      </c>
      <c r="B1164">
        <v>6</v>
      </c>
      <c r="C1164" t="s">
        <v>487</v>
      </c>
      <c r="D1164" t="s">
        <v>229</v>
      </c>
      <c r="E1164" t="s">
        <v>229</v>
      </c>
      <c r="F1164" t="s">
        <v>230</v>
      </c>
      <c r="G1164" s="25">
        <v>44197</v>
      </c>
      <c r="H1164">
        <v>1</v>
      </c>
      <c r="I1164">
        <v>1</v>
      </c>
      <c r="J1164" t="s">
        <v>507</v>
      </c>
      <c r="K1164" t="s">
        <v>49</v>
      </c>
      <c r="L1164" t="s">
        <v>21</v>
      </c>
      <c r="M1164" t="s">
        <v>413</v>
      </c>
      <c r="N1164" t="s">
        <v>48</v>
      </c>
      <c r="O1164">
        <v>0</v>
      </c>
      <c r="P1164" t="s">
        <v>237</v>
      </c>
    </row>
    <row r="1165" spans="1:16" x14ac:dyDescent="0.25">
      <c r="A1165" t="s">
        <v>514</v>
      </c>
      <c r="B1165">
        <v>238</v>
      </c>
      <c r="C1165" t="s">
        <v>487</v>
      </c>
      <c r="D1165" t="s">
        <v>229</v>
      </c>
      <c r="E1165" t="s">
        <v>408</v>
      </c>
      <c r="F1165" t="s">
        <v>527</v>
      </c>
      <c r="G1165" s="25">
        <v>44216</v>
      </c>
      <c r="H1165">
        <v>4</v>
      </c>
      <c r="I1165">
        <v>20</v>
      </c>
      <c r="J1165" t="s">
        <v>507</v>
      </c>
      <c r="K1165" t="s">
        <v>49</v>
      </c>
      <c r="L1165" t="s">
        <v>21</v>
      </c>
      <c r="M1165" t="s">
        <v>413</v>
      </c>
      <c r="N1165" t="s">
        <v>48</v>
      </c>
      <c r="O1165">
        <v>0</v>
      </c>
      <c r="P1165" t="s">
        <v>237</v>
      </c>
    </row>
    <row r="1166" spans="1:16" x14ac:dyDescent="0.25">
      <c r="A1166" t="s">
        <v>1844</v>
      </c>
      <c r="B1166">
        <v>646</v>
      </c>
      <c r="C1166" t="s">
        <v>487</v>
      </c>
      <c r="D1166" t="s">
        <v>256</v>
      </c>
      <c r="E1166" t="s">
        <v>537</v>
      </c>
      <c r="F1166" t="s">
        <v>1348</v>
      </c>
      <c r="G1166" s="25">
        <v>44250</v>
      </c>
      <c r="H1166">
        <v>11</v>
      </c>
      <c r="I1166">
        <v>54</v>
      </c>
      <c r="J1166" t="s">
        <v>507</v>
      </c>
      <c r="K1166" t="s">
        <v>49</v>
      </c>
      <c r="L1166" t="s">
        <v>21</v>
      </c>
      <c r="M1166" t="s">
        <v>413</v>
      </c>
      <c r="N1166" t="s">
        <v>48</v>
      </c>
      <c r="O1166">
        <v>0</v>
      </c>
      <c r="P1166" t="s">
        <v>237</v>
      </c>
    </row>
    <row r="1167" spans="1:16" x14ac:dyDescent="0.25">
      <c r="A1167" t="s">
        <v>2776</v>
      </c>
      <c r="B1167">
        <v>1101</v>
      </c>
      <c r="C1167" t="s">
        <v>487</v>
      </c>
      <c r="D1167" t="s">
        <v>322</v>
      </c>
      <c r="E1167" t="s">
        <v>232</v>
      </c>
      <c r="F1167" t="s">
        <v>2987</v>
      </c>
      <c r="G1167" s="25">
        <v>44288</v>
      </c>
      <c r="H1167">
        <v>19</v>
      </c>
      <c r="I1167">
        <v>92</v>
      </c>
      <c r="J1167" t="s">
        <v>507</v>
      </c>
      <c r="K1167" t="s">
        <v>49</v>
      </c>
      <c r="L1167" t="s">
        <v>21</v>
      </c>
      <c r="M1167" t="s">
        <v>413</v>
      </c>
      <c r="N1167" t="s">
        <v>48</v>
      </c>
      <c r="O1167">
        <v>0</v>
      </c>
      <c r="P1167" t="s">
        <v>237</v>
      </c>
    </row>
    <row r="1168" spans="1:16" x14ac:dyDescent="0.25">
      <c r="A1168" t="s">
        <v>2395</v>
      </c>
      <c r="B1168">
        <v>933</v>
      </c>
      <c r="C1168" t="s">
        <v>487</v>
      </c>
      <c r="D1168" t="s">
        <v>261</v>
      </c>
      <c r="E1168" t="s">
        <v>552</v>
      </c>
      <c r="F1168" t="s">
        <v>1585</v>
      </c>
      <c r="G1168" s="25">
        <v>44274</v>
      </c>
      <c r="H1168">
        <v>16</v>
      </c>
      <c r="I1168">
        <v>78</v>
      </c>
      <c r="J1168" t="s">
        <v>507</v>
      </c>
      <c r="K1168" t="s">
        <v>49</v>
      </c>
      <c r="L1168" t="s">
        <v>21</v>
      </c>
      <c r="M1168" t="s">
        <v>413</v>
      </c>
      <c r="N1168" t="s">
        <v>48</v>
      </c>
      <c r="O1168">
        <v>0</v>
      </c>
      <c r="P1168" t="s">
        <v>237</v>
      </c>
    </row>
    <row r="1169" spans="1:16" x14ac:dyDescent="0.25">
      <c r="A1169" t="s">
        <v>2419</v>
      </c>
      <c r="B1169">
        <v>1372</v>
      </c>
      <c r="C1169" t="s">
        <v>487</v>
      </c>
      <c r="D1169" t="s">
        <v>247</v>
      </c>
      <c r="E1169" t="s">
        <v>575</v>
      </c>
      <c r="F1169" t="s">
        <v>3158</v>
      </c>
      <c r="G1169" s="25">
        <v>44311</v>
      </c>
      <c r="H1169">
        <v>23</v>
      </c>
      <c r="I1169">
        <v>115</v>
      </c>
      <c r="J1169" t="s">
        <v>507</v>
      </c>
      <c r="K1169" t="s">
        <v>49</v>
      </c>
      <c r="L1169" t="s">
        <v>21</v>
      </c>
      <c r="M1169" t="s">
        <v>413</v>
      </c>
      <c r="N1169" t="s">
        <v>48</v>
      </c>
      <c r="O1169">
        <v>0</v>
      </c>
      <c r="P1169" t="s">
        <v>237</v>
      </c>
    </row>
    <row r="1170" spans="1:16" x14ac:dyDescent="0.25">
      <c r="A1170" t="s">
        <v>636</v>
      </c>
      <c r="B1170">
        <v>341</v>
      </c>
      <c r="C1170" t="s">
        <v>487</v>
      </c>
      <c r="D1170" t="s">
        <v>231</v>
      </c>
      <c r="E1170" t="s">
        <v>371</v>
      </c>
      <c r="F1170" t="s">
        <v>1124</v>
      </c>
      <c r="G1170" s="25">
        <v>44225</v>
      </c>
      <c r="H1170">
        <v>6</v>
      </c>
      <c r="I1170">
        <v>29</v>
      </c>
      <c r="J1170" t="s">
        <v>507</v>
      </c>
      <c r="K1170" t="s">
        <v>49</v>
      </c>
      <c r="L1170" t="s">
        <v>21</v>
      </c>
      <c r="M1170" t="s">
        <v>413</v>
      </c>
      <c r="N1170" t="s">
        <v>48</v>
      </c>
      <c r="O1170">
        <v>0</v>
      </c>
      <c r="P1170" t="s">
        <v>237</v>
      </c>
    </row>
    <row r="1171" spans="1:16" x14ac:dyDescent="0.25">
      <c r="A1171" t="s">
        <v>2323</v>
      </c>
      <c r="B1171">
        <v>1047</v>
      </c>
      <c r="C1171" t="s">
        <v>487</v>
      </c>
      <c r="D1171" t="s">
        <v>322</v>
      </c>
      <c r="E1171" t="s">
        <v>381</v>
      </c>
      <c r="F1171" t="s">
        <v>2971</v>
      </c>
      <c r="G1171" s="25">
        <v>44284</v>
      </c>
      <c r="H1171">
        <v>18</v>
      </c>
      <c r="I1171">
        <v>88</v>
      </c>
      <c r="J1171" t="s">
        <v>507</v>
      </c>
      <c r="K1171" t="s">
        <v>49</v>
      </c>
      <c r="L1171" t="s">
        <v>21</v>
      </c>
      <c r="M1171" t="s">
        <v>413</v>
      </c>
      <c r="N1171" t="s">
        <v>48</v>
      </c>
      <c r="O1171">
        <v>0</v>
      </c>
      <c r="P1171" t="s">
        <v>237</v>
      </c>
    </row>
    <row r="1172" spans="1:16" x14ac:dyDescent="0.25">
      <c r="A1172" t="s">
        <v>1728</v>
      </c>
      <c r="B1172">
        <v>991</v>
      </c>
      <c r="C1172" t="s">
        <v>487</v>
      </c>
      <c r="D1172" t="s">
        <v>322</v>
      </c>
      <c r="E1172" t="s">
        <v>256</v>
      </c>
      <c r="F1172" t="s">
        <v>2952</v>
      </c>
      <c r="G1172" s="25">
        <v>44279</v>
      </c>
      <c r="H1172">
        <v>17</v>
      </c>
      <c r="I1172">
        <v>83</v>
      </c>
      <c r="J1172" t="s">
        <v>507</v>
      </c>
      <c r="K1172" t="s">
        <v>49</v>
      </c>
      <c r="L1172" t="s">
        <v>21</v>
      </c>
      <c r="M1172" t="s">
        <v>413</v>
      </c>
      <c r="N1172" t="s">
        <v>48</v>
      </c>
      <c r="O1172">
        <v>0</v>
      </c>
      <c r="P1172" t="s">
        <v>237</v>
      </c>
    </row>
    <row r="1173" spans="1:16" x14ac:dyDescent="0.25">
      <c r="A1173" t="s">
        <v>2043</v>
      </c>
      <c r="B1173">
        <v>603</v>
      </c>
      <c r="C1173" t="s">
        <v>487</v>
      </c>
      <c r="D1173" t="s">
        <v>256</v>
      </c>
      <c r="E1173" t="s">
        <v>515</v>
      </c>
      <c r="F1173" t="s">
        <v>1329</v>
      </c>
      <c r="G1173" s="25">
        <v>44247</v>
      </c>
      <c r="H1173">
        <v>11</v>
      </c>
      <c r="I1173">
        <v>51</v>
      </c>
      <c r="J1173" t="s">
        <v>507</v>
      </c>
      <c r="K1173" t="s">
        <v>49</v>
      </c>
      <c r="L1173" t="s">
        <v>21</v>
      </c>
      <c r="M1173" t="s">
        <v>413</v>
      </c>
      <c r="N1173" t="s">
        <v>48</v>
      </c>
      <c r="O1173">
        <v>0</v>
      </c>
      <c r="P1173" t="s">
        <v>237</v>
      </c>
    </row>
    <row r="1174" spans="1:16" x14ac:dyDescent="0.25">
      <c r="A1174" t="s">
        <v>1981</v>
      </c>
      <c r="B1174">
        <v>1414</v>
      </c>
      <c r="C1174" t="s">
        <v>487</v>
      </c>
      <c r="D1174" t="s">
        <v>247</v>
      </c>
      <c r="E1174" t="s">
        <v>552</v>
      </c>
      <c r="F1174" t="s">
        <v>3170</v>
      </c>
      <c r="G1174" s="25">
        <v>44314</v>
      </c>
      <c r="H1174">
        <v>24</v>
      </c>
      <c r="I1174">
        <v>118</v>
      </c>
      <c r="J1174" t="s">
        <v>507</v>
      </c>
      <c r="K1174" t="s">
        <v>49</v>
      </c>
      <c r="L1174" t="s">
        <v>21</v>
      </c>
      <c r="M1174" t="s">
        <v>413</v>
      </c>
      <c r="N1174" t="s">
        <v>48</v>
      </c>
      <c r="O1174">
        <v>0</v>
      </c>
      <c r="P1174" t="s">
        <v>237</v>
      </c>
    </row>
    <row r="1175" spans="1:16" x14ac:dyDescent="0.25">
      <c r="A1175" t="s">
        <v>2155</v>
      </c>
      <c r="B1175">
        <v>1060</v>
      </c>
      <c r="C1175" t="s">
        <v>487</v>
      </c>
      <c r="D1175" t="s">
        <v>322</v>
      </c>
      <c r="E1175" t="s">
        <v>371</v>
      </c>
      <c r="F1175" t="s">
        <v>2976</v>
      </c>
      <c r="G1175" s="25">
        <v>44285</v>
      </c>
      <c r="H1175">
        <v>18</v>
      </c>
      <c r="I1175">
        <v>89</v>
      </c>
      <c r="J1175" t="s">
        <v>507</v>
      </c>
      <c r="K1175" t="s">
        <v>49</v>
      </c>
      <c r="L1175" t="s">
        <v>21</v>
      </c>
      <c r="M1175" t="s">
        <v>413</v>
      </c>
      <c r="N1175" t="s">
        <v>48</v>
      </c>
      <c r="O1175">
        <v>0</v>
      </c>
      <c r="P1175" t="s">
        <v>237</v>
      </c>
    </row>
    <row r="1176" spans="1:16" x14ac:dyDescent="0.25">
      <c r="A1176" t="s">
        <v>812</v>
      </c>
      <c r="B1176">
        <v>459</v>
      </c>
      <c r="C1176" t="s">
        <v>487</v>
      </c>
      <c r="D1176" t="s">
        <v>231</v>
      </c>
      <c r="E1176" t="s">
        <v>531</v>
      </c>
      <c r="F1176" t="s">
        <v>1230</v>
      </c>
      <c r="G1176" s="25">
        <v>44235</v>
      </c>
      <c r="H1176">
        <v>8</v>
      </c>
      <c r="I1176">
        <v>39</v>
      </c>
      <c r="J1176" t="s">
        <v>507</v>
      </c>
      <c r="K1176" t="s">
        <v>49</v>
      </c>
      <c r="L1176" t="s">
        <v>21</v>
      </c>
      <c r="M1176" t="s">
        <v>413</v>
      </c>
      <c r="N1176" t="s">
        <v>48</v>
      </c>
      <c r="O1176">
        <v>0</v>
      </c>
      <c r="P1176" t="s">
        <v>237</v>
      </c>
    </row>
    <row r="1177" spans="1:16" x14ac:dyDescent="0.25">
      <c r="A1177" t="s">
        <v>2019</v>
      </c>
      <c r="B1177">
        <v>976</v>
      </c>
      <c r="C1177" t="s">
        <v>487</v>
      </c>
      <c r="D1177" t="s">
        <v>322</v>
      </c>
      <c r="E1177" t="s">
        <v>231</v>
      </c>
      <c r="F1177" t="s">
        <v>2945</v>
      </c>
      <c r="G1177" s="25">
        <v>44278</v>
      </c>
      <c r="H1177">
        <v>17</v>
      </c>
      <c r="I1177">
        <v>82</v>
      </c>
      <c r="J1177" t="s">
        <v>507</v>
      </c>
      <c r="K1177" t="s">
        <v>49</v>
      </c>
      <c r="L1177" t="s">
        <v>21</v>
      </c>
      <c r="M1177" t="s">
        <v>413</v>
      </c>
      <c r="N1177" t="s">
        <v>48</v>
      </c>
      <c r="O1177">
        <v>0</v>
      </c>
      <c r="P1177" t="s">
        <v>237</v>
      </c>
    </row>
    <row r="1178" spans="1:16" x14ac:dyDescent="0.25">
      <c r="A1178" t="s">
        <v>1753</v>
      </c>
      <c r="B1178">
        <v>563</v>
      </c>
      <c r="C1178" t="s">
        <v>487</v>
      </c>
      <c r="D1178" t="s">
        <v>256</v>
      </c>
      <c r="E1178" t="s">
        <v>326</v>
      </c>
      <c r="F1178" t="s">
        <v>1305</v>
      </c>
      <c r="G1178" s="25">
        <v>44243</v>
      </c>
      <c r="H1178">
        <v>10</v>
      </c>
      <c r="I1178">
        <v>47</v>
      </c>
      <c r="J1178" t="s">
        <v>507</v>
      </c>
      <c r="K1178" t="s">
        <v>49</v>
      </c>
      <c r="L1178" t="s">
        <v>21</v>
      </c>
      <c r="M1178" t="s">
        <v>413</v>
      </c>
      <c r="N1178" t="s">
        <v>48</v>
      </c>
      <c r="O1178">
        <v>0</v>
      </c>
      <c r="P1178" t="s">
        <v>237</v>
      </c>
    </row>
    <row r="1179" spans="1:16" x14ac:dyDescent="0.25">
      <c r="A1179" t="s">
        <v>385</v>
      </c>
      <c r="B1179">
        <v>113</v>
      </c>
      <c r="C1179" t="s">
        <v>487</v>
      </c>
      <c r="D1179" t="s">
        <v>229</v>
      </c>
      <c r="E1179" t="s">
        <v>239</v>
      </c>
      <c r="F1179" t="s">
        <v>578</v>
      </c>
      <c r="G1179" s="25">
        <v>44206</v>
      </c>
      <c r="H1179">
        <v>2</v>
      </c>
      <c r="I1179">
        <v>10</v>
      </c>
      <c r="J1179" t="s">
        <v>507</v>
      </c>
      <c r="K1179" t="s">
        <v>49</v>
      </c>
      <c r="L1179" t="s">
        <v>21</v>
      </c>
      <c r="M1179" t="s">
        <v>413</v>
      </c>
      <c r="N1179" t="s">
        <v>48</v>
      </c>
      <c r="O1179">
        <v>0</v>
      </c>
      <c r="P1179" t="s">
        <v>237</v>
      </c>
    </row>
    <row r="1180" spans="1:16" x14ac:dyDescent="0.25">
      <c r="A1180" t="s">
        <v>859</v>
      </c>
      <c r="B1180">
        <v>438</v>
      </c>
      <c r="C1180" t="s">
        <v>487</v>
      </c>
      <c r="D1180" t="s">
        <v>231</v>
      </c>
      <c r="E1180" t="s">
        <v>534</v>
      </c>
      <c r="F1180" t="s">
        <v>1731</v>
      </c>
      <c r="G1180" s="25">
        <v>44233</v>
      </c>
      <c r="H1180">
        <v>8</v>
      </c>
      <c r="I1180">
        <v>37</v>
      </c>
      <c r="J1180" t="s">
        <v>507</v>
      </c>
      <c r="K1180" t="s">
        <v>49</v>
      </c>
      <c r="L1180" t="s">
        <v>21</v>
      </c>
      <c r="M1180" t="s">
        <v>413</v>
      </c>
      <c r="N1180" t="s">
        <v>48</v>
      </c>
      <c r="O1180">
        <v>0</v>
      </c>
      <c r="P1180" t="s">
        <v>237</v>
      </c>
    </row>
    <row r="1181" spans="1:16" x14ac:dyDescent="0.25">
      <c r="A1181" t="s">
        <v>1644</v>
      </c>
      <c r="B1181">
        <v>1036</v>
      </c>
      <c r="C1181" t="s">
        <v>487</v>
      </c>
      <c r="D1181" t="s">
        <v>322</v>
      </c>
      <c r="E1181" t="s">
        <v>326</v>
      </c>
      <c r="F1181" t="s">
        <v>2967</v>
      </c>
      <c r="G1181" s="25">
        <v>44283</v>
      </c>
      <c r="H1181">
        <v>18</v>
      </c>
      <c r="I1181">
        <v>87</v>
      </c>
      <c r="J1181" t="s">
        <v>507</v>
      </c>
      <c r="K1181" t="s">
        <v>49</v>
      </c>
      <c r="L1181" t="s">
        <v>21</v>
      </c>
      <c r="M1181" t="s">
        <v>413</v>
      </c>
      <c r="N1181" t="s">
        <v>48</v>
      </c>
      <c r="O1181">
        <v>0</v>
      </c>
      <c r="P1181" t="s">
        <v>237</v>
      </c>
    </row>
    <row r="1182" spans="1:16" x14ac:dyDescent="0.25">
      <c r="A1182" t="s">
        <v>570</v>
      </c>
      <c r="B1182">
        <v>143</v>
      </c>
      <c r="C1182" t="s">
        <v>487</v>
      </c>
      <c r="D1182" t="s">
        <v>229</v>
      </c>
      <c r="E1182" t="s">
        <v>232</v>
      </c>
      <c r="F1182" t="s">
        <v>520</v>
      </c>
      <c r="G1182" s="25">
        <v>44208</v>
      </c>
      <c r="H1182">
        <v>3</v>
      </c>
      <c r="I1182">
        <v>12</v>
      </c>
      <c r="J1182" t="s">
        <v>507</v>
      </c>
      <c r="K1182" t="s">
        <v>49</v>
      </c>
      <c r="L1182" t="s">
        <v>21</v>
      </c>
      <c r="M1182" t="s">
        <v>413</v>
      </c>
      <c r="N1182" t="s">
        <v>48</v>
      </c>
      <c r="O1182">
        <v>0</v>
      </c>
      <c r="P1182" t="s">
        <v>237</v>
      </c>
    </row>
    <row r="1183" spans="1:16" x14ac:dyDescent="0.25">
      <c r="A1183" t="s">
        <v>799</v>
      </c>
      <c r="B1183">
        <v>254</v>
      </c>
      <c r="C1183" t="s">
        <v>487</v>
      </c>
      <c r="D1183" t="s">
        <v>231</v>
      </c>
      <c r="E1183" t="s">
        <v>231</v>
      </c>
      <c r="F1183" t="s">
        <v>1080</v>
      </c>
      <c r="G1183" s="25">
        <v>44218</v>
      </c>
      <c r="H1183">
        <v>5</v>
      </c>
      <c r="I1183">
        <v>22</v>
      </c>
      <c r="J1183" t="s">
        <v>507</v>
      </c>
      <c r="K1183" t="s">
        <v>49</v>
      </c>
      <c r="L1183" t="s">
        <v>21</v>
      </c>
      <c r="M1183" t="s">
        <v>413</v>
      </c>
      <c r="N1183" t="s">
        <v>48</v>
      </c>
      <c r="O1183">
        <v>0</v>
      </c>
      <c r="P1183" t="s">
        <v>237</v>
      </c>
    </row>
    <row r="1184" spans="1:16" x14ac:dyDescent="0.25">
      <c r="A1184" t="s">
        <v>615</v>
      </c>
      <c r="B1184">
        <v>245</v>
      </c>
      <c r="C1184" t="s">
        <v>487</v>
      </c>
      <c r="D1184" t="s">
        <v>231</v>
      </c>
      <c r="E1184" t="s">
        <v>229</v>
      </c>
      <c r="F1184" t="s">
        <v>541</v>
      </c>
      <c r="G1184" s="25">
        <v>44217</v>
      </c>
      <c r="H1184">
        <v>5</v>
      </c>
      <c r="I1184">
        <v>21</v>
      </c>
      <c r="J1184" t="s">
        <v>507</v>
      </c>
      <c r="K1184" t="s">
        <v>49</v>
      </c>
      <c r="L1184" t="s">
        <v>21</v>
      </c>
      <c r="M1184" t="s">
        <v>413</v>
      </c>
      <c r="N1184" t="s">
        <v>48</v>
      </c>
      <c r="O1184">
        <v>0</v>
      </c>
      <c r="P1184" t="s">
        <v>237</v>
      </c>
    </row>
    <row r="1185" spans="1:16" x14ac:dyDescent="0.25">
      <c r="A1185" t="s">
        <v>1725</v>
      </c>
      <c r="B1185">
        <v>621</v>
      </c>
      <c r="C1185" t="s">
        <v>487</v>
      </c>
      <c r="D1185" t="s">
        <v>256</v>
      </c>
      <c r="E1185" t="s">
        <v>232</v>
      </c>
      <c r="F1185" t="s">
        <v>1337</v>
      </c>
      <c r="G1185" s="25">
        <v>44248</v>
      </c>
      <c r="H1185">
        <v>11</v>
      </c>
      <c r="I1185">
        <v>52</v>
      </c>
      <c r="J1185" t="s">
        <v>507</v>
      </c>
      <c r="K1185" t="s">
        <v>49</v>
      </c>
      <c r="L1185" t="s">
        <v>21</v>
      </c>
      <c r="M1185" t="s">
        <v>413</v>
      </c>
      <c r="N1185" t="s">
        <v>48</v>
      </c>
      <c r="O1185">
        <v>0</v>
      </c>
      <c r="P1185" t="s">
        <v>237</v>
      </c>
    </row>
    <row r="1186" spans="1:16" x14ac:dyDescent="0.25">
      <c r="A1186" t="s">
        <v>2587</v>
      </c>
      <c r="B1186">
        <v>964</v>
      </c>
      <c r="C1186" t="s">
        <v>487</v>
      </c>
      <c r="D1186" t="s">
        <v>322</v>
      </c>
      <c r="E1186" t="s">
        <v>229</v>
      </c>
      <c r="F1186" t="s">
        <v>1643</v>
      </c>
      <c r="G1186" s="25">
        <v>44277</v>
      </c>
      <c r="H1186">
        <v>17</v>
      </c>
      <c r="I1186">
        <v>81</v>
      </c>
      <c r="J1186" t="s">
        <v>507</v>
      </c>
      <c r="K1186" t="s">
        <v>49</v>
      </c>
      <c r="L1186" t="s">
        <v>21</v>
      </c>
      <c r="M1186" t="s">
        <v>413</v>
      </c>
      <c r="N1186" t="s">
        <v>48</v>
      </c>
      <c r="O1186">
        <v>0</v>
      </c>
      <c r="P1186" t="s">
        <v>237</v>
      </c>
    </row>
    <row r="1187" spans="1:16" x14ac:dyDescent="0.25">
      <c r="A1187" t="s">
        <v>2639</v>
      </c>
      <c r="B1187">
        <v>1113</v>
      </c>
      <c r="C1187" t="s">
        <v>487</v>
      </c>
      <c r="D1187" t="s">
        <v>322</v>
      </c>
      <c r="E1187" t="s">
        <v>512</v>
      </c>
      <c r="F1187" t="s">
        <v>2991</v>
      </c>
      <c r="G1187" s="25">
        <v>44289</v>
      </c>
      <c r="H1187">
        <v>19</v>
      </c>
      <c r="I1187">
        <v>93</v>
      </c>
      <c r="J1187" t="s">
        <v>507</v>
      </c>
      <c r="K1187" t="s">
        <v>49</v>
      </c>
      <c r="L1187" t="s">
        <v>21</v>
      </c>
      <c r="M1187" t="s">
        <v>413</v>
      </c>
      <c r="N1187" t="s">
        <v>48</v>
      </c>
      <c r="O1187">
        <v>0</v>
      </c>
      <c r="P1187" t="s">
        <v>237</v>
      </c>
    </row>
    <row r="1188" spans="1:16" x14ac:dyDescent="0.25">
      <c r="A1188" t="s">
        <v>1763</v>
      </c>
      <c r="B1188">
        <v>664</v>
      </c>
      <c r="C1188" t="s">
        <v>487</v>
      </c>
      <c r="D1188" t="s">
        <v>256</v>
      </c>
      <c r="E1188" t="s">
        <v>620</v>
      </c>
      <c r="F1188" t="s">
        <v>1350</v>
      </c>
      <c r="G1188" s="25">
        <v>44252</v>
      </c>
      <c r="H1188">
        <v>12</v>
      </c>
      <c r="I1188">
        <v>56</v>
      </c>
      <c r="J1188" t="s">
        <v>507</v>
      </c>
      <c r="K1188" t="s">
        <v>49</v>
      </c>
      <c r="L1188" t="s">
        <v>21</v>
      </c>
      <c r="M1188" t="s">
        <v>413</v>
      </c>
      <c r="N1188" t="s">
        <v>48</v>
      </c>
      <c r="O1188">
        <v>0</v>
      </c>
      <c r="P1188" t="s">
        <v>237</v>
      </c>
    </row>
    <row r="1189" spans="1:16" x14ac:dyDescent="0.25">
      <c r="A1189" t="s">
        <v>2903</v>
      </c>
      <c r="B1189">
        <v>548</v>
      </c>
      <c r="C1189" t="s">
        <v>487</v>
      </c>
      <c r="D1189" t="s">
        <v>256</v>
      </c>
      <c r="E1189" t="s">
        <v>247</v>
      </c>
      <c r="F1189" t="s">
        <v>1299</v>
      </c>
      <c r="G1189" s="25">
        <v>44242</v>
      </c>
      <c r="H1189">
        <v>10</v>
      </c>
      <c r="I1189">
        <v>46</v>
      </c>
      <c r="J1189" t="s">
        <v>507</v>
      </c>
      <c r="K1189" t="s">
        <v>49</v>
      </c>
      <c r="L1189" t="s">
        <v>21</v>
      </c>
      <c r="M1189" t="s">
        <v>413</v>
      </c>
      <c r="N1189" t="s">
        <v>48</v>
      </c>
      <c r="O1189">
        <v>0</v>
      </c>
      <c r="P1189" t="s">
        <v>237</v>
      </c>
    </row>
    <row r="1190" spans="1:16" x14ac:dyDescent="0.25">
      <c r="A1190" t="s">
        <v>1633</v>
      </c>
      <c r="B1190">
        <v>920</v>
      </c>
      <c r="C1190" t="s">
        <v>487</v>
      </c>
      <c r="D1190" t="s">
        <v>261</v>
      </c>
      <c r="E1190" t="s">
        <v>534</v>
      </c>
      <c r="F1190" t="s">
        <v>1563</v>
      </c>
      <c r="G1190" s="25">
        <v>44273</v>
      </c>
      <c r="H1190">
        <v>16</v>
      </c>
      <c r="I1190">
        <v>77</v>
      </c>
      <c r="J1190" t="s">
        <v>507</v>
      </c>
      <c r="K1190" t="s">
        <v>49</v>
      </c>
      <c r="L1190" t="s">
        <v>21</v>
      </c>
      <c r="M1190" t="s">
        <v>413</v>
      </c>
      <c r="N1190" t="s">
        <v>48</v>
      </c>
      <c r="O1190">
        <v>0</v>
      </c>
      <c r="P1190" t="s">
        <v>237</v>
      </c>
    </row>
    <row r="1191" spans="1:16" x14ac:dyDescent="0.25">
      <c r="A1191" t="s">
        <v>613</v>
      </c>
      <c r="B1191">
        <v>355</v>
      </c>
      <c r="C1191" t="s">
        <v>487</v>
      </c>
      <c r="D1191" t="s">
        <v>231</v>
      </c>
      <c r="E1191" t="s">
        <v>239</v>
      </c>
      <c r="F1191" t="s">
        <v>1139</v>
      </c>
      <c r="G1191" s="25">
        <v>44226</v>
      </c>
      <c r="H1191">
        <v>6</v>
      </c>
      <c r="I1191">
        <v>30</v>
      </c>
      <c r="J1191" t="s">
        <v>507</v>
      </c>
      <c r="K1191" t="s">
        <v>49</v>
      </c>
      <c r="L1191" t="s">
        <v>21</v>
      </c>
      <c r="M1191" t="s">
        <v>413</v>
      </c>
      <c r="N1191" t="s">
        <v>48</v>
      </c>
      <c r="O1191">
        <v>0</v>
      </c>
      <c r="P1191" t="s">
        <v>237</v>
      </c>
    </row>
    <row r="1192" spans="1:16" x14ac:dyDescent="0.25">
      <c r="A1192" t="s">
        <v>677</v>
      </c>
      <c r="B1192">
        <v>290</v>
      </c>
      <c r="C1192" t="s">
        <v>487</v>
      </c>
      <c r="D1192" t="s">
        <v>231</v>
      </c>
      <c r="E1192" t="s">
        <v>322</v>
      </c>
      <c r="F1192" t="s">
        <v>1085</v>
      </c>
      <c r="G1192" s="25">
        <v>44221</v>
      </c>
      <c r="H1192">
        <v>5</v>
      </c>
      <c r="I1192">
        <v>25</v>
      </c>
      <c r="J1192" t="s">
        <v>507</v>
      </c>
      <c r="K1192" t="s">
        <v>49</v>
      </c>
      <c r="L1192" t="s">
        <v>21</v>
      </c>
      <c r="M1192" t="s">
        <v>413</v>
      </c>
      <c r="N1192" t="s">
        <v>48</v>
      </c>
      <c r="O1192">
        <v>0</v>
      </c>
      <c r="P1192" t="s">
        <v>237</v>
      </c>
    </row>
    <row r="1193" spans="1:16" x14ac:dyDescent="0.25">
      <c r="A1193" t="s">
        <v>610</v>
      </c>
      <c r="B1193">
        <v>268</v>
      </c>
      <c r="C1193" t="s">
        <v>487</v>
      </c>
      <c r="D1193" t="s">
        <v>231</v>
      </c>
      <c r="E1193" t="s">
        <v>256</v>
      </c>
      <c r="F1193" t="s">
        <v>1064</v>
      </c>
      <c r="G1193" s="25">
        <v>44219</v>
      </c>
      <c r="H1193">
        <v>5</v>
      </c>
      <c r="I1193">
        <v>23</v>
      </c>
      <c r="J1193" t="s">
        <v>507</v>
      </c>
      <c r="K1193" t="s">
        <v>49</v>
      </c>
      <c r="L1193" t="s">
        <v>21</v>
      </c>
      <c r="M1193" t="s">
        <v>413</v>
      </c>
      <c r="N1193" t="s">
        <v>48</v>
      </c>
      <c r="O1193">
        <v>0</v>
      </c>
      <c r="P1193" t="s">
        <v>237</v>
      </c>
    </row>
    <row r="1194" spans="1:16" x14ac:dyDescent="0.25">
      <c r="A1194" t="s">
        <v>2640</v>
      </c>
      <c r="B1194">
        <v>1360</v>
      </c>
      <c r="C1194" t="s">
        <v>487</v>
      </c>
      <c r="D1194" t="s">
        <v>247</v>
      </c>
      <c r="E1194" t="s">
        <v>537</v>
      </c>
      <c r="F1194" t="s">
        <v>3153</v>
      </c>
      <c r="G1194" s="25">
        <v>44310</v>
      </c>
      <c r="H1194">
        <v>23</v>
      </c>
      <c r="I1194">
        <v>114</v>
      </c>
      <c r="J1194" t="s">
        <v>507</v>
      </c>
      <c r="K1194" t="s">
        <v>49</v>
      </c>
      <c r="L1194" t="s">
        <v>21</v>
      </c>
      <c r="M1194" t="s">
        <v>413</v>
      </c>
      <c r="N1194" t="s">
        <v>48</v>
      </c>
      <c r="O1194">
        <v>0</v>
      </c>
      <c r="P1194" t="s">
        <v>237</v>
      </c>
    </row>
    <row r="1195" spans="1:16" x14ac:dyDescent="0.25">
      <c r="A1195" t="s">
        <v>818</v>
      </c>
      <c r="B1195">
        <v>306</v>
      </c>
      <c r="C1195" t="s">
        <v>487</v>
      </c>
      <c r="D1195" t="s">
        <v>231</v>
      </c>
      <c r="E1195" t="s">
        <v>247</v>
      </c>
      <c r="F1195" t="s">
        <v>1088</v>
      </c>
      <c r="G1195" s="25">
        <v>44222</v>
      </c>
      <c r="H1195">
        <v>6</v>
      </c>
      <c r="I1195">
        <v>26</v>
      </c>
      <c r="J1195" t="s">
        <v>507</v>
      </c>
      <c r="K1195" t="s">
        <v>49</v>
      </c>
      <c r="L1195" t="s">
        <v>21</v>
      </c>
      <c r="M1195" t="s">
        <v>413</v>
      </c>
      <c r="N1195" t="s">
        <v>48</v>
      </c>
      <c r="O1195">
        <v>0</v>
      </c>
      <c r="P1195" t="s">
        <v>237</v>
      </c>
    </row>
    <row r="1196" spans="1:16" x14ac:dyDescent="0.25">
      <c r="A1196" t="s">
        <v>1989</v>
      </c>
      <c r="B1196">
        <v>1351</v>
      </c>
      <c r="C1196" t="s">
        <v>487</v>
      </c>
      <c r="D1196" t="s">
        <v>247</v>
      </c>
      <c r="E1196" t="s">
        <v>512</v>
      </c>
      <c r="F1196" t="s">
        <v>3146</v>
      </c>
      <c r="G1196" s="25">
        <v>44309</v>
      </c>
      <c r="H1196">
        <v>23</v>
      </c>
      <c r="I1196">
        <v>113</v>
      </c>
      <c r="J1196" t="s">
        <v>507</v>
      </c>
      <c r="K1196" t="s">
        <v>49</v>
      </c>
      <c r="L1196" t="s">
        <v>21</v>
      </c>
      <c r="M1196" t="s">
        <v>413</v>
      </c>
      <c r="N1196" t="s">
        <v>48</v>
      </c>
      <c r="O1196">
        <v>0</v>
      </c>
      <c r="P1196" t="s">
        <v>237</v>
      </c>
    </row>
    <row r="1197" spans="1:16" x14ac:dyDescent="0.25">
      <c r="A1197" t="s">
        <v>2807</v>
      </c>
      <c r="B1197">
        <v>655</v>
      </c>
      <c r="C1197" t="s">
        <v>487</v>
      </c>
      <c r="D1197" t="s">
        <v>256</v>
      </c>
      <c r="E1197" t="s">
        <v>575</v>
      </c>
      <c r="F1197" t="s">
        <v>1668</v>
      </c>
      <c r="G1197" s="25">
        <v>44251</v>
      </c>
      <c r="H1197">
        <v>11</v>
      </c>
      <c r="I1197">
        <v>55</v>
      </c>
      <c r="J1197" t="s">
        <v>507</v>
      </c>
      <c r="K1197" t="s">
        <v>49</v>
      </c>
      <c r="L1197" t="s">
        <v>21</v>
      </c>
      <c r="M1197" t="s">
        <v>413</v>
      </c>
      <c r="N1197" t="s">
        <v>48</v>
      </c>
      <c r="O1197">
        <v>0</v>
      </c>
      <c r="P1197" t="s">
        <v>237</v>
      </c>
    </row>
    <row r="1198" spans="1:16" x14ac:dyDescent="0.25">
      <c r="A1198" t="s">
        <v>676</v>
      </c>
      <c r="B1198">
        <v>159</v>
      </c>
      <c r="C1198" t="s">
        <v>487</v>
      </c>
      <c r="D1198" t="s">
        <v>229</v>
      </c>
      <c r="E1198" t="s">
        <v>537</v>
      </c>
      <c r="F1198" t="s">
        <v>538</v>
      </c>
      <c r="G1198" s="25">
        <v>44210</v>
      </c>
      <c r="H1198">
        <v>3</v>
      </c>
      <c r="I1198">
        <v>14</v>
      </c>
      <c r="J1198" t="s">
        <v>507</v>
      </c>
      <c r="K1198" t="s">
        <v>49</v>
      </c>
      <c r="L1198" t="s">
        <v>21</v>
      </c>
      <c r="M1198" t="s">
        <v>413</v>
      </c>
      <c r="N1198" t="s">
        <v>48</v>
      </c>
      <c r="O1198">
        <v>0</v>
      </c>
      <c r="P1198" t="s">
        <v>237</v>
      </c>
    </row>
    <row r="1199" spans="1:16" x14ac:dyDescent="0.25">
      <c r="A1199" t="s">
        <v>238</v>
      </c>
      <c r="B1199">
        <v>100</v>
      </c>
      <c r="C1199" t="s">
        <v>487</v>
      </c>
      <c r="D1199" t="s">
        <v>229</v>
      </c>
      <c r="E1199" t="s">
        <v>371</v>
      </c>
      <c r="F1199" t="s">
        <v>557</v>
      </c>
      <c r="G1199" s="25">
        <v>44205</v>
      </c>
      <c r="H1199">
        <v>2</v>
      </c>
      <c r="I1199">
        <v>9</v>
      </c>
      <c r="J1199" t="s">
        <v>507</v>
      </c>
      <c r="K1199" t="s">
        <v>49</v>
      </c>
      <c r="L1199" t="s">
        <v>21</v>
      </c>
      <c r="M1199" t="s">
        <v>413</v>
      </c>
      <c r="N1199" t="s">
        <v>48</v>
      </c>
      <c r="O1199">
        <v>0</v>
      </c>
      <c r="P1199" t="s">
        <v>237</v>
      </c>
    </row>
    <row r="1200" spans="1:16" x14ac:dyDescent="0.25">
      <c r="A1200" t="s">
        <v>2007</v>
      </c>
      <c r="B1200">
        <v>1006</v>
      </c>
      <c r="C1200" t="s">
        <v>487</v>
      </c>
      <c r="D1200" t="s">
        <v>322</v>
      </c>
      <c r="E1200" t="s">
        <v>261</v>
      </c>
      <c r="F1200" t="s">
        <v>2956</v>
      </c>
      <c r="G1200" s="25">
        <v>44280</v>
      </c>
      <c r="H1200">
        <v>17</v>
      </c>
      <c r="I1200">
        <v>84</v>
      </c>
      <c r="J1200" t="s">
        <v>507</v>
      </c>
      <c r="K1200" t="s">
        <v>49</v>
      </c>
      <c r="L1200" t="s">
        <v>21</v>
      </c>
      <c r="M1200" t="s">
        <v>413</v>
      </c>
      <c r="N1200" t="s">
        <v>48</v>
      </c>
      <c r="O1200">
        <v>0</v>
      </c>
      <c r="P1200" t="s">
        <v>237</v>
      </c>
    </row>
    <row r="1201" spans="1:16" x14ac:dyDescent="0.25">
      <c r="A1201" t="s">
        <v>1572</v>
      </c>
      <c r="B1201">
        <v>475</v>
      </c>
      <c r="C1201" t="s">
        <v>487</v>
      </c>
      <c r="D1201" t="s">
        <v>231</v>
      </c>
      <c r="E1201" t="s">
        <v>408</v>
      </c>
      <c r="F1201" t="s">
        <v>1234</v>
      </c>
      <c r="G1201" s="25">
        <v>44236</v>
      </c>
      <c r="H1201">
        <v>8</v>
      </c>
      <c r="I1201">
        <v>40</v>
      </c>
      <c r="J1201" t="s">
        <v>507</v>
      </c>
      <c r="K1201" t="s">
        <v>49</v>
      </c>
      <c r="L1201" t="s">
        <v>21</v>
      </c>
      <c r="M1201" t="s">
        <v>413</v>
      </c>
      <c r="N1201" t="s">
        <v>48</v>
      </c>
      <c r="O1201">
        <v>0</v>
      </c>
      <c r="P1201" t="s">
        <v>237</v>
      </c>
    </row>
    <row r="1202" spans="1:16" x14ac:dyDescent="0.25">
      <c r="A1202" t="s">
        <v>579</v>
      </c>
      <c r="B1202">
        <v>455</v>
      </c>
      <c r="C1202" t="s">
        <v>487</v>
      </c>
      <c r="D1202" t="s">
        <v>231</v>
      </c>
      <c r="E1202" t="s">
        <v>552</v>
      </c>
      <c r="F1202" t="s">
        <v>1222</v>
      </c>
      <c r="G1202" s="25">
        <v>44234</v>
      </c>
      <c r="H1202">
        <v>8</v>
      </c>
      <c r="I1202">
        <v>38</v>
      </c>
      <c r="J1202" t="s">
        <v>508</v>
      </c>
      <c r="K1202" t="s">
        <v>47</v>
      </c>
      <c r="L1202" t="s">
        <v>21</v>
      </c>
      <c r="M1202" t="s">
        <v>288</v>
      </c>
      <c r="N1202" t="s">
        <v>46</v>
      </c>
      <c r="O1202">
        <v>5125</v>
      </c>
      <c r="P1202" t="s">
        <v>237</v>
      </c>
    </row>
    <row r="1203" spans="1:16" x14ac:dyDescent="0.25">
      <c r="A1203" t="s">
        <v>1912</v>
      </c>
      <c r="B1203">
        <v>751</v>
      </c>
      <c r="C1203" t="s">
        <v>487</v>
      </c>
      <c r="D1203" t="s">
        <v>261</v>
      </c>
      <c r="E1203" t="s">
        <v>256</v>
      </c>
      <c r="F1203" t="s">
        <v>1402</v>
      </c>
      <c r="G1203" s="25">
        <v>44259</v>
      </c>
      <c r="H1203">
        <v>13</v>
      </c>
      <c r="I1203">
        <v>63</v>
      </c>
      <c r="J1203" t="s">
        <v>508</v>
      </c>
      <c r="K1203" t="s">
        <v>47</v>
      </c>
      <c r="L1203" t="s">
        <v>21</v>
      </c>
      <c r="M1203" t="s">
        <v>288</v>
      </c>
      <c r="N1203" t="s">
        <v>46</v>
      </c>
      <c r="O1203">
        <v>0</v>
      </c>
      <c r="P1203" t="s">
        <v>237</v>
      </c>
    </row>
    <row r="1204" spans="1:16" x14ac:dyDescent="0.25">
      <c r="A1204" t="s">
        <v>306</v>
      </c>
      <c r="B1204">
        <v>45</v>
      </c>
      <c r="C1204" t="s">
        <v>487</v>
      </c>
      <c r="D1204" t="s">
        <v>229</v>
      </c>
      <c r="E1204" t="s">
        <v>261</v>
      </c>
      <c r="F1204" t="s">
        <v>549</v>
      </c>
      <c r="G1204" s="25">
        <v>44200</v>
      </c>
      <c r="H1204">
        <v>1</v>
      </c>
      <c r="I1204">
        <v>4</v>
      </c>
      <c r="J1204" t="s">
        <v>508</v>
      </c>
      <c r="K1204" t="s">
        <v>47</v>
      </c>
      <c r="L1204" t="s">
        <v>21</v>
      </c>
      <c r="M1204" t="s">
        <v>288</v>
      </c>
      <c r="N1204" t="s">
        <v>46</v>
      </c>
      <c r="O1204">
        <v>0</v>
      </c>
      <c r="P1204" t="s">
        <v>237</v>
      </c>
    </row>
    <row r="1205" spans="1:16" x14ac:dyDescent="0.25">
      <c r="A1205" t="s">
        <v>2666</v>
      </c>
      <c r="B1205">
        <v>737</v>
      </c>
      <c r="C1205" t="s">
        <v>487</v>
      </c>
      <c r="D1205" t="s">
        <v>261</v>
      </c>
      <c r="E1205" t="s">
        <v>231</v>
      </c>
      <c r="F1205" t="s">
        <v>1400</v>
      </c>
      <c r="G1205" s="25">
        <v>44258</v>
      </c>
      <c r="H1205">
        <v>13</v>
      </c>
      <c r="I1205">
        <v>62</v>
      </c>
      <c r="J1205" t="s">
        <v>508</v>
      </c>
      <c r="K1205" t="s">
        <v>47</v>
      </c>
      <c r="L1205" t="s">
        <v>21</v>
      </c>
      <c r="M1205" t="s">
        <v>288</v>
      </c>
      <c r="N1205" t="s">
        <v>46</v>
      </c>
      <c r="O1205">
        <v>0</v>
      </c>
      <c r="P1205" t="s">
        <v>237</v>
      </c>
    </row>
    <row r="1206" spans="1:16" x14ac:dyDescent="0.25">
      <c r="A1206" t="s">
        <v>760</v>
      </c>
      <c r="B1206">
        <v>213</v>
      </c>
      <c r="C1206" t="s">
        <v>487</v>
      </c>
      <c r="D1206" t="s">
        <v>229</v>
      </c>
      <c r="E1206" t="s">
        <v>552</v>
      </c>
      <c r="F1206" t="s">
        <v>553</v>
      </c>
      <c r="G1206" s="25">
        <v>44214</v>
      </c>
      <c r="H1206">
        <v>4</v>
      </c>
      <c r="I1206">
        <v>18</v>
      </c>
      <c r="J1206" t="s">
        <v>508</v>
      </c>
      <c r="K1206" t="s">
        <v>47</v>
      </c>
      <c r="L1206" t="s">
        <v>21</v>
      </c>
      <c r="M1206" t="s">
        <v>288</v>
      </c>
      <c r="N1206" t="s">
        <v>46</v>
      </c>
      <c r="O1206">
        <v>0</v>
      </c>
      <c r="P1206" t="s">
        <v>237</v>
      </c>
    </row>
    <row r="1207" spans="1:16" x14ac:dyDescent="0.25">
      <c r="A1207" t="s">
        <v>2491</v>
      </c>
      <c r="B1207">
        <v>1294</v>
      </c>
      <c r="C1207" t="s">
        <v>487</v>
      </c>
      <c r="D1207" t="s">
        <v>247</v>
      </c>
      <c r="E1207" t="s">
        <v>381</v>
      </c>
      <c r="F1207" t="s">
        <v>3107</v>
      </c>
      <c r="G1207" s="25">
        <v>44304</v>
      </c>
      <c r="H1207">
        <v>22</v>
      </c>
      <c r="I1207">
        <v>108</v>
      </c>
      <c r="J1207" t="s">
        <v>508</v>
      </c>
      <c r="K1207" t="s">
        <v>47</v>
      </c>
      <c r="L1207" t="s">
        <v>21</v>
      </c>
      <c r="M1207" t="s">
        <v>288</v>
      </c>
      <c r="N1207" t="s">
        <v>46</v>
      </c>
      <c r="O1207">
        <v>0</v>
      </c>
      <c r="P1207" t="s">
        <v>237</v>
      </c>
    </row>
    <row r="1208" spans="1:16" x14ac:dyDescent="0.25">
      <c r="A1208" t="s">
        <v>1562</v>
      </c>
      <c r="B1208">
        <v>468</v>
      </c>
      <c r="C1208" t="s">
        <v>487</v>
      </c>
      <c r="D1208" t="s">
        <v>231</v>
      </c>
      <c r="E1208" t="s">
        <v>531</v>
      </c>
      <c r="F1208" t="s">
        <v>1230</v>
      </c>
      <c r="G1208" s="25">
        <v>44235</v>
      </c>
      <c r="H1208">
        <v>8</v>
      </c>
      <c r="I1208">
        <v>39</v>
      </c>
      <c r="J1208" t="s">
        <v>508</v>
      </c>
      <c r="K1208" t="s">
        <v>47</v>
      </c>
      <c r="L1208" t="s">
        <v>21</v>
      </c>
      <c r="M1208" t="s">
        <v>288</v>
      </c>
      <c r="N1208" t="s">
        <v>46</v>
      </c>
      <c r="O1208">
        <v>24000</v>
      </c>
      <c r="P1208" t="s">
        <v>237</v>
      </c>
    </row>
    <row r="1209" spans="1:16" x14ac:dyDescent="0.25">
      <c r="A1209" t="s">
        <v>2604</v>
      </c>
      <c r="B1209">
        <v>727</v>
      </c>
      <c r="C1209" t="s">
        <v>487</v>
      </c>
      <c r="D1209" t="s">
        <v>261</v>
      </c>
      <c r="E1209" t="s">
        <v>229</v>
      </c>
      <c r="F1209" t="s">
        <v>1388</v>
      </c>
      <c r="G1209" s="25">
        <v>44257</v>
      </c>
      <c r="H1209">
        <v>13</v>
      </c>
      <c r="I1209">
        <v>61</v>
      </c>
      <c r="J1209" t="s">
        <v>508</v>
      </c>
      <c r="K1209" t="s">
        <v>47</v>
      </c>
      <c r="L1209" t="s">
        <v>21</v>
      </c>
      <c r="M1209" t="s">
        <v>288</v>
      </c>
      <c r="N1209" t="s">
        <v>46</v>
      </c>
      <c r="O1209">
        <v>0</v>
      </c>
      <c r="P1209" t="s">
        <v>237</v>
      </c>
    </row>
    <row r="1210" spans="1:16" x14ac:dyDescent="0.25">
      <c r="A1210" t="s">
        <v>1684</v>
      </c>
      <c r="B1210">
        <v>719</v>
      </c>
      <c r="C1210" t="s">
        <v>487</v>
      </c>
      <c r="D1210" t="s">
        <v>256</v>
      </c>
      <c r="E1210" t="s">
        <v>408</v>
      </c>
      <c r="F1210" t="s">
        <v>1383</v>
      </c>
      <c r="G1210" s="25">
        <v>44256</v>
      </c>
      <c r="H1210">
        <v>12</v>
      </c>
      <c r="I1210">
        <v>60</v>
      </c>
      <c r="J1210" t="s">
        <v>508</v>
      </c>
      <c r="K1210" t="s">
        <v>47</v>
      </c>
      <c r="L1210" t="s">
        <v>21</v>
      </c>
      <c r="M1210" t="s">
        <v>288</v>
      </c>
      <c r="N1210" t="s">
        <v>46</v>
      </c>
      <c r="O1210">
        <v>0</v>
      </c>
      <c r="P1210" t="s">
        <v>237</v>
      </c>
    </row>
    <row r="1211" spans="1:16" x14ac:dyDescent="0.25">
      <c r="A1211" t="s">
        <v>2408</v>
      </c>
      <c r="B1211">
        <v>1093</v>
      </c>
      <c r="C1211" t="s">
        <v>487</v>
      </c>
      <c r="D1211" t="s">
        <v>322</v>
      </c>
      <c r="E1211" t="s">
        <v>232</v>
      </c>
      <c r="F1211" t="s">
        <v>2987</v>
      </c>
      <c r="G1211" s="25">
        <v>44288</v>
      </c>
      <c r="H1211">
        <v>19</v>
      </c>
      <c r="I1211">
        <v>92</v>
      </c>
      <c r="J1211" t="s">
        <v>508</v>
      </c>
      <c r="K1211" t="s">
        <v>47</v>
      </c>
      <c r="L1211" t="s">
        <v>21</v>
      </c>
      <c r="M1211" t="s">
        <v>288</v>
      </c>
      <c r="N1211" t="s">
        <v>46</v>
      </c>
      <c r="O1211">
        <v>0</v>
      </c>
      <c r="P1211" t="s">
        <v>237</v>
      </c>
    </row>
    <row r="1212" spans="1:16" x14ac:dyDescent="0.25">
      <c r="A1212" t="s">
        <v>2281</v>
      </c>
      <c r="B1212">
        <v>708</v>
      </c>
      <c r="C1212" t="s">
        <v>487</v>
      </c>
      <c r="D1212" t="s">
        <v>256</v>
      </c>
      <c r="E1212" t="s">
        <v>531</v>
      </c>
      <c r="F1212" t="s">
        <v>1373</v>
      </c>
      <c r="G1212" s="25">
        <v>44255</v>
      </c>
      <c r="H1212">
        <v>12</v>
      </c>
      <c r="I1212">
        <v>59</v>
      </c>
      <c r="J1212" t="s">
        <v>508</v>
      </c>
      <c r="K1212" t="s">
        <v>47</v>
      </c>
      <c r="L1212" t="s">
        <v>21</v>
      </c>
      <c r="M1212" t="s">
        <v>288</v>
      </c>
      <c r="N1212" t="s">
        <v>46</v>
      </c>
      <c r="O1212">
        <v>16000</v>
      </c>
      <c r="P1212" t="s">
        <v>237</v>
      </c>
    </row>
    <row r="1213" spans="1:16" x14ac:dyDescent="0.25">
      <c r="A1213" t="s">
        <v>1587</v>
      </c>
      <c r="B1213">
        <v>480</v>
      </c>
      <c r="C1213" t="s">
        <v>487</v>
      </c>
      <c r="D1213" t="s">
        <v>231</v>
      </c>
      <c r="E1213" t="s">
        <v>408</v>
      </c>
      <c r="F1213" t="s">
        <v>1234</v>
      </c>
      <c r="G1213" s="25">
        <v>44236</v>
      </c>
      <c r="H1213">
        <v>8</v>
      </c>
      <c r="I1213">
        <v>40</v>
      </c>
      <c r="J1213" t="s">
        <v>508</v>
      </c>
      <c r="K1213" t="s">
        <v>47</v>
      </c>
      <c r="L1213" t="s">
        <v>21</v>
      </c>
      <c r="M1213" t="s">
        <v>288</v>
      </c>
      <c r="N1213" t="s">
        <v>46</v>
      </c>
      <c r="O1213">
        <v>18875</v>
      </c>
      <c r="P1213" t="s">
        <v>237</v>
      </c>
    </row>
    <row r="1214" spans="1:16" x14ac:dyDescent="0.25">
      <c r="A1214" t="s">
        <v>2878</v>
      </c>
      <c r="B1214">
        <v>1307</v>
      </c>
      <c r="C1214" t="s">
        <v>487</v>
      </c>
      <c r="D1214" t="s">
        <v>247</v>
      </c>
      <c r="E1214" t="s">
        <v>371</v>
      </c>
      <c r="F1214" t="s">
        <v>3112</v>
      </c>
      <c r="G1214" s="25">
        <v>44305</v>
      </c>
      <c r="H1214">
        <v>22</v>
      </c>
      <c r="I1214">
        <v>109</v>
      </c>
      <c r="J1214" t="s">
        <v>508</v>
      </c>
      <c r="K1214" t="s">
        <v>47</v>
      </c>
      <c r="L1214" t="s">
        <v>21</v>
      </c>
      <c r="M1214" t="s">
        <v>288</v>
      </c>
      <c r="N1214" t="s">
        <v>46</v>
      </c>
      <c r="O1214">
        <v>2000</v>
      </c>
      <c r="P1214" t="s">
        <v>237</v>
      </c>
    </row>
    <row r="1215" spans="1:16" x14ac:dyDescent="0.25">
      <c r="A1215" t="s">
        <v>1705</v>
      </c>
      <c r="B1215">
        <v>695</v>
      </c>
      <c r="C1215" t="s">
        <v>487</v>
      </c>
      <c r="D1215" t="s">
        <v>256</v>
      </c>
      <c r="E1215" t="s">
        <v>552</v>
      </c>
      <c r="F1215" t="s">
        <v>1365</v>
      </c>
      <c r="G1215" s="25">
        <v>44254</v>
      </c>
      <c r="H1215">
        <v>12</v>
      </c>
      <c r="I1215">
        <v>58</v>
      </c>
      <c r="J1215" t="s">
        <v>508</v>
      </c>
      <c r="K1215" t="s">
        <v>47</v>
      </c>
      <c r="L1215" t="s">
        <v>21</v>
      </c>
      <c r="M1215" t="s">
        <v>288</v>
      </c>
      <c r="N1215" t="s">
        <v>46</v>
      </c>
      <c r="O1215">
        <v>0</v>
      </c>
      <c r="P1215" t="s">
        <v>237</v>
      </c>
    </row>
    <row r="1216" spans="1:16" x14ac:dyDescent="0.25">
      <c r="A1216" t="s">
        <v>1599</v>
      </c>
      <c r="B1216">
        <v>483</v>
      </c>
      <c r="C1216" t="s">
        <v>487</v>
      </c>
      <c r="D1216" t="s">
        <v>256</v>
      </c>
      <c r="E1216" t="s">
        <v>229</v>
      </c>
      <c r="F1216" t="s">
        <v>1241</v>
      </c>
      <c r="G1216" s="25">
        <v>44237</v>
      </c>
      <c r="H1216">
        <v>9</v>
      </c>
      <c r="I1216">
        <v>41</v>
      </c>
      <c r="J1216" t="s">
        <v>508</v>
      </c>
      <c r="K1216" t="s">
        <v>47</v>
      </c>
      <c r="L1216" t="s">
        <v>21</v>
      </c>
      <c r="M1216" t="s">
        <v>288</v>
      </c>
      <c r="N1216" t="s">
        <v>46</v>
      </c>
      <c r="O1216">
        <v>0</v>
      </c>
      <c r="P1216" t="s">
        <v>237</v>
      </c>
    </row>
    <row r="1217" spans="1:16" x14ac:dyDescent="0.25">
      <c r="A1217" t="s">
        <v>2692</v>
      </c>
      <c r="B1217">
        <v>1381</v>
      </c>
      <c r="C1217" t="s">
        <v>487</v>
      </c>
      <c r="D1217" t="s">
        <v>247</v>
      </c>
      <c r="E1217" t="s">
        <v>620</v>
      </c>
      <c r="F1217" t="s">
        <v>3162</v>
      </c>
      <c r="G1217" s="25">
        <v>44312</v>
      </c>
      <c r="H1217">
        <v>24</v>
      </c>
      <c r="I1217">
        <v>116</v>
      </c>
      <c r="J1217" t="s">
        <v>508</v>
      </c>
      <c r="K1217" t="s">
        <v>47</v>
      </c>
      <c r="L1217" t="s">
        <v>21</v>
      </c>
      <c r="M1217" t="s">
        <v>288</v>
      </c>
      <c r="N1217" t="s">
        <v>46</v>
      </c>
      <c r="O1217">
        <v>0</v>
      </c>
      <c r="P1217" t="s">
        <v>237</v>
      </c>
    </row>
    <row r="1218" spans="1:16" x14ac:dyDescent="0.25">
      <c r="A1218" t="s">
        <v>2077</v>
      </c>
      <c r="B1218">
        <v>762</v>
      </c>
      <c r="C1218" t="s">
        <v>487</v>
      </c>
      <c r="D1218" t="s">
        <v>261</v>
      </c>
      <c r="E1218" t="s">
        <v>261</v>
      </c>
      <c r="F1218" t="s">
        <v>1410</v>
      </c>
      <c r="G1218" s="25">
        <v>44260</v>
      </c>
      <c r="H1218">
        <v>13</v>
      </c>
      <c r="I1218">
        <v>64</v>
      </c>
      <c r="J1218" t="s">
        <v>508</v>
      </c>
      <c r="K1218" t="s">
        <v>47</v>
      </c>
      <c r="L1218" t="s">
        <v>21</v>
      </c>
      <c r="M1218" t="s">
        <v>288</v>
      </c>
      <c r="N1218" t="s">
        <v>46</v>
      </c>
      <c r="O1218">
        <v>0</v>
      </c>
      <c r="P1218" t="s">
        <v>237</v>
      </c>
    </row>
    <row r="1219" spans="1:16" x14ac:dyDescent="0.25">
      <c r="A1219" t="s">
        <v>1932</v>
      </c>
      <c r="B1219">
        <v>1397</v>
      </c>
      <c r="C1219" t="s">
        <v>487</v>
      </c>
      <c r="D1219" t="s">
        <v>247</v>
      </c>
      <c r="E1219" t="s">
        <v>534</v>
      </c>
      <c r="F1219" t="s">
        <v>3166</v>
      </c>
      <c r="G1219" s="25">
        <v>44313</v>
      </c>
      <c r="H1219">
        <v>24</v>
      </c>
      <c r="I1219">
        <v>117</v>
      </c>
      <c r="J1219" t="s">
        <v>508</v>
      </c>
      <c r="K1219" t="s">
        <v>47</v>
      </c>
      <c r="L1219" t="s">
        <v>21</v>
      </c>
      <c r="M1219" t="s">
        <v>288</v>
      </c>
      <c r="N1219" t="s">
        <v>46</v>
      </c>
      <c r="O1219">
        <v>0</v>
      </c>
      <c r="P1219" t="s">
        <v>237</v>
      </c>
    </row>
    <row r="1220" spans="1:16" x14ac:dyDescent="0.25">
      <c r="A1220" t="s">
        <v>798</v>
      </c>
      <c r="B1220">
        <v>298</v>
      </c>
      <c r="C1220" t="s">
        <v>487</v>
      </c>
      <c r="D1220" t="s">
        <v>231</v>
      </c>
      <c r="E1220" t="s">
        <v>322</v>
      </c>
      <c r="F1220" t="s">
        <v>1085</v>
      </c>
      <c r="G1220" s="25">
        <v>44221</v>
      </c>
      <c r="H1220">
        <v>5</v>
      </c>
      <c r="I1220">
        <v>25</v>
      </c>
      <c r="J1220" t="s">
        <v>508</v>
      </c>
      <c r="K1220" t="s">
        <v>47</v>
      </c>
      <c r="L1220" t="s">
        <v>21</v>
      </c>
      <c r="M1220" t="s">
        <v>288</v>
      </c>
      <c r="N1220" t="s">
        <v>46</v>
      </c>
      <c r="O1220">
        <v>0</v>
      </c>
      <c r="P1220" t="s">
        <v>237</v>
      </c>
    </row>
    <row r="1221" spans="1:16" x14ac:dyDescent="0.25">
      <c r="A1221" t="s">
        <v>1673</v>
      </c>
      <c r="B1221">
        <v>1275</v>
      </c>
      <c r="C1221" t="s">
        <v>487</v>
      </c>
      <c r="D1221" t="s">
        <v>247</v>
      </c>
      <c r="E1221" t="s">
        <v>326</v>
      </c>
      <c r="F1221" t="s">
        <v>3091</v>
      </c>
      <c r="G1221" s="25">
        <v>44303</v>
      </c>
      <c r="H1221">
        <v>22</v>
      </c>
      <c r="I1221">
        <v>107</v>
      </c>
      <c r="J1221" t="s">
        <v>508</v>
      </c>
      <c r="K1221" t="s">
        <v>47</v>
      </c>
      <c r="L1221" t="s">
        <v>21</v>
      </c>
      <c r="M1221" t="s">
        <v>288</v>
      </c>
      <c r="N1221" t="s">
        <v>46</v>
      </c>
      <c r="O1221">
        <v>0</v>
      </c>
      <c r="P1221" t="s">
        <v>237</v>
      </c>
    </row>
    <row r="1222" spans="1:16" x14ac:dyDescent="0.25">
      <c r="A1222" t="s">
        <v>2828</v>
      </c>
      <c r="B1222">
        <v>776</v>
      </c>
      <c r="C1222" t="s">
        <v>487</v>
      </c>
      <c r="D1222" t="s">
        <v>261</v>
      </c>
      <c r="E1222" t="s">
        <v>322</v>
      </c>
      <c r="F1222" t="s">
        <v>1417</v>
      </c>
      <c r="G1222" s="25">
        <v>44261</v>
      </c>
      <c r="H1222">
        <v>13</v>
      </c>
      <c r="I1222">
        <v>65</v>
      </c>
      <c r="J1222" t="s">
        <v>508</v>
      </c>
      <c r="K1222" t="s">
        <v>47</v>
      </c>
      <c r="L1222" t="s">
        <v>21</v>
      </c>
      <c r="M1222" t="s">
        <v>288</v>
      </c>
      <c r="N1222" t="s">
        <v>46</v>
      </c>
      <c r="O1222">
        <v>0</v>
      </c>
      <c r="P1222" t="s">
        <v>237</v>
      </c>
    </row>
    <row r="1223" spans="1:16" x14ac:dyDescent="0.25">
      <c r="A1223" t="s">
        <v>2212</v>
      </c>
      <c r="B1223">
        <v>784</v>
      </c>
      <c r="C1223" t="s">
        <v>487</v>
      </c>
      <c r="D1223" t="s">
        <v>261</v>
      </c>
      <c r="E1223" t="s">
        <v>247</v>
      </c>
      <c r="F1223" t="s">
        <v>1425</v>
      </c>
      <c r="G1223" s="25">
        <v>44262</v>
      </c>
      <c r="H1223">
        <v>14</v>
      </c>
      <c r="I1223">
        <v>66</v>
      </c>
      <c r="J1223" t="s">
        <v>508</v>
      </c>
      <c r="K1223" t="s">
        <v>47</v>
      </c>
      <c r="L1223" t="s">
        <v>21</v>
      </c>
      <c r="M1223" t="s">
        <v>288</v>
      </c>
      <c r="N1223" t="s">
        <v>46</v>
      </c>
      <c r="O1223">
        <v>0</v>
      </c>
      <c r="P1223" t="s">
        <v>237</v>
      </c>
    </row>
    <row r="1224" spans="1:16" x14ac:dyDescent="0.25">
      <c r="A1224" t="s">
        <v>814</v>
      </c>
      <c r="B1224">
        <v>197</v>
      </c>
      <c r="C1224" t="s">
        <v>487</v>
      </c>
      <c r="D1224" t="s">
        <v>229</v>
      </c>
      <c r="E1224" t="s">
        <v>534</v>
      </c>
      <c r="F1224" t="s">
        <v>535</v>
      </c>
      <c r="G1224" s="25">
        <v>44213</v>
      </c>
      <c r="H1224">
        <v>4</v>
      </c>
      <c r="I1224">
        <v>17</v>
      </c>
      <c r="J1224" t="s">
        <v>508</v>
      </c>
      <c r="K1224" t="s">
        <v>47</v>
      </c>
      <c r="L1224" t="s">
        <v>21</v>
      </c>
      <c r="M1224" t="s">
        <v>288</v>
      </c>
      <c r="N1224" t="s">
        <v>46</v>
      </c>
      <c r="O1224">
        <v>0</v>
      </c>
      <c r="P1224" t="s">
        <v>237</v>
      </c>
    </row>
    <row r="1225" spans="1:16" x14ac:dyDescent="0.25">
      <c r="A1225" t="s">
        <v>2713</v>
      </c>
      <c r="B1225">
        <v>1084</v>
      </c>
      <c r="C1225" t="s">
        <v>487</v>
      </c>
      <c r="D1225" t="s">
        <v>322</v>
      </c>
      <c r="E1225" t="s">
        <v>515</v>
      </c>
      <c r="F1225" t="s">
        <v>2983</v>
      </c>
      <c r="G1225" s="25">
        <v>44287</v>
      </c>
      <c r="H1225">
        <v>19</v>
      </c>
      <c r="I1225">
        <v>91</v>
      </c>
      <c r="J1225" t="s">
        <v>508</v>
      </c>
      <c r="K1225" t="s">
        <v>47</v>
      </c>
      <c r="L1225" t="s">
        <v>21</v>
      </c>
      <c r="M1225" t="s">
        <v>288</v>
      </c>
      <c r="N1225" t="s">
        <v>46</v>
      </c>
      <c r="O1225">
        <v>0</v>
      </c>
      <c r="P1225" t="s">
        <v>237</v>
      </c>
    </row>
    <row r="1226" spans="1:16" x14ac:dyDescent="0.25">
      <c r="A1226" t="s">
        <v>806</v>
      </c>
      <c r="B1226">
        <v>434</v>
      </c>
      <c r="C1226" t="s">
        <v>487</v>
      </c>
      <c r="D1226" t="s">
        <v>231</v>
      </c>
      <c r="E1226" t="s">
        <v>534</v>
      </c>
      <c r="F1226" t="s">
        <v>1731</v>
      </c>
      <c r="G1226" s="25">
        <v>44233</v>
      </c>
      <c r="H1226">
        <v>8</v>
      </c>
      <c r="I1226">
        <v>37</v>
      </c>
      <c r="J1226" t="s">
        <v>508</v>
      </c>
      <c r="K1226" t="s">
        <v>47</v>
      </c>
      <c r="L1226" t="s">
        <v>21</v>
      </c>
      <c r="M1226" t="s">
        <v>288</v>
      </c>
      <c r="N1226" t="s">
        <v>46</v>
      </c>
      <c r="O1226">
        <v>0</v>
      </c>
      <c r="P1226" t="s">
        <v>237</v>
      </c>
    </row>
    <row r="1227" spans="1:16" x14ac:dyDescent="0.25">
      <c r="A1227" t="s">
        <v>2034</v>
      </c>
      <c r="B1227">
        <v>798</v>
      </c>
      <c r="C1227" t="s">
        <v>487</v>
      </c>
      <c r="D1227" t="s">
        <v>261</v>
      </c>
      <c r="E1227" t="s">
        <v>326</v>
      </c>
      <c r="F1227" t="s">
        <v>1440</v>
      </c>
      <c r="G1227" s="25">
        <v>44263</v>
      </c>
      <c r="H1227">
        <v>14</v>
      </c>
      <c r="I1227">
        <v>67</v>
      </c>
      <c r="J1227" t="s">
        <v>508</v>
      </c>
      <c r="K1227" t="s">
        <v>47</v>
      </c>
      <c r="L1227" t="s">
        <v>21</v>
      </c>
      <c r="M1227" t="s">
        <v>288</v>
      </c>
      <c r="N1227" t="s">
        <v>46</v>
      </c>
      <c r="O1227">
        <v>0</v>
      </c>
      <c r="P1227" t="s">
        <v>237</v>
      </c>
    </row>
    <row r="1228" spans="1:16" x14ac:dyDescent="0.25">
      <c r="A1228" t="s">
        <v>2705</v>
      </c>
      <c r="B1228">
        <v>806</v>
      </c>
      <c r="C1228" t="s">
        <v>487</v>
      </c>
      <c r="D1228" t="s">
        <v>261</v>
      </c>
      <c r="E1228" t="s">
        <v>381</v>
      </c>
      <c r="F1228" t="s">
        <v>1458</v>
      </c>
      <c r="G1228" s="25">
        <v>44264</v>
      </c>
      <c r="H1228">
        <v>14</v>
      </c>
      <c r="I1228">
        <v>68</v>
      </c>
      <c r="J1228" t="s">
        <v>508</v>
      </c>
      <c r="K1228" t="s">
        <v>47</v>
      </c>
      <c r="L1228" t="s">
        <v>21</v>
      </c>
      <c r="M1228" t="s">
        <v>288</v>
      </c>
      <c r="N1228" t="s">
        <v>46</v>
      </c>
      <c r="O1228">
        <v>0</v>
      </c>
      <c r="P1228" t="s">
        <v>237</v>
      </c>
    </row>
    <row r="1229" spans="1:16" x14ac:dyDescent="0.25">
      <c r="A1229" t="s">
        <v>738</v>
      </c>
      <c r="B1229">
        <v>427</v>
      </c>
      <c r="C1229" t="s">
        <v>487</v>
      </c>
      <c r="D1229" t="s">
        <v>231</v>
      </c>
      <c r="E1229" t="s">
        <v>620</v>
      </c>
      <c r="F1229" t="s">
        <v>1215</v>
      </c>
      <c r="G1229" s="25">
        <v>44232</v>
      </c>
      <c r="H1229">
        <v>8</v>
      </c>
      <c r="I1229">
        <v>36</v>
      </c>
      <c r="J1229" t="s">
        <v>508</v>
      </c>
      <c r="K1229" t="s">
        <v>47</v>
      </c>
      <c r="L1229" t="s">
        <v>21</v>
      </c>
      <c r="M1229" t="s">
        <v>288</v>
      </c>
      <c r="N1229" t="s">
        <v>46</v>
      </c>
      <c r="O1229">
        <v>0</v>
      </c>
      <c r="P1229" t="s">
        <v>237</v>
      </c>
    </row>
    <row r="1230" spans="1:16" x14ac:dyDescent="0.25">
      <c r="A1230" t="s">
        <v>357</v>
      </c>
      <c r="B1230">
        <v>119</v>
      </c>
      <c r="C1230" t="s">
        <v>487</v>
      </c>
      <c r="D1230" t="s">
        <v>229</v>
      </c>
      <c r="E1230" t="s">
        <v>239</v>
      </c>
      <c r="F1230" t="s">
        <v>578</v>
      </c>
      <c r="G1230" s="25">
        <v>44206</v>
      </c>
      <c r="H1230">
        <v>2</v>
      </c>
      <c r="I1230">
        <v>10</v>
      </c>
      <c r="J1230" t="s">
        <v>508</v>
      </c>
      <c r="K1230" t="s">
        <v>47</v>
      </c>
      <c r="L1230" t="s">
        <v>21</v>
      </c>
      <c r="M1230" t="s">
        <v>288</v>
      </c>
      <c r="N1230" t="s">
        <v>46</v>
      </c>
      <c r="O1230">
        <v>8000</v>
      </c>
      <c r="P1230" t="s">
        <v>237</v>
      </c>
    </row>
    <row r="1231" spans="1:16" x14ac:dyDescent="0.25">
      <c r="A1231" t="s">
        <v>2044</v>
      </c>
      <c r="B1231">
        <v>1264</v>
      </c>
      <c r="C1231" t="s">
        <v>487</v>
      </c>
      <c r="D1231" t="s">
        <v>247</v>
      </c>
      <c r="E1231" t="s">
        <v>247</v>
      </c>
      <c r="F1231" t="s">
        <v>3085</v>
      </c>
      <c r="G1231" s="25">
        <v>44302</v>
      </c>
      <c r="H1231">
        <v>22</v>
      </c>
      <c r="I1231">
        <v>106</v>
      </c>
      <c r="J1231" t="s">
        <v>508</v>
      </c>
      <c r="K1231" t="s">
        <v>47</v>
      </c>
      <c r="L1231" t="s">
        <v>21</v>
      </c>
      <c r="M1231" t="s">
        <v>288</v>
      </c>
      <c r="N1231" t="s">
        <v>46</v>
      </c>
      <c r="O1231">
        <v>0</v>
      </c>
      <c r="P1231" t="s">
        <v>237</v>
      </c>
    </row>
    <row r="1232" spans="1:16" x14ac:dyDescent="0.25">
      <c r="A1232" t="s">
        <v>582</v>
      </c>
      <c r="B1232">
        <v>305</v>
      </c>
      <c r="C1232" t="s">
        <v>487</v>
      </c>
      <c r="D1232" t="s">
        <v>231</v>
      </c>
      <c r="E1232" t="s">
        <v>247</v>
      </c>
      <c r="F1232" t="s">
        <v>1088</v>
      </c>
      <c r="G1232" s="25">
        <v>44222</v>
      </c>
      <c r="H1232">
        <v>6</v>
      </c>
      <c r="I1232">
        <v>26</v>
      </c>
      <c r="J1232" t="s">
        <v>508</v>
      </c>
      <c r="K1232" t="s">
        <v>47</v>
      </c>
      <c r="L1232" t="s">
        <v>21</v>
      </c>
      <c r="M1232" t="s">
        <v>288</v>
      </c>
      <c r="N1232" t="s">
        <v>46</v>
      </c>
      <c r="O1232">
        <v>0</v>
      </c>
      <c r="P1232" t="s">
        <v>237</v>
      </c>
    </row>
    <row r="1233" spans="1:16" x14ac:dyDescent="0.25">
      <c r="A1233" t="s">
        <v>2192</v>
      </c>
      <c r="B1233">
        <v>1406</v>
      </c>
      <c r="C1233" t="s">
        <v>487</v>
      </c>
      <c r="D1233" t="s">
        <v>247</v>
      </c>
      <c r="E1233" t="s">
        <v>552</v>
      </c>
      <c r="F1233" t="s">
        <v>3170</v>
      </c>
      <c r="G1233" s="25">
        <v>44314</v>
      </c>
      <c r="H1233">
        <v>24</v>
      </c>
      <c r="I1233">
        <v>118</v>
      </c>
      <c r="J1233" t="s">
        <v>508</v>
      </c>
      <c r="K1233" t="s">
        <v>47</v>
      </c>
      <c r="L1233" t="s">
        <v>21</v>
      </c>
      <c r="M1233" t="s">
        <v>288</v>
      </c>
      <c r="N1233" t="s">
        <v>46</v>
      </c>
      <c r="O1233">
        <v>0</v>
      </c>
      <c r="P1233" t="s">
        <v>237</v>
      </c>
    </row>
    <row r="1234" spans="1:16" x14ac:dyDescent="0.25">
      <c r="A1234" t="s">
        <v>2482</v>
      </c>
      <c r="B1234">
        <v>1364</v>
      </c>
      <c r="C1234" t="s">
        <v>487</v>
      </c>
      <c r="D1234" t="s">
        <v>247</v>
      </c>
      <c r="E1234" t="s">
        <v>537</v>
      </c>
      <c r="F1234" t="s">
        <v>3153</v>
      </c>
      <c r="G1234" s="25">
        <v>44310</v>
      </c>
      <c r="H1234">
        <v>23</v>
      </c>
      <c r="I1234">
        <v>114</v>
      </c>
      <c r="J1234" t="s">
        <v>508</v>
      </c>
      <c r="K1234" t="s">
        <v>47</v>
      </c>
      <c r="L1234" t="s">
        <v>21</v>
      </c>
      <c r="M1234" t="s">
        <v>288</v>
      </c>
      <c r="N1234" t="s">
        <v>46</v>
      </c>
      <c r="O1234">
        <v>0</v>
      </c>
      <c r="P1234" t="s">
        <v>237</v>
      </c>
    </row>
    <row r="1235" spans="1:16" x14ac:dyDescent="0.25">
      <c r="A1235" t="s">
        <v>624</v>
      </c>
      <c r="B1235">
        <v>266</v>
      </c>
      <c r="C1235" t="s">
        <v>487</v>
      </c>
      <c r="D1235" t="s">
        <v>231</v>
      </c>
      <c r="E1235" t="s">
        <v>256</v>
      </c>
      <c r="F1235" t="s">
        <v>1064</v>
      </c>
      <c r="G1235" s="25">
        <v>44219</v>
      </c>
      <c r="H1235">
        <v>5</v>
      </c>
      <c r="I1235">
        <v>23</v>
      </c>
      <c r="J1235" t="s">
        <v>508</v>
      </c>
      <c r="K1235" t="s">
        <v>47</v>
      </c>
      <c r="L1235" t="s">
        <v>21</v>
      </c>
      <c r="M1235" t="s">
        <v>288</v>
      </c>
      <c r="N1235" t="s">
        <v>46</v>
      </c>
      <c r="O1235">
        <v>0</v>
      </c>
      <c r="P1235" t="s">
        <v>237</v>
      </c>
    </row>
    <row r="1236" spans="1:16" x14ac:dyDescent="0.25">
      <c r="A1236" t="s">
        <v>2035</v>
      </c>
      <c r="B1236">
        <v>556</v>
      </c>
      <c r="C1236" t="s">
        <v>487</v>
      </c>
      <c r="D1236" t="s">
        <v>256</v>
      </c>
      <c r="E1236" t="s">
        <v>326</v>
      </c>
      <c r="F1236" t="s">
        <v>1305</v>
      </c>
      <c r="G1236" s="25">
        <v>44243</v>
      </c>
      <c r="H1236">
        <v>10</v>
      </c>
      <c r="I1236">
        <v>47</v>
      </c>
      <c r="J1236" t="s">
        <v>508</v>
      </c>
      <c r="K1236" t="s">
        <v>47</v>
      </c>
      <c r="L1236" t="s">
        <v>21</v>
      </c>
      <c r="M1236" t="s">
        <v>288</v>
      </c>
      <c r="N1236" t="s">
        <v>46</v>
      </c>
      <c r="O1236">
        <v>0</v>
      </c>
      <c r="P1236" t="s">
        <v>237</v>
      </c>
    </row>
    <row r="1237" spans="1:16" x14ac:dyDescent="0.25">
      <c r="A1237" t="s">
        <v>2150</v>
      </c>
      <c r="B1237">
        <v>1114</v>
      </c>
      <c r="C1237" t="s">
        <v>487</v>
      </c>
      <c r="D1237" t="s">
        <v>322</v>
      </c>
      <c r="E1237" t="s">
        <v>512</v>
      </c>
      <c r="F1237" t="s">
        <v>2991</v>
      </c>
      <c r="G1237" s="25">
        <v>44289</v>
      </c>
      <c r="H1237">
        <v>19</v>
      </c>
      <c r="I1237">
        <v>93</v>
      </c>
      <c r="J1237" t="s">
        <v>508</v>
      </c>
      <c r="K1237" t="s">
        <v>47</v>
      </c>
      <c r="L1237" t="s">
        <v>21</v>
      </c>
      <c r="M1237" t="s">
        <v>288</v>
      </c>
      <c r="N1237" t="s">
        <v>46</v>
      </c>
      <c r="O1237">
        <v>0</v>
      </c>
      <c r="P1237" t="s">
        <v>237</v>
      </c>
    </row>
    <row r="1238" spans="1:16" x14ac:dyDescent="0.25">
      <c r="A1238" t="s">
        <v>1895</v>
      </c>
      <c r="B1238">
        <v>1350</v>
      </c>
      <c r="C1238" t="s">
        <v>487</v>
      </c>
      <c r="D1238" t="s">
        <v>247</v>
      </c>
      <c r="E1238" t="s">
        <v>512</v>
      </c>
      <c r="F1238" t="s">
        <v>3146</v>
      </c>
      <c r="G1238" s="25">
        <v>44309</v>
      </c>
      <c r="H1238">
        <v>23</v>
      </c>
      <c r="I1238">
        <v>113</v>
      </c>
      <c r="J1238" t="s">
        <v>508</v>
      </c>
      <c r="K1238" t="s">
        <v>47</v>
      </c>
      <c r="L1238" t="s">
        <v>21</v>
      </c>
      <c r="M1238" t="s">
        <v>288</v>
      </c>
      <c r="N1238" t="s">
        <v>46</v>
      </c>
      <c r="O1238">
        <v>0</v>
      </c>
      <c r="P1238" t="s">
        <v>237</v>
      </c>
    </row>
    <row r="1239" spans="1:16" x14ac:dyDescent="0.25">
      <c r="A1239" t="s">
        <v>2413</v>
      </c>
      <c r="B1239">
        <v>570</v>
      </c>
      <c r="C1239" t="s">
        <v>487</v>
      </c>
      <c r="D1239" t="s">
        <v>256</v>
      </c>
      <c r="E1239" t="s">
        <v>381</v>
      </c>
      <c r="F1239" t="s">
        <v>1311</v>
      </c>
      <c r="G1239" s="25">
        <v>44244</v>
      </c>
      <c r="H1239">
        <v>10</v>
      </c>
      <c r="I1239">
        <v>48</v>
      </c>
      <c r="J1239" t="s">
        <v>508</v>
      </c>
      <c r="K1239" t="s">
        <v>47</v>
      </c>
      <c r="L1239" t="s">
        <v>21</v>
      </c>
      <c r="M1239" t="s">
        <v>288</v>
      </c>
      <c r="N1239" t="s">
        <v>46</v>
      </c>
      <c r="O1239">
        <v>0</v>
      </c>
      <c r="P1239" t="s">
        <v>237</v>
      </c>
    </row>
    <row r="1240" spans="1:16" x14ac:dyDescent="0.25">
      <c r="A1240" t="s">
        <v>595</v>
      </c>
      <c r="B1240">
        <v>260</v>
      </c>
      <c r="C1240" t="s">
        <v>487</v>
      </c>
      <c r="D1240" t="s">
        <v>231</v>
      </c>
      <c r="E1240" t="s">
        <v>231</v>
      </c>
      <c r="F1240" t="s">
        <v>1080</v>
      </c>
      <c r="G1240" s="25">
        <v>44218</v>
      </c>
      <c r="H1240">
        <v>5</v>
      </c>
      <c r="I1240">
        <v>22</v>
      </c>
      <c r="J1240" t="s">
        <v>508</v>
      </c>
      <c r="K1240" t="s">
        <v>47</v>
      </c>
      <c r="L1240" t="s">
        <v>21</v>
      </c>
      <c r="M1240" t="s">
        <v>288</v>
      </c>
      <c r="N1240" t="s">
        <v>46</v>
      </c>
      <c r="O1240">
        <v>0</v>
      </c>
      <c r="P1240" t="s">
        <v>237</v>
      </c>
    </row>
    <row r="1241" spans="1:16" x14ac:dyDescent="0.25">
      <c r="A1241" t="s">
        <v>2068</v>
      </c>
      <c r="B1241">
        <v>580</v>
      </c>
      <c r="C1241" t="s">
        <v>487</v>
      </c>
      <c r="D1241" t="s">
        <v>256</v>
      </c>
      <c r="E1241" t="s">
        <v>371</v>
      </c>
      <c r="F1241" t="s">
        <v>1318</v>
      </c>
      <c r="G1241" s="25">
        <v>44245</v>
      </c>
      <c r="H1241">
        <v>10</v>
      </c>
      <c r="I1241">
        <v>49</v>
      </c>
      <c r="J1241" t="s">
        <v>508</v>
      </c>
      <c r="K1241" t="s">
        <v>47</v>
      </c>
      <c r="L1241" t="s">
        <v>21</v>
      </c>
      <c r="M1241" t="s">
        <v>288</v>
      </c>
      <c r="N1241" t="s">
        <v>46</v>
      </c>
      <c r="O1241">
        <v>0</v>
      </c>
      <c r="P1241" t="s">
        <v>237</v>
      </c>
    </row>
    <row r="1242" spans="1:16" x14ac:dyDescent="0.25">
      <c r="A1242" t="s">
        <v>1706</v>
      </c>
      <c r="B1242">
        <v>541</v>
      </c>
      <c r="C1242" t="s">
        <v>487</v>
      </c>
      <c r="D1242" t="s">
        <v>256</v>
      </c>
      <c r="E1242" t="s">
        <v>247</v>
      </c>
      <c r="F1242" t="s">
        <v>1299</v>
      </c>
      <c r="G1242" s="25">
        <v>44242</v>
      </c>
      <c r="H1242">
        <v>10</v>
      </c>
      <c r="I1242">
        <v>46</v>
      </c>
      <c r="J1242" t="s">
        <v>508</v>
      </c>
      <c r="K1242" t="s">
        <v>47</v>
      </c>
      <c r="L1242" t="s">
        <v>21</v>
      </c>
      <c r="M1242" t="s">
        <v>288</v>
      </c>
      <c r="N1242" t="s">
        <v>46</v>
      </c>
      <c r="O1242">
        <v>0</v>
      </c>
      <c r="P1242" t="s">
        <v>237</v>
      </c>
    </row>
    <row r="1243" spans="1:16" x14ac:dyDescent="0.25">
      <c r="A1243" t="s">
        <v>2404</v>
      </c>
      <c r="B1243">
        <v>540</v>
      </c>
      <c r="C1243" t="s">
        <v>487</v>
      </c>
      <c r="D1243" t="s">
        <v>256</v>
      </c>
      <c r="E1243" t="s">
        <v>322</v>
      </c>
      <c r="F1243" t="s">
        <v>1288</v>
      </c>
      <c r="G1243" s="25">
        <v>44241</v>
      </c>
      <c r="H1243">
        <v>9</v>
      </c>
      <c r="I1243">
        <v>45</v>
      </c>
      <c r="J1243" t="s">
        <v>508</v>
      </c>
      <c r="K1243" t="s">
        <v>47</v>
      </c>
      <c r="L1243" t="s">
        <v>21</v>
      </c>
      <c r="M1243" t="s">
        <v>288</v>
      </c>
      <c r="N1243" t="s">
        <v>46</v>
      </c>
      <c r="O1243">
        <v>16000</v>
      </c>
      <c r="P1243" t="s">
        <v>237</v>
      </c>
    </row>
    <row r="1244" spans="1:16" x14ac:dyDescent="0.25">
      <c r="A1244" t="s">
        <v>2394</v>
      </c>
      <c r="B1244">
        <v>1153</v>
      </c>
      <c r="C1244" t="s">
        <v>487</v>
      </c>
      <c r="D1244" t="s">
        <v>322</v>
      </c>
      <c r="E1244" t="s">
        <v>534</v>
      </c>
      <c r="F1244" t="s">
        <v>3031</v>
      </c>
      <c r="G1244" s="25">
        <v>44293</v>
      </c>
      <c r="H1244">
        <v>20</v>
      </c>
      <c r="I1244">
        <v>97</v>
      </c>
      <c r="J1244" t="s">
        <v>508</v>
      </c>
      <c r="K1244" t="s">
        <v>47</v>
      </c>
      <c r="L1244" t="s">
        <v>21</v>
      </c>
      <c r="M1244" t="s">
        <v>288</v>
      </c>
      <c r="N1244" t="s">
        <v>46</v>
      </c>
      <c r="O1244">
        <v>0</v>
      </c>
      <c r="P1244" t="s">
        <v>237</v>
      </c>
    </row>
    <row r="1245" spans="1:16" x14ac:dyDescent="0.25">
      <c r="A1245" t="s">
        <v>2439</v>
      </c>
      <c r="B1245">
        <v>595</v>
      </c>
      <c r="C1245" t="s">
        <v>487</v>
      </c>
      <c r="D1245" t="s">
        <v>256</v>
      </c>
      <c r="E1245" t="s">
        <v>239</v>
      </c>
      <c r="F1245" t="s">
        <v>1322</v>
      </c>
      <c r="G1245" s="25">
        <v>44246</v>
      </c>
      <c r="H1245">
        <v>10</v>
      </c>
      <c r="I1245">
        <v>50</v>
      </c>
      <c r="J1245" t="s">
        <v>508</v>
      </c>
      <c r="K1245" t="s">
        <v>47</v>
      </c>
      <c r="L1245" t="s">
        <v>21</v>
      </c>
      <c r="M1245" t="s">
        <v>288</v>
      </c>
      <c r="N1245" t="s">
        <v>46</v>
      </c>
      <c r="O1245">
        <v>0</v>
      </c>
      <c r="P1245" t="s">
        <v>237</v>
      </c>
    </row>
    <row r="1246" spans="1:16" x14ac:dyDescent="0.25">
      <c r="A1246" t="s">
        <v>2581</v>
      </c>
      <c r="B1246">
        <v>519</v>
      </c>
      <c r="C1246" t="s">
        <v>487</v>
      </c>
      <c r="D1246" t="s">
        <v>256</v>
      </c>
      <c r="E1246" t="s">
        <v>261</v>
      </c>
      <c r="F1246" t="s">
        <v>1276</v>
      </c>
      <c r="G1246" s="25">
        <v>44240</v>
      </c>
      <c r="H1246">
        <v>9</v>
      </c>
      <c r="I1246">
        <v>44</v>
      </c>
      <c r="J1246" t="s">
        <v>508</v>
      </c>
      <c r="K1246" t="s">
        <v>47</v>
      </c>
      <c r="L1246" t="s">
        <v>21</v>
      </c>
      <c r="M1246" t="s">
        <v>288</v>
      </c>
      <c r="N1246" t="s">
        <v>46</v>
      </c>
      <c r="O1246">
        <v>0</v>
      </c>
      <c r="P1246" t="s">
        <v>237</v>
      </c>
    </row>
    <row r="1247" spans="1:16" x14ac:dyDescent="0.25">
      <c r="A1247" t="s">
        <v>2887</v>
      </c>
      <c r="B1247">
        <v>605</v>
      </c>
      <c r="C1247" t="s">
        <v>487</v>
      </c>
      <c r="D1247" t="s">
        <v>256</v>
      </c>
      <c r="E1247" t="s">
        <v>515</v>
      </c>
      <c r="F1247" t="s">
        <v>1329</v>
      </c>
      <c r="G1247" s="25">
        <v>44247</v>
      </c>
      <c r="H1247">
        <v>11</v>
      </c>
      <c r="I1247">
        <v>51</v>
      </c>
      <c r="J1247" t="s">
        <v>508</v>
      </c>
      <c r="K1247" t="s">
        <v>47</v>
      </c>
      <c r="L1247" t="s">
        <v>21</v>
      </c>
      <c r="M1247" t="s">
        <v>288</v>
      </c>
      <c r="N1247" t="s">
        <v>46</v>
      </c>
      <c r="O1247">
        <v>0</v>
      </c>
      <c r="P1247" t="s">
        <v>237</v>
      </c>
    </row>
    <row r="1248" spans="1:16" x14ac:dyDescent="0.25">
      <c r="A1248" t="s">
        <v>601</v>
      </c>
      <c r="B1248">
        <v>250</v>
      </c>
      <c r="C1248" t="s">
        <v>487</v>
      </c>
      <c r="D1248" t="s">
        <v>231</v>
      </c>
      <c r="E1248" t="s">
        <v>229</v>
      </c>
      <c r="F1248" t="s">
        <v>541</v>
      </c>
      <c r="G1248" s="25">
        <v>44217</v>
      </c>
      <c r="H1248">
        <v>5</v>
      </c>
      <c r="I1248">
        <v>21</v>
      </c>
      <c r="J1248" t="s">
        <v>508</v>
      </c>
      <c r="K1248" t="s">
        <v>47</v>
      </c>
      <c r="L1248" t="s">
        <v>21</v>
      </c>
      <c r="M1248" t="s">
        <v>288</v>
      </c>
      <c r="N1248" t="s">
        <v>46</v>
      </c>
      <c r="O1248">
        <v>0</v>
      </c>
      <c r="P1248" t="s">
        <v>237</v>
      </c>
    </row>
    <row r="1249" spans="1:16" x14ac:dyDescent="0.25">
      <c r="A1249" t="s">
        <v>2332</v>
      </c>
      <c r="B1249">
        <v>1127</v>
      </c>
      <c r="C1249" t="s">
        <v>487</v>
      </c>
      <c r="D1249" t="s">
        <v>322</v>
      </c>
      <c r="E1249" t="s">
        <v>537</v>
      </c>
      <c r="F1249" t="s">
        <v>2999</v>
      </c>
      <c r="G1249" s="25">
        <v>44290</v>
      </c>
      <c r="H1249">
        <v>19</v>
      </c>
      <c r="I1249">
        <v>94</v>
      </c>
      <c r="J1249" t="s">
        <v>508</v>
      </c>
      <c r="K1249" t="s">
        <v>47</v>
      </c>
      <c r="L1249" t="s">
        <v>21</v>
      </c>
      <c r="M1249" t="s">
        <v>288</v>
      </c>
      <c r="N1249" t="s">
        <v>46</v>
      </c>
      <c r="O1249">
        <v>0</v>
      </c>
      <c r="P1249" t="s">
        <v>237</v>
      </c>
    </row>
    <row r="1250" spans="1:16" x14ac:dyDescent="0.25">
      <c r="A1250" t="s">
        <v>670</v>
      </c>
      <c r="B1250">
        <v>228</v>
      </c>
      <c r="C1250" t="s">
        <v>487</v>
      </c>
      <c r="D1250" t="s">
        <v>229</v>
      </c>
      <c r="E1250" t="s">
        <v>531</v>
      </c>
      <c r="F1250" t="s">
        <v>532</v>
      </c>
      <c r="G1250" s="25">
        <v>44215</v>
      </c>
      <c r="H1250">
        <v>4</v>
      </c>
      <c r="I1250">
        <v>19</v>
      </c>
      <c r="J1250" t="s">
        <v>508</v>
      </c>
      <c r="K1250" t="s">
        <v>47</v>
      </c>
      <c r="L1250" t="s">
        <v>21</v>
      </c>
      <c r="M1250" t="s">
        <v>288</v>
      </c>
      <c r="N1250" t="s">
        <v>46</v>
      </c>
      <c r="O1250">
        <v>23625</v>
      </c>
      <c r="P1250" t="s">
        <v>237</v>
      </c>
    </row>
    <row r="1251" spans="1:16" x14ac:dyDescent="0.25">
      <c r="A1251" t="s">
        <v>2063</v>
      </c>
      <c r="B1251">
        <v>1320</v>
      </c>
      <c r="C1251" t="s">
        <v>487</v>
      </c>
      <c r="D1251" t="s">
        <v>247</v>
      </c>
      <c r="E1251" t="s">
        <v>239</v>
      </c>
      <c r="F1251" t="s">
        <v>3118</v>
      </c>
      <c r="G1251" s="25">
        <v>44306</v>
      </c>
      <c r="H1251">
        <v>22</v>
      </c>
      <c r="I1251">
        <v>110</v>
      </c>
      <c r="J1251" t="s">
        <v>508</v>
      </c>
      <c r="K1251" t="s">
        <v>47</v>
      </c>
      <c r="L1251" t="s">
        <v>21</v>
      </c>
      <c r="M1251" t="s">
        <v>288</v>
      </c>
      <c r="N1251" t="s">
        <v>46</v>
      </c>
      <c r="O1251">
        <v>24000</v>
      </c>
      <c r="P1251" t="s">
        <v>237</v>
      </c>
    </row>
    <row r="1252" spans="1:16" x14ac:dyDescent="0.25">
      <c r="A1252" t="s">
        <v>2210</v>
      </c>
      <c r="B1252">
        <v>1378</v>
      </c>
      <c r="C1252" t="s">
        <v>487</v>
      </c>
      <c r="D1252" t="s">
        <v>247</v>
      </c>
      <c r="E1252" t="s">
        <v>575</v>
      </c>
      <c r="F1252" t="s">
        <v>3158</v>
      </c>
      <c r="G1252" s="25">
        <v>44311</v>
      </c>
      <c r="H1252">
        <v>23</v>
      </c>
      <c r="I1252">
        <v>115</v>
      </c>
      <c r="J1252" t="s">
        <v>508</v>
      </c>
      <c r="K1252" t="s">
        <v>47</v>
      </c>
      <c r="L1252" t="s">
        <v>21</v>
      </c>
      <c r="M1252" t="s">
        <v>288</v>
      </c>
      <c r="N1252" t="s">
        <v>46</v>
      </c>
      <c r="O1252">
        <v>0</v>
      </c>
      <c r="P1252" t="s">
        <v>237</v>
      </c>
    </row>
    <row r="1253" spans="1:16" x14ac:dyDescent="0.25">
      <c r="A1253" t="s">
        <v>2909</v>
      </c>
      <c r="B1253">
        <v>677</v>
      </c>
      <c r="C1253" t="s">
        <v>487</v>
      </c>
      <c r="D1253" t="s">
        <v>256</v>
      </c>
      <c r="E1253" t="s">
        <v>534</v>
      </c>
      <c r="F1253" t="s">
        <v>1357</v>
      </c>
      <c r="G1253" s="25">
        <v>44253</v>
      </c>
      <c r="H1253">
        <v>12</v>
      </c>
      <c r="I1253">
        <v>57</v>
      </c>
      <c r="J1253" t="s">
        <v>508</v>
      </c>
      <c r="K1253" t="s">
        <v>47</v>
      </c>
      <c r="L1253" t="s">
        <v>21</v>
      </c>
      <c r="M1253" t="s">
        <v>288</v>
      </c>
      <c r="N1253" t="s">
        <v>46</v>
      </c>
      <c r="O1253">
        <v>0</v>
      </c>
      <c r="P1253" t="s">
        <v>237</v>
      </c>
    </row>
    <row r="1254" spans="1:16" x14ac:dyDescent="0.25">
      <c r="A1254" t="s">
        <v>271</v>
      </c>
      <c r="B1254">
        <v>19</v>
      </c>
      <c r="C1254" t="s">
        <v>487</v>
      </c>
      <c r="D1254" t="s">
        <v>229</v>
      </c>
      <c r="E1254" t="s">
        <v>231</v>
      </c>
      <c r="F1254" t="s">
        <v>568</v>
      </c>
      <c r="G1254" s="25">
        <v>44198</v>
      </c>
      <c r="H1254">
        <v>1</v>
      </c>
      <c r="I1254">
        <v>2</v>
      </c>
      <c r="J1254" t="s">
        <v>508</v>
      </c>
      <c r="K1254" t="s">
        <v>47</v>
      </c>
      <c r="L1254" t="s">
        <v>21</v>
      </c>
      <c r="M1254" t="s">
        <v>288</v>
      </c>
      <c r="N1254" t="s">
        <v>46</v>
      </c>
      <c r="O1254">
        <v>0</v>
      </c>
      <c r="P1254" t="s">
        <v>237</v>
      </c>
    </row>
    <row r="1255" spans="1:16" x14ac:dyDescent="0.25">
      <c r="A1255" t="s">
        <v>1629</v>
      </c>
      <c r="B1255">
        <v>501</v>
      </c>
      <c r="C1255" t="s">
        <v>487</v>
      </c>
      <c r="D1255" t="s">
        <v>256</v>
      </c>
      <c r="E1255" t="s">
        <v>231</v>
      </c>
      <c r="F1255" t="s">
        <v>1249</v>
      </c>
      <c r="G1255" s="25">
        <v>44238</v>
      </c>
      <c r="H1255">
        <v>9</v>
      </c>
      <c r="I1255">
        <v>42</v>
      </c>
      <c r="J1255" t="s">
        <v>508</v>
      </c>
      <c r="K1255" t="s">
        <v>47</v>
      </c>
      <c r="L1255" t="s">
        <v>21</v>
      </c>
      <c r="M1255" t="s">
        <v>288</v>
      </c>
      <c r="N1255" t="s">
        <v>46</v>
      </c>
      <c r="O1255">
        <v>0</v>
      </c>
      <c r="P1255" t="s">
        <v>237</v>
      </c>
    </row>
    <row r="1256" spans="1:16" x14ac:dyDescent="0.25">
      <c r="A1256" t="s">
        <v>2091</v>
      </c>
      <c r="B1256">
        <v>661</v>
      </c>
      <c r="C1256" t="s">
        <v>487</v>
      </c>
      <c r="D1256" t="s">
        <v>256</v>
      </c>
      <c r="E1256" t="s">
        <v>620</v>
      </c>
      <c r="F1256" t="s">
        <v>1350</v>
      </c>
      <c r="G1256" s="25">
        <v>44252</v>
      </c>
      <c r="H1256">
        <v>12</v>
      </c>
      <c r="I1256">
        <v>56</v>
      </c>
      <c r="J1256" t="s">
        <v>508</v>
      </c>
      <c r="K1256" t="s">
        <v>47</v>
      </c>
      <c r="L1256" t="s">
        <v>21</v>
      </c>
      <c r="M1256" t="s">
        <v>288</v>
      </c>
      <c r="N1256" t="s">
        <v>46</v>
      </c>
      <c r="O1256">
        <v>0</v>
      </c>
      <c r="P1256" t="s">
        <v>237</v>
      </c>
    </row>
    <row r="1257" spans="1:16" x14ac:dyDescent="0.25">
      <c r="A1257" t="s">
        <v>2701</v>
      </c>
      <c r="B1257">
        <v>656</v>
      </c>
      <c r="C1257" t="s">
        <v>487</v>
      </c>
      <c r="D1257" t="s">
        <v>256</v>
      </c>
      <c r="E1257" t="s">
        <v>575</v>
      </c>
      <c r="F1257" t="s">
        <v>1668</v>
      </c>
      <c r="G1257" s="25">
        <v>44251</v>
      </c>
      <c r="H1257">
        <v>11</v>
      </c>
      <c r="I1257">
        <v>55</v>
      </c>
      <c r="J1257" t="s">
        <v>508</v>
      </c>
      <c r="K1257" t="s">
        <v>47</v>
      </c>
      <c r="L1257" t="s">
        <v>21</v>
      </c>
      <c r="M1257" t="s">
        <v>288</v>
      </c>
      <c r="N1257" t="s">
        <v>46</v>
      </c>
      <c r="O1257">
        <v>0</v>
      </c>
      <c r="P1257" t="s">
        <v>237</v>
      </c>
    </row>
    <row r="1258" spans="1:16" x14ac:dyDescent="0.25">
      <c r="A1258" t="s">
        <v>828</v>
      </c>
      <c r="B1258">
        <v>281</v>
      </c>
      <c r="C1258" t="s">
        <v>487</v>
      </c>
      <c r="D1258" t="s">
        <v>231</v>
      </c>
      <c r="E1258" t="s">
        <v>261</v>
      </c>
      <c r="F1258" t="s">
        <v>1065</v>
      </c>
      <c r="G1258" s="25">
        <v>44220</v>
      </c>
      <c r="H1258">
        <v>5</v>
      </c>
      <c r="I1258">
        <v>24</v>
      </c>
      <c r="J1258" t="s">
        <v>508</v>
      </c>
      <c r="K1258" t="s">
        <v>47</v>
      </c>
      <c r="L1258" t="s">
        <v>21</v>
      </c>
      <c r="M1258" t="s">
        <v>288</v>
      </c>
      <c r="N1258" t="s">
        <v>46</v>
      </c>
      <c r="O1258">
        <v>0</v>
      </c>
      <c r="P1258" t="s">
        <v>237</v>
      </c>
    </row>
    <row r="1259" spans="1:16" x14ac:dyDescent="0.25">
      <c r="A1259" t="s">
        <v>2518</v>
      </c>
      <c r="B1259">
        <v>513</v>
      </c>
      <c r="C1259" t="s">
        <v>487</v>
      </c>
      <c r="D1259" t="s">
        <v>256</v>
      </c>
      <c r="E1259" t="s">
        <v>256</v>
      </c>
      <c r="F1259" t="s">
        <v>1263</v>
      </c>
      <c r="G1259" s="25">
        <v>44239</v>
      </c>
      <c r="H1259">
        <v>9</v>
      </c>
      <c r="I1259">
        <v>43</v>
      </c>
      <c r="J1259" t="s">
        <v>508</v>
      </c>
      <c r="K1259" t="s">
        <v>47</v>
      </c>
      <c r="L1259" t="s">
        <v>21</v>
      </c>
      <c r="M1259" t="s">
        <v>288</v>
      </c>
      <c r="N1259" t="s">
        <v>46</v>
      </c>
      <c r="O1259">
        <v>0</v>
      </c>
      <c r="P1259" t="s">
        <v>237</v>
      </c>
    </row>
    <row r="1260" spans="1:16" x14ac:dyDescent="0.25">
      <c r="A1260" t="s">
        <v>763</v>
      </c>
      <c r="B1260">
        <v>239</v>
      </c>
      <c r="C1260" t="s">
        <v>487</v>
      </c>
      <c r="D1260" t="s">
        <v>229</v>
      </c>
      <c r="E1260" t="s">
        <v>408</v>
      </c>
      <c r="F1260" t="s">
        <v>527</v>
      </c>
      <c r="G1260" s="25">
        <v>44216</v>
      </c>
      <c r="H1260">
        <v>4</v>
      </c>
      <c r="I1260">
        <v>20</v>
      </c>
      <c r="J1260" t="s">
        <v>508</v>
      </c>
      <c r="K1260" t="s">
        <v>47</v>
      </c>
      <c r="L1260" t="s">
        <v>21</v>
      </c>
      <c r="M1260" t="s">
        <v>288</v>
      </c>
      <c r="N1260" t="s">
        <v>46</v>
      </c>
      <c r="O1260">
        <v>375</v>
      </c>
      <c r="P1260" t="s">
        <v>237</v>
      </c>
    </row>
    <row r="1261" spans="1:16" x14ac:dyDescent="0.25">
      <c r="A1261" t="s">
        <v>1766</v>
      </c>
      <c r="B1261">
        <v>643</v>
      </c>
      <c r="C1261" t="s">
        <v>487</v>
      </c>
      <c r="D1261" t="s">
        <v>256</v>
      </c>
      <c r="E1261" t="s">
        <v>537</v>
      </c>
      <c r="F1261" t="s">
        <v>1348</v>
      </c>
      <c r="G1261" s="25">
        <v>44250</v>
      </c>
      <c r="H1261">
        <v>11</v>
      </c>
      <c r="I1261">
        <v>54</v>
      </c>
      <c r="J1261" t="s">
        <v>508</v>
      </c>
      <c r="K1261" t="s">
        <v>47</v>
      </c>
      <c r="L1261" t="s">
        <v>21</v>
      </c>
      <c r="M1261" t="s">
        <v>288</v>
      </c>
      <c r="N1261" t="s">
        <v>46</v>
      </c>
      <c r="O1261">
        <v>0</v>
      </c>
      <c r="P1261" t="s">
        <v>237</v>
      </c>
    </row>
    <row r="1262" spans="1:16" x14ac:dyDescent="0.25">
      <c r="A1262" t="s">
        <v>2358</v>
      </c>
      <c r="B1262">
        <v>1332</v>
      </c>
      <c r="C1262" t="s">
        <v>487</v>
      </c>
      <c r="D1262" t="s">
        <v>247</v>
      </c>
      <c r="E1262" t="s">
        <v>515</v>
      </c>
      <c r="F1262" t="s">
        <v>3134</v>
      </c>
      <c r="G1262" s="25">
        <v>44307</v>
      </c>
      <c r="H1262">
        <v>23</v>
      </c>
      <c r="I1262">
        <v>111</v>
      </c>
      <c r="J1262" t="s">
        <v>508</v>
      </c>
      <c r="K1262" t="s">
        <v>47</v>
      </c>
      <c r="L1262" t="s">
        <v>21</v>
      </c>
      <c r="M1262" t="s">
        <v>288</v>
      </c>
      <c r="N1262" t="s">
        <v>46</v>
      </c>
      <c r="O1262">
        <v>11000</v>
      </c>
      <c r="P1262" t="s">
        <v>237</v>
      </c>
    </row>
    <row r="1263" spans="1:16" x14ac:dyDescent="0.25">
      <c r="A1263" t="s">
        <v>2109</v>
      </c>
      <c r="B1263">
        <v>627</v>
      </c>
      <c r="C1263" t="s">
        <v>487</v>
      </c>
      <c r="D1263" t="s">
        <v>256</v>
      </c>
      <c r="E1263" t="s">
        <v>512</v>
      </c>
      <c r="F1263" t="s">
        <v>1342</v>
      </c>
      <c r="G1263" s="25">
        <v>44249</v>
      </c>
      <c r="H1263">
        <v>11</v>
      </c>
      <c r="I1263">
        <v>53</v>
      </c>
      <c r="J1263" t="s">
        <v>508</v>
      </c>
      <c r="K1263" t="s">
        <v>47</v>
      </c>
      <c r="L1263" t="s">
        <v>21</v>
      </c>
      <c r="M1263" t="s">
        <v>288</v>
      </c>
      <c r="N1263" t="s">
        <v>46</v>
      </c>
      <c r="O1263">
        <v>0</v>
      </c>
      <c r="P1263" t="s">
        <v>237</v>
      </c>
    </row>
    <row r="1264" spans="1:16" x14ac:dyDescent="0.25">
      <c r="A1264" t="s">
        <v>2016</v>
      </c>
      <c r="B1264">
        <v>1337</v>
      </c>
      <c r="C1264" t="s">
        <v>487</v>
      </c>
      <c r="D1264" t="s">
        <v>247</v>
      </c>
      <c r="E1264" t="s">
        <v>232</v>
      </c>
      <c r="F1264" t="s">
        <v>3140</v>
      </c>
      <c r="G1264" s="25">
        <v>44308</v>
      </c>
      <c r="H1264">
        <v>23</v>
      </c>
      <c r="I1264">
        <v>112</v>
      </c>
      <c r="J1264" t="s">
        <v>508</v>
      </c>
      <c r="K1264" t="s">
        <v>47</v>
      </c>
      <c r="L1264" t="s">
        <v>21</v>
      </c>
      <c r="M1264" t="s">
        <v>288</v>
      </c>
      <c r="N1264" t="s">
        <v>46</v>
      </c>
      <c r="O1264">
        <v>0</v>
      </c>
      <c r="P1264" t="s">
        <v>237</v>
      </c>
    </row>
    <row r="1265" spans="1:16" x14ac:dyDescent="0.25">
      <c r="A1265" t="s">
        <v>282</v>
      </c>
      <c r="B1265">
        <v>31</v>
      </c>
      <c r="C1265" t="s">
        <v>487</v>
      </c>
      <c r="D1265" t="s">
        <v>229</v>
      </c>
      <c r="E1265" t="s">
        <v>256</v>
      </c>
      <c r="F1265" t="s">
        <v>525</v>
      </c>
      <c r="G1265" s="25">
        <v>44199</v>
      </c>
      <c r="H1265">
        <v>1</v>
      </c>
      <c r="I1265">
        <v>3</v>
      </c>
      <c r="J1265" t="s">
        <v>508</v>
      </c>
      <c r="K1265" t="s">
        <v>47</v>
      </c>
      <c r="L1265" t="s">
        <v>21</v>
      </c>
      <c r="M1265" t="s">
        <v>288</v>
      </c>
      <c r="N1265" t="s">
        <v>46</v>
      </c>
      <c r="O1265">
        <v>0</v>
      </c>
      <c r="P1265" t="s">
        <v>237</v>
      </c>
    </row>
    <row r="1266" spans="1:16" x14ac:dyDescent="0.25">
      <c r="A1266" t="s">
        <v>2051</v>
      </c>
      <c r="B1266">
        <v>615</v>
      </c>
      <c r="C1266" t="s">
        <v>487</v>
      </c>
      <c r="D1266" t="s">
        <v>256</v>
      </c>
      <c r="E1266" t="s">
        <v>232</v>
      </c>
      <c r="F1266" t="s">
        <v>1337</v>
      </c>
      <c r="G1266" s="25">
        <v>44248</v>
      </c>
      <c r="H1266">
        <v>11</v>
      </c>
      <c r="I1266">
        <v>52</v>
      </c>
      <c r="J1266" t="s">
        <v>508</v>
      </c>
      <c r="K1266" t="s">
        <v>47</v>
      </c>
      <c r="L1266" t="s">
        <v>21</v>
      </c>
      <c r="M1266" t="s">
        <v>288</v>
      </c>
      <c r="N1266" t="s">
        <v>46</v>
      </c>
      <c r="O1266">
        <v>0</v>
      </c>
      <c r="P1266" t="s">
        <v>237</v>
      </c>
    </row>
    <row r="1267" spans="1:16" x14ac:dyDescent="0.25">
      <c r="A1267" t="s">
        <v>605</v>
      </c>
      <c r="B1267">
        <v>160</v>
      </c>
      <c r="C1267" t="s">
        <v>487</v>
      </c>
      <c r="D1267" t="s">
        <v>229</v>
      </c>
      <c r="E1267" t="s">
        <v>537</v>
      </c>
      <c r="F1267" t="s">
        <v>538</v>
      </c>
      <c r="G1267" s="25">
        <v>44210</v>
      </c>
      <c r="H1267">
        <v>3</v>
      </c>
      <c r="I1267">
        <v>14</v>
      </c>
      <c r="J1267" t="s">
        <v>508</v>
      </c>
      <c r="K1267" t="s">
        <v>47</v>
      </c>
      <c r="L1267" t="s">
        <v>21</v>
      </c>
      <c r="M1267" t="s">
        <v>288</v>
      </c>
      <c r="N1267" t="s">
        <v>46</v>
      </c>
      <c r="O1267">
        <v>0</v>
      </c>
      <c r="P1267" t="s">
        <v>237</v>
      </c>
    </row>
    <row r="1268" spans="1:16" x14ac:dyDescent="0.25">
      <c r="A1268" t="s">
        <v>1867</v>
      </c>
      <c r="B1268">
        <v>911</v>
      </c>
      <c r="C1268" t="s">
        <v>487</v>
      </c>
      <c r="D1268" t="s">
        <v>261</v>
      </c>
      <c r="E1268" t="s">
        <v>620</v>
      </c>
      <c r="F1268" t="s">
        <v>1545</v>
      </c>
      <c r="G1268" s="25">
        <v>44272</v>
      </c>
      <c r="H1268">
        <v>16</v>
      </c>
      <c r="I1268">
        <v>76</v>
      </c>
      <c r="J1268" t="s">
        <v>508</v>
      </c>
      <c r="K1268" t="s">
        <v>47</v>
      </c>
      <c r="L1268" t="s">
        <v>21</v>
      </c>
      <c r="M1268" t="s">
        <v>288</v>
      </c>
      <c r="N1268" t="s">
        <v>46</v>
      </c>
      <c r="O1268">
        <v>3750</v>
      </c>
      <c r="P1268" t="s">
        <v>237</v>
      </c>
    </row>
    <row r="1269" spans="1:16" x14ac:dyDescent="0.25">
      <c r="A1269" t="s">
        <v>2009</v>
      </c>
      <c r="B1269">
        <v>924</v>
      </c>
      <c r="C1269" t="s">
        <v>487</v>
      </c>
      <c r="D1269" t="s">
        <v>261</v>
      </c>
      <c r="E1269" t="s">
        <v>534</v>
      </c>
      <c r="F1269" t="s">
        <v>1563</v>
      </c>
      <c r="G1269" s="25">
        <v>44273</v>
      </c>
      <c r="H1269">
        <v>16</v>
      </c>
      <c r="I1269">
        <v>77</v>
      </c>
      <c r="J1269" t="s">
        <v>508</v>
      </c>
      <c r="K1269" t="s">
        <v>47</v>
      </c>
      <c r="L1269" t="s">
        <v>21</v>
      </c>
      <c r="M1269" t="s">
        <v>288</v>
      </c>
      <c r="N1269" t="s">
        <v>46</v>
      </c>
      <c r="O1269">
        <v>24000</v>
      </c>
      <c r="P1269" t="s">
        <v>237</v>
      </c>
    </row>
    <row r="1270" spans="1:16" x14ac:dyDescent="0.25">
      <c r="A1270" t="s">
        <v>347</v>
      </c>
      <c r="B1270">
        <v>65</v>
      </c>
      <c r="C1270" t="s">
        <v>487</v>
      </c>
      <c r="D1270" t="s">
        <v>229</v>
      </c>
      <c r="E1270" t="s">
        <v>247</v>
      </c>
      <c r="F1270" t="s">
        <v>524</v>
      </c>
      <c r="G1270" s="25">
        <v>44202</v>
      </c>
      <c r="H1270">
        <v>2</v>
      </c>
      <c r="I1270">
        <v>6</v>
      </c>
      <c r="J1270" t="s">
        <v>508</v>
      </c>
      <c r="K1270" t="s">
        <v>47</v>
      </c>
      <c r="L1270" t="s">
        <v>21</v>
      </c>
      <c r="M1270" t="s">
        <v>288</v>
      </c>
      <c r="N1270" t="s">
        <v>46</v>
      </c>
      <c r="O1270">
        <v>0</v>
      </c>
      <c r="P1270" t="s">
        <v>237</v>
      </c>
    </row>
    <row r="1271" spans="1:16" x14ac:dyDescent="0.25">
      <c r="A1271" t="s">
        <v>2453</v>
      </c>
      <c r="B1271">
        <v>1221</v>
      </c>
      <c r="C1271" t="s">
        <v>487</v>
      </c>
      <c r="D1271" t="s">
        <v>247</v>
      </c>
      <c r="E1271" t="s">
        <v>231</v>
      </c>
      <c r="F1271" t="s">
        <v>3070</v>
      </c>
      <c r="G1271" s="25">
        <v>44298</v>
      </c>
      <c r="H1271">
        <v>21</v>
      </c>
      <c r="I1271">
        <v>102</v>
      </c>
      <c r="J1271" t="s">
        <v>508</v>
      </c>
      <c r="K1271" t="s">
        <v>47</v>
      </c>
      <c r="L1271" t="s">
        <v>21</v>
      </c>
      <c r="M1271" t="s">
        <v>288</v>
      </c>
      <c r="N1271" t="s">
        <v>46</v>
      </c>
      <c r="O1271">
        <v>0</v>
      </c>
      <c r="P1271" t="s">
        <v>237</v>
      </c>
    </row>
    <row r="1272" spans="1:16" x14ac:dyDescent="0.25">
      <c r="A1272" t="s">
        <v>815</v>
      </c>
      <c r="B1272">
        <v>153</v>
      </c>
      <c r="C1272" t="s">
        <v>487</v>
      </c>
      <c r="D1272" t="s">
        <v>229</v>
      </c>
      <c r="E1272" t="s">
        <v>512</v>
      </c>
      <c r="F1272" t="s">
        <v>513</v>
      </c>
      <c r="G1272" s="25">
        <v>44209</v>
      </c>
      <c r="H1272">
        <v>3</v>
      </c>
      <c r="I1272">
        <v>13</v>
      </c>
      <c r="J1272" t="s">
        <v>508</v>
      </c>
      <c r="K1272" t="s">
        <v>47</v>
      </c>
      <c r="L1272" t="s">
        <v>21</v>
      </c>
      <c r="M1272" t="s">
        <v>288</v>
      </c>
      <c r="N1272" t="s">
        <v>46</v>
      </c>
      <c r="O1272">
        <v>0</v>
      </c>
      <c r="P1272" t="s">
        <v>237</v>
      </c>
    </row>
    <row r="1273" spans="1:16" x14ac:dyDescent="0.25">
      <c r="A1273" t="s">
        <v>1936</v>
      </c>
      <c r="B1273">
        <v>936</v>
      </c>
      <c r="C1273" t="s">
        <v>487</v>
      </c>
      <c r="D1273" t="s">
        <v>261</v>
      </c>
      <c r="E1273" t="s">
        <v>552</v>
      </c>
      <c r="F1273" t="s">
        <v>1585</v>
      </c>
      <c r="G1273" s="25">
        <v>44274</v>
      </c>
      <c r="H1273">
        <v>16</v>
      </c>
      <c r="I1273">
        <v>78</v>
      </c>
      <c r="J1273" t="s">
        <v>508</v>
      </c>
      <c r="K1273" t="s">
        <v>47</v>
      </c>
      <c r="L1273" t="s">
        <v>21</v>
      </c>
      <c r="M1273" t="s">
        <v>288</v>
      </c>
      <c r="N1273" t="s">
        <v>46</v>
      </c>
      <c r="O1273">
        <v>20250</v>
      </c>
      <c r="P1273" t="s">
        <v>237</v>
      </c>
    </row>
    <row r="1274" spans="1:16" x14ac:dyDescent="0.25">
      <c r="A1274" t="s">
        <v>2820</v>
      </c>
      <c r="B1274">
        <v>1433</v>
      </c>
      <c r="C1274" t="s">
        <v>487</v>
      </c>
      <c r="D1274" t="s">
        <v>247</v>
      </c>
      <c r="E1274" t="s">
        <v>408</v>
      </c>
      <c r="F1274" t="s">
        <v>3178</v>
      </c>
      <c r="G1274" s="25">
        <v>44316</v>
      </c>
      <c r="H1274">
        <v>24</v>
      </c>
      <c r="I1274">
        <v>120</v>
      </c>
      <c r="J1274" t="s">
        <v>508</v>
      </c>
      <c r="K1274" t="s">
        <v>47</v>
      </c>
      <c r="L1274" t="s">
        <v>21</v>
      </c>
      <c r="M1274" t="s">
        <v>288</v>
      </c>
      <c r="N1274" t="s">
        <v>46</v>
      </c>
      <c r="O1274">
        <v>0</v>
      </c>
      <c r="P1274" t="s">
        <v>237</v>
      </c>
    </row>
    <row r="1275" spans="1:16" x14ac:dyDescent="0.25">
      <c r="A1275" t="s">
        <v>841</v>
      </c>
      <c r="B1275">
        <v>320</v>
      </c>
      <c r="C1275" t="s">
        <v>487</v>
      </c>
      <c r="D1275" t="s">
        <v>231</v>
      </c>
      <c r="E1275" t="s">
        <v>326</v>
      </c>
      <c r="F1275" t="s">
        <v>1095</v>
      </c>
      <c r="G1275" s="25">
        <v>44223</v>
      </c>
      <c r="H1275">
        <v>6</v>
      </c>
      <c r="I1275">
        <v>27</v>
      </c>
      <c r="J1275" t="s">
        <v>508</v>
      </c>
      <c r="K1275" t="s">
        <v>47</v>
      </c>
      <c r="L1275" t="s">
        <v>21</v>
      </c>
      <c r="M1275" t="s">
        <v>288</v>
      </c>
      <c r="N1275" t="s">
        <v>46</v>
      </c>
      <c r="O1275">
        <v>0</v>
      </c>
      <c r="P1275" t="s">
        <v>237</v>
      </c>
    </row>
    <row r="1276" spans="1:16" x14ac:dyDescent="0.25">
      <c r="A1276" t="s">
        <v>2572</v>
      </c>
      <c r="B1276">
        <v>944</v>
      </c>
      <c r="C1276" t="s">
        <v>487</v>
      </c>
      <c r="D1276" t="s">
        <v>261</v>
      </c>
      <c r="E1276" t="s">
        <v>531</v>
      </c>
      <c r="F1276" t="s">
        <v>1588</v>
      </c>
      <c r="G1276" s="25">
        <v>44275</v>
      </c>
      <c r="H1276">
        <v>16</v>
      </c>
      <c r="I1276">
        <v>79</v>
      </c>
      <c r="J1276" t="s">
        <v>508</v>
      </c>
      <c r="K1276" t="s">
        <v>47</v>
      </c>
      <c r="L1276" t="s">
        <v>21</v>
      </c>
      <c r="M1276" t="s">
        <v>288</v>
      </c>
      <c r="N1276" t="s">
        <v>46</v>
      </c>
      <c r="O1276">
        <v>0</v>
      </c>
      <c r="P1276" t="s">
        <v>237</v>
      </c>
    </row>
    <row r="1277" spans="1:16" x14ac:dyDescent="0.25">
      <c r="A1277" t="s">
        <v>2433</v>
      </c>
      <c r="B1277">
        <v>949</v>
      </c>
      <c r="C1277" t="s">
        <v>487</v>
      </c>
      <c r="D1277" t="s">
        <v>261</v>
      </c>
      <c r="E1277" t="s">
        <v>408</v>
      </c>
      <c r="F1277" t="s">
        <v>1595</v>
      </c>
      <c r="G1277" s="25">
        <v>44276</v>
      </c>
      <c r="H1277">
        <v>16</v>
      </c>
      <c r="I1277">
        <v>80</v>
      </c>
      <c r="J1277" t="s">
        <v>508</v>
      </c>
      <c r="K1277" t="s">
        <v>47</v>
      </c>
      <c r="L1277" t="s">
        <v>21</v>
      </c>
      <c r="M1277" t="s">
        <v>288</v>
      </c>
      <c r="N1277" t="s">
        <v>46</v>
      </c>
      <c r="O1277">
        <v>0</v>
      </c>
      <c r="P1277" t="s">
        <v>237</v>
      </c>
    </row>
    <row r="1278" spans="1:16" x14ac:dyDescent="0.25">
      <c r="A1278" t="s">
        <v>741</v>
      </c>
      <c r="B1278">
        <v>375</v>
      </c>
      <c r="C1278" t="s">
        <v>487</v>
      </c>
      <c r="D1278" t="s">
        <v>231</v>
      </c>
      <c r="E1278" t="s">
        <v>232</v>
      </c>
      <c r="F1278" t="s">
        <v>1162</v>
      </c>
      <c r="G1278" s="25">
        <v>44228</v>
      </c>
      <c r="H1278">
        <v>7</v>
      </c>
      <c r="I1278">
        <v>32</v>
      </c>
      <c r="J1278" t="s">
        <v>508</v>
      </c>
      <c r="K1278" t="s">
        <v>47</v>
      </c>
      <c r="L1278" t="s">
        <v>21</v>
      </c>
      <c r="M1278" t="s">
        <v>288</v>
      </c>
      <c r="N1278" t="s">
        <v>46</v>
      </c>
      <c r="O1278">
        <v>0</v>
      </c>
      <c r="P1278" t="s">
        <v>237</v>
      </c>
    </row>
    <row r="1279" spans="1:16" x14ac:dyDescent="0.25">
      <c r="A1279" t="s">
        <v>382</v>
      </c>
      <c r="B1279">
        <v>90</v>
      </c>
      <c r="C1279" t="s">
        <v>487</v>
      </c>
      <c r="D1279" t="s">
        <v>229</v>
      </c>
      <c r="E1279" t="s">
        <v>381</v>
      </c>
      <c r="F1279" t="s">
        <v>518</v>
      </c>
      <c r="G1279" s="25">
        <v>44204</v>
      </c>
      <c r="H1279">
        <v>2</v>
      </c>
      <c r="I1279">
        <v>8</v>
      </c>
      <c r="J1279" t="s">
        <v>508</v>
      </c>
      <c r="K1279" t="s">
        <v>47</v>
      </c>
      <c r="L1279" t="s">
        <v>21</v>
      </c>
      <c r="M1279" t="s">
        <v>288</v>
      </c>
      <c r="N1279" t="s">
        <v>46</v>
      </c>
      <c r="O1279">
        <v>0</v>
      </c>
      <c r="P1279" t="s">
        <v>237</v>
      </c>
    </row>
    <row r="1280" spans="1:16" x14ac:dyDescent="0.25">
      <c r="A1280" t="s">
        <v>1793</v>
      </c>
      <c r="B1280">
        <v>963</v>
      </c>
      <c r="C1280" t="s">
        <v>487</v>
      </c>
      <c r="D1280" t="s">
        <v>322</v>
      </c>
      <c r="E1280" t="s">
        <v>229</v>
      </c>
      <c r="F1280" t="s">
        <v>1643</v>
      </c>
      <c r="G1280" s="25">
        <v>44277</v>
      </c>
      <c r="H1280">
        <v>17</v>
      </c>
      <c r="I1280">
        <v>81</v>
      </c>
      <c r="J1280" t="s">
        <v>508</v>
      </c>
      <c r="K1280" t="s">
        <v>47</v>
      </c>
      <c r="L1280" t="s">
        <v>21</v>
      </c>
      <c r="M1280" t="s">
        <v>288</v>
      </c>
      <c r="N1280" t="s">
        <v>46</v>
      </c>
      <c r="O1280">
        <v>0</v>
      </c>
      <c r="P1280" t="s">
        <v>237</v>
      </c>
    </row>
    <row r="1281" spans="1:16" x14ac:dyDescent="0.25">
      <c r="A1281" t="s">
        <v>1692</v>
      </c>
      <c r="B1281">
        <v>1208</v>
      </c>
      <c r="C1281" t="s">
        <v>487</v>
      </c>
      <c r="D1281" t="s">
        <v>247</v>
      </c>
      <c r="E1281" t="s">
        <v>229</v>
      </c>
      <c r="F1281" t="s">
        <v>3063</v>
      </c>
      <c r="G1281" s="25">
        <v>44297</v>
      </c>
      <c r="H1281">
        <v>21</v>
      </c>
      <c r="I1281">
        <v>101</v>
      </c>
      <c r="J1281" t="s">
        <v>508</v>
      </c>
      <c r="K1281" t="s">
        <v>47</v>
      </c>
      <c r="L1281" t="s">
        <v>21</v>
      </c>
      <c r="M1281" t="s">
        <v>288</v>
      </c>
      <c r="N1281" t="s">
        <v>46</v>
      </c>
      <c r="O1281">
        <v>0</v>
      </c>
      <c r="P1281" t="s">
        <v>237</v>
      </c>
    </row>
    <row r="1282" spans="1:16" x14ac:dyDescent="0.25">
      <c r="A1282" t="s">
        <v>692</v>
      </c>
      <c r="B1282">
        <v>363</v>
      </c>
      <c r="C1282" t="s">
        <v>487</v>
      </c>
      <c r="D1282" t="s">
        <v>231</v>
      </c>
      <c r="E1282" t="s">
        <v>515</v>
      </c>
      <c r="F1282" t="s">
        <v>1150</v>
      </c>
      <c r="G1282" s="25">
        <v>44227</v>
      </c>
      <c r="H1282">
        <v>7</v>
      </c>
      <c r="I1282">
        <v>31</v>
      </c>
      <c r="J1282" t="s">
        <v>508</v>
      </c>
      <c r="K1282" t="s">
        <v>47</v>
      </c>
      <c r="L1282" t="s">
        <v>21</v>
      </c>
      <c r="M1282" t="s">
        <v>288</v>
      </c>
      <c r="N1282" t="s">
        <v>46</v>
      </c>
      <c r="O1282">
        <v>0</v>
      </c>
      <c r="P1282" t="s">
        <v>237</v>
      </c>
    </row>
    <row r="1283" spans="1:16" x14ac:dyDescent="0.25">
      <c r="A1283" t="s">
        <v>1717</v>
      </c>
      <c r="B1283">
        <v>1191</v>
      </c>
      <c r="C1283" t="s">
        <v>487</v>
      </c>
      <c r="D1283" t="s">
        <v>322</v>
      </c>
      <c r="E1283" t="s">
        <v>408</v>
      </c>
      <c r="F1283" t="s">
        <v>3059</v>
      </c>
      <c r="G1283" s="25">
        <v>44296</v>
      </c>
      <c r="H1283">
        <v>20</v>
      </c>
      <c r="I1283">
        <v>100</v>
      </c>
      <c r="J1283" t="s">
        <v>508</v>
      </c>
      <c r="K1283" t="s">
        <v>47</v>
      </c>
      <c r="L1283" t="s">
        <v>21</v>
      </c>
      <c r="M1283" t="s">
        <v>288</v>
      </c>
      <c r="N1283" t="s">
        <v>46</v>
      </c>
      <c r="O1283">
        <v>0</v>
      </c>
      <c r="P1283" t="s">
        <v>237</v>
      </c>
    </row>
    <row r="1284" spans="1:16" x14ac:dyDescent="0.25">
      <c r="A1284" t="s">
        <v>2589</v>
      </c>
      <c r="B1284">
        <v>1038</v>
      </c>
      <c r="C1284" t="s">
        <v>487</v>
      </c>
      <c r="D1284" t="s">
        <v>322</v>
      </c>
      <c r="E1284" t="s">
        <v>326</v>
      </c>
      <c r="F1284" t="s">
        <v>2967</v>
      </c>
      <c r="G1284" s="25">
        <v>44283</v>
      </c>
      <c r="H1284">
        <v>18</v>
      </c>
      <c r="I1284">
        <v>87</v>
      </c>
      <c r="J1284" t="s">
        <v>508</v>
      </c>
      <c r="K1284" t="s">
        <v>47</v>
      </c>
      <c r="L1284" t="s">
        <v>21</v>
      </c>
      <c r="M1284" t="s">
        <v>288</v>
      </c>
      <c r="N1284" t="s">
        <v>46</v>
      </c>
      <c r="O1284">
        <v>0</v>
      </c>
      <c r="P1284" t="s">
        <v>237</v>
      </c>
    </row>
    <row r="1285" spans="1:16" x14ac:dyDescent="0.25">
      <c r="A1285" t="s">
        <v>630</v>
      </c>
      <c r="B1285">
        <v>342</v>
      </c>
      <c r="C1285" t="s">
        <v>487</v>
      </c>
      <c r="D1285" t="s">
        <v>231</v>
      </c>
      <c r="E1285" t="s">
        <v>371</v>
      </c>
      <c r="F1285" t="s">
        <v>1124</v>
      </c>
      <c r="G1285" s="25">
        <v>44225</v>
      </c>
      <c r="H1285">
        <v>6</v>
      </c>
      <c r="I1285">
        <v>29</v>
      </c>
      <c r="J1285" t="s">
        <v>508</v>
      </c>
      <c r="K1285" t="s">
        <v>47</v>
      </c>
      <c r="L1285" t="s">
        <v>21</v>
      </c>
      <c r="M1285" t="s">
        <v>288</v>
      </c>
      <c r="N1285" t="s">
        <v>46</v>
      </c>
      <c r="O1285">
        <v>0</v>
      </c>
      <c r="P1285" t="s">
        <v>237</v>
      </c>
    </row>
    <row r="1286" spans="1:16" x14ac:dyDescent="0.25">
      <c r="A1286" t="s">
        <v>258</v>
      </c>
      <c r="B1286">
        <v>124</v>
      </c>
      <c r="C1286" t="s">
        <v>487</v>
      </c>
      <c r="D1286" t="s">
        <v>229</v>
      </c>
      <c r="E1286" t="s">
        <v>515</v>
      </c>
      <c r="F1286" t="s">
        <v>516</v>
      </c>
      <c r="G1286" s="25">
        <v>44207</v>
      </c>
      <c r="H1286">
        <v>3</v>
      </c>
      <c r="I1286">
        <v>11</v>
      </c>
      <c r="J1286" t="s">
        <v>508</v>
      </c>
      <c r="K1286" t="s">
        <v>47</v>
      </c>
      <c r="L1286" t="s">
        <v>21</v>
      </c>
      <c r="M1286" t="s">
        <v>288</v>
      </c>
      <c r="N1286" t="s">
        <v>46</v>
      </c>
      <c r="O1286">
        <v>0</v>
      </c>
      <c r="P1286" t="s">
        <v>237</v>
      </c>
    </row>
    <row r="1287" spans="1:16" x14ac:dyDescent="0.25">
      <c r="A1287" t="s">
        <v>335</v>
      </c>
      <c r="B1287">
        <v>2</v>
      </c>
      <c r="C1287" t="s">
        <v>487</v>
      </c>
      <c r="D1287" t="s">
        <v>229</v>
      </c>
      <c r="E1287" t="s">
        <v>229</v>
      </c>
      <c r="F1287" t="s">
        <v>230</v>
      </c>
      <c r="G1287" s="25">
        <v>44197</v>
      </c>
      <c r="H1287">
        <v>1</v>
      </c>
      <c r="I1287">
        <v>1</v>
      </c>
      <c r="J1287" t="s">
        <v>508</v>
      </c>
      <c r="K1287" t="s">
        <v>47</v>
      </c>
      <c r="L1287" t="s">
        <v>21</v>
      </c>
      <c r="M1287" t="s">
        <v>288</v>
      </c>
      <c r="N1287" t="s">
        <v>46</v>
      </c>
      <c r="O1287">
        <v>0</v>
      </c>
      <c r="P1287" t="s">
        <v>237</v>
      </c>
    </row>
    <row r="1288" spans="1:16" x14ac:dyDescent="0.25">
      <c r="A1288" t="s">
        <v>2211</v>
      </c>
      <c r="B1288">
        <v>1026</v>
      </c>
      <c r="C1288" t="s">
        <v>487</v>
      </c>
      <c r="D1288" t="s">
        <v>322</v>
      </c>
      <c r="E1288" t="s">
        <v>247</v>
      </c>
      <c r="F1288" t="s">
        <v>2963</v>
      </c>
      <c r="G1288" s="25">
        <v>44282</v>
      </c>
      <c r="H1288">
        <v>18</v>
      </c>
      <c r="I1288">
        <v>86</v>
      </c>
      <c r="J1288" t="s">
        <v>508</v>
      </c>
      <c r="K1288" t="s">
        <v>47</v>
      </c>
      <c r="L1288" t="s">
        <v>21</v>
      </c>
      <c r="M1288" t="s">
        <v>288</v>
      </c>
      <c r="N1288" t="s">
        <v>46</v>
      </c>
      <c r="O1288">
        <v>0</v>
      </c>
      <c r="P1288" t="s">
        <v>237</v>
      </c>
    </row>
    <row r="1289" spans="1:16" x14ac:dyDescent="0.25">
      <c r="A1289" t="s">
        <v>1751</v>
      </c>
      <c r="B1289">
        <v>1051</v>
      </c>
      <c r="C1289" t="s">
        <v>487</v>
      </c>
      <c r="D1289" t="s">
        <v>322</v>
      </c>
      <c r="E1289" t="s">
        <v>381</v>
      </c>
      <c r="F1289" t="s">
        <v>2971</v>
      </c>
      <c r="G1289" s="25">
        <v>44284</v>
      </c>
      <c r="H1289">
        <v>18</v>
      </c>
      <c r="I1289">
        <v>88</v>
      </c>
      <c r="J1289" t="s">
        <v>508</v>
      </c>
      <c r="K1289" t="s">
        <v>47</v>
      </c>
      <c r="L1289" t="s">
        <v>21</v>
      </c>
      <c r="M1289" t="s">
        <v>288</v>
      </c>
      <c r="N1289" t="s">
        <v>46</v>
      </c>
      <c r="O1289">
        <v>0</v>
      </c>
      <c r="P1289" t="s">
        <v>237</v>
      </c>
    </row>
    <row r="1290" spans="1:16" x14ac:dyDescent="0.25">
      <c r="A1290" t="s">
        <v>1718</v>
      </c>
      <c r="B1290">
        <v>1015</v>
      </c>
      <c r="C1290" t="s">
        <v>487</v>
      </c>
      <c r="D1290" t="s">
        <v>322</v>
      </c>
      <c r="E1290" t="s">
        <v>322</v>
      </c>
      <c r="F1290" t="s">
        <v>2960</v>
      </c>
      <c r="G1290" s="25">
        <v>44281</v>
      </c>
      <c r="H1290">
        <v>17</v>
      </c>
      <c r="I1290">
        <v>85</v>
      </c>
      <c r="J1290" t="s">
        <v>508</v>
      </c>
      <c r="K1290" t="s">
        <v>47</v>
      </c>
      <c r="L1290" t="s">
        <v>21</v>
      </c>
      <c r="M1290" t="s">
        <v>288</v>
      </c>
      <c r="N1290" t="s">
        <v>46</v>
      </c>
      <c r="O1290">
        <v>0</v>
      </c>
      <c r="P1290" t="s">
        <v>237</v>
      </c>
    </row>
    <row r="1291" spans="1:16" x14ac:dyDescent="0.25">
      <c r="A1291" t="s">
        <v>861</v>
      </c>
      <c r="B1291">
        <v>328</v>
      </c>
      <c r="C1291" t="s">
        <v>487</v>
      </c>
      <c r="D1291" t="s">
        <v>231</v>
      </c>
      <c r="E1291" t="s">
        <v>381</v>
      </c>
      <c r="F1291" t="s">
        <v>1099</v>
      </c>
      <c r="G1291" s="25">
        <v>44224</v>
      </c>
      <c r="H1291">
        <v>6</v>
      </c>
      <c r="I1291">
        <v>28</v>
      </c>
      <c r="J1291" t="s">
        <v>508</v>
      </c>
      <c r="K1291" t="s">
        <v>47</v>
      </c>
      <c r="L1291" t="s">
        <v>21</v>
      </c>
      <c r="M1291" t="s">
        <v>288</v>
      </c>
      <c r="N1291" t="s">
        <v>46</v>
      </c>
      <c r="O1291">
        <v>0</v>
      </c>
      <c r="P1291" t="s">
        <v>237</v>
      </c>
    </row>
    <row r="1292" spans="1:16" x14ac:dyDescent="0.25">
      <c r="A1292" t="s">
        <v>2881</v>
      </c>
      <c r="B1292">
        <v>999</v>
      </c>
      <c r="C1292" t="s">
        <v>487</v>
      </c>
      <c r="D1292" t="s">
        <v>322</v>
      </c>
      <c r="E1292" t="s">
        <v>261</v>
      </c>
      <c r="F1292" t="s">
        <v>2956</v>
      </c>
      <c r="G1292" s="25">
        <v>44280</v>
      </c>
      <c r="H1292">
        <v>17</v>
      </c>
      <c r="I1292">
        <v>84</v>
      </c>
      <c r="J1292" t="s">
        <v>508</v>
      </c>
      <c r="K1292" t="s">
        <v>47</v>
      </c>
      <c r="L1292" t="s">
        <v>21</v>
      </c>
      <c r="M1292" t="s">
        <v>288</v>
      </c>
      <c r="N1292" t="s">
        <v>46</v>
      </c>
      <c r="O1292">
        <v>0</v>
      </c>
      <c r="P1292" t="s">
        <v>237</v>
      </c>
    </row>
    <row r="1293" spans="1:16" x14ac:dyDescent="0.25">
      <c r="A1293" t="s">
        <v>343</v>
      </c>
      <c r="B1293">
        <v>73</v>
      </c>
      <c r="C1293" t="s">
        <v>487</v>
      </c>
      <c r="D1293" t="s">
        <v>229</v>
      </c>
      <c r="E1293" t="s">
        <v>326</v>
      </c>
      <c r="F1293" t="s">
        <v>522</v>
      </c>
      <c r="G1293" s="25">
        <v>44203</v>
      </c>
      <c r="H1293">
        <v>2</v>
      </c>
      <c r="I1293">
        <v>7</v>
      </c>
      <c r="J1293" t="s">
        <v>508</v>
      </c>
      <c r="K1293" t="s">
        <v>47</v>
      </c>
      <c r="L1293" t="s">
        <v>21</v>
      </c>
      <c r="M1293" t="s">
        <v>288</v>
      </c>
      <c r="N1293" t="s">
        <v>46</v>
      </c>
      <c r="O1293">
        <v>0</v>
      </c>
      <c r="P1293" t="s">
        <v>237</v>
      </c>
    </row>
    <row r="1294" spans="1:16" x14ac:dyDescent="0.25">
      <c r="A1294" t="s">
        <v>2026</v>
      </c>
      <c r="B1294">
        <v>995</v>
      </c>
      <c r="C1294" t="s">
        <v>487</v>
      </c>
      <c r="D1294" t="s">
        <v>322</v>
      </c>
      <c r="E1294" t="s">
        <v>256</v>
      </c>
      <c r="F1294" t="s">
        <v>2952</v>
      </c>
      <c r="G1294" s="25">
        <v>44279</v>
      </c>
      <c r="H1294">
        <v>17</v>
      </c>
      <c r="I1294">
        <v>83</v>
      </c>
      <c r="J1294" t="s">
        <v>508</v>
      </c>
      <c r="K1294" t="s">
        <v>47</v>
      </c>
      <c r="L1294" t="s">
        <v>21</v>
      </c>
      <c r="M1294" t="s">
        <v>288</v>
      </c>
      <c r="N1294" t="s">
        <v>46</v>
      </c>
      <c r="O1294">
        <v>0</v>
      </c>
      <c r="P1294" t="s">
        <v>237</v>
      </c>
    </row>
    <row r="1295" spans="1:16" x14ac:dyDescent="0.25">
      <c r="A1295" t="s">
        <v>301</v>
      </c>
      <c r="B1295">
        <v>135</v>
      </c>
      <c r="C1295" t="s">
        <v>487</v>
      </c>
      <c r="D1295" t="s">
        <v>229</v>
      </c>
      <c r="E1295" t="s">
        <v>232</v>
      </c>
      <c r="F1295" t="s">
        <v>520</v>
      </c>
      <c r="G1295" s="25">
        <v>44208</v>
      </c>
      <c r="H1295">
        <v>3</v>
      </c>
      <c r="I1295">
        <v>12</v>
      </c>
      <c r="J1295" t="s">
        <v>508</v>
      </c>
      <c r="K1295" t="s">
        <v>47</v>
      </c>
      <c r="L1295" t="s">
        <v>21</v>
      </c>
      <c r="M1295" t="s">
        <v>288</v>
      </c>
      <c r="N1295" t="s">
        <v>46</v>
      </c>
      <c r="O1295">
        <v>0</v>
      </c>
      <c r="P1295" t="s">
        <v>237</v>
      </c>
    </row>
    <row r="1296" spans="1:16" x14ac:dyDescent="0.25">
      <c r="A1296" t="s">
        <v>673</v>
      </c>
      <c r="B1296">
        <v>358</v>
      </c>
      <c r="C1296" t="s">
        <v>487</v>
      </c>
      <c r="D1296" t="s">
        <v>231</v>
      </c>
      <c r="E1296" t="s">
        <v>239</v>
      </c>
      <c r="F1296" t="s">
        <v>1139</v>
      </c>
      <c r="G1296" s="25">
        <v>44226</v>
      </c>
      <c r="H1296">
        <v>6</v>
      </c>
      <c r="I1296">
        <v>30</v>
      </c>
      <c r="J1296" t="s">
        <v>508</v>
      </c>
      <c r="K1296" t="s">
        <v>47</v>
      </c>
      <c r="L1296" t="s">
        <v>21</v>
      </c>
      <c r="M1296" t="s">
        <v>288</v>
      </c>
      <c r="N1296" t="s">
        <v>46</v>
      </c>
      <c r="O1296">
        <v>0</v>
      </c>
      <c r="P1296" t="s">
        <v>237</v>
      </c>
    </row>
    <row r="1297" spans="1:16" x14ac:dyDescent="0.25">
      <c r="A1297" t="s">
        <v>2708</v>
      </c>
      <c r="B1297">
        <v>1059</v>
      </c>
      <c r="C1297" t="s">
        <v>487</v>
      </c>
      <c r="D1297" t="s">
        <v>322</v>
      </c>
      <c r="E1297" t="s">
        <v>371</v>
      </c>
      <c r="F1297" t="s">
        <v>2976</v>
      </c>
      <c r="G1297" s="25">
        <v>44285</v>
      </c>
      <c r="H1297">
        <v>18</v>
      </c>
      <c r="I1297">
        <v>89</v>
      </c>
      <c r="J1297" t="s">
        <v>508</v>
      </c>
      <c r="K1297" t="s">
        <v>47</v>
      </c>
      <c r="L1297" t="s">
        <v>21</v>
      </c>
      <c r="M1297" t="s">
        <v>288</v>
      </c>
      <c r="N1297" t="s">
        <v>46</v>
      </c>
      <c r="O1297">
        <v>0</v>
      </c>
      <c r="P1297" t="s">
        <v>237</v>
      </c>
    </row>
    <row r="1298" spans="1:16" x14ac:dyDescent="0.25">
      <c r="A1298" t="s">
        <v>2454</v>
      </c>
      <c r="B1298">
        <v>1177</v>
      </c>
      <c r="C1298" t="s">
        <v>487</v>
      </c>
      <c r="D1298" t="s">
        <v>322</v>
      </c>
      <c r="E1298" t="s">
        <v>531</v>
      </c>
      <c r="F1298" t="s">
        <v>3056</v>
      </c>
      <c r="G1298" s="25">
        <v>44295</v>
      </c>
      <c r="H1298">
        <v>20</v>
      </c>
      <c r="I1298">
        <v>99</v>
      </c>
      <c r="J1298" t="s">
        <v>508</v>
      </c>
      <c r="K1298" t="s">
        <v>47</v>
      </c>
      <c r="L1298" t="s">
        <v>21</v>
      </c>
      <c r="M1298" t="s">
        <v>288</v>
      </c>
      <c r="N1298" t="s">
        <v>46</v>
      </c>
      <c r="O1298">
        <v>0</v>
      </c>
      <c r="P1298" t="s">
        <v>237</v>
      </c>
    </row>
    <row r="1299" spans="1:16" x14ac:dyDescent="0.25">
      <c r="A1299" t="s">
        <v>2509</v>
      </c>
      <c r="B1299">
        <v>974</v>
      </c>
      <c r="C1299" t="s">
        <v>487</v>
      </c>
      <c r="D1299" t="s">
        <v>322</v>
      </c>
      <c r="E1299" t="s">
        <v>231</v>
      </c>
      <c r="F1299" t="s">
        <v>2945</v>
      </c>
      <c r="G1299" s="25">
        <v>44278</v>
      </c>
      <c r="H1299">
        <v>17</v>
      </c>
      <c r="I1299">
        <v>82</v>
      </c>
      <c r="J1299" t="s">
        <v>508</v>
      </c>
      <c r="K1299" t="s">
        <v>47</v>
      </c>
      <c r="L1299" t="s">
        <v>21</v>
      </c>
      <c r="M1299" t="s">
        <v>288</v>
      </c>
      <c r="N1299" t="s">
        <v>46</v>
      </c>
      <c r="O1299">
        <v>0</v>
      </c>
      <c r="P1299" t="s">
        <v>237</v>
      </c>
    </row>
    <row r="1300" spans="1:16" x14ac:dyDescent="0.25">
      <c r="A1300" t="s">
        <v>2403</v>
      </c>
      <c r="B1300">
        <v>826</v>
      </c>
      <c r="C1300" t="s">
        <v>487</v>
      </c>
      <c r="D1300" t="s">
        <v>261</v>
      </c>
      <c r="E1300" t="s">
        <v>371</v>
      </c>
      <c r="F1300" t="s">
        <v>1478</v>
      </c>
      <c r="G1300" s="25">
        <v>44265</v>
      </c>
      <c r="H1300">
        <v>14</v>
      </c>
      <c r="I1300">
        <v>69</v>
      </c>
      <c r="J1300" t="s">
        <v>508</v>
      </c>
      <c r="K1300" t="s">
        <v>47</v>
      </c>
      <c r="L1300" t="s">
        <v>21</v>
      </c>
      <c r="M1300" t="s">
        <v>288</v>
      </c>
      <c r="N1300" t="s">
        <v>46</v>
      </c>
      <c r="O1300">
        <v>0</v>
      </c>
      <c r="P1300" t="s">
        <v>237</v>
      </c>
    </row>
    <row r="1301" spans="1:16" x14ac:dyDescent="0.25">
      <c r="A1301" t="s">
        <v>722</v>
      </c>
      <c r="B1301">
        <v>184</v>
      </c>
      <c r="C1301" t="s">
        <v>487</v>
      </c>
      <c r="D1301" t="s">
        <v>229</v>
      </c>
      <c r="E1301" t="s">
        <v>620</v>
      </c>
      <c r="F1301" t="s">
        <v>621</v>
      </c>
      <c r="G1301" s="25">
        <v>44212</v>
      </c>
      <c r="H1301">
        <v>4</v>
      </c>
      <c r="I1301">
        <v>16</v>
      </c>
      <c r="J1301" t="s">
        <v>508</v>
      </c>
      <c r="K1301" t="s">
        <v>47</v>
      </c>
      <c r="L1301" t="s">
        <v>21</v>
      </c>
      <c r="M1301" t="s">
        <v>288</v>
      </c>
      <c r="N1301" t="s">
        <v>46</v>
      </c>
      <c r="O1301">
        <v>0</v>
      </c>
      <c r="P1301" t="s">
        <v>237</v>
      </c>
    </row>
    <row r="1302" spans="1:16" x14ac:dyDescent="0.25">
      <c r="A1302" t="s">
        <v>2215</v>
      </c>
      <c r="B1302">
        <v>1257</v>
      </c>
      <c r="C1302" t="s">
        <v>487</v>
      </c>
      <c r="D1302" t="s">
        <v>247</v>
      </c>
      <c r="E1302" t="s">
        <v>322</v>
      </c>
      <c r="F1302" t="s">
        <v>3083</v>
      </c>
      <c r="G1302" s="25">
        <v>44301</v>
      </c>
      <c r="H1302">
        <v>21</v>
      </c>
      <c r="I1302">
        <v>105</v>
      </c>
      <c r="J1302" t="s">
        <v>508</v>
      </c>
      <c r="K1302" t="s">
        <v>47</v>
      </c>
      <c r="L1302" t="s">
        <v>21</v>
      </c>
      <c r="M1302" t="s">
        <v>288</v>
      </c>
      <c r="N1302" t="s">
        <v>46</v>
      </c>
      <c r="O1302">
        <v>0</v>
      </c>
      <c r="P1302" t="s">
        <v>237</v>
      </c>
    </row>
    <row r="1303" spans="1:16" x14ac:dyDescent="0.25">
      <c r="A1303" t="s">
        <v>1850</v>
      </c>
      <c r="B1303">
        <v>832</v>
      </c>
      <c r="C1303" t="s">
        <v>487</v>
      </c>
      <c r="D1303" t="s">
        <v>261</v>
      </c>
      <c r="E1303" t="s">
        <v>239</v>
      </c>
      <c r="F1303" t="s">
        <v>1703</v>
      </c>
      <c r="G1303" s="25">
        <v>44266</v>
      </c>
      <c r="H1303">
        <v>14</v>
      </c>
      <c r="I1303">
        <v>70</v>
      </c>
      <c r="J1303" t="s">
        <v>508</v>
      </c>
      <c r="K1303" t="s">
        <v>47</v>
      </c>
      <c r="L1303" t="s">
        <v>21</v>
      </c>
      <c r="M1303" t="s">
        <v>288</v>
      </c>
      <c r="N1303" t="s">
        <v>46</v>
      </c>
      <c r="O1303">
        <v>0</v>
      </c>
      <c r="P1303" t="s">
        <v>237</v>
      </c>
    </row>
    <row r="1304" spans="1:16" x14ac:dyDescent="0.25">
      <c r="A1304" t="s">
        <v>2240</v>
      </c>
      <c r="B1304">
        <v>843</v>
      </c>
      <c r="C1304" t="s">
        <v>487</v>
      </c>
      <c r="D1304" t="s">
        <v>261</v>
      </c>
      <c r="E1304" t="s">
        <v>515</v>
      </c>
      <c r="F1304" t="s">
        <v>1493</v>
      </c>
      <c r="G1304" s="25">
        <v>44267</v>
      </c>
      <c r="H1304">
        <v>15</v>
      </c>
      <c r="I1304">
        <v>71</v>
      </c>
      <c r="J1304" t="s">
        <v>508</v>
      </c>
      <c r="K1304" t="s">
        <v>47</v>
      </c>
      <c r="L1304" t="s">
        <v>21</v>
      </c>
      <c r="M1304" t="s">
        <v>288</v>
      </c>
      <c r="N1304" t="s">
        <v>46</v>
      </c>
      <c r="O1304">
        <v>0</v>
      </c>
      <c r="P1304" t="s">
        <v>237</v>
      </c>
    </row>
    <row r="1305" spans="1:16" x14ac:dyDescent="0.25">
      <c r="A1305" t="s">
        <v>272</v>
      </c>
      <c r="B1305">
        <v>108</v>
      </c>
      <c r="C1305" t="s">
        <v>487</v>
      </c>
      <c r="D1305" t="s">
        <v>229</v>
      </c>
      <c r="E1305" t="s">
        <v>371</v>
      </c>
      <c r="F1305" t="s">
        <v>557</v>
      </c>
      <c r="G1305" s="25">
        <v>44205</v>
      </c>
      <c r="H1305">
        <v>2</v>
      </c>
      <c r="I1305">
        <v>9</v>
      </c>
      <c r="J1305" t="s">
        <v>508</v>
      </c>
      <c r="K1305" t="s">
        <v>47</v>
      </c>
      <c r="L1305" t="s">
        <v>21</v>
      </c>
      <c r="M1305" t="s">
        <v>288</v>
      </c>
      <c r="N1305" t="s">
        <v>46</v>
      </c>
      <c r="O1305">
        <v>16000</v>
      </c>
      <c r="P1305" t="s">
        <v>237</v>
      </c>
    </row>
    <row r="1306" spans="1:16" x14ac:dyDescent="0.25">
      <c r="A1306" t="s">
        <v>530</v>
      </c>
      <c r="B1306">
        <v>413</v>
      </c>
      <c r="C1306" t="s">
        <v>487</v>
      </c>
      <c r="D1306" t="s">
        <v>231</v>
      </c>
      <c r="E1306" t="s">
        <v>575</v>
      </c>
      <c r="F1306" t="s">
        <v>1210</v>
      </c>
      <c r="G1306" s="25">
        <v>44231</v>
      </c>
      <c r="H1306">
        <v>7</v>
      </c>
      <c r="I1306">
        <v>35</v>
      </c>
      <c r="J1306" t="s">
        <v>508</v>
      </c>
      <c r="K1306" t="s">
        <v>47</v>
      </c>
      <c r="L1306" t="s">
        <v>21</v>
      </c>
      <c r="M1306" t="s">
        <v>288</v>
      </c>
      <c r="N1306" t="s">
        <v>46</v>
      </c>
      <c r="O1306">
        <v>0</v>
      </c>
      <c r="P1306" t="s">
        <v>237</v>
      </c>
    </row>
    <row r="1307" spans="1:16" x14ac:dyDescent="0.25">
      <c r="A1307" t="s">
        <v>309</v>
      </c>
      <c r="B1307">
        <v>57</v>
      </c>
      <c r="C1307" t="s">
        <v>487</v>
      </c>
      <c r="D1307" t="s">
        <v>229</v>
      </c>
      <c r="E1307" t="s">
        <v>322</v>
      </c>
      <c r="F1307" t="s">
        <v>529</v>
      </c>
      <c r="G1307" s="25">
        <v>44201</v>
      </c>
      <c r="H1307">
        <v>1</v>
      </c>
      <c r="I1307">
        <v>5</v>
      </c>
      <c r="J1307" t="s">
        <v>508</v>
      </c>
      <c r="K1307" t="s">
        <v>47</v>
      </c>
      <c r="L1307" t="s">
        <v>21</v>
      </c>
      <c r="M1307" t="s">
        <v>288</v>
      </c>
      <c r="N1307" t="s">
        <v>46</v>
      </c>
      <c r="O1307">
        <v>0</v>
      </c>
      <c r="P1307" t="s">
        <v>237</v>
      </c>
    </row>
    <row r="1308" spans="1:16" x14ac:dyDescent="0.25">
      <c r="A1308" t="s">
        <v>1982</v>
      </c>
      <c r="B1308">
        <v>1172</v>
      </c>
      <c r="C1308" t="s">
        <v>487</v>
      </c>
      <c r="D1308" t="s">
        <v>322</v>
      </c>
      <c r="E1308" t="s">
        <v>552</v>
      </c>
      <c r="F1308" t="s">
        <v>3045</v>
      </c>
      <c r="G1308" s="25">
        <v>44294</v>
      </c>
      <c r="H1308">
        <v>20</v>
      </c>
      <c r="I1308">
        <v>98</v>
      </c>
      <c r="J1308" t="s">
        <v>508</v>
      </c>
      <c r="K1308" t="s">
        <v>47</v>
      </c>
      <c r="L1308" t="s">
        <v>21</v>
      </c>
      <c r="M1308" t="s">
        <v>288</v>
      </c>
      <c r="N1308" t="s">
        <v>46</v>
      </c>
      <c r="O1308">
        <v>0</v>
      </c>
      <c r="P1308" t="s">
        <v>237</v>
      </c>
    </row>
    <row r="1309" spans="1:16" x14ac:dyDescent="0.25">
      <c r="A1309" t="s">
        <v>2280</v>
      </c>
      <c r="B1309">
        <v>862</v>
      </c>
      <c r="C1309" t="s">
        <v>487</v>
      </c>
      <c r="D1309" t="s">
        <v>261</v>
      </c>
      <c r="E1309" t="s">
        <v>232</v>
      </c>
      <c r="F1309" t="s">
        <v>1500</v>
      </c>
      <c r="G1309" s="25">
        <v>44268</v>
      </c>
      <c r="H1309">
        <v>15</v>
      </c>
      <c r="I1309">
        <v>72</v>
      </c>
      <c r="J1309" t="s">
        <v>508</v>
      </c>
      <c r="K1309" t="s">
        <v>47</v>
      </c>
      <c r="L1309" t="s">
        <v>21</v>
      </c>
      <c r="M1309" t="s">
        <v>288</v>
      </c>
      <c r="N1309" t="s">
        <v>46</v>
      </c>
      <c r="O1309">
        <v>0</v>
      </c>
      <c r="P1309" t="s">
        <v>237</v>
      </c>
    </row>
    <row r="1310" spans="1:16" x14ac:dyDescent="0.25">
      <c r="A1310" t="s">
        <v>2074</v>
      </c>
      <c r="B1310">
        <v>1140</v>
      </c>
      <c r="C1310" t="s">
        <v>487</v>
      </c>
      <c r="D1310" t="s">
        <v>322</v>
      </c>
      <c r="E1310" t="s">
        <v>575</v>
      </c>
      <c r="F1310" t="s">
        <v>3014</v>
      </c>
      <c r="G1310" s="25">
        <v>44291</v>
      </c>
      <c r="H1310">
        <v>19</v>
      </c>
      <c r="I1310">
        <v>95</v>
      </c>
      <c r="J1310" t="s">
        <v>508</v>
      </c>
      <c r="K1310" t="s">
        <v>47</v>
      </c>
      <c r="L1310" t="s">
        <v>21</v>
      </c>
      <c r="M1310" t="s">
        <v>288</v>
      </c>
      <c r="N1310" t="s">
        <v>46</v>
      </c>
      <c r="O1310">
        <v>20875</v>
      </c>
      <c r="P1310" t="s">
        <v>237</v>
      </c>
    </row>
    <row r="1311" spans="1:16" x14ac:dyDescent="0.25">
      <c r="A1311" t="s">
        <v>1657</v>
      </c>
      <c r="B1311">
        <v>1243</v>
      </c>
      <c r="C1311" t="s">
        <v>487</v>
      </c>
      <c r="D1311" t="s">
        <v>247</v>
      </c>
      <c r="E1311" t="s">
        <v>261</v>
      </c>
      <c r="F1311" t="s">
        <v>3078</v>
      </c>
      <c r="G1311" s="25">
        <v>44300</v>
      </c>
      <c r="H1311">
        <v>21</v>
      </c>
      <c r="I1311">
        <v>104</v>
      </c>
      <c r="J1311" t="s">
        <v>508</v>
      </c>
      <c r="K1311" t="s">
        <v>47</v>
      </c>
      <c r="L1311" t="s">
        <v>21</v>
      </c>
      <c r="M1311" t="s">
        <v>288</v>
      </c>
      <c r="N1311" t="s">
        <v>46</v>
      </c>
      <c r="O1311">
        <v>0</v>
      </c>
      <c r="P1311" t="s">
        <v>237</v>
      </c>
    </row>
    <row r="1312" spans="1:16" x14ac:dyDescent="0.25">
      <c r="A1312" t="s">
        <v>2817</v>
      </c>
      <c r="B1312">
        <v>876</v>
      </c>
      <c r="C1312" t="s">
        <v>487</v>
      </c>
      <c r="D1312" t="s">
        <v>261</v>
      </c>
      <c r="E1312" t="s">
        <v>512</v>
      </c>
      <c r="F1312" t="s">
        <v>1518</v>
      </c>
      <c r="G1312" s="25">
        <v>44269</v>
      </c>
      <c r="H1312">
        <v>15</v>
      </c>
      <c r="I1312">
        <v>73</v>
      </c>
      <c r="J1312" t="s">
        <v>508</v>
      </c>
      <c r="K1312" t="s">
        <v>47</v>
      </c>
      <c r="L1312" t="s">
        <v>21</v>
      </c>
      <c r="M1312" t="s">
        <v>288</v>
      </c>
      <c r="N1312" t="s">
        <v>46</v>
      </c>
      <c r="O1312">
        <v>21500</v>
      </c>
      <c r="P1312" t="s">
        <v>237</v>
      </c>
    </row>
    <row r="1313" spans="1:16" x14ac:dyDescent="0.25">
      <c r="A1313" t="s">
        <v>2347</v>
      </c>
      <c r="B1313">
        <v>1418</v>
      </c>
      <c r="C1313" t="s">
        <v>487</v>
      </c>
      <c r="D1313" t="s">
        <v>247</v>
      </c>
      <c r="E1313" t="s">
        <v>531</v>
      </c>
      <c r="F1313" t="s">
        <v>3173</v>
      </c>
      <c r="G1313" s="25">
        <v>44315</v>
      </c>
      <c r="H1313">
        <v>24</v>
      </c>
      <c r="I1313">
        <v>119</v>
      </c>
      <c r="J1313" t="s">
        <v>508</v>
      </c>
      <c r="K1313" t="s">
        <v>47</v>
      </c>
      <c r="L1313" t="s">
        <v>21</v>
      </c>
      <c r="M1313" t="s">
        <v>288</v>
      </c>
      <c r="N1313" t="s">
        <v>46</v>
      </c>
      <c r="O1313">
        <v>0</v>
      </c>
      <c r="P1313" t="s">
        <v>237</v>
      </c>
    </row>
    <row r="1314" spans="1:16" x14ac:dyDescent="0.25">
      <c r="A1314" t="s">
        <v>853</v>
      </c>
      <c r="B1314">
        <v>169</v>
      </c>
      <c r="C1314" t="s">
        <v>487</v>
      </c>
      <c r="D1314" t="s">
        <v>229</v>
      </c>
      <c r="E1314" t="s">
        <v>575</v>
      </c>
      <c r="F1314" t="s">
        <v>576</v>
      </c>
      <c r="G1314" s="25">
        <v>44211</v>
      </c>
      <c r="H1314">
        <v>3</v>
      </c>
      <c r="I1314">
        <v>15</v>
      </c>
      <c r="J1314" t="s">
        <v>508</v>
      </c>
      <c r="K1314" t="s">
        <v>47</v>
      </c>
      <c r="L1314" t="s">
        <v>21</v>
      </c>
      <c r="M1314" t="s">
        <v>288</v>
      </c>
      <c r="N1314" t="s">
        <v>46</v>
      </c>
      <c r="O1314">
        <v>0</v>
      </c>
      <c r="P1314" t="s">
        <v>237</v>
      </c>
    </row>
    <row r="1315" spans="1:16" x14ac:dyDescent="0.25">
      <c r="A1315" t="s">
        <v>2799</v>
      </c>
      <c r="B1315">
        <v>1072</v>
      </c>
      <c r="C1315" t="s">
        <v>487</v>
      </c>
      <c r="D1315" t="s">
        <v>322</v>
      </c>
      <c r="E1315" t="s">
        <v>239</v>
      </c>
      <c r="F1315" t="s">
        <v>2979</v>
      </c>
      <c r="G1315" s="25">
        <v>44286</v>
      </c>
      <c r="H1315">
        <v>18</v>
      </c>
      <c r="I1315">
        <v>90</v>
      </c>
      <c r="J1315" t="s">
        <v>508</v>
      </c>
      <c r="K1315" t="s">
        <v>47</v>
      </c>
      <c r="L1315" t="s">
        <v>21</v>
      </c>
      <c r="M1315" t="s">
        <v>288</v>
      </c>
      <c r="N1315" t="s">
        <v>46</v>
      </c>
      <c r="O1315">
        <v>0</v>
      </c>
      <c r="P1315" t="s">
        <v>237</v>
      </c>
    </row>
    <row r="1316" spans="1:16" x14ac:dyDescent="0.25">
      <c r="A1316" t="s">
        <v>2752</v>
      </c>
      <c r="B1316">
        <v>897</v>
      </c>
      <c r="C1316" t="s">
        <v>487</v>
      </c>
      <c r="D1316" t="s">
        <v>261</v>
      </c>
      <c r="E1316" t="s">
        <v>575</v>
      </c>
      <c r="F1316" t="s">
        <v>1537</v>
      </c>
      <c r="G1316" s="25">
        <v>44271</v>
      </c>
      <c r="H1316">
        <v>15</v>
      </c>
      <c r="I1316">
        <v>75</v>
      </c>
      <c r="J1316" t="s">
        <v>508</v>
      </c>
      <c r="K1316" t="s">
        <v>47</v>
      </c>
      <c r="L1316" t="s">
        <v>21</v>
      </c>
      <c r="M1316" t="s">
        <v>288</v>
      </c>
      <c r="N1316" t="s">
        <v>46</v>
      </c>
      <c r="O1316">
        <v>0</v>
      </c>
      <c r="P1316" t="s">
        <v>237</v>
      </c>
    </row>
    <row r="1317" spans="1:16" x14ac:dyDescent="0.25">
      <c r="A1317" t="s">
        <v>860</v>
      </c>
      <c r="B1317">
        <v>394</v>
      </c>
      <c r="C1317" t="s">
        <v>487</v>
      </c>
      <c r="D1317" t="s">
        <v>231</v>
      </c>
      <c r="E1317" t="s">
        <v>512</v>
      </c>
      <c r="F1317" t="s">
        <v>1174</v>
      </c>
      <c r="G1317" s="25">
        <v>44229</v>
      </c>
      <c r="H1317">
        <v>7</v>
      </c>
      <c r="I1317">
        <v>33</v>
      </c>
      <c r="J1317" t="s">
        <v>508</v>
      </c>
      <c r="K1317" t="s">
        <v>47</v>
      </c>
      <c r="L1317" t="s">
        <v>21</v>
      </c>
      <c r="M1317" t="s">
        <v>288</v>
      </c>
      <c r="N1317" t="s">
        <v>46</v>
      </c>
      <c r="O1317">
        <v>0</v>
      </c>
      <c r="P1317" t="s">
        <v>237</v>
      </c>
    </row>
    <row r="1318" spans="1:16" x14ac:dyDescent="0.25">
      <c r="A1318" t="s">
        <v>2558</v>
      </c>
      <c r="B1318">
        <v>1151</v>
      </c>
      <c r="C1318" t="s">
        <v>487</v>
      </c>
      <c r="D1318" t="s">
        <v>322</v>
      </c>
      <c r="E1318" t="s">
        <v>620</v>
      </c>
      <c r="F1318" t="s">
        <v>3025</v>
      </c>
      <c r="G1318" s="25">
        <v>44292</v>
      </c>
      <c r="H1318">
        <v>20</v>
      </c>
      <c r="I1318">
        <v>96</v>
      </c>
      <c r="J1318" t="s">
        <v>508</v>
      </c>
      <c r="K1318" t="s">
        <v>47</v>
      </c>
      <c r="L1318" t="s">
        <v>21</v>
      </c>
      <c r="M1318" t="s">
        <v>288</v>
      </c>
      <c r="N1318" t="s">
        <v>46</v>
      </c>
      <c r="O1318">
        <v>9125</v>
      </c>
      <c r="P1318" t="s">
        <v>237</v>
      </c>
    </row>
    <row r="1319" spans="1:16" x14ac:dyDescent="0.25">
      <c r="A1319" t="s">
        <v>825</v>
      </c>
      <c r="B1319">
        <v>404</v>
      </c>
      <c r="C1319" t="s">
        <v>487</v>
      </c>
      <c r="D1319" t="s">
        <v>231</v>
      </c>
      <c r="E1319" t="s">
        <v>537</v>
      </c>
      <c r="F1319" t="s">
        <v>1192</v>
      </c>
      <c r="G1319" s="25">
        <v>44230</v>
      </c>
      <c r="H1319">
        <v>7</v>
      </c>
      <c r="I1319">
        <v>34</v>
      </c>
      <c r="J1319" t="s">
        <v>508</v>
      </c>
      <c r="K1319" t="s">
        <v>47</v>
      </c>
      <c r="L1319" t="s">
        <v>21</v>
      </c>
      <c r="M1319" t="s">
        <v>288</v>
      </c>
      <c r="N1319" t="s">
        <v>46</v>
      </c>
      <c r="O1319">
        <v>0</v>
      </c>
      <c r="P1319" t="s">
        <v>237</v>
      </c>
    </row>
    <row r="1320" spans="1:16" x14ac:dyDescent="0.25">
      <c r="A1320" t="s">
        <v>1794</v>
      </c>
      <c r="B1320">
        <v>888</v>
      </c>
      <c r="C1320" t="s">
        <v>487</v>
      </c>
      <c r="D1320" t="s">
        <v>261</v>
      </c>
      <c r="E1320" t="s">
        <v>537</v>
      </c>
      <c r="F1320" t="s">
        <v>1530</v>
      </c>
      <c r="G1320" s="25">
        <v>44270</v>
      </c>
      <c r="H1320">
        <v>15</v>
      </c>
      <c r="I1320">
        <v>74</v>
      </c>
      <c r="J1320" t="s">
        <v>508</v>
      </c>
      <c r="K1320" t="s">
        <v>47</v>
      </c>
      <c r="L1320" t="s">
        <v>21</v>
      </c>
      <c r="M1320" t="s">
        <v>288</v>
      </c>
      <c r="N1320" t="s">
        <v>46</v>
      </c>
      <c r="O1320">
        <v>12500</v>
      </c>
      <c r="P1320" t="s">
        <v>237</v>
      </c>
    </row>
    <row r="1321" spans="1:16" x14ac:dyDescent="0.25">
      <c r="A1321" t="s">
        <v>2476</v>
      </c>
      <c r="B1321">
        <v>1230</v>
      </c>
      <c r="C1321" t="s">
        <v>487</v>
      </c>
      <c r="D1321" t="s">
        <v>247</v>
      </c>
      <c r="E1321" t="s">
        <v>256</v>
      </c>
      <c r="F1321" t="s">
        <v>3073</v>
      </c>
      <c r="G1321" s="25">
        <v>44299</v>
      </c>
      <c r="H1321">
        <v>21</v>
      </c>
      <c r="I1321">
        <v>103</v>
      </c>
      <c r="J1321" t="s">
        <v>508</v>
      </c>
      <c r="K1321" t="s">
        <v>47</v>
      </c>
      <c r="L1321" t="s">
        <v>21</v>
      </c>
      <c r="M1321" t="s">
        <v>288</v>
      </c>
      <c r="N1321" t="s">
        <v>46</v>
      </c>
      <c r="O1321">
        <v>0</v>
      </c>
      <c r="P1321" t="s">
        <v>237</v>
      </c>
    </row>
    <row r="1322" spans="1:16" x14ac:dyDescent="0.25">
      <c r="A1322" t="s">
        <v>745</v>
      </c>
      <c r="B1322">
        <v>386</v>
      </c>
      <c r="C1322" t="s">
        <v>487</v>
      </c>
      <c r="D1322" t="s">
        <v>231</v>
      </c>
      <c r="E1322" t="s">
        <v>512</v>
      </c>
      <c r="F1322" t="s">
        <v>1174</v>
      </c>
      <c r="G1322" s="25">
        <v>44229</v>
      </c>
      <c r="H1322">
        <v>7</v>
      </c>
      <c r="I1322">
        <v>33</v>
      </c>
      <c r="J1322" t="s">
        <v>509</v>
      </c>
      <c r="K1322" t="s">
        <v>45</v>
      </c>
      <c r="L1322" t="s">
        <v>21</v>
      </c>
      <c r="M1322" t="s">
        <v>304</v>
      </c>
      <c r="N1322" t="s">
        <v>44</v>
      </c>
      <c r="O1322">
        <v>0</v>
      </c>
      <c r="P1322" t="s">
        <v>237</v>
      </c>
    </row>
    <row r="1323" spans="1:16" x14ac:dyDescent="0.25">
      <c r="A1323" t="s">
        <v>2247</v>
      </c>
      <c r="B1323">
        <v>1385</v>
      </c>
      <c r="C1323" t="s">
        <v>487</v>
      </c>
      <c r="D1323" t="s">
        <v>247</v>
      </c>
      <c r="E1323" t="s">
        <v>620</v>
      </c>
      <c r="F1323" t="s">
        <v>3162</v>
      </c>
      <c r="G1323" s="25">
        <v>44312</v>
      </c>
      <c r="H1323">
        <v>24</v>
      </c>
      <c r="I1323">
        <v>116</v>
      </c>
      <c r="J1323" t="s">
        <v>509</v>
      </c>
      <c r="K1323" t="s">
        <v>45</v>
      </c>
      <c r="L1323" t="s">
        <v>21</v>
      </c>
      <c r="M1323" t="s">
        <v>304</v>
      </c>
      <c r="N1323" t="s">
        <v>44</v>
      </c>
      <c r="O1323">
        <v>0</v>
      </c>
      <c r="P1323" t="s">
        <v>237</v>
      </c>
    </row>
    <row r="1324" spans="1:16" x14ac:dyDescent="0.25">
      <c r="A1324" t="s">
        <v>2024</v>
      </c>
      <c r="B1324">
        <v>1367</v>
      </c>
      <c r="C1324" t="s">
        <v>487</v>
      </c>
      <c r="D1324" t="s">
        <v>247</v>
      </c>
      <c r="E1324" t="s">
        <v>537</v>
      </c>
      <c r="F1324" t="s">
        <v>3153</v>
      </c>
      <c r="G1324" s="25">
        <v>44310</v>
      </c>
      <c r="H1324">
        <v>23</v>
      </c>
      <c r="I1324">
        <v>114</v>
      </c>
      <c r="J1324" t="s">
        <v>509</v>
      </c>
      <c r="K1324" t="s">
        <v>45</v>
      </c>
      <c r="L1324" t="s">
        <v>21</v>
      </c>
      <c r="M1324" t="s">
        <v>304</v>
      </c>
      <c r="N1324" t="s">
        <v>44</v>
      </c>
      <c r="O1324">
        <v>0</v>
      </c>
      <c r="P1324" t="s">
        <v>237</v>
      </c>
    </row>
    <row r="1325" spans="1:16" x14ac:dyDescent="0.25">
      <c r="A1325" t="s">
        <v>622</v>
      </c>
      <c r="B1325">
        <v>420</v>
      </c>
      <c r="C1325" t="s">
        <v>487</v>
      </c>
      <c r="D1325" t="s">
        <v>231</v>
      </c>
      <c r="E1325" t="s">
        <v>575</v>
      </c>
      <c r="F1325" t="s">
        <v>1210</v>
      </c>
      <c r="G1325" s="25">
        <v>44231</v>
      </c>
      <c r="H1325">
        <v>7</v>
      </c>
      <c r="I1325">
        <v>35</v>
      </c>
      <c r="J1325" t="s">
        <v>509</v>
      </c>
      <c r="K1325" t="s">
        <v>45</v>
      </c>
      <c r="L1325" t="s">
        <v>21</v>
      </c>
      <c r="M1325" t="s">
        <v>304</v>
      </c>
      <c r="N1325" t="s">
        <v>44</v>
      </c>
      <c r="O1325">
        <v>20875</v>
      </c>
      <c r="P1325" t="s">
        <v>237</v>
      </c>
    </row>
    <row r="1326" spans="1:16" x14ac:dyDescent="0.25">
      <c r="A1326" t="s">
        <v>827</v>
      </c>
      <c r="B1326">
        <v>347</v>
      </c>
      <c r="C1326" t="s">
        <v>487</v>
      </c>
      <c r="D1326" t="s">
        <v>231</v>
      </c>
      <c r="E1326" t="s">
        <v>371</v>
      </c>
      <c r="F1326" t="s">
        <v>1124</v>
      </c>
      <c r="G1326" s="25">
        <v>44225</v>
      </c>
      <c r="H1326">
        <v>6</v>
      </c>
      <c r="I1326">
        <v>29</v>
      </c>
      <c r="J1326" t="s">
        <v>509</v>
      </c>
      <c r="K1326" t="s">
        <v>45</v>
      </c>
      <c r="L1326" t="s">
        <v>21</v>
      </c>
      <c r="M1326" t="s">
        <v>304</v>
      </c>
      <c r="N1326" t="s">
        <v>44</v>
      </c>
      <c r="O1326">
        <v>500</v>
      </c>
      <c r="P1326" t="s">
        <v>237</v>
      </c>
    </row>
    <row r="1327" spans="1:16" x14ac:dyDescent="0.25">
      <c r="A1327" t="s">
        <v>2271</v>
      </c>
      <c r="B1327">
        <v>1426</v>
      </c>
      <c r="C1327" t="s">
        <v>487</v>
      </c>
      <c r="D1327" t="s">
        <v>247</v>
      </c>
      <c r="E1327" t="s">
        <v>531</v>
      </c>
      <c r="F1327" t="s">
        <v>3173</v>
      </c>
      <c r="G1327" s="25">
        <v>44315</v>
      </c>
      <c r="H1327">
        <v>24</v>
      </c>
      <c r="I1327">
        <v>119</v>
      </c>
      <c r="J1327" t="s">
        <v>509</v>
      </c>
      <c r="K1327" t="s">
        <v>45</v>
      </c>
      <c r="L1327" t="s">
        <v>21</v>
      </c>
      <c r="M1327" t="s">
        <v>304</v>
      </c>
      <c r="N1327" t="s">
        <v>44</v>
      </c>
      <c r="O1327">
        <v>0</v>
      </c>
      <c r="P1327" t="s">
        <v>237</v>
      </c>
    </row>
    <row r="1328" spans="1:16" x14ac:dyDescent="0.25">
      <c r="A1328" t="s">
        <v>2790</v>
      </c>
      <c r="B1328">
        <v>549</v>
      </c>
      <c r="C1328" t="s">
        <v>487</v>
      </c>
      <c r="D1328" t="s">
        <v>256</v>
      </c>
      <c r="E1328" t="s">
        <v>247</v>
      </c>
      <c r="F1328" t="s">
        <v>1299</v>
      </c>
      <c r="G1328" s="25">
        <v>44242</v>
      </c>
      <c r="H1328">
        <v>10</v>
      </c>
      <c r="I1328">
        <v>46</v>
      </c>
      <c r="J1328" t="s">
        <v>509</v>
      </c>
      <c r="K1328" t="s">
        <v>45</v>
      </c>
      <c r="L1328" t="s">
        <v>21</v>
      </c>
      <c r="M1328" t="s">
        <v>304</v>
      </c>
      <c r="N1328" t="s">
        <v>44</v>
      </c>
      <c r="O1328">
        <v>0</v>
      </c>
      <c r="P1328" t="s">
        <v>237</v>
      </c>
    </row>
    <row r="1329" spans="1:16" x14ac:dyDescent="0.25">
      <c r="A1329" t="s">
        <v>713</v>
      </c>
      <c r="B1329">
        <v>432</v>
      </c>
      <c r="C1329" t="s">
        <v>487</v>
      </c>
      <c r="D1329" t="s">
        <v>231</v>
      </c>
      <c r="E1329" t="s">
        <v>620</v>
      </c>
      <c r="F1329" t="s">
        <v>1215</v>
      </c>
      <c r="G1329" s="25">
        <v>44232</v>
      </c>
      <c r="H1329">
        <v>8</v>
      </c>
      <c r="I1329">
        <v>36</v>
      </c>
      <c r="J1329" t="s">
        <v>509</v>
      </c>
      <c r="K1329" t="s">
        <v>45</v>
      </c>
      <c r="L1329" t="s">
        <v>21</v>
      </c>
      <c r="M1329" t="s">
        <v>304</v>
      </c>
      <c r="N1329" t="s">
        <v>44</v>
      </c>
      <c r="O1329">
        <v>24000</v>
      </c>
      <c r="P1329" t="s">
        <v>237</v>
      </c>
    </row>
    <row r="1330" spans="1:16" x14ac:dyDescent="0.25">
      <c r="A1330" t="s">
        <v>1575</v>
      </c>
      <c r="B1330">
        <v>477</v>
      </c>
      <c r="C1330" t="s">
        <v>487</v>
      </c>
      <c r="D1330" t="s">
        <v>231</v>
      </c>
      <c r="E1330" t="s">
        <v>408</v>
      </c>
      <c r="F1330" t="s">
        <v>1234</v>
      </c>
      <c r="G1330" s="25">
        <v>44236</v>
      </c>
      <c r="H1330">
        <v>8</v>
      </c>
      <c r="I1330">
        <v>40</v>
      </c>
      <c r="J1330" t="s">
        <v>509</v>
      </c>
      <c r="K1330" t="s">
        <v>45</v>
      </c>
      <c r="L1330" t="s">
        <v>21</v>
      </c>
      <c r="M1330" t="s">
        <v>304</v>
      </c>
      <c r="N1330" t="s">
        <v>44</v>
      </c>
      <c r="O1330">
        <v>0</v>
      </c>
      <c r="P1330" t="s">
        <v>237</v>
      </c>
    </row>
    <row r="1331" spans="1:16" x14ac:dyDescent="0.25">
      <c r="A1331" t="s">
        <v>2449</v>
      </c>
      <c r="B1331">
        <v>1440</v>
      </c>
      <c r="C1331" t="s">
        <v>487</v>
      </c>
      <c r="D1331" t="s">
        <v>247</v>
      </c>
      <c r="E1331" t="s">
        <v>408</v>
      </c>
      <c r="F1331" t="s">
        <v>3178</v>
      </c>
      <c r="G1331" s="25">
        <v>44316</v>
      </c>
      <c r="H1331">
        <v>24</v>
      </c>
      <c r="I1331">
        <v>120</v>
      </c>
      <c r="J1331" t="s">
        <v>509</v>
      </c>
      <c r="K1331" t="s">
        <v>45</v>
      </c>
      <c r="L1331" t="s">
        <v>21</v>
      </c>
      <c r="M1331" t="s">
        <v>304</v>
      </c>
      <c r="N1331" t="s">
        <v>44</v>
      </c>
      <c r="O1331">
        <v>16000</v>
      </c>
      <c r="P1331" t="s">
        <v>237</v>
      </c>
    </row>
    <row r="1332" spans="1:16" x14ac:dyDescent="0.25">
      <c r="A1332" t="s">
        <v>2069</v>
      </c>
      <c r="B1332">
        <v>536</v>
      </c>
      <c r="C1332" t="s">
        <v>487</v>
      </c>
      <c r="D1332" t="s">
        <v>256</v>
      </c>
      <c r="E1332" t="s">
        <v>322</v>
      </c>
      <c r="F1332" t="s">
        <v>1288</v>
      </c>
      <c r="G1332" s="25">
        <v>44241</v>
      </c>
      <c r="H1332">
        <v>9</v>
      </c>
      <c r="I1332">
        <v>45</v>
      </c>
      <c r="J1332" t="s">
        <v>509</v>
      </c>
      <c r="K1332" t="s">
        <v>45</v>
      </c>
      <c r="L1332" t="s">
        <v>21</v>
      </c>
      <c r="M1332" t="s">
        <v>304</v>
      </c>
      <c r="N1332" t="s">
        <v>44</v>
      </c>
      <c r="O1332">
        <v>0</v>
      </c>
      <c r="P1332" t="s">
        <v>237</v>
      </c>
    </row>
    <row r="1333" spans="1:16" x14ac:dyDescent="0.25">
      <c r="A1333" t="s">
        <v>2915</v>
      </c>
      <c r="B1333">
        <v>1152</v>
      </c>
      <c r="C1333" t="s">
        <v>487</v>
      </c>
      <c r="D1333" t="s">
        <v>322</v>
      </c>
      <c r="E1333" t="s">
        <v>620</v>
      </c>
      <c r="F1333" t="s">
        <v>3025</v>
      </c>
      <c r="G1333" s="25">
        <v>44292</v>
      </c>
      <c r="H1333">
        <v>20</v>
      </c>
      <c r="I1333">
        <v>96</v>
      </c>
      <c r="J1333" t="s">
        <v>509</v>
      </c>
      <c r="K1333" t="s">
        <v>45</v>
      </c>
      <c r="L1333" t="s">
        <v>21</v>
      </c>
      <c r="M1333" t="s">
        <v>304</v>
      </c>
      <c r="N1333" t="s">
        <v>44</v>
      </c>
      <c r="O1333">
        <v>11000</v>
      </c>
      <c r="P1333" t="s">
        <v>237</v>
      </c>
    </row>
    <row r="1334" spans="1:16" x14ac:dyDescent="0.25">
      <c r="A1334" t="s">
        <v>1608</v>
      </c>
      <c r="B1334">
        <v>489</v>
      </c>
      <c r="C1334" t="s">
        <v>487</v>
      </c>
      <c r="D1334" t="s">
        <v>256</v>
      </c>
      <c r="E1334" t="s">
        <v>229</v>
      </c>
      <c r="F1334" t="s">
        <v>1241</v>
      </c>
      <c r="G1334" s="25">
        <v>44237</v>
      </c>
      <c r="H1334">
        <v>9</v>
      </c>
      <c r="I1334">
        <v>41</v>
      </c>
      <c r="J1334" t="s">
        <v>509</v>
      </c>
      <c r="K1334" t="s">
        <v>45</v>
      </c>
      <c r="L1334" t="s">
        <v>21</v>
      </c>
      <c r="M1334" t="s">
        <v>304</v>
      </c>
      <c r="N1334" t="s">
        <v>44</v>
      </c>
      <c r="O1334">
        <v>0</v>
      </c>
      <c r="P1334" t="s">
        <v>237</v>
      </c>
    </row>
    <row r="1335" spans="1:16" x14ac:dyDescent="0.25">
      <c r="A1335" t="s">
        <v>560</v>
      </c>
      <c r="B1335">
        <v>398</v>
      </c>
      <c r="C1335" t="s">
        <v>487</v>
      </c>
      <c r="D1335" t="s">
        <v>231</v>
      </c>
      <c r="E1335" t="s">
        <v>537</v>
      </c>
      <c r="F1335" t="s">
        <v>1192</v>
      </c>
      <c r="G1335" s="25">
        <v>44230</v>
      </c>
      <c r="H1335">
        <v>7</v>
      </c>
      <c r="I1335">
        <v>34</v>
      </c>
      <c r="J1335" t="s">
        <v>509</v>
      </c>
      <c r="K1335" t="s">
        <v>45</v>
      </c>
      <c r="L1335" t="s">
        <v>21</v>
      </c>
      <c r="M1335" t="s">
        <v>304</v>
      </c>
      <c r="N1335" t="s">
        <v>44</v>
      </c>
      <c r="O1335">
        <v>0</v>
      </c>
      <c r="P1335" t="s">
        <v>237</v>
      </c>
    </row>
    <row r="1336" spans="1:16" x14ac:dyDescent="0.25">
      <c r="A1336" t="s">
        <v>1875</v>
      </c>
      <c r="B1336">
        <v>518</v>
      </c>
      <c r="C1336" t="s">
        <v>487</v>
      </c>
      <c r="D1336" t="s">
        <v>256</v>
      </c>
      <c r="E1336" t="s">
        <v>261</v>
      </c>
      <c r="F1336" t="s">
        <v>1276</v>
      </c>
      <c r="G1336" s="25">
        <v>44240</v>
      </c>
      <c r="H1336">
        <v>9</v>
      </c>
      <c r="I1336">
        <v>44</v>
      </c>
      <c r="J1336" t="s">
        <v>509</v>
      </c>
      <c r="K1336" t="s">
        <v>45</v>
      </c>
      <c r="L1336" t="s">
        <v>21</v>
      </c>
      <c r="M1336" t="s">
        <v>304</v>
      </c>
      <c r="N1336" t="s">
        <v>44</v>
      </c>
      <c r="O1336">
        <v>0</v>
      </c>
      <c r="P1336" t="s">
        <v>237</v>
      </c>
    </row>
    <row r="1337" spans="1:16" x14ac:dyDescent="0.25">
      <c r="A1337" t="s">
        <v>546</v>
      </c>
      <c r="B1337">
        <v>444</v>
      </c>
      <c r="C1337" t="s">
        <v>487</v>
      </c>
      <c r="D1337" t="s">
        <v>231</v>
      </c>
      <c r="E1337" t="s">
        <v>534</v>
      </c>
      <c r="F1337" t="s">
        <v>1731</v>
      </c>
      <c r="G1337" s="25">
        <v>44233</v>
      </c>
      <c r="H1337">
        <v>8</v>
      </c>
      <c r="I1337">
        <v>37</v>
      </c>
      <c r="J1337" t="s">
        <v>509</v>
      </c>
      <c r="K1337" t="s">
        <v>45</v>
      </c>
      <c r="L1337" t="s">
        <v>21</v>
      </c>
      <c r="M1337" t="s">
        <v>304</v>
      </c>
      <c r="N1337" t="s">
        <v>44</v>
      </c>
      <c r="O1337">
        <v>19125</v>
      </c>
      <c r="P1337" t="s">
        <v>237</v>
      </c>
    </row>
    <row r="1338" spans="1:16" x14ac:dyDescent="0.25">
      <c r="A1338" t="s">
        <v>739</v>
      </c>
      <c r="B1338">
        <v>383</v>
      </c>
      <c r="C1338" t="s">
        <v>487</v>
      </c>
      <c r="D1338" t="s">
        <v>231</v>
      </c>
      <c r="E1338" t="s">
        <v>232</v>
      </c>
      <c r="F1338" t="s">
        <v>1162</v>
      </c>
      <c r="G1338" s="25">
        <v>44228</v>
      </c>
      <c r="H1338">
        <v>7</v>
      </c>
      <c r="I1338">
        <v>32</v>
      </c>
      <c r="J1338" t="s">
        <v>509</v>
      </c>
      <c r="K1338" t="s">
        <v>45</v>
      </c>
      <c r="L1338" t="s">
        <v>21</v>
      </c>
      <c r="M1338" t="s">
        <v>304</v>
      </c>
      <c r="N1338" t="s">
        <v>44</v>
      </c>
      <c r="O1338">
        <v>0</v>
      </c>
      <c r="P1338" t="s">
        <v>237</v>
      </c>
    </row>
    <row r="1339" spans="1:16" x14ac:dyDescent="0.25">
      <c r="A1339" t="s">
        <v>826</v>
      </c>
      <c r="B1339">
        <v>360</v>
      </c>
      <c r="C1339" t="s">
        <v>487</v>
      </c>
      <c r="D1339" t="s">
        <v>231</v>
      </c>
      <c r="E1339" t="s">
        <v>239</v>
      </c>
      <c r="F1339" t="s">
        <v>1139</v>
      </c>
      <c r="G1339" s="25">
        <v>44226</v>
      </c>
      <c r="H1339">
        <v>6</v>
      </c>
      <c r="I1339">
        <v>30</v>
      </c>
      <c r="J1339" t="s">
        <v>509</v>
      </c>
      <c r="K1339" t="s">
        <v>45</v>
      </c>
      <c r="L1339" t="s">
        <v>21</v>
      </c>
      <c r="M1339" t="s">
        <v>304</v>
      </c>
      <c r="N1339" t="s">
        <v>44</v>
      </c>
      <c r="O1339">
        <v>15500</v>
      </c>
      <c r="P1339" t="s">
        <v>237</v>
      </c>
    </row>
    <row r="1340" spans="1:16" x14ac:dyDescent="0.25">
      <c r="A1340" t="s">
        <v>2345</v>
      </c>
      <c r="B1340">
        <v>515</v>
      </c>
      <c r="C1340" t="s">
        <v>487</v>
      </c>
      <c r="D1340" t="s">
        <v>256</v>
      </c>
      <c r="E1340" t="s">
        <v>256</v>
      </c>
      <c r="F1340" t="s">
        <v>1263</v>
      </c>
      <c r="G1340" s="25">
        <v>44239</v>
      </c>
      <c r="H1340">
        <v>9</v>
      </c>
      <c r="I1340">
        <v>43</v>
      </c>
      <c r="J1340" t="s">
        <v>509</v>
      </c>
      <c r="K1340" t="s">
        <v>45</v>
      </c>
      <c r="L1340" t="s">
        <v>21</v>
      </c>
      <c r="M1340" t="s">
        <v>304</v>
      </c>
      <c r="N1340" t="s">
        <v>44</v>
      </c>
      <c r="O1340">
        <v>0</v>
      </c>
      <c r="P1340" t="s">
        <v>237</v>
      </c>
    </row>
    <row r="1341" spans="1:16" x14ac:dyDescent="0.25">
      <c r="A1341" t="s">
        <v>2724</v>
      </c>
      <c r="B1341">
        <v>1133</v>
      </c>
      <c r="C1341" t="s">
        <v>487</v>
      </c>
      <c r="D1341" t="s">
        <v>322</v>
      </c>
      <c r="E1341" t="s">
        <v>575</v>
      </c>
      <c r="F1341" t="s">
        <v>3014</v>
      </c>
      <c r="G1341" s="25">
        <v>44291</v>
      </c>
      <c r="H1341">
        <v>19</v>
      </c>
      <c r="I1341">
        <v>95</v>
      </c>
      <c r="J1341" t="s">
        <v>509</v>
      </c>
      <c r="K1341" t="s">
        <v>45</v>
      </c>
      <c r="L1341" t="s">
        <v>21</v>
      </c>
      <c r="M1341" t="s">
        <v>304</v>
      </c>
      <c r="N1341" t="s">
        <v>44</v>
      </c>
      <c r="O1341">
        <v>0</v>
      </c>
      <c r="P1341" t="s">
        <v>237</v>
      </c>
    </row>
    <row r="1342" spans="1:16" x14ac:dyDescent="0.25">
      <c r="A1342" t="s">
        <v>721</v>
      </c>
      <c r="B1342">
        <v>448</v>
      </c>
      <c r="C1342" t="s">
        <v>487</v>
      </c>
      <c r="D1342" t="s">
        <v>231</v>
      </c>
      <c r="E1342" t="s">
        <v>552</v>
      </c>
      <c r="F1342" t="s">
        <v>1222</v>
      </c>
      <c r="G1342" s="25">
        <v>44234</v>
      </c>
      <c r="H1342">
        <v>8</v>
      </c>
      <c r="I1342">
        <v>38</v>
      </c>
      <c r="J1342" t="s">
        <v>509</v>
      </c>
      <c r="K1342" t="s">
        <v>45</v>
      </c>
      <c r="L1342" t="s">
        <v>21</v>
      </c>
      <c r="M1342" t="s">
        <v>304</v>
      </c>
      <c r="N1342" t="s">
        <v>44</v>
      </c>
      <c r="O1342">
        <v>0</v>
      </c>
      <c r="P1342" t="s">
        <v>237</v>
      </c>
    </row>
    <row r="1343" spans="1:16" x14ac:dyDescent="0.25">
      <c r="A1343" t="s">
        <v>2723</v>
      </c>
      <c r="B1343">
        <v>1375</v>
      </c>
      <c r="C1343" t="s">
        <v>487</v>
      </c>
      <c r="D1343" t="s">
        <v>247</v>
      </c>
      <c r="E1343" t="s">
        <v>575</v>
      </c>
      <c r="F1343" t="s">
        <v>3158</v>
      </c>
      <c r="G1343" s="25">
        <v>44311</v>
      </c>
      <c r="H1343">
        <v>23</v>
      </c>
      <c r="I1343">
        <v>115</v>
      </c>
      <c r="J1343" t="s">
        <v>509</v>
      </c>
      <c r="K1343" t="s">
        <v>45</v>
      </c>
      <c r="L1343" t="s">
        <v>21</v>
      </c>
      <c r="M1343" t="s">
        <v>304</v>
      </c>
      <c r="N1343" t="s">
        <v>44</v>
      </c>
      <c r="O1343">
        <v>0</v>
      </c>
      <c r="P1343" t="s">
        <v>237</v>
      </c>
    </row>
    <row r="1344" spans="1:16" x14ac:dyDescent="0.25">
      <c r="A1344" t="s">
        <v>2513</v>
      </c>
      <c r="B1344">
        <v>1410</v>
      </c>
      <c r="C1344" t="s">
        <v>487</v>
      </c>
      <c r="D1344" t="s">
        <v>247</v>
      </c>
      <c r="E1344" t="s">
        <v>552</v>
      </c>
      <c r="F1344" t="s">
        <v>3170</v>
      </c>
      <c r="G1344" s="25">
        <v>44314</v>
      </c>
      <c r="H1344">
        <v>24</v>
      </c>
      <c r="I1344">
        <v>118</v>
      </c>
      <c r="J1344" t="s">
        <v>509</v>
      </c>
      <c r="K1344" t="s">
        <v>45</v>
      </c>
      <c r="L1344" t="s">
        <v>21</v>
      </c>
      <c r="M1344" t="s">
        <v>304</v>
      </c>
      <c r="N1344" t="s">
        <v>44</v>
      </c>
      <c r="O1344">
        <v>0</v>
      </c>
      <c r="P1344" t="s">
        <v>237</v>
      </c>
    </row>
    <row r="1345" spans="1:16" x14ac:dyDescent="0.25">
      <c r="A1345" t="s">
        <v>810</v>
      </c>
      <c r="B1345">
        <v>367</v>
      </c>
      <c r="C1345" t="s">
        <v>487</v>
      </c>
      <c r="D1345" t="s">
        <v>231</v>
      </c>
      <c r="E1345" t="s">
        <v>515</v>
      </c>
      <c r="F1345" t="s">
        <v>1150</v>
      </c>
      <c r="G1345" s="25">
        <v>44227</v>
      </c>
      <c r="H1345">
        <v>7</v>
      </c>
      <c r="I1345">
        <v>31</v>
      </c>
      <c r="J1345" t="s">
        <v>509</v>
      </c>
      <c r="K1345" t="s">
        <v>45</v>
      </c>
      <c r="L1345" t="s">
        <v>21</v>
      </c>
      <c r="M1345" t="s">
        <v>304</v>
      </c>
      <c r="N1345" t="s">
        <v>44</v>
      </c>
      <c r="O1345">
        <v>0</v>
      </c>
      <c r="P1345" t="s">
        <v>237</v>
      </c>
    </row>
    <row r="1346" spans="1:16" x14ac:dyDescent="0.25">
      <c r="A1346" t="s">
        <v>2561</v>
      </c>
      <c r="B1346">
        <v>1393</v>
      </c>
      <c r="C1346" t="s">
        <v>487</v>
      </c>
      <c r="D1346" t="s">
        <v>247</v>
      </c>
      <c r="E1346" t="s">
        <v>534</v>
      </c>
      <c r="F1346" t="s">
        <v>3166</v>
      </c>
      <c r="G1346" s="25">
        <v>44313</v>
      </c>
      <c r="H1346">
        <v>24</v>
      </c>
      <c r="I1346">
        <v>117</v>
      </c>
      <c r="J1346" t="s">
        <v>509</v>
      </c>
      <c r="K1346" t="s">
        <v>45</v>
      </c>
      <c r="L1346" t="s">
        <v>21</v>
      </c>
      <c r="M1346" t="s">
        <v>304</v>
      </c>
      <c r="N1346" t="s">
        <v>44</v>
      </c>
      <c r="O1346">
        <v>0</v>
      </c>
      <c r="P1346" t="s">
        <v>237</v>
      </c>
    </row>
    <row r="1347" spans="1:16" x14ac:dyDescent="0.25">
      <c r="A1347" t="s">
        <v>1552</v>
      </c>
      <c r="B1347">
        <v>463</v>
      </c>
      <c r="C1347" t="s">
        <v>487</v>
      </c>
      <c r="D1347" t="s">
        <v>231</v>
      </c>
      <c r="E1347" t="s">
        <v>531</v>
      </c>
      <c r="F1347" t="s">
        <v>1230</v>
      </c>
      <c r="G1347" s="25">
        <v>44235</v>
      </c>
      <c r="H1347">
        <v>8</v>
      </c>
      <c r="I1347">
        <v>39</v>
      </c>
      <c r="J1347" t="s">
        <v>509</v>
      </c>
      <c r="K1347" t="s">
        <v>45</v>
      </c>
      <c r="L1347" t="s">
        <v>21</v>
      </c>
      <c r="M1347" t="s">
        <v>304</v>
      </c>
      <c r="N1347" t="s">
        <v>44</v>
      </c>
      <c r="O1347">
        <v>0</v>
      </c>
      <c r="P1347" t="s">
        <v>237</v>
      </c>
    </row>
    <row r="1348" spans="1:16" x14ac:dyDescent="0.25">
      <c r="A1348" t="s">
        <v>2758</v>
      </c>
      <c r="B1348">
        <v>502</v>
      </c>
      <c r="C1348" t="s">
        <v>487</v>
      </c>
      <c r="D1348" t="s">
        <v>256</v>
      </c>
      <c r="E1348" t="s">
        <v>231</v>
      </c>
      <c r="F1348" t="s">
        <v>1249</v>
      </c>
      <c r="G1348" s="25">
        <v>44238</v>
      </c>
      <c r="H1348">
        <v>9</v>
      </c>
      <c r="I1348">
        <v>42</v>
      </c>
      <c r="J1348" t="s">
        <v>509</v>
      </c>
      <c r="K1348" t="s">
        <v>45</v>
      </c>
      <c r="L1348" t="s">
        <v>21</v>
      </c>
      <c r="M1348" t="s">
        <v>304</v>
      </c>
      <c r="N1348" t="s">
        <v>44</v>
      </c>
      <c r="O1348">
        <v>0</v>
      </c>
      <c r="P1348" t="s">
        <v>237</v>
      </c>
    </row>
    <row r="1349" spans="1:16" x14ac:dyDescent="0.25">
      <c r="A1349" t="s">
        <v>2306</v>
      </c>
      <c r="B1349">
        <v>791</v>
      </c>
      <c r="C1349" t="s">
        <v>487</v>
      </c>
      <c r="D1349" t="s">
        <v>261</v>
      </c>
      <c r="E1349" t="s">
        <v>247</v>
      </c>
      <c r="F1349" t="s">
        <v>1425</v>
      </c>
      <c r="G1349" s="25">
        <v>44262</v>
      </c>
      <c r="H1349">
        <v>14</v>
      </c>
      <c r="I1349">
        <v>66</v>
      </c>
      <c r="J1349" t="s">
        <v>509</v>
      </c>
      <c r="K1349" t="s">
        <v>45</v>
      </c>
      <c r="L1349" t="s">
        <v>21</v>
      </c>
      <c r="M1349" t="s">
        <v>304</v>
      </c>
      <c r="N1349" t="s">
        <v>44</v>
      </c>
      <c r="O1349">
        <v>0</v>
      </c>
      <c r="P1349" t="s">
        <v>237</v>
      </c>
    </row>
    <row r="1350" spans="1:16" x14ac:dyDescent="0.25">
      <c r="A1350" t="s">
        <v>2151</v>
      </c>
      <c r="B1350">
        <v>795</v>
      </c>
      <c r="C1350" t="s">
        <v>487</v>
      </c>
      <c r="D1350" t="s">
        <v>261</v>
      </c>
      <c r="E1350" t="s">
        <v>326</v>
      </c>
      <c r="F1350" t="s">
        <v>1440</v>
      </c>
      <c r="G1350" s="25">
        <v>44263</v>
      </c>
      <c r="H1350">
        <v>14</v>
      </c>
      <c r="I1350">
        <v>67</v>
      </c>
      <c r="J1350" t="s">
        <v>509</v>
      </c>
      <c r="K1350" t="s">
        <v>45</v>
      </c>
      <c r="L1350" t="s">
        <v>21</v>
      </c>
      <c r="M1350" t="s">
        <v>304</v>
      </c>
      <c r="N1350" t="s">
        <v>44</v>
      </c>
      <c r="O1350">
        <v>0</v>
      </c>
      <c r="P1350" t="s">
        <v>237</v>
      </c>
    </row>
    <row r="1351" spans="1:16" x14ac:dyDescent="0.25">
      <c r="A1351" t="s">
        <v>2073</v>
      </c>
      <c r="B1351">
        <v>1272</v>
      </c>
      <c r="C1351" t="s">
        <v>487</v>
      </c>
      <c r="D1351" t="s">
        <v>247</v>
      </c>
      <c r="E1351" t="s">
        <v>247</v>
      </c>
      <c r="F1351" t="s">
        <v>3085</v>
      </c>
      <c r="G1351" s="25">
        <v>44302</v>
      </c>
      <c r="H1351">
        <v>22</v>
      </c>
      <c r="I1351">
        <v>106</v>
      </c>
      <c r="J1351" t="s">
        <v>509</v>
      </c>
      <c r="K1351" t="s">
        <v>45</v>
      </c>
      <c r="L1351" t="s">
        <v>21</v>
      </c>
      <c r="M1351" t="s">
        <v>304</v>
      </c>
      <c r="N1351" t="s">
        <v>44</v>
      </c>
      <c r="O1351">
        <v>24000</v>
      </c>
      <c r="P1351" t="s">
        <v>237</v>
      </c>
    </row>
    <row r="1352" spans="1:16" x14ac:dyDescent="0.25">
      <c r="A1352" t="s">
        <v>2795</v>
      </c>
      <c r="B1352">
        <v>811</v>
      </c>
      <c r="C1352" t="s">
        <v>487</v>
      </c>
      <c r="D1352" t="s">
        <v>261</v>
      </c>
      <c r="E1352" t="s">
        <v>381</v>
      </c>
      <c r="F1352" t="s">
        <v>1458</v>
      </c>
      <c r="G1352" s="25">
        <v>44264</v>
      </c>
      <c r="H1352">
        <v>14</v>
      </c>
      <c r="I1352">
        <v>68</v>
      </c>
      <c r="J1352" t="s">
        <v>509</v>
      </c>
      <c r="K1352" t="s">
        <v>45</v>
      </c>
      <c r="L1352" t="s">
        <v>21</v>
      </c>
      <c r="M1352" t="s">
        <v>304</v>
      </c>
      <c r="N1352" t="s">
        <v>44</v>
      </c>
      <c r="O1352">
        <v>0</v>
      </c>
      <c r="P1352" t="s">
        <v>237</v>
      </c>
    </row>
    <row r="1353" spans="1:16" x14ac:dyDescent="0.25">
      <c r="A1353" t="s">
        <v>1767</v>
      </c>
      <c r="B1353">
        <v>1259</v>
      </c>
      <c r="C1353" t="s">
        <v>487</v>
      </c>
      <c r="D1353" t="s">
        <v>247</v>
      </c>
      <c r="E1353" t="s">
        <v>322</v>
      </c>
      <c r="F1353" t="s">
        <v>3083</v>
      </c>
      <c r="G1353" s="25">
        <v>44301</v>
      </c>
      <c r="H1353">
        <v>21</v>
      </c>
      <c r="I1353">
        <v>105</v>
      </c>
      <c r="J1353" t="s">
        <v>509</v>
      </c>
      <c r="K1353" t="s">
        <v>45</v>
      </c>
      <c r="L1353" t="s">
        <v>21</v>
      </c>
      <c r="M1353" t="s">
        <v>304</v>
      </c>
      <c r="N1353" t="s">
        <v>44</v>
      </c>
      <c r="O1353">
        <v>9750</v>
      </c>
      <c r="P1353" t="s">
        <v>237</v>
      </c>
    </row>
    <row r="1354" spans="1:16" x14ac:dyDescent="0.25">
      <c r="A1354" t="s">
        <v>2884</v>
      </c>
      <c r="B1354">
        <v>824</v>
      </c>
      <c r="C1354" t="s">
        <v>487</v>
      </c>
      <c r="D1354" t="s">
        <v>261</v>
      </c>
      <c r="E1354" t="s">
        <v>371</v>
      </c>
      <c r="F1354" t="s">
        <v>1478</v>
      </c>
      <c r="G1354" s="25">
        <v>44265</v>
      </c>
      <c r="H1354">
        <v>14</v>
      </c>
      <c r="I1354">
        <v>69</v>
      </c>
      <c r="J1354" t="s">
        <v>509</v>
      </c>
      <c r="K1354" t="s">
        <v>45</v>
      </c>
      <c r="L1354" t="s">
        <v>21</v>
      </c>
      <c r="M1354" t="s">
        <v>304</v>
      </c>
      <c r="N1354" t="s">
        <v>44</v>
      </c>
      <c r="O1354">
        <v>0</v>
      </c>
      <c r="P1354" t="s">
        <v>237</v>
      </c>
    </row>
    <row r="1355" spans="1:16" x14ac:dyDescent="0.25">
      <c r="A1355" t="s">
        <v>2673</v>
      </c>
      <c r="B1355">
        <v>833</v>
      </c>
      <c r="C1355" t="s">
        <v>487</v>
      </c>
      <c r="D1355" t="s">
        <v>261</v>
      </c>
      <c r="E1355" t="s">
        <v>239</v>
      </c>
      <c r="F1355" t="s">
        <v>1703</v>
      </c>
      <c r="G1355" s="25">
        <v>44266</v>
      </c>
      <c r="H1355">
        <v>14</v>
      </c>
      <c r="I1355">
        <v>70</v>
      </c>
      <c r="J1355" t="s">
        <v>509</v>
      </c>
      <c r="K1355" t="s">
        <v>45</v>
      </c>
      <c r="L1355" t="s">
        <v>21</v>
      </c>
      <c r="M1355" t="s">
        <v>304</v>
      </c>
      <c r="N1355" t="s">
        <v>44</v>
      </c>
      <c r="O1355">
        <v>0</v>
      </c>
      <c r="P1355" t="s">
        <v>237</v>
      </c>
    </row>
    <row r="1356" spans="1:16" x14ac:dyDescent="0.25">
      <c r="A1356" t="s">
        <v>2471</v>
      </c>
      <c r="B1356">
        <v>852</v>
      </c>
      <c r="C1356" t="s">
        <v>487</v>
      </c>
      <c r="D1356" t="s">
        <v>261</v>
      </c>
      <c r="E1356" t="s">
        <v>515</v>
      </c>
      <c r="F1356" t="s">
        <v>1493</v>
      </c>
      <c r="G1356" s="25">
        <v>44267</v>
      </c>
      <c r="H1356">
        <v>15</v>
      </c>
      <c r="I1356">
        <v>71</v>
      </c>
      <c r="J1356" t="s">
        <v>509</v>
      </c>
      <c r="K1356" t="s">
        <v>45</v>
      </c>
      <c r="L1356" t="s">
        <v>21</v>
      </c>
      <c r="M1356" t="s">
        <v>304</v>
      </c>
      <c r="N1356" t="s">
        <v>44</v>
      </c>
      <c r="O1356">
        <v>19375</v>
      </c>
      <c r="P1356" t="s">
        <v>237</v>
      </c>
    </row>
    <row r="1357" spans="1:16" x14ac:dyDescent="0.25">
      <c r="A1357" t="s">
        <v>1641</v>
      </c>
      <c r="B1357">
        <v>864</v>
      </c>
      <c r="C1357" t="s">
        <v>487</v>
      </c>
      <c r="D1357" t="s">
        <v>261</v>
      </c>
      <c r="E1357" t="s">
        <v>232</v>
      </c>
      <c r="F1357" t="s">
        <v>1500</v>
      </c>
      <c r="G1357" s="25">
        <v>44268</v>
      </c>
      <c r="H1357">
        <v>15</v>
      </c>
      <c r="I1357">
        <v>72</v>
      </c>
      <c r="J1357" t="s">
        <v>509</v>
      </c>
      <c r="K1357" t="s">
        <v>45</v>
      </c>
      <c r="L1357" t="s">
        <v>21</v>
      </c>
      <c r="M1357" t="s">
        <v>304</v>
      </c>
      <c r="N1357" t="s">
        <v>44</v>
      </c>
      <c r="O1357">
        <v>22625</v>
      </c>
      <c r="P1357" t="s">
        <v>237</v>
      </c>
    </row>
    <row r="1358" spans="1:16" x14ac:dyDescent="0.25">
      <c r="A1358" t="s">
        <v>2469</v>
      </c>
      <c r="B1358">
        <v>873</v>
      </c>
      <c r="C1358" t="s">
        <v>487</v>
      </c>
      <c r="D1358" t="s">
        <v>261</v>
      </c>
      <c r="E1358" t="s">
        <v>512</v>
      </c>
      <c r="F1358" t="s">
        <v>1518</v>
      </c>
      <c r="G1358" s="25">
        <v>44269</v>
      </c>
      <c r="H1358">
        <v>15</v>
      </c>
      <c r="I1358">
        <v>73</v>
      </c>
      <c r="J1358" t="s">
        <v>509</v>
      </c>
      <c r="K1358" t="s">
        <v>45</v>
      </c>
      <c r="L1358" t="s">
        <v>21</v>
      </c>
      <c r="M1358" t="s">
        <v>304</v>
      </c>
      <c r="N1358" t="s">
        <v>44</v>
      </c>
      <c r="O1358">
        <v>0</v>
      </c>
      <c r="P1358" t="s">
        <v>237</v>
      </c>
    </row>
    <row r="1359" spans="1:16" x14ac:dyDescent="0.25">
      <c r="A1359" t="s">
        <v>2405</v>
      </c>
      <c r="B1359">
        <v>877</v>
      </c>
      <c r="C1359" t="s">
        <v>487</v>
      </c>
      <c r="D1359" t="s">
        <v>261</v>
      </c>
      <c r="E1359" t="s">
        <v>537</v>
      </c>
      <c r="F1359" t="s">
        <v>1530</v>
      </c>
      <c r="G1359" s="25">
        <v>44270</v>
      </c>
      <c r="H1359">
        <v>15</v>
      </c>
      <c r="I1359">
        <v>74</v>
      </c>
      <c r="J1359" t="s">
        <v>509</v>
      </c>
      <c r="K1359" t="s">
        <v>45</v>
      </c>
      <c r="L1359" t="s">
        <v>21</v>
      </c>
      <c r="M1359" t="s">
        <v>304</v>
      </c>
      <c r="N1359" t="s">
        <v>44</v>
      </c>
      <c r="O1359">
        <v>0</v>
      </c>
      <c r="P1359" t="s">
        <v>237</v>
      </c>
    </row>
    <row r="1360" spans="1:16" x14ac:dyDescent="0.25">
      <c r="A1360" t="s">
        <v>2242</v>
      </c>
      <c r="B1360">
        <v>892</v>
      </c>
      <c r="C1360" t="s">
        <v>487</v>
      </c>
      <c r="D1360" t="s">
        <v>261</v>
      </c>
      <c r="E1360" t="s">
        <v>575</v>
      </c>
      <c r="F1360" t="s">
        <v>1537</v>
      </c>
      <c r="G1360" s="25">
        <v>44271</v>
      </c>
      <c r="H1360">
        <v>15</v>
      </c>
      <c r="I1360">
        <v>75</v>
      </c>
      <c r="J1360" t="s">
        <v>509</v>
      </c>
      <c r="K1360" t="s">
        <v>45</v>
      </c>
      <c r="L1360" t="s">
        <v>21</v>
      </c>
      <c r="M1360" t="s">
        <v>304</v>
      </c>
      <c r="N1360" t="s">
        <v>44</v>
      </c>
      <c r="O1360">
        <v>0</v>
      </c>
      <c r="P1360" t="s">
        <v>237</v>
      </c>
    </row>
    <row r="1361" spans="1:16" x14ac:dyDescent="0.25">
      <c r="A1361" t="s">
        <v>2637</v>
      </c>
      <c r="B1361">
        <v>1240</v>
      </c>
      <c r="C1361" t="s">
        <v>487</v>
      </c>
      <c r="D1361" t="s">
        <v>247</v>
      </c>
      <c r="E1361" t="s">
        <v>261</v>
      </c>
      <c r="F1361" t="s">
        <v>3078</v>
      </c>
      <c r="G1361" s="25">
        <v>44300</v>
      </c>
      <c r="H1361">
        <v>21</v>
      </c>
      <c r="I1361">
        <v>104</v>
      </c>
      <c r="J1361" t="s">
        <v>509</v>
      </c>
      <c r="K1361" t="s">
        <v>45</v>
      </c>
      <c r="L1361" t="s">
        <v>21</v>
      </c>
      <c r="M1361" t="s">
        <v>304</v>
      </c>
      <c r="N1361" t="s">
        <v>44</v>
      </c>
      <c r="O1361">
        <v>0</v>
      </c>
      <c r="P1361" t="s">
        <v>237</v>
      </c>
    </row>
    <row r="1362" spans="1:16" x14ac:dyDescent="0.25">
      <c r="A1362" t="s">
        <v>1675</v>
      </c>
      <c r="B1362">
        <v>1231</v>
      </c>
      <c r="C1362" t="s">
        <v>487</v>
      </c>
      <c r="D1362" t="s">
        <v>247</v>
      </c>
      <c r="E1362" t="s">
        <v>256</v>
      </c>
      <c r="F1362" t="s">
        <v>3073</v>
      </c>
      <c r="G1362" s="25">
        <v>44299</v>
      </c>
      <c r="H1362">
        <v>21</v>
      </c>
      <c r="I1362">
        <v>103</v>
      </c>
      <c r="J1362" t="s">
        <v>509</v>
      </c>
      <c r="K1362" t="s">
        <v>45</v>
      </c>
      <c r="L1362" t="s">
        <v>21</v>
      </c>
      <c r="M1362" t="s">
        <v>304</v>
      </c>
      <c r="N1362" t="s">
        <v>44</v>
      </c>
      <c r="O1362">
        <v>0</v>
      </c>
      <c r="P1362" t="s">
        <v>237</v>
      </c>
    </row>
    <row r="1363" spans="1:16" x14ac:dyDescent="0.25">
      <c r="A1363" t="s">
        <v>1961</v>
      </c>
      <c r="B1363">
        <v>910</v>
      </c>
      <c r="C1363" t="s">
        <v>487</v>
      </c>
      <c r="D1363" t="s">
        <v>261</v>
      </c>
      <c r="E1363" t="s">
        <v>620</v>
      </c>
      <c r="F1363" t="s">
        <v>1545</v>
      </c>
      <c r="G1363" s="25">
        <v>44272</v>
      </c>
      <c r="H1363">
        <v>16</v>
      </c>
      <c r="I1363">
        <v>76</v>
      </c>
      <c r="J1363" t="s">
        <v>509</v>
      </c>
      <c r="K1363" t="s">
        <v>45</v>
      </c>
      <c r="L1363" t="s">
        <v>21</v>
      </c>
      <c r="M1363" t="s">
        <v>304</v>
      </c>
      <c r="N1363" t="s">
        <v>44</v>
      </c>
      <c r="O1363">
        <v>0</v>
      </c>
      <c r="P1363" t="s">
        <v>237</v>
      </c>
    </row>
    <row r="1364" spans="1:16" x14ac:dyDescent="0.25">
      <c r="A1364" t="s">
        <v>2642</v>
      </c>
      <c r="B1364">
        <v>1070</v>
      </c>
      <c r="C1364" t="s">
        <v>487</v>
      </c>
      <c r="D1364" t="s">
        <v>322</v>
      </c>
      <c r="E1364" t="s">
        <v>239</v>
      </c>
      <c r="F1364" t="s">
        <v>2979</v>
      </c>
      <c r="G1364" s="25">
        <v>44286</v>
      </c>
      <c r="H1364">
        <v>18</v>
      </c>
      <c r="I1364">
        <v>90</v>
      </c>
      <c r="J1364" t="s">
        <v>509</v>
      </c>
      <c r="K1364" t="s">
        <v>45</v>
      </c>
      <c r="L1364" t="s">
        <v>21</v>
      </c>
      <c r="M1364" t="s">
        <v>304</v>
      </c>
      <c r="N1364" t="s">
        <v>44</v>
      </c>
      <c r="O1364">
        <v>0</v>
      </c>
      <c r="P1364" t="s">
        <v>237</v>
      </c>
    </row>
    <row r="1365" spans="1:16" x14ac:dyDescent="0.25">
      <c r="A1365" t="s">
        <v>2252</v>
      </c>
      <c r="B1365">
        <v>917</v>
      </c>
      <c r="C1365" t="s">
        <v>487</v>
      </c>
      <c r="D1365" t="s">
        <v>261</v>
      </c>
      <c r="E1365" t="s">
        <v>534</v>
      </c>
      <c r="F1365" t="s">
        <v>1563</v>
      </c>
      <c r="G1365" s="25">
        <v>44273</v>
      </c>
      <c r="H1365">
        <v>16</v>
      </c>
      <c r="I1365">
        <v>77</v>
      </c>
      <c r="J1365" t="s">
        <v>509</v>
      </c>
      <c r="K1365" t="s">
        <v>45</v>
      </c>
      <c r="L1365" t="s">
        <v>21</v>
      </c>
      <c r="M1365" t="s">
        <v>304</v>
      </c>
      <c r="N1365" t="s">
        <v>44</v>
      </c>
      <c r="O1365">
        <v>0</v>
      </c>
      <c r="P1365" t="s">
        <v>237</v>
      </c>
    </row>
    <row r="1366" spans="1:16" x14ac:dyDescent="0.25">
      <c r="A1366" t="s">
        <v>2217</v>
      </c>
      <c r="B1366">
        <v>927</v>
      </c>
      <c r="C1366" t="s">
        <v>487</v>
      </c>
      <c r="D1366" t="s">
        <v>261</v>
      </c>
      <c r="E1366" t="s">
        <v>552</v>
      </c>
      <c r="F1366" t="s">
        <v>1585</v>
      </c>
      <c r="G1366" s="25">
        <v>44274</v>
      </c>
      <c r="H1366">
        <v>16</v>
      </c>
      <c r="I1366">
        <v>78</v>
      </c>
      <c r="J1366" t="s">
        <v>509</v>
      </c>
      <c r="K1366" t="s">
        <v>45</v>
      </c>
      <c r="L1366" t="s">
        <v>21</v>
      </c>
      <c r="M1366" t="s">
        <v>304</v>
      </c>
      <c r="N1366" t="s">
        <v>44</v>
      </c>
      <c r="O1366">
        <v>0</v>
      </c>
      <c r="P1366" t="s">
        <v>237</v>
      </c>
    </row>
    <row r="1367" spans="1:16" x14ac:dyDescent="0.25">
      <c r="A1367" t="s">
        <v>2225</v>
      </c>
      <c r="B1367">
        <v>1062</v>
      </c>
      <c r="C1367" t="s">
        <v>487</v>
      </c>
      <c r="D1367" t="s">
        <v>322</v>
      </c>
      <c r="E1367" t="s">
        <v>371</v>
      </c>
      <c r="F1367" t="s">
        <v>2976</v>
      </c>
      <c r="G1367" s="25">
        <v>44285</v>
      </c>
      <c r="H1367">
        <v>18</v>
      </c>
      <c r="I1367">
        <v>89</v>
      </c>
      <c r="J1367" t="s">
        <v>509</v>
      </c>
      <c r="K1367" t="s">
        <v>45</v>
      </c>
      <c r="L1367" t="s">
        <v>21</v>
      </c>
      <c r="M1367" t="s">
        <v>304</v>
      </c>
      <c r="N1367" t="s">
        <v>44</v>
      </c>
      <c r="O1367">
        <v>0</v>
      </c>
      <c r="P1367" t="s">
        <v>237</v>
      </c>
    </row>
    <row r="1368" spans="1:16" x14ac:dyDescent="0.25">
      <c r="A1368" t="s">
        <v>2369</v>
      </c>
      <c r="B1368">
        <v>940</v>
      </c>
      <c r="C1368" t="s">
        <v>487</v>
      </c>
      <c r="D1368" t="s">
        <v>261</v>
      </c>
      <c r="E1368" t="s">
        <v>531</v>
      </c>
      <c r="F1368" t="s">
        <v>1588</v>
      </c>
      <c r="G1368" s="25">
        <v>44275</v>
      </c>
      <c r="H1368">
        <v>16</v>
      </c>
      <c r="I1368">
        <v>79</v>
      </c>
      <c r="J1368" t="s">
        <v>509</v>
      </c>
      <c r="K1368" t="s">
        <v>45</v>
      </c>
      <c r="L1368" t="s">
        <v>21</v>
      </c>
      <c r="M1368" t="s">
        <v>304</v>
      </c>
      <c r="N1368" t="s">
        <v>44</v>
      </c>
      <c r="O1368">
        <v>0</v>
      </c>
      <c r="P1368" t="s">
        <v>237</v>
      </c>
    </row>
    <row r="1369" spans="1:16" x14ac:dyDescent="0.25">
      <c r="A1369" t="s">
        <v>2882</v>
      </c>
      <c r="B1369">
        <v>955</v>
      </c>
      <c r="C1369" t="s">
        <v>487</v>
      </c>
      <c r="D1369" t="s">
        <v>261</v>
      </c>
      <c r="E1369" t="s">
        <v>408</v>
      </c>
      <c r="F1369" t="s">
        <v>1595</v>
      </c>
      <c r="G1369" s="25">
        <v>44276</v>
      </c>
      <c r="H1369">
        <v>16</v>
      </c>
      <c r="I1369">
        <v>80</v>
      </c>
      <c r="J1369" t="s">
        <v>509</v>
      </c>
      <c r="K1369" t="s">
        <v>45</v>
      </c>
      <c r="L1369" t="s">
        <v>21</v>
      </c>
      <c r="M1369" t="s">
        <v>304</v>
      </c>
      <c r="N1369" t="s">
        <v>44</v>
      </c>
      <c r="O1369">
        <v>0</v>
      </c>
      <c r="P1369" t="s">
        <v>237</v>
      </c>
    </row>
    <row r="1370" spans="1:16" x14ac:dyDescent="0.25">
      <c r="A1370" t="s">
        <v>2143</v>
      </c>
      <c r="B1370">
        <v>1218</v>
      </c>
      <c r="C1370" t="s">
        <v>487</v>
      </c>
      <c r="D1370" t="s">
        <v>247</v>
      </c>
      <c r="E1370" t="s">
        <v>231</v>
      </c>
      <c r="F1370" t="s">
        <v>3070</v>
      </c>
      <c r="G1370" s="25">
        <v>44298</v>
      </c>
      <c r="H1370">
        <v>21</v>
      </c>
      <c r="I1370">
        <v>102</v>
      </c>
      <c r="J1370" t="s">
        <v>509</v>
      </c>
      <c r="K1370" t="s">
        <v>45</v>
      </c>
      <c r="L1370" t="s">
        <v>21</v>
      </c>
      <c r="M1370" t="s">
        <v>304</v>
      </c>
      <c r="N1370" t="s">
        <v>44</v>
      </c>
      <c r="O1370">
        <v>0</v>
      </c>
      <c r="P1370" t="s">
        <v>237</v>
      </c>
    </row>
    <row r="1371" spans="1:16" x14ac:dyDescent="0.25">
      <c r="A1371" t="s">
        <v>1677</v>
      </c>
      <c r="B1371">
        <v>967</v>
      </c>
      <c r="C1371" t="s">
        <v>487</v>
      </c>
      <c r="D1371" t="s">
        <v>322</v>
      </c>
      <c r="E1371" t="s">
        <v>229</v>
      </c>
      <c r="F1371" t="s">
        <v>1643</v>
      </c>
      <c r="G1371" s="25">
        <v>44277</v>
      </c>
      <c r="H1371">
        <v>17</v>
      </c>
      <c r="I1371">
        <v>81</v>
      </c>
      <c r="J1371" t="s">
        <v>509</v>
      </c>
      <c r="K1371" t="s">
        <v>45</v>
      </c>
      <c r="L1371" t="s">
        <v>21</v>
      </c>
      <c r="M1371" t="s">
        <v>304</v>
      </c>
      <c r="N1371" t="s">
        <v>44</v>
      </c>
      <c r="O1371">
        <v>0</v>
      </c>
      <c r="P1371" t="s">
        <v>237</v>
      </c>
    </row>
    <row r="1372" spans="1:16" x14ac:dyDescent="0.25">
      <c r="A1372" t="s">
        <v>1917</v>
      </c>
      <c r="B1372">
        <v>973</v>
      </c>
      <c r="C1372" t="s">
        <v>487</v>
      </c>
      <c r="D1372" t="s">
        <v>322</v>
      </c>
      <c r="E1372" t="s">
        <v>231</v>
      </c>
      <c r="F1372" t="s">
        <v>2945</v>
      </c>
      <c r="G1372" s="25">
        <v>44278</v>
      </c>
      <c r="H1372">
        <v>17</v>
      </c>
      <c r="I1372">
        <v>82</v>
      </c>
      <c r="J1372" t="s">
        <v>509</v>
      </c>
      <c r="K1372" t="s">
        <v>45</v>
      </c>
      <c r="L1372" t="s">
        <v>21</v>
      </c>
      <c r="M1372" t="s">
        <v>304</v>
      </c>
      <c r="N1372" t="s">
        <v>44</v>
      </c>
      <c r="O1372">
        <v>0</v>
      </c>
      <c r="P1372" t="s">
        <v>237</v>
      </c>
    </row>
    <row r="1373" spans="1:16" x14ac:dyDescent="0.25">
      <c r="A1373" t="s">
        <v>2894</v>
      </c>
      <c r="B1373">
        <v>1207</v>
      </c>
      <c r="C1373" t="s">
        <v>487</v>
      </c>
      <c r="D1373" t="s">
        <v>247</v>
      </c>
      <c r="E1373" t="s">
        <v>229</v>
      </c>
      <c r="F1373" t="s">
        <v>3063</v>
      </c>
      <c r="G1373" s="25">
        <v>44297</v>
      </c>
      <c r="H1373">
        <v>21</v>
      </c>
      <c r="I1373">
        <v>101</v>
      </c>
      <c r="J1373" t="s">
        <v>509</v>
      </c>
      <c r="K1373" t="s">
        <v>45</v>
      </c>
      <c r="L1373" t="s">
        <v>21</v>
      </c>
      <c r="M1373" t="s">
        <v>304</v>
      </c>
      <c r="N1373" t="s">
        <v>44</v>
      </c>
      <c r="O1373">
        <v>0</v>
      </c>
      <c r="P1373" t="s">
        <v>237</v>
      </c>
    </row>
    <row r="1374" spans="1:16" x14ac:dyDescent="0.25">
      <c r="A1374" t="s">
        <v>2219</v>
      </c>
      <c r="B1374">
        <v>994</v>
      </c>
      <c r="C1374" t="s">
        <v>487</v>
      </c>
      <c r="D1374" t="s">
        <v>322</v>
      </c>
      <c r="E1374" t="s">
        <v>256</v>
      </c>
      <c r="F1374" t="s">
        <v>2952</v>
      </c>
      <c r="G1374" s="25">
        <v>44279</v>
      </c>
      <c r="H1374">
        <v>17</v>
      </c>
      <c r="I1374">
        <v>83</v>
      </c>
      <c r="J1374" t="s">
        <v>509</v>
      </c>
      <c r="K1374" t="s">
        <v>45</v>
      </c>
      <c r="L1374" t="s">
        <v>21</v>
      </c>
      <c r="M1374" t="s">
        <v>304</v>
      </c>
      <c r="N1374" t="s">
        <v>44</v>
      </c>
      <c r="O1374">
        <v>0</v>
      </c>
      <c r="P1374" t="s">
        <v>237</v>
      </c>
    </row>
    <row r="1375" spans="1:16" x14ac:dyDescent="0.25">
      <c r="A1375" t="s">
        <v>2455</v>
      </c>
      <c r="B1375">
        <v>1001</v>
      </c>
      <c r="C1375" t="s">
        <v>487</v>
      </c>
      <c r="D1375" t="s">
        <v>322</v>
      </c>
      <c r="E1375" t="s">
        <v>261</v>
      </c>
      <c r="F1375" t="s">
        <v>2956</v>
      </c>
      <c r="G1375" s="25">
        <v>44280</v>
      </c>
      <c r="H1375">
        <v>17</v>
      </c>
      <c r="I1375">
        <v>84</v>
      </c>
      <c r="J1375" t="s">
        <v>509</v>
      </c>
      <c r="K1375" t="s">
        <v>45</v>
      </c>
      <c r="L1375" t="s">
        <v>21</v>
      </c>
      <c r="M1375" t="s">
        <v>304</v>
      </c>
      <c r="N1375" t="s">
        <v>44</v>
      </c>
      <c r="O1375">
        <v>0</v>
      </c>
      <c r="P1375" t="s">
        <v>237</v>
      </c>
    </row>
    <row r="1376" spans="1:16" x14ac:dyDescent="0.25">
      <c r="A1376" t="s">
        <v>2445</v>
      </c>
      <c r="B1376">
        <v>1014</v>
      </c>
      <c r="C1376" t="s">
        <v>487</v>
      </c>
      <c r="D1376" t="s">
        <v>322</v>
      </c>
      <c r="E1376" t="s">
        <v>322</v>
      </c>
      <c r="F1376" t="s">
        <v>2960</v>
      </c>
      <c r="G1376" s="25">
        <v>44281</v>
      </c>
      <c r="H1376">
        <v>17</v>
      </c>
      <c r="I1376">
        <v>85</v>
      </c>
      <c r="J1376" t="s">
        <v>509</v>
      </c>
      <c r="K1376" t="s">
        <v>45</v>
      </c>
      <c r="L1376" t="s">
        <v>21</v>
      </c>
      <c r="M1376" t="s">
        <v>304</v>
      </c>
      <c r="N1376" t="s">
        <v>44</v>
      </c>
      <c r="O1376">
        <v>0</v>
      </c>
      <c r="P1376" t="s">
        <v>237</v>
      </c>
    </row>
    <row r="1377" spans="1:16" x14ac:dyDescent="0.25">
      <c r="A1377" t="s">
        <v>1919</v>
      </c>
      <c r="B1377">
        <v>1193</v>
      </c>
      <c r="C1377" t="s">
        <v>487</v>
      </c>
      <c r="D1377" t="s">
        <v>322</v>
      </c>
      <c r="E1377" t="s">
        <v>408</v>
      </c>
      <c r="F1377" t="s">
        <v>3059</v>
      </c>
      <c r="G1377" s="25">
        <v>44296</v>
      </c>
      <c r="H1377">
        <v>20</v>
      </c>
      <c r="I1377">
        <v>100</v>
      </c>
      <c r="J1377" t="s">
        <v>509</v>
      </c>
      <c r="K1377" t="s">
        <v>45</v>
      </c>
      <c r="L1377" t="s">
        <v>21</v>
      </c>
      <c r="M1377" t="s">
        <v>304</v>
      </c>
      <c r="N1377" t="s">
        <v>44</v>
      </c>
      <c r="O1377">
        <v>0</v>
      </c>
      <c r="P1377" t="s">
        <v>237</v>
      </c>
    </row>
    <row r="1378" spans="1:16" x14ac:dyDescent="0.25">
      <c r="A1378" t="s">
        <v>2368</v>
      </c>
      <c r="B1378">
        <v>1182</v>
      </c>
      <c r="C1378" t="s">
        <v>487</v>
      </c>
      <c r="D1378" t="s">
        <v>322</v>
      </c>
      <c r="E1378" t="s">
        <v>531</v>
      </c>
      <c r="F1378" t="s">
        <v>3056</v>
      </c>
      <c r="G1378" s="25">
        <v>44295</v>
      </c>
      <c r="H1378">
        <v>20</v>
      </c>
      <c r="I1378">
        <v>99</v>
      </c>
      <c r="J1378" t="s">
        <v>509</v>
      </c>
      <c r="K1378" t="s">
        <v>45</v>
      </c>
      <c r="L1378" t="s">
        <v>21</v>
      </c>
      <c r="M1378" t="s">
        <v>304</v>
      </c>
      <c r="N1378" t="s">
        <v>44</v>
      </c>
      <c r="O1378">
        <v>0</v>
      </c>
      <c r="P1378" t="s">
        <v>237</v>
      </c>
    </row>
    <row r="1379" spans="1:16" x14ac:dyDescent="0.25">
      <c r="A1379" t="s">
        <v>2324</v>
      </c>
      <c r="B1379">
        <v>1030</v>
      </c>
      <c r="C1379" t="s">
        <v>487</v>
      </c>
      <c r="D1379" t="s">
        <v>322</v>
      </c>
      <c r="E1379" t="s">
        <v>247</v>
      </c>
      <c r="F1379" t="s">
        <v>2963</v>
      </c>
      <c r="G1379" s="25">
        <v>44282</v>
      </c>
      <c r="H1379">
        <v>18</v>
      </c>
      <c r="I1379">
        <v>86</v>
      </c>
      <c r="J1379" t="s">
        <v>509</v>
      </c>
      <c r="K1379" t="s">
        <v>45</v>
      </c>
      <c r="L1379" t="s">
        <v>21</v>
      </c>
      <c r="M1379" t="s">
        <v>304</v>
      </c>
      <c r="N1379" t="s">
        <v>44</v>
      </c>
      <c r="O1379">
        <v>0</v>
      </c>
      <c r="P1379" t="s">
        <v>237</v>
      </c>
    </row>
    <row r="1380" spans="1:16" x14ac:dyDescent="0.25">
      <c r="A1380" t="s">
        <v>2786</v>
      </c>
      <c r="B1380">
        <v>1041</v>
      </c>
      <c r="C1380" t="s">
        <v>487</v>
      </c>
      <c r="D1380" t="s">
        <v>322</v>
      </c>
      <c r="E1380" t="s">
        <v>326</v>
      </c>
      <c r="F1380" t="s">
        <v>2967</v>
      </c>
      <c r="G1380" s="25">
        <v>44283</v>
      </c>
      <c r="H1380">
        <v>18</v>
      </c>
      <c r="I1380">
        <v>87</v>
      </c>
      <c r="J1380" t="s">
        <v>509</v>
      </c>
      <c r="K1380" t="s">
        <v>45</v>
      </c>
      <c r="L1380" t="s">
        <v>21</v>
      </c>
      <c r="M1380" t="s">
        <v>304</v>
      </c>
      <c r="N1380" t="s">
        <v>44</v>
      </c>
      <c r="O1380">
        <v>0</v>
      </c>
      <c r="P1380" t="s">
        <v>237</v>
      </c>
    </row>
    <row r="1381" spans="1:16" x14ac:dyDescent="0.25">
      <c r="A1381" t="s">
        <v>2672</v>
      </c>
      <c r="B1381">
        <v>1119</v>
      </c>
      <c r="C1381" t="s">
        <v>487</v>
      </c>
      <c r="D1381" t="s">
        <v>322</v>
      </c>
      <c r="E1381" t="s">
        <v>537</v>
      </c>
      <c r="F1381" t="s">
        <v>2999</v>
      </c>
      <c r="G1381" s="25">
        <v>44290</v>
      </c>
      <c r="H1381">
        <v>19</v>
      </c>
      <c r="I1381">
        <v>94</v>
      </c>
      <c r="J1381" t="s">
        <v>509</v>
      </c>
      <c r="K1381" t="s">
        <v>45</v>
      </c>
      <c r="L1381" t="s">
        <v>21</v>
      </c>
      <c r="M1381" t="s">
        <v>304</v>
      </c>
      <c r="N1381" t="s">
        <v>44</v>
      </c>
      <c r="O1381">
        <v>0</v>
      </c>
      <c r="P1381" t="s">
        <v>237</v>
      </c>
    </row>
    <row r="1382" spans="1:16" x14ac:dyDescent="0.25">
      <c r="A1382" t="s">
        <v>2667</v>
      </c>
      <c r="B1382">
        <v>557</v>
      </c>
      <c r="C1382" t="s">
        <v>487</v>
      </c>
      <c r="D1382" t="s">
        <v>256</v>
      </c>
      <c r="E1382" t="s">
        <v>326</v>
      </c>
      <c r="F1382" t="s">
        <v>1305</v>
      </c>
      <c r="G1382" s="25">
        <v>44243</v>
      </c>
      <c r="H1382">
        <v>10</v>
      </c>
      <c r="I1382">
        <v>47</v>
      </c>
      <c r="J1382" t="s">
        <v>509</v>
      </c>
      <c r="K1382" t="s">
        <v>45</v>
      </c>
      <c r="L1382" t="s">
        <v>21</v>
      </c>
      <c r="M1382" t="s">
        <v>304</v>
      </c>
      <c r="N1382" t="s">
        <v>44</v>
      </c>
      <c r="O1382">
        <v>0</v>
      </c>
      <c r="P1382" t="s">
        <v>237</v>
      </c>
    </row>
    <row r="1383" spans="1:16" x14ac:dyDescent="0.25">
      <c r="A1383" t="s">
        <v>1700</v>
      </c>
      <c r="B1383">
        <v>572</v>
      </c>
      <c r="C1383" t="s">
        <v>487</v>
      </c>
      <c r="D1383" t="s">
        <v>256</v>
      </c>
      <c r="E1383" t="s">
        <v>381</v>
      </c>
      <c r="F1383" t="s">
        <v>1311</v>
      </c>
      <c r="G1383" s="25">
        <v>44244</v>
      </c>
      <c r="H1383">
        <v>10</v>
      </c>
      <c r="I1383">
        <v>48</v>
      </c>
      <c r="J1383" t="s">
        <v>509</v>
      </c>
      <c r="K1383" t="s">
        <v>45</v>
      </c>
      <c r="L1383" t="s">
        <v>21</v>
      </c>
      <c r="M1383" t="s">
        <v>304</v>
      </c>
      <c r="N1383" t="s">
        <v>44</v>
      </c>
      <c r="O1383">
        <v>0</v>
      </c>
      <c r="P1383" t="s">
        <v>237</v>
      </c>
    </row>
    <row r="1384" spans="1:16" x14ac:dyDescent="0.25">
      <c r="A1384" t="s">
        <v>2172</v>
      </c>
      <c r="B1384">
        <v>1045</v>
      </c>
      <c r="C1384" t="s">
        <v>487</v>
      </c>
      <c r="D1384" t="s">
        <v>322</v>
      </c>
      <c r="E1384" t="s">
        <v>381</v>
      </c>
      <c r="F1384" t="s">
        <v>2971</v>
      </c>
      <c r="G1384" s="25">
        <v>44284</v>
      </c>
      <c r="H1384">
        <v>18</v>
      </c>
      <c r="I1384">
        <v>88</v>
      </c>
      <c r="J1384" t="s">
        <v>509</v>
      </c>
      <c r="K1384" t="s">
        <v>45</v>
      </c>
      <c r="L1384" t="s">
        <v>21</v>
      </c>
      <c r="M1384" t="s">
        <v>304</v>
      </c>
      <c r="N1384" t="s">
        <v>44</v>
      </c>
      <c r="O1384">
        <v>0</v>
      </c>
      <c r="P1384" t="s">
        <v>237</v>
      </c>
    </row>
    <row r="1385" spans="1:16" x14ac:dyDescent="0.25">
      <c r="A1385" t="s">
        <v>2624</v>
      </c>
      <c r="B1385">
        <v>587</v>
      </c>
      <c r="C1385" t="s">
        <v>487</v>
      </c>
      <c r="D1385" t="s">
        <v>256</v>
      </c>
      <c r="E1385" t="s">
        <v>371</v>
      </c>
      <c r="F1385" t="s">
        <v>1318</v>
      </c>
      <c r="G1385" s="25">
        <v>44245</v>
      </c>
      <c r="H1385">
        <v>10</v>
      </c>
      <c r="I1385">
        <v>49</v>
      </c>
      <c r="J1385" t="s">
        <v>509</v>
      </c>
      <c r="K1385" t="s">
        <v>45</v>
      </c>
      <c r="L1385" t="s">
        <v>21</v>
      </c>
      <c r="M1385" t="s">
        <v>304</v>
      </c>
      <c r="N1385" t="s">
        <v>44</v>
      </c>
      <c r="O1385">
        <v>0</v>
      </c>
      <c r="P1385" t="s">
        <v>237</v>
      </c>
    </row>
    <row r="1386" spans="1:16" x14ac:dyDescent="0.25">
      <c r="A1386" t="s">
        <v>2272</v>
      </c>
      <c r="B1386">
        <v>590</v>
      </c>
      <c r="C1386" t="s">
        <v>487</v>
      </c>
      <c r="D1386" t="s">
        <v>256</v>
      </c>
      <c r="E1386" t="s">
        <v>239</v>
      </c>
      <c r="F1386" t="s">
        <v>1322</v>
      </c>
      <c r="G1386" s="25">
        <v>44246</v>
      </c>
      <c r="H1386">
        <v>10</v>
      </c>
      <c r="I1386">
        <v>50</v>
      </c>
      <c r="J1386" t="s">
        <v>509</v>
      </c>
      <c r="K1386" t="s">
        <v>45</v>
      </c>
      <c r="L1386" t="s">
        <v>21</v>
      </c>
      <c r="M1386" t="s">
        <v>304</v>
      </c>
      <c r="N1386" t="s">
        <v>44</v>
      </c>
      <c r="O1386">
        <v>0</v>
      </c>
      <c r="P1386" t="s">
        <v>237</v>
      </c>
    </row>
    <row r="1387" spans="1:16" x14ac:dyDescent="0.25">
      <c r="A1387" t="s">
        <v>2766</v>
      </c>
      <c r="B1387">
        <v>1346</v>
      </c>
      <c r="C1387" t="s">
        <v>487</v>
      </c>
      <c r="D1387" t="s">
        <v>247</v>
      </c>
      <c r="E1387" t="s">
        <v>512</v>
      </c>
      <c r="F1387" t="s">
        <v>3146</v>
      </c>
      <c r="G1387" s="25">
        <v>44309</v>
      </c>
      <c r="H1387">
        <v>23</v>
      </c>
      <c r="I1387">
        <v>113</v>
      </c>
      <c r="J1387" t="s">
        <v>509</v>
      </c>
      <c r="K1387" t="s">
        <v>45</v>
      </c>
      <c r="L1387" t="s">
        <v>21</v>
      </c>
      <c r="M1387" t="s">
        <v>304</v>
      </c>
      <c r="N1387" t="s">
        <v>44</v>
      </c>
      <c r="O1387">
        <v>0</v>
      </c>
      <c r="P1387" t="s">
        <v>237</v>
      </c>
    </row>
    <row r="1388" spans="1:16" x14ac:dyDescent="0.25">
      <c r="A1388" t="s">
        <v>1952</v>
      </c>
      <c r="B1388">
        <v>1164</v>
      </c>
      <c r="C1388" t="s">
        <v>487</v>
      </c>
      <c r="D1388" t="s">
        <v>322</v>
      </c>
      <c r="E1388" t="s">
        <v>534</v>
      </c>
      <c r="F1388" t="s">
        <v>3031</v>
      </c>
      <c r="G1388" s="25">
        <v>44293</v>
      </c>
      <c r="H1388">
        <v>20</v>
      </c>
      <c r="I1388">
        <v>97</v>
      </c>
      <c r="J1388" t="s">
        <v>509</v>
      </c>
      <c r="K1388" t="s">
        <v>45</v>
      </c>
      <c r="L1388" t="s">
        <v>21</v>
      </c>
      <c r="M1388" t="s">
        <v>304</v>
      </c>
      <c r="N1388" t="s">
        <v>44</v>
      </c>
      <c r="O1388">
        <v>19000</v>
      </c>
      <c r="P1388" t="s">
        <v>237</v>
      </c>
    </row>
    <row r="1389" spans="1:16" x14ac:dyDescent="0.25">
      <c r="A1389" t="s">
        <v>2890</v>
      </c>
      <c r="B1389">
        <v>606</v>
      </c>
      <c r="C1389" t="s">
        <v>487</v>
      </c>
      <c r="D1389" t="s">
        <v>256</v>
      </c>
      <c r="E1389" t="s">
        <v>515</v>
      </c>
      <c r="F1389" t="s">
        <v>1329</v>
      </c>
      <c r="G1389" s="25">
        <v>44247</v>
      </c>
      <c r="H1389">
        <v>11</v>
      </c>
      <c r="I1389">
        <v>51</v>
      </c>
      <c r="J1389" t="s">
        <v>509</v>
      </c>
      <c r="K1389" t="s">
        <v>45</v>
      </c>
      <c r="L1389" t="s">
        <v>21</v>
      </c>
      <c r="M1389" t="s">
        <v>304</v>
      </c>
      <c r="N1389" t="s">
        <v>44</v>
      </c>
      <c r="O1389">
        <v>0</v>
      </c>
      <c r="P1389" t="s">
        <v>237</v>
      </c>
    </row>
    <row r="1390" spans="1:16" x14ac:dyDescent="0.25">
      <c r="A1390" t="s">
        <v>2128</v>
      </c>
      <c r="B1390">
        <v>614</v>
      </c>
      <c r="C1390" t="s">
        <v>487</v>
      </c>
      <c r="D1390" t="s">
        <v>256</v>
      </c>
      <c r="E1390" t="s">
        <v>232</v>
      </c>
      <c r="F1390" t="s">
        <v>1337</v>
      </c>
      <c r="G1390" s="25">
        <v>44248</v>
      </c>
      <c r="H1390">
        <v>11</v>
      </c>
      <c r="I1390">
        <v>52</v>
      </c>
      <c r="J1390" t="s">
        <v>509</v>
      </c>
      <c r="K1390" t="s">
        <v>45</v>
      </c>
      <c r="L1390" t="s">
        <v>21</v>
      </c>
      <c r="M1390" t="s">
        <v>304</v>
      </c>
      <c r="N1390" t="s">
        <v>44</v>
      </c>
      <c r="O1390">
        <v>0</v>
      </c>
      <c r="P1390" t="s">
        <v>237</v>
      </c>
    </row>
    <row r="1391" spans="1:16" x14ac:dyDescent="0.25">
      <c r="A1391" t="s">
        <v>2148</v>
      </c>
      <c r="B1391">
        <v>1338</v>
      </c>
      <c r="C1391" t="s">
        <v>487</v>
      </c>
      <c r="D1391" t="s">
        <v>247</v>
      </c>
      <c r="E1391" t="s">
        <v>232</v>
      </c>
      <c r="F1391" t="s">
        <v>3140</v>
      </c>
      <c r="G1391" s="25">
        <v>44308</v>
      </c>
      <c r="H1391">
        <v>23</v>
      </c>
      <c r="I1391">
        <v>112</v>
      </c>
      <c r="J1391" t="s">
        <v>509</v>
      </c>
      <c r="K1391" t="s">
        <v>45</v>
      </c>
      <c r="L1391" t="s">
        <v>21</v>
      </c>
      <c r="M1391" t="s">
        <v>304</v>
      </c>
      <c r="N1391" t="s">
        <v>44</v>
      </c>
      <c r="O1391">
        <v>0</v>
      </c>
      <c r="P1391" t="s">
        <v>237</v>
      </c>
    </row>
    <row r="1392" spans="1:16" x14ac:dyDescent="0.25">
      <c r="A1392" t="s">
        <v>1880</v>
      </c>
      <c r="B1392">
        <v>635</v>
      </c>
      <c r="C1392" t="s">
        <v>487</v>
      </c>
      <c r="D1392" t="s">
        <v>256</v>
      </c>
      <c r="E1392" t="s">
        <v>512</v>
      </c>
      <c r="F1392" t="s">
        <v>1342</v>
      </c>
      <c r="G1392" s="25">
        <v>44249</v>
      </c>
      <c r="H1392">
        <v>11</v>
      </c>
      <c r="I1392">
        <v>53</v>
      </c>
      <c r="J1392" t="s">
        <v>509</v>
      </c>
      <c r="K1392" t="s">
        <v>45</v>
      </c>
      <c r="L1392" t="s">
        <v>21</v>
      </c>
      <c r="M1392" t="s">
        <v>304</v>
      </c>
      <c r="N1392" t="s">
        <v>44</v>
      </c>
      <c r="O1392">
        <v>0</v>
      </c>
      <c r="P1392" t="s">
        <v>237</v>
      </c>
    </row>
    <row r="1393" spans="1:16" x14ac:dyDescent="0.25">
      <c r="A1393" t="s">
        <v>1726</v>
      </c>
      <c r="B1393">
        <v>644</v>
      </c>
      <c r="C1393" t="s">
        <v>487</v>
      </c>
      <c r="D1393" t="s">
        <v>256</v>
      </c>
      <c r="E1393" t="s">
        <v>537</v>
      </c>
      <c r="F1393" t="s">
        <v>1348</v>
      </c>
      <c r="G1393" s="25">
        <v>44250</v>
      </c>
      <c r="H1393">
        <v>11</v>
      </c>
      <c r="I1393">
        <v>54</v>
      </c>
      <c r="J1393" t="s">
        <v>509</v>
      </c>
      <c r="K1393" t="s">
        <v>45</v>
      </c>
      <c r="L1393" t="s">
        <v>21</v>
      </c>
      <c r="M1393" t="s">
        <v>304</v>
      </c>
      <c r="N1393" t="s">
        <v>44</v>
      </c>
      <c r="O1393">
        <v>0</v>
      </c>
      <c r="P1393" t="s">
        <v>237</v>
      </c>
    </row>
    <row r="1394" spans="1:16" x14ac:dyDescent="0.25">
      <c r="A1394" t="s">
        <v>1971</v>
      </c>
      <c r="B1394">
        <v>652</v>
      </c>
      <c r="C1394" t="s">
        <v>487</v>
      </c>
      <c r="D1394" t="s">
        <v>256</v>
      </c>
      <c r="E1394" t="s">
        <v>575</v>
      </c>
      <c r="F1394" t="s">
        <v>1668</v>
      </c>
      <c r="G1394" s="25">
        <v>44251</v>
      </c>
      <c r="H1394">
        <v>11</v>
      </c>
      <c r="I1394">
        <v>55</v>
      </c>
      <c r="J1394" t="s">
        <v>509</v>
      </c>
      <c r="K1394" t="s">
        <v>45</v>
      </c>
      <c r="L1394" t="s">
        <v>21</v>
      </c>
      <c r="M1394" t="s">
        <v>304</v>
      </c>
      <c r="N1394" t="s">
        <v>44</v>
      </c>
      <c r="O1394">
        <v>0</v>
      </c>
      <c r="P1394" t="s">
        <v>237</v>
      </c>
    </row>
    <row r="1395" spans="1:16" x14ac:dyDescent="0.25">
      <c r="A1395" t="s">
        <v>2834</v>
      </c>
      <c r="B1395">
        <v>1107</v>
      </c>
      <c r="C1395" t="s">
        <v>487</v>
      </c>
      <c r="D1395" t="s">
        <v>322</v>
      </c>
      <c r="E1395" t="s">
        <v>512</v>
      </c>
      <c r="F1395" t="s">
        <v>2991</v>
      </c>
      <c r="G1395" s="25">
        <v>44289</v>
      </c>
      <c r="H1395">
        <v>19</v>
      </c>
      <c r="I1395">
        <v>93</v>
      </c>
      <c r="J1395" t="s">
        <v>509</v>
      </c>
      <c r="K1395" t="s">
        <v>45</v>
      </c>
      <c r="L1395" t="s">
        <v>21</v>
      </c>
      <c r="M1395" t="s">
        <v>304</v>
      </c>
      <c r="N1395" t="s">
        <v>44</v>
      </c>
      <c r="O1395">
        <v>0</v>
      </c>
      <c r="P1395" t="s">
        <v>237</v>
      </c>
    </row>
    <row r="1396" spans="1:16" x14ac:dyDescent="0.25">
      <c r="A1396" t="s">
        <v>1860</v>
      </c>
      <c r="B1396">
        <v>1321</v>
      </c>
      <c r="C1396" t="s">
        <v>487</v>
      </c>
      <c r="D1396" t="s">
        <v>247</v>
      </c>
      <c r="E1396" t="s">
        <v>515</v>
      </c>
      <c r="F1396" t="s">
        <v>3134</v>
      </c>
      <c r="G1396" s="25">
        <v>44307</v>
      </c>
      <c r="H1396">
        <v>23</v>
      </c>
      <c r="I1396">
        <v>111</v>
      </c>
      <c r="J1396" t="s">
        <v>509</v>
      </c>
      <c r="K1396" t="s">
        <v>45</v>
      </c>
      <c r="L1396" t="s">
        <v>21</v>
      </c>
      <c r="M1396" t="s">
        <v>304</v>
      </c>
      <c r="N1396" t="s">
        <v>44</v>
      </c>
      <c r="O1396">
        <v>0</v>
      </c>
      <c r="P1396" t="s">
        <v>237</v>
      </c>
    </row>
    <row r="1397" spans="1:16" x14ac:dyDescent="0.25">
      <c r="A1397" t="s">
        <v>2446</v>
      </c>
      <c r="B1397">
        <v>779</v>
      </c>
      <c r="C1397" t="s">
        <v>487</v>
      </c>
      <c r="D1397" t="s">
        <v>261</v>
      </c>
      <c r="E1397" t="s">
        <v>322</v>
      </c>
      <c r="F1397" t="s">
        <v>1417</v>
      </c>
      <c r="G1397" s="25">
        <v>44261</v>
      </c>
      <c r="H1397">
        <v>13</v>
      </c>
      <c r="I1397">
        <v>65</v>
      </c>
      <c r="J1397" t="s">
        <v>509</v>
      </c>
      <c r="K1397" t="s">
        <v>45</v>
      </c>
      <c r="L1397" t="s">
        <v>21</v>
      </c>
      <c r="M1397" t="s">
        <v>304</v>
      </c>
      <c r="N1397" t="s">
        <v>44</v>
      </c>
      <c r="O1397">
        <v>9000</v>
      </c>
      <c r="P1397" t="s">
        <v>237</v>
      </c>
    </row>
    <row r="1398" spans="1:16" x14ac:dyDescent="0.25">
      <c r="A1398" t="s">
        <v>2374</v>
      </c>
      <c r="B1398">
        <v>1284</v>
      </c>
      <c r="C1398" t="s">
        <v>487</v>
      </c>
      <c r="D1398" t="s">
        <v>247</v>
      </c>
      <c r="E1398" t="s">
        <v>326</v>
      </c>
      <c r="F1398" t="s">
        <v>3091</v>
      </c>
      <c r="G1398" s="25">
        <v>44303</v>
      </c>
      <c r="H1398">
        <v>22</v>
      </c>
      <c r="I1398">
        <v>107</v>
      </c>
      <c r="J1398" t="s">
        <v>509</v>
      </c>
      <c r="K1398" t="s">
        <v>45</v>
      </c>
      <c r="L1398" t="s">
        <v>21</v>
      </c>
      <c r="M1398" t="s">
        <v>304</v>
      </c>
      <c r="N1398" t="s">
        <v>44</v>
      </c>
      <c r="O1398">
        <v>14250</v>
      </c>
      <c r="P1398" t="s">
        <v>237</v>
      </c>
    </row>
    <row r="1399" spans="1:16" x14ac:dyDescent="0.25">
      <c r="A1399" t="s">
        <v>2479</v>
      </c>
      <c r="B1399">
        <v>768</v>
      </c>
      <c r="C1399" t="s">
        <v>487</v>
      </c>
      <c r="D1399" t="s">
        <v>261</v>
      </c>
      <c r="E1399" t="s">
        <v>261</v>
      </c>
      <c r="F1399" t="s">
        <v>1410</v>
      </c>
      <c r="G1399" s="25">
        <v>44260</v>
      </c>
      <c r="H1399">
        <v>13</v>
      </c>
      <c r="I1399">
        <v>64</v>
      </c>
      <c r="J1399" t="s">
        <v>509</v>
      </c>
      <c r="K1399" t="s">
        <v>45</v>
      </c>
      <c r="L1399" t="s">
        <v>21</v>
      </c>
      <c r="M1399" t="s">
        <v>304</v>
      </c>
      <c r="N1399" t="s">
        <v>44</v>
      </c>
      <c r="O1399">
        <v>24000</v>
      </c>
      <c r="P1399" t="s">
        <v>237</v>
      </c>
    </row>
    <row r="1400" spans="1:16" x14ac:dyDescent="0.25">
      <c r="A1400" t="s">
        <v>2663</v>
      </c>
      <c r="B1400">
        <v>1287</v>
      </c>
      <c r="C1400" t="s">
        <v>487</v>
      </c>
      <c r="D1400" t="s">
        <v>247</v>
      </c>
      <c r="E1400" t="s">
        <v>381</v>
      </c>
      <c r="F1400" t="s">
        <v>3107</v>
      </c>
      <c r="G1400" s="25">
        <v>44304</v>
      </c>
      <c r="H1400">
        <v>22</v>
      </c>
      <c r="I1400">
        <v>108</v>
      </c>
      <c r="J1400" t="s">
        <v>509</v>
      </c>
      <c r="K1400" t="s">
        <v>45</v>
      </c>
      <c r="L1400" t="s">
        <v>21</v>
      </c>
      <c r="M1400" t="s">
        <v>304</v>
      </c>
      <c r="N1400" t="s">
        <v>44</v>
      </c>
      <c r="O1400">
        <v>0</v>
      </c>
      <c r="P1400" t="s">
        <v>237</v>
      </c>
    </row>
    <row r="1401" spans="1:16" x14ac:dyDescent="0.25">
      <c r="A1401" t="s">
        <v>2263</v>
      </c>
      <c r="B1401">
        <v>756</v>
      </c>
      <c r="C1401" t="s">
        <v>487</v>
      </c>
      <c r="D1401" t="s">
        <v>261</v>
      </c>
      <c r="E1401" t="s">
        <v>256</v>
      </c>
      <c r="F1401" t="s">
        <v>1402</v>
      </c>
      <c r="G1401" s="25">
        <v>44259</v>
      </c>
      <c r="H1401">
        <v>13</v>
      </c>
      <c r="I1401">
        <v>63</v>
      </c>
      <c r="J1401" t="s">
        <v>509</v>
      </c>
      <c r="K1401" t="s">
        <v>45</v>
      </c>
      <c r="L1401" t="s">
        <v>21</v>
      </c>
      <c r="M1401" t="s">
        <v>304</v>
      </c>
      <c r="N1401" t="s">
        <v>44</v>
      </c>
      <c r="O1401">
        <v>15000</v>
      </c>
      <c r="P1401" t="s">
        <v>237</v>
      </c>
    </row>
    <row r="1402" spans="1:16" x14ac:dyDescent="0.25">
      <c r="A1402" t="s">
        <v>2556</v>
      </c>
      <c r="B1402">
        <v>1089</v>
      </c>
      <c r="C1402" t="s">
        <v>487</v>
      </c>
      <c r="D1402" t="s">
        <v>322</v>
      </c>
      <c r="E1402" t="s">
        <v>515</v>
      </c>
      <c r="F1402" t="s">
        <v>2983</v>
      </c>
      <c r="G1402" s="25">
        <v>44287</v>
      </c>
      <c r="H1402">
        <v>19</v>
      </c>
      <c r="I1402">
        <v>91</v>
      </c>
      <c r="J1402" t="s">
        <v>509</v>
      </c>
      <c r="K1402" t="s">
        <v>45</v>
      </c>
      <c r="L1402" t="s">
        <v>21</v>
      </c>
      <c r="M1402" t="s">
        <v>304</v>
      </c>
      <c r="N1402" t="s">
        <v>44</v>
      </c>
      <c r="O1402">
        <v>0</v>
      </c>
      <c r="P1402" t="s">
        <v>237</v>
      </c>
    </row>
    <row r="1403" spans="1:16" x14ac:dyDescent="0.25">
      <c r="A1403" t="s">
        <v>2070</v>
      </c>
      <c r="B1403">
        <v>739</v>
      </c>
      <c r="C1403" t="s">
        <v>487</v>
      </c>
      <c r="D1403" t="s">
        <v>261</v>
      </c>
      <c r="E1403" t="s">
        <v>231</v>
      </c>
      <c r="F1403" t="s">
        <v>1400</v>
      </c>
      <c r="G1403" s="25">
        <v>44258</v>
      </c>
      <c r="H1403">
        <v>13</v>
      </c>
      <c r="I1403">
        <v>62</v>
      </c>
      <c r="J1403" t="s">
        <v>509</v>
      </c>
      <c r="K1403" t="s">
        <v>45</v>
      </c>
      <c r="L1403" t="s">
        <v>21</v>
      </c>
      <c r="M1403" t="s">
        <v>304</v>
      </c>
      <c r="N1403" t="s">
        <v>44</v>
      </c>
      <c r="O1403">
        <v>0</v>
      </c>
      <c r="P1403" t="s">
        <v>237</v>
      </c>
    </row>
    <row r="1404" spans="1:16" x14ac:dyDescent="0.25">
      <c r="A1404" t="s">
        <v>2285</v>
      </c>
      <c r="B1404">
        <v>731</v>
      </c>
      <c r="C1404" t="s">
        <v>487</v>
      </c>
      <c r="D1404" t="s">
        <v>261</v>
      </c>
      <c r="E1404" t="s">
        <v>229</v>
      </c>
      <c r="F1404" t="s">
        <v>1388</v>
      </c>
      <c r="G1404" s="25">
        <v>44257</v>
      </c>
      <c r="H1404">
        <v>13</v>
      </c>
      <c r="I1404">
        <v>61</v>
      </c>
      <c r="J1404" t="s">
        <v>509</v>
      </c>
      <c r="K1404" t="s">
        <v>45</v>
      </c>
      <c r="L1404" t="s">
        <v>21</v>
      </c>
      <c r="M1404" t="s">
        <v>304</v>
      </c>
      <c r="N1404" t="s">
        <v>44</v>
      </c>
      <c r="O1404">
        <v>1250</v>
      </c>
      <c r="P1404" t="s">
        <v>237</v>
      </c>
    </row>
    <row r="1405" spans="1:16" x14ac:dyDescent="0.25">
      <c r="A1405" t="s">
        <v>1638</v>
      </c>
      <c r="B1405">
        <v>1301</v>
      </c>
      <c r="C1405" t="s">
        <v>487</v>
      </c>
      <c r="D1405" t="s">
        <v>247</v>
      </c>
      <c r="E1405" t="s">
        <v>371</v>
      </c>
      <c r="F1405" t="s">
        <v>3112</v>
      </c>
      <c r="G1405" s="25">
        <v>44305</v>
      </c>
      <c r="H1405">
        <v>22</v>
      </c>
      <c r="I1405">
        <v>109</v>
      </c>
      <c r="J1405" t="s">
        <v>509</v>
      </c>
      <c r="K1405" t="s">
        <v>45</v>
      </c>
      <c r="L1405" t="s">
        <v>21</v>
      </c>
      <c r="M1405" t="s">
        <v>304</v>
      </c>
      <c r="N1405" t="s">
        <v>44</v>
      </c>
      <c r="O1405">
        <v>0</v>
      </c>
      <c r="P1405" t="s">
        <v>237</v>
      </c>
    </row>
    <row r="1406" spans="1:16" x14ac:dyDescent="0.25">
      <c r="A1406" t="s">
        <v>1884</v>
      </c>
      <c r="B1406">
        <v>720</v>
      </c>
      <c r="C1406" t="s">
        <v>487</v>
      </c>
      <c r="D1406" t="s">
        <v>256</v>
      </c>
      <c r="E1406" t="s">
        <v>408</v>
      </c>
      <c r="F1406" t="s">
        <v>1383</v>
      </c>
      <c r="G1406" s="25">
        <v>44256</v>
      </c>
      <c r="H1406">
        <v>12</v>
      </c>
      <c r="I1406">
        <v>60</v>
      </c>
      <c r="J1406" t="s">
        <v>509</v>
      </c>
      <c r="K1406" t="s">
        <v>45</v>
      </c>
      <c r="L1406" t="s">
        <v>21</v>
      </c>
      <c r="M1406" t="s">
        <v>304</v>
      </c>
      <c r="N1406" t="s">
        <v>44</v>
      </c>
      <c r="O1406">
        <v>24000</v>
      </c>
      <c r="P1406" t="s">
        <v>237</v>
      </c>
    </row>
    <row r="1407" spans="1:16" x14ac:dyDescent="0.25">
      <c r="A1407" t="s">
        <v>2577</v>
      </c>
      <c r="B1407">
        <v>1166</v>
      </c>
      <c r="C1407" t="s">
        <v>487</v>
      </c>
      <c r="D1407" t="s">
        <v>322</v>
      </c>
      <c r="E1407" t="s">
        <v>552</v>
      </c>
      <c r="F1407" t="s">
        <v>3045</v>
      </c>
      <c r="G1407" s="25">
        <v>44294</v>
      </c>
      <c r="H1407">
        <v>20</v>
      </c>
      <c r="I1407">
        <v>98</v>
      </c>
      <c r="J1407" t="s">
        <v>509</v>
      </c>
      <c r="K1407" t="s">
        <v>45</v>
      </c>
      <c r="L1407" t="s">
        <v>21</v>
      </c>
      <c r="M1407" t="s">
        <v>304</v>
      </c>
      <c r="N1407" t="s">
        <v>44</v>
      </c>
      <c r="O1407">
        <v>0</v>
      </c>
      <c r="P1407" t="s">
        <v>237</v>
      </c>
    </row>
    <row r="1408" spans="1:16" x14ac:dyDescent="0.25">
      <c r="A1408" t="s">
        <v>2218</v>
      </c>
      <c r="B1408">
        <v>707</v>
      </c>
      <c r="C1408" t="s">
        <v>487</v>
      </c>
      <c r="D1408" t="s">
        <v>256</v>
      </c>
      <c r="E1408" t="s">
        <v>531</v>
      </c>
      <c r="F1408" t="s">
        <v>1373</v>
      </c>
      <c r="G1408" s="25">
        <v>44255</v>
      </c>
      <c r="H1408">
        <v>12</v>
      </c>
      <c r="I1408">
        <v>59</v>
      </c>
      <c r="J1408" t="s">
        <v>509</v>
      </c>
      <c r="K1408" t="s">
        <v>45</v>
      </c>
      <c r="L1408" t="s">
        <v>21</v>
      </c>
      <c r="M1408" t="s">
        <v>304</v>
      </c>
      <c r="N1408" t="s">
        <v>44</v>
      </c>
      <c r="O1408">
        <v>750</v>
      </c>
      <c r="P1408" t="s">
        <v>237</v>
      </c>
    </row>
    <row r="1409" spans="1:16" x14ac:dyDescent="0.25">
      <c r="A1409" t="s">
        <v>2297</v>
      </c>
      <c r="B1409">
        <v>689</v>
      </c>
      <c r="C1409" t="s">
        <v>487</v>
      </c>
      <c r="D1409" t="s">
        <v>256</v>
      </c>
      <c r="E1409" t="s">
        <v>552</v>
      </c>
      <c r="F1409" t="s">
        <v>1365</v>
      </c>
      <c r="G1409" s="25">
        <v>44254</v>
      </c>
      <c r="H1409">
        <v>12</v>
      </c>
      <c r="I1409">
        <v>58</v>
      </c>
      <c r="J1409" t="s">
        <v>509</v>
      </c>
      <c r="K1409" t="s">
        <v>45</v>
      </c>
      <c r="L1409" t="s">
        <v>21</v>
      </c>
      <c r="M1409" t="s">
        <v>304</v>
      </c>
      <c r="N1409" t="s">
        <v>44</v>
      </c>
      <c r="O1409">
        <v>0</v>
      </c>
      <c r="P1409" t="s">
        <v>237</v>
      </c>
    </row>
    <row r="1410" spans="1:16" x14ac:dyDescent="0.25">
      <c r="A1410" t="s">
        <v>2057</v>
      </c>
      <c r="B1410">
        <v>1314</v>
      </c>
      <c r="C1410" t="s">
        <v>487</v>
      </c>
      <c r="D1410" t="s">
        <v>247</v>
      </c>
      <c r="E1410" t="s">
        <v>239</v>
      </c>
      <c r="F1410" t="s">
        <v>3118</v>
      </c>
      <c r="G1410" s="25">
        <v>44306</v>
      </c>
      <c r="H1410">
        <v>22</v>
      </c>
      <c r="I1410">
        <v>110</v>
      </c>
      <c r="J1410" t="s">
        <v>509</v>
      </c>
      <c r="K1410" t="s">
        <v>45</v>
      </c>
      <c r="L1410" t="s">
        <v>21</v>
      </c>
      <c r="M1410" t="s">
        <v>304</v>
      </c>
      <c r="N1410" t="s">
        <v>44</v>
      </c>
      <c r="O1410">
        <v>0</v>
      </c>
      <c r="P1410" t="s">
        <v>237</v>
      </c>
    </row>
    <row r="1411" spans="1:16" x14ac:dyDescent="0.25">
      <c r="A1411" t="s">
        <v>2629</v>
      </c>
      <c r="B1411">
        <v>1100</v>
      </c>
      <c r="C1411" t="s">
        <v>487</v>
      </c>
      <c r="D1411" t="s">
        <v>322</v>
      </c>
      <c r="E1411" t="s">
        <v>232</v>
      </c>
      <c r="F1411" t="s">
        <v>2987</v>
      </c>
      <c r="G1411" s="25">
        <v>44288</v>
      </c>
      <c r="H1411">
        <v>19</v>
      </c>
      <c r="I1411">
        <v>92</v>
      </c>
      <c r="J1411" t="s">
        <v>509</v>
      </c>
      <c r="K1411" t="s">
        <v>45</v>
      </c>
      <c r="L1411" t="s">
        <v>21</v>
      </c>
      <c r="M1411" t="s">
        <v>304</v>
      </c>
      <c r="N1411" t="s">
        <v>44</v>
      </c>
      <c r="O1411">
        <v>0</v>
      </c>
      <c r="P1411" t="s">
        <v>237</v>
      </c>
    </row>
    <row r="1412" spans="1:16" x14ac:dyDescent="0.25">
      <c r="A1412" t="s">
        <v>1683</v>
      </c>
      <c r="B1412">
        <v>679</v>
      </c>
      <c r="C1412" t="s">
        <v>487</v>
      </c>
      <c r="D1412" t="s">
        <v>256</v>
      </c>
      <c r="E1412" t="s">
        <v>534</v>
      </c>
      <c r="F1412" t="s">
        <v>1357</v>
      </c>
      <c r="G1412" s="25">
        <v>44253</v>
      </c>
      <c r="H1412">
        <v>12</v>
      </c>
      <c r="I1412">
        <v>57</v>
      </c>
      <c r="J1412" t="s">
        <v>509</v>
      </c>
      <c r="K1412" t="s">
        <v>45</v>
      </c>
      <c r="L1412" t="s">
        <v>21</v>
      </c>
      <c r="M1412" t="s">
        <v>304</v>
      </c>
      <c r="N1412" t="s">
        <v>44</v>
      </c>
      <c r="O1412">
        <v>0</v>
      </c>
      <c r="P1412" t="s">
        <v>237</v>
      </c>
    </row>
    <row r="1413" spans="1:16" x14ac:dyDescent="0.25">
      <c r="A1413" t="s">
        <v>2717</v>
      </c>
      <c r="B1413">
        <v>669</v>
      </c>
      <c r="C1413" t="s">
        <v>487</v>
      </c>
      <c r="D1413" t="s">
        <v>256</v>
      </c>
      <c r="E1413" t="s">
        <v>620</v>
      </c>
      <c r="F1413" t="s">
        <v>1350</v>
      </c>
      <c r="G1413" s="25">
        <v>44252</v>
      </c>
      <c r="H1413">
        <v>12</v>
      </c>
      <c r="I1413">
        <v>56</v>
      </c>
      <c r="J1413" t="s">
        <v>509</v>
      </c>
      <c r="K1413" t="s">
        <v>45</v>
      </c>
      <c r="L1413" t="s">
        <v>21</v>
      </c>
      <c r="M1413" t="s">
        <v>304</v>
      </c>
      <c r="N1413" t="s">
        <v>44</v>
      </c>
      <c r="O1413">
        <v>0</v>
      </c>
      <c r="P1413" t="s">
        <v>237</v>
      </c>
    </row>
    <row r="1414" spans="1:16" x14ac:dyDescent="0.25">
      <c r="A1414" t="s">
        <v>255</v>
      </c>
      <c r="B1414">
        <v>23</v>
      </c>
      <c r="C1414" t="s">
        <v>487</v>
      </c>
      <c r="D1414" t="s">
        <v>229</v>
      </c>
      <c r="E1414" t="s">
        <v>231</v>
      </c>
      <c r="F1414" t="s">
        <v>568</v>
      </c>
      <c r="G1414" s="25">
        <v>44198</v>
      </c>
      <c r="H1414">
        <v>1</v>
      </c>
      <c r="I1414">
        <v>2</v>
      </c>
      <c r="J1414" t="s">
        <v>509</v>
      </c>
      <c r="K1414" t="s">
        <v>45</v>
      </c>
      <c r="L1414" t="s">
        <v>21</v>
      </c>
      <c r="M1414" t="s">
        <v>304</v>
      </c>
      <c r="N1414" t="s">
        <v>44</v>
      </c>
      <c r="O1414">
        <v>0</v>
      </c>
      <c r="P1414" t="s">
        <v>237</v>
      </c>
    </row>
    <row r="1415" spans="1:16" x14ac:dyDescent="0.25">
      <c r="A1415" t="s">
        <v>353</v>
      </c>
      <c r="B1415">
        <v>86</v>
      </c>
      <c r="C1415" t="s">
        <v>487</v>
      </c>
      <c r="D1415" t="s">
        <v>229</v>
      </c>
      <c r="E1415" t="s">
        <v>381</v>
      </c>
      <c r="F1415" t="s">
        <v>518</v>
      </c>
      <c r="G1415" s="25">
        <v>44204</v>
      </c>
      <c r="H1415">
        <v>2</v>
      </c>
      <c r="I1415">
        <v>8</v>
      </c>
      <c r="J1415" t="s">
        <v>509</v>
      </c>
      <c r="K1415" t="s">
        <v>45</v>
      </c>
      <c r="L1415" t="s">
        <v>21</v>
      </c>
      <c r="M1415" t="s">
        <v>304</v>
      </c>
      <c r="N1415" t="s">
        <v>44</v>
      </c>
      <c r="O1415">
        <v>0</v>
      </c>
      <c r="P1415" t="s">
        <v>237</v>
      </c>
    </row>
    <row r="1416" spans="1:16" x14ac:dyDescent="0.25">
      <c r="A1416" t="s">
        <v>729</v>
      </c>
      <c r="B1416">
        <v>226</v>
      </c>
      <c r="C1416" t="s">
        <v>487</v>
      </c>
      <c r="D1416" t="s">
        <v>229</v>
      </c>
      <c r="E1416" t="s">
        <v>531</v>
      </c>
      <c r="F1416" t="s">
        <v>532</v>
      </c>
      <c r="G1416" s="25">
        <v>44215</v>
      </c>
      <c r="H1416">
        <v>4</v>
      </c>
      <c r="I1416">
        <v>19</v>
      </c>
      <c r="J1416" t="s">
        <v>509</v>
      </c>
      <c r="K1416" t="s">
        <v>45</v>
      </c>
      <c r="L1416" t="s">
        <v>21</v>
      </c>
      <c r="M1416" t="s">
        <v>304</v>
      </c>
      <c r="N1416" t="s">
        <v>44</v>
      </c>
      <c r="O1416">
        <v>0</v>
      </c>
      <c r="P1416" t="s">
        <v>237</v>
      </c>
    </row>
    <row r="1417" spans="1:16" x14ac:dyDescent="0.25">
      <c r="A1417" t="s">
        <v>384</v>
      </c>
      <c r="B1417">
        <v>27</v>
      </c>
      <c r="C1417" t="s">
        <v>487</v>
      </c>
      <c r="D1417" t="s">
        <v>229</v>
      </c>
      <c r="E1417" t="s">
        <v>256</v>
      </c>
      <c r="F1417" t="s">
        <v>525</v>
      </c>
      <c r="G1417" s="25">
        <v>44199</v>
      </c>
      <c r="H1417">
        <v>1</v>
      </c>
      <c r="I1417">
        <v>3</v>
      </c>
      <c r="J1417" t="s">
        <v>509</v>
      </c>
      <c r="K1417" t="s">
        <v>45</v>
      </c>
      <c r="L1417" t="s">
        <v>21</v>
      </c>
      <c r="M1417" t="s">
        <v>304</v>
      </c>
      <c r="N1417" t="s">
        <v>44</v>
      </c>
      <c r="O1417">
        <v>0</v>
      </c>
      <c r="P1417" t="s">
        <v>237</v>
      </c>
    </row>
    <row r="1418" spans="1:16" x14ac:dyDescent="0.25">
      <c r="A1418" t="s">
        <v>661</v>
      </c>
      <c r="B1418">
        <v>326</v>
      </c>
      <c r="C1418" t="s">
        <v>487</v>
      </c>
      <c r="D1418" t="s">
        <v>231</v>
      </c>
      <c r="E1418" t="s">
        <v>381</v>
      </c>
      <c r="F1418" t="s">
        <v>1099</v>
      </c>
      <c r="G1418" s="25">
        <v>44224</v>
      </c>
      <c r="H1418">
        <v>6</v>
      </c>
      <c r="I1418">
        <v>28</v>
      </c>
      <c r="J1418" t="s">
        <v>509</v>
      </c>
      <c r="K1418" t="s">
        <v>45</v>
      </c>
      <c r="L1418" t="s">
        <v>21</v>
      </c>
      <c r="M1418" t="s">
        <v>304</v>
      </c>
      <c r="N1418" t="s">
        <v>44</v>
      </c>
      <c r="O1418">
        <v>0</v>
      </c>
      <c r="P1418" t="s">
        <v>237</v>
      </c>
    </row>
    <row r="1419" spans="1:16" x14ac:dyDescent="0.25">
      <c r="A1419" t="s">
        <v>558</v>
      </c>
      <c r="B1419">
        <v>141</v>
      </c>
      <c r="C1419" t="s">
        <v>487</v>
      </c>
      <c r="D1419" t="s">
        <v>229</v>
      </c>
      <c r="E1419" t="s">
        <v>232</v>
      </c>
      <c r="F1419" t="s">
        <v>520</v>
      </c>
      <c r="G1419" s="25">
        <v>44208</v>
      </c>
      <c r="H1419">
        <v>3</v>
      </c>
      <c r="I1419">
        <v>12</v>
      </c>
      <c r="J1419" t="s">
        <v>509</v>
      </c>
      <c r="K1419" t="s">
        <v>45</v>
      </c>
      <c r="L1419" t="s">
        <v>21</v>
      </c>
      <c r="M1419" t="s">
        <v>304</v>
      </c>
      <c r="N1419" t="s">
        <v>44</v>
      </c>
      <c r="O1419">
        <v>0</v>
      </c>
      <c r="P1419" t="s">
        <v>237</v>
      </c>
    </row>
    <row r="1420" spans="1:16" x14ac:dyDescent="0.25">
      <c r="A1420" t="s">
        <v>321</v>
      </c>
      <c r="B1420">
        <v>84</v>
      </c>
      <c r="C1420" t="s">
        <v>487</v>
      </c>
      <c r="D1420" t="s">
        <v>229</v>
      </c>
      <c r="E1420" t="s">
        <v>326</v>
      </c>
      <c r="F1420" t="s">
        <v>522</v>
      </c>
      <c r="G1420" s="25">
        <v>44203</v>
      </c>
      <c r="H1420">
        <v>2</v>
      </c>
      <c r="I1420">
        <v>7</v>
      </c>
      <c r="J1420" t="s">
        <v>509</v>
      </c>
      <c r="K1420" t="s">
        <v>45</v>
      </c>
      <c r="L1420" t="s">
        <v>21</v>
      </c>
      <c r="M1420" t="s">
        <v>304</v>
      </c>
      <c r="N1420" t="s">
        <v>44</v>
      </c>
      <c r="O1420">
        <v>16000</v>
      </c>
      <c r="P1420" t="s">
        <v>237</v>
      </c>
    </row>
    <row r="1421" spans="1:16" x14ac:dyDescent="0.25">
      <c r="A1421" t="s">
        <v>600</v>
      </c>
      <c r="B1421">
        <v>294</v>
      </c>
      <c r="C1421" t="s">
        <v>487</v>
      </c>
      <c r="D1421" t="s">
        <v>231</v>
      </c>
      <c r="E1421" t="s">
        <v>322</v>
      </c>
      <c r="F1421" t="s">
        <v>1085</v>
      </c>
      <c r="G1421" s="25">
        <v>44221</v>
      </c>
      <c r="H1421">
        <v>5</v>
      </c>
      <c r="I1421">
        <v>25</v>
      </c>
      <c r="J1421" t="s">
        <v>509</v>
      </c>
      <c r="K1421" t="s">
        <v>45</v>
      </c>
      <c r="L1421" t="s">
        <v>21</v>
      </c>
      <c r="M1421" t="s">
        <v>304</v>
      </c>
      <c r="N1421" t="s">
        <v>44</v>
      </c>
      <c r="O1421">
        <v>0</v>
      </c>
      <c r="P1421" t="s">
        <v>237</v>
      </c>
    </row>
    <row r="1422" spans="1:16" x14ac:dyDescent="0.25">
      <c r="A1422" t="s">
        <v>740</v>
      </c>
      <c r="B1422">
        <v>310</v>
      </c>
      <c r="C1422" t="s">
        <v>487</v>
      </c>
      <c r="D1422" t="s">
        <v>231</v>
      </c>
      <c r="E1422" t="s">
        <v>247</v>
      </c>
      <c r="F1422" t="s">
        <v>1088</v>
      </c>
      <c r="G1422" s="25">
        <v>44222</v>
      </c>
      <c r="H1422">
        <v>6</v>
      </c>
      <c r="I1422">
        <v>26</v>
      </c>
      <c r="J1422" t="s">
        <v>509</v>
      </c>
      <c r="K1422" t="s">
        <v>45</v>
      </c>
      <c r="L1422" t="s">
        <v>21</v>
      </c>
      <c r="M1422" t="s">
        <v>304</v>
      </c>
      <c r="N1422" t="s">
        <v>44</v>
      </c>
      <c r="O1422">
        <v>0</v>
      </c>
      <c r="P1422" t="s">
        <v>237</v>
      </c>
    </row>
    <row r="1423" spans="1:16" x14ac:dyDescent="0.25">
      <c r="A1423" t="s">
        <v>617</v>
      </c>
      <c r="B1423">
        <v>207</v>
      </c>
      <c r="C1423" t="s">
        <v>487</v>
      </c>
      <c r="D1423" t="s">
        <v>229</v>
      </c>
      <c r="E1423" t="s">
        <v>552</v>
      </c>
      <c r="F1423" t="s">
        <v>553</v>
      </c>
      <c r="G1423" s="25">
        <v>44214</v>
      </c>
      <c r="H1423">
        <v>4</v>
      </c>
      <c r="I1423">
        <v>18</v>
      </c>
      <c r="J1423" t="s">
        <v>509</v>
      </c>
      <c r="K1423" t="s">
        <v>45</v>
      </c>
      <c r="L1423" t="s">
        <v>21</v>
      </c>
      <c r="M1423" t="s">
        <v>304</v>
      </c>
      <c r="N1423" t="s">
        <v>44</v>
      </c>
      <c r="O1423">
        <v>0</v>
      </c>
      <c r="P1423" t="s">
        <v>237</v>
      </c>
    </row>
    <row r="1424" spans="1:16" x14ac:dyDescent="0.25">
      <c r="A1424" t="s">
        <v>730</v>
      </c>
      <c r="B1424">
        <v>204</v>
      </c>
      <c r="C1424" t="s">
        <v>487</v>
      </c>
      <c r="D1424" t="s">
        <v>229</v>
      </c>
      <c r="E1424" t="s">
        <v>534</v>
      </c>
      <c r="F1424" t="s">
        <v>535</v>
      </c>
      <c r="G1424" s="25">
        <v>44213</v>
      </c>
      <c r="H1424">
        <v>4</v>
      </c>
      <c r="I1424">
        <v>17</v>
      </c>
      <c r="J1424" t="s">
        <v>509</v>
      </c>
      <c r="K1424" t="s">
        <v>45</v>
      </c>
      <c r="L1424" t="s">
        <v>21</v>
      </c>
      <c r="M1424" t="s">
        <v>304</v>
      </c>
      <c r="N1424" t="s">
        <v>44</v>
      </c>
      <c r="O1424">
        <v>16625</v>
      </c>
      <c r="P1424" t="s">
        <v>237</v>
      </c>
    </row>
    <row r="1425" spans="1:16" x14ac:dyDescent="0.25">
      <c r="A1425" t="s">
        <v>781</v>
      </c>
      <c r="B1425">
        <v>149</v>
      </c>
      <c r="C1425" t="s">
        <v>487</v>
      </c>
      <c r="D1425" t="s">
        <v>229</v>
      </c>
      <c r="E1425" t="s">
        <v>512</v>
      </c>
      <c r="F1425" t="s">
        <v>513</v>
      </c>
      <c r="G1425" s="25">
        <v>44209</v>
      </c>
      <c r="H1425">
        <v>3</v>
      </c>
      <c r="I1425">
        <v>13</v>
      </c>
      <c r="J1425" t="s">
        <v>509</v>
      </c>
      <c r="K1425" t="s">
        <v>45</v>
      </c>
      <c r="L1425" t="s">
        <v>21</v>
      </c>
      <c r="M1425" t="s">
        <v>304</v>
      </c>
      <c r="N1425" t="s">
        <v>44</v>
      </c>
      <c r="O1425">
        <v>0</v>
      </c>
      <c r="P1425" t="s">
        <v>237</v>
      </c>
    </row>
    <row r="1426" spans="1:16" x14ac:dyDescent="0.25">
      <c r="A1426" t="s">
        <v>289</v>
      </c>
      <c r="B1426">
        <v>46</v>
      </c>
      <c r="C1426" t="s">
        <v>487</v>
      </c>
      <c r="D1426" t="s">
        <v>229</v>
      </c>
      <c r="E1426" t="s">
        <v>261</v>
      </c>
      <c r="F1426" t="s">
        <v>549</v>
      </c>
      <c r="G1426" s="25">
        <v>44200</v>
      </c>
      <c r="H1426">
        <v>1</v>
      </c>
      <c r="I1426">
        <v>4</v>
      </c>
      <c r="J1426" t="s">
        <v>509</v>
      </c>
      <c r="K1426" t="s">
        <v>45</v>
      </c>
      <c r="L1426" t="s">
        <v>21</v>
      </c>
      <c r="M1426" t="s">
        <v>304</v>
      </c>
      <c r="N1426" t="s">
        <v>44</v>
      </c>
      <c r="O1426">
        <v>0</v>
      </c>
      <c r="P1426" t="s">
        <v>237</v>
      </c>
    </row>
    <row r="1427" spans="1:16" x14ac:dyDescent="0.25">
      <c r="A1427" t="s">
        <v>581</v>
      </c>
      <c r="B1427">
        <v>191</v>
      </c>
      <c r="C1427" t="s">
        <v>487</v>
      </c>
      <c r="D1427" t="s">
        <v>229</v>
      </c>
      <c r="E1427" t="s">
        <v>620</v>
      </c>
      <c r="F1427" t="s">
        <v>621</v>
      </c>
      <c r="G1427" s="25">
        <v>44212</v>
      </c>
      <c r="H1427">
        <v>4</v>
      </c>
      <c r="I1427">
        <v>16</v>
      </c>
      <c r="J1427" t="s">
        <v>509</v>
      </c>
      <c r="K1427" t="s">
        <v>45</v>
      </c>
      <c r="L1427" t="s">
        <v>21</v>
      </c>
      <c r="M1427" t="s">
        <v>304</v>
      </c>
      <c r="N1427" t="s">
        <v>44</v>
      </c>
      <c r="O1427">
        <v>7375</v>
      </c>
      <c r="P1427" t="s">
        <v>237</v>
      </c>
    </row>
    <row r="1428" spans="1:16" x14ac:dyDescent="0.25">
      <c r="A1428" t="s">
        <v>313</v>
      </c>
      <c r="B1428">
        <v>71</v>
      </c>
      <c r="C1428" t="s">
        <v>487</v>
      </c>
      <c r="D1428" t="s">
        <v>229</v>
      </c>
      <c r="E1428" t="s">
        <v>247</v>
      </c>
      <c r="F1428" t="s">
        <v>524</v>
      </c>
      <c r="G1428" s="25">
        <v>44202</v>
      </c>
      <c r="H1428">
        <v>2</v>
      </c>
      <c r="I1428">
        <v>6</v>
      </c>
      <c r="J1428" t="s">
        <v>509</v>
      </c>
      <c r="K1428" t="s">
        <v>45</v>
      </c>
      <c r="L1428" t="s">
        <v>21</v>
      </c>
      <c r="M1428" t="s">
        <v>304</v>
      </c>
      <c r="N1428" t="s">
        <v>44</v>
      </c>
      <c r="O1428">
        <v>8000</v>
      </c>
      <c r="P1428" t="s">
        <v>237</v>
      </c>
    </row>
    <row r="1429" spans="1:16" x14ac:dyDescent="0.25">
      <c r="A1429" t="s">
        <v>362</v>
      </c>
      <c r="B1429">
        <v>54</v>
      </c>
      <c r="C1429" t="s">
        <v>487</v>
      </c>
      <c r="D1429" t="s">
        <v>229</v>
      </c>
      <c r="E1429" t="s">
        <v>322</v>
      </c>
      <c r="F1429" t="s">
        <v>529</v>
      </c>
      <c r="G1429" s="25">
        <v>44201</v>
      </c>
      <c r="H1429">
        <v>1</v>
      </c>
      <c r="I1429">
        <v>5</v>
      </c>
      <c r="J1429" t="s">
        <v>509</v>
      </c>
      <c r="K1429" t="s">
        <v>45</v>
      </c>
      <c r="L1429" t="s">
        <v>21</v>
      </c>
      <c r="M1429" t="s">
        <v>304</v>
      </c>
      <c r="N1429" t="s">
        <v>44</v>
      </c>
      <c r="O1429">
        <v>0</v>
      </c>
      <c r="P1429" t="s">
        <v>237</v>
      </c>
    </row>
    <row r="1430" spans="1:16" x14ac:dyDescent="0.25">
      <c r="A1430" t="s">
        <v>563</v>
      </c>
      <c r="B1430">
        <v>287</v>
      </c>
      <c r="C1430" t="s">
        <v>487</v>
      </c>
      <c r="D1430" t="s">
        <v>231</v>
      </c>
      <c r="E1430" t="s">
        <v>261</v>
      </c>
      <c r="F1430" t="s">
        <v>1065</v>
      </c>
      <c r="G1430" s="25">
        <v>44220</v>
      </c>
      <c r="H1430">
        <v>5</v>
      </c>
      <c r="I1430">
        <v>24</v>
      </c>
      <c r="J1430" t="s">
        <v>509</v>
      </c>
      <c r="K1430" t="s">
        <v>45</v>
      </c>
      <c r="L1430" t="s">
        <v>21</v>
      </c>
      <c r="M1430" t="s">
        <v>304</v>
      </c>
      <c r="N1430" t="s">
        <v>44</v>
      </c>
      <c r="O1430">
        <v>0</v>
      </c>
      <c r="P1430" t="s">
        <v>237</v>
      </c>
    </row>
    <row r="1431" spans="1:16" x14ac:dyDescent="0.25">
      <c r="A1431" t="s">
        <v>748</v>
      </c>
      <c r="B1431">
        <v>315</v>
      </c>
      <c r="C1431" t="s">
        <v>487</v>
      </c>
      <c r="D1431" t="s">
        <v>231</v>
      </c>
      <c r="E1431" t="s">
        <v>326</v>
      </c>
      <c r="F1431" t="s">
        <v>1095</v>
      </c>
      <c r="G1431" s="25">
        <v>44223</v>
      </c>
      <c r="H1431">
        <v>6</v>
      </c>
      <c r="I1431">
        <v>27</v>
      </c>
      <c r="J1431" t="s">
        <v>509</v>
      </c>
      <c r="K1431" t="s">
        <v>45</v>
      </c>
      <c r="L1431" t="s">
        <v>21</v>
      </c>
      <c r="M1431" t="s">
        <v>304</v>
      </c>
      <c r="N1431" t="s">
        <v>44</v>
      </c>
      <c r="O1431">
        <v>0</v>
      </c>
      <c r="P1431" t="s">
        <v>237</v>
      </c>
    </row>
    <row r="1432" spans="1:16" x14ac:dyDescent="0.25">
      <c r="A1432" t="s">
        <v>632</v>
      </c>
      <c r="B1432">
        <v>166</v>
      </c>
      <c r="C1432" t="s">
        <v>487</v>
      </c>
      <c r="D1432" t="s">
        <v>229</v>
      </c>
      <c r="E1432" t="s">
        <v>537</v>
      </c>
      <c r="F1432" t="s">
        <v>538</v>
      </c>
      <c r="G1432" s="25">
        <v>44210</v>
      </c>
      <c r="H1432">
        <v>3</v>
      </c>
      <c r="I1432">
        <v>14</v>
      </c>
      <c r="J1432" t="s">
        <v>509</v>
      </c>
      <c r="K1432" t="s">
        <v>45</v>
      </c>
      <c r="L1432" t="s">
        <v>21</v>
      </c>
      <c r="M1432" t="s">
        <v>304</v>
      </c>
      <c r="N1432" t="s">
        <v>44</v>
      </c>
      <c r="O1432">
        <v>0</v>
      </c>
      <c r="P1432" t="s">
        <v>237</v>
      </c>
    </row>
    <row r="1433" spans="1:16" x14ac:dyDescent="0.25">
      <c r="A1433" t="s">
        <v>517</v>
      </c>
      <c r="B1433">
        <v>172</v>
      </c>
      <c r="C1433" t="s">
        <v>487</v>
      </c>
      <c r="D1433" t="s">
        <v>229</v>
      </c>
      <c r="E1433" t="s">
        <v>575</v>
      </c>
      <c r="F1433" t="s">
        <v>576</v>
      </c>
      <c r="G1433" s="25">
        <v>44211</v>
      </c>
      <c r="H1433">
        <v>3</v>
      </c>
      <c r="I1433">
        <v>15</v>
      </c>
      <c r="J1433" t="s">
        <v>509</v>
      </c>
      <c r="K1433" t="s">
        <v>45</v>
      </c>
      <c r="L1433" t="s">
        <v>21</v>
      </c>
      <c r="M1433" t="s">
        <v>304</v>
      </c>
      <c r="N1433" t="s">
        <v>44</v>
      </c>
      <c r="O1433">
        <v>0</v>
      </c>
      <c r="P1433" t="s">
        <v>237</v>
      </c>
    </row>
    <row r="1434" spans="1:16" x14ac:dyDescent="0.25">
      <c r="A1434" t="s">
        <v>250</v>
      </c>
      <c r="B1434">
        <v>98</v>
      </c>
      <c r="C1434" t="s">
        <v>487</v>
      </c>
      <c r="D1434" t="s">
        <v>229</v>
      </c>
      <c r="E1434" t="s">
        <v>371</v>
      </c>
      <c r="F1434" t="s">
        <v>557</v>
      </c>
      <c r="G1434" s="25">
        <v>44205</v>
      </c>
      <c r="H1434">
        <v>2</v>
      </c>
      <c r="I1434">
        <v>9</v>
      </c>
      <c r="J1434" t="s">
        <v>509</v>
      </c>
      <c r="K1434" t="s">
        <v>45</v>
      </c>
      <c r="L1434" t="s">
        <v>21</v>
      </c>
      <c r="M1434" t="s">
        <v>304</v>
      </c>
      <c r="N1434" t="s">
        <v>44</v>
      </c>
      <c r="O1434">
        <v>0</v>
      </c>
      <c r="P1434" t="s">
        <v>237</v>
      </c>
    </row>
    <row r="1435" spans="1:16" x14ac:dyDescent="0.25">
      <c r="A1435" t="s">
        <v>804</v>
      </c>
      <c r="B1435">
        <v>253</v>
      </c>
      <c r="C1435" t="s">
        <v>487</v>
      </c>
      <c r="D1435" t="s">
        <v>231</v>
      </c>
      <c r="E1435" t="s">
        <v>231</v>
      </c>
      <c r="F1435" t="s">
        <v>1080</v>
      </c>
      <c r="G1435" s="25">
        <v>44218</v>
      </c>
      <c r="H1435">
        <v>5</v>
      </c>
      <c r="I1435">
        <v>22</v>
      </c>
      <c r="J1435" t="s">
        <v>509</v>
      </c>
      <c r="K1435" t="s">
        <v>45</v>
      </c>
      <c r="L1435" t="s">
        <v>21</v>
      </c>
      <c r="M1435" t="s">
        <v>304</v>
      </c>
      <c r="N1435" t="s">
        <v>44</v>
      </c>
      <c r="O1435">
        <v>0</v>
      </c>
      <c r="P1435" t="s">
        <v>237</v>
      </c>
    </row>
    <row r="1436" spans="1:16" x14ac:dyDescent="0.25">
      <c r="A1436" t="s">
        <v>274</v>
      </c>
      <c r="B1436">
        <v>111</v>
      </c>
      <c r="C1436" t="s">
        <v>487</v>
      </c>
      <c r="D1436" t="s">
        <v>229</v>
      </c>
      <c r="E1436" t="s">
        <v>239</v>
      </c>
      <c r="F1436" t="s">
        <v>578</v>
      </c>
      <c r="G1436" s="25">
        <v>44206</v>
      </c>
      <c r="H1436">
        <v>2</v>
      </c>
      <c r="I1436">
        <v>10</v>
      </c>
      <c r="J1436" t="s">
        <v>509</v>
      </c>
      <c r="K1436" t="s">
        <v>45</v>
      </c>
      <c r="L1436" t="s">
        <v>21</v>
      </c>
      <c r="M1436" t="s">
        <v>304</v>
      </c>
      <c r="N1436" t="s">
        <v>44</v>
      </c>
      <c r="O1436">
        <v>0</v>
      </c>
      <c r="P1436" t="s">
        <v>237</v>
      </c>
    </row>
    <row r="1437" spans="1:16" x14ac:dyDescent="0.25">
      <c r="A1437" t="s">
        <v>855</v>
      </c>
      <c r="B1437">
        <v>241</v>
      </c>
      <c r="C1437" t="s">
        <v>487</v>
      </c>
      <c r="D1437" t="s">
        <v>231</v>
      </c>
      <c r="E1437" t="s">
        <v>229</v>
      </c>
      <c r="F1437" t="s">
        <v>541</v>
      </c>
      <c r="G1437" s="25">
        <v>44217</v>
      </c>
      <c r="H1437">
        <v>5</v>
      </c>
      <c r="I1437">
        <v>21</v>
      </c>
      <c r="J1437" t="s">
        <v>509</v>
      </c>
      <c r="K1437" t="s">
        <v>45</v>
      </c>
      <c r="L1437" t="s">
        <v>21</v>
      </c>
      <c r="M1437" t="s">
        <v>304</v>
      </c>
      <c r="N1437" t="s">
        <v>44</v>
      </c>
      <c r="O1437">
        <v>0</v>
      </c>
      <c r="P1437" t="s">
        <v>237</v>
      </c>
    </row>
    <row r="1438" spans="1:16" x14ac:dyDescent="0.25">
      <c r="A1438" t="s">
        <v>263</v>
      </c>
      <c r="B1438">
        <v>128</v>
      </c>
      <c r="C1438" t="s">
        <v>487</v>
      </c>
      <c r="D1438" t="s">
        <v>229</v>
      </c>
      <c r="E1438" t="s">
        <v>515</v>
      </c>
      <c r="F1438" t="s">
        <v>516</v>
      </c>
      <c r="G1438" s="25">
        <v>44207</v>
      </c>
      <c r="H1438">
        <v>3</v>
      </c>
      <c r="I1438">
        <v>11</v>
      </c>
      <c r="J1438" t="s">
        <v>509</v>
      </c>
      <c r="K1438" t="s">
        <v>45</v>
      </c>
      <c r="L1438" t="s">
        <v>21</v>
      </c>
      <c r="M1438" t="s">
        <v>304</v>
      </c>
      <c r="N1438" t="s">
        <v>44</v>
      </c>
      <c r="O1438">
        <v>0</v>
      </c>
      <c r="P1438" t="s">
        <v>237</v>
      </c>
    </row>
    <row r="1439" spans="1:16" x14ac:dyDescent="0.25">
      <c r="A1439" t="s">
        <v>830</v>
      </c>
      <c r="B1439">
        <v>270</v>
      </c>
      <c r="C1439" t="s">
        <v>487</v>
      </c>
      <c r="D1439" t="s">
        <v>231</v>
      </c>
      <c r="E1439" t="s">
        <v>256</v>
      </c>
      <c r="F1439" t="s">
        <v>1064</v>
      </c>
      <c r="G1439" s="25">
        <v>44219</v>
      </c>
      <c r="H1439">
        <v>5</v>
      </c>
      <c r="I1439">
        <v>23</v>
      </c>
      <c r="J1439" t="s">
        <v>509</v>
      </c>
      <c r="K1439" t="s">
        <v>45</v>
      </c>
      <c r="L1439" t="s">
        <v>21</v>
      </c>
      <c r="M1439" t="s">
        <v>304</v>
      </c>
      <c r="N1439" t="s">
        <v>44</v>
      </c>
      <c r="O1439">
        <v>0</v>
      </c>
      <c r="P1439" t="s">
        <v>237</v>
      </c>
    </row>
    <row r="1440" spans="1:16" x14ac:dyDescent="0.25">
      <c r="A1440" t="s">
        <v>716</v>
      </c>
      <c r="B1440">
        <v>234</v>
      </c>
      <c r="C1440" t="s">
        <v>487</v>
      </c>
      <c r="D1440" t="s">
        <v>229</v>
      </c>
      <c r="E1440" t="s">
        <v>408</v>
      </c>
      <c r="F1440" t="s">
        <v>527</v>
      </c>
      <c r="G1440" s="25">
        <v>44216</v>
      </c>
      <c r="H1440">
        <v>4</v>
      </c>
      <c r="I1440">
        <v>20</v>
      </c>
      <c r="J1440" t="s">
        <v>509</v>
      </c>
      <c r="K1440" t="s">
        <v>45</v>
      </c>
      <c r="L1440" t="s">
        <v>21</v>
      </c>
      <c r="M1440" t="s">
        <v>304</v>
      </c>
      <c r="N1440" t="s">
        <v>44</v>
      </c>
      <c r="O1440">
        <v>0</v>
      </c>
      <c r="P1440" t="s">
        <v>237</v>
      </c>
    </row>
    <row r="1441" spans="1:16" x14ac:dyDescent="0.25">
      <c r="A1441" t="s">
        <v>324</v>
      </c>
      <c r="B1441">
        <v>3</v>
      </c>
      <c r="C1441" t="s">
        <v>487</v>
      </c>
      <c r="D1441" t="s">
        <v>229</v>
      </c>
      <c r="E1441" t="s">
        <v>229</v>
      </c>
      <c r="F1441" t="s">
        <v>230</v>
      </c>
      <c r="G1441" s="25">
        <v>44197</v>
      </c>
      <c r="H1441">
        <v>1</v>
      </c>
      <c r="I1441">
        <v>1</v>
      </c>
      <c r="J1441" t="s">
        <v>509</v>
      </c>
      <c r="K1441" t="s">
        <v>45</v>
      </c>
      <c r="L1441" t="s">
        <v>21</v>
      </c>
      <c r="M1441" t="s">
        <v>304</v>
      </c>
      <c r="N1441" t="s">
        <v>44</v>
      </c>
      <c r="O1441">
        <v>0</v>
      </c>
      <c r="P1441" t="s">
        <v>237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A6E6-373C-4BEC-9207-DBACFAF236FD}">
  <sheetPr codeName="Sheet19">
    <tabColor rgb="FFFF0000"/>
  </sheetPr>
  <dimension ref="A1:J19"/>
  <sheetViews>
    <sheetView workbookViewId="0">
      <selection activeCell="B1" sqref="B1"/>
    </sheetView>
  </sheetViews>
  <sheetFormatPr defaultRowHeight="15" x14ac:dyDescent="0.25"/>
  <cols>
    <col min="1" max="1" width="17.7109375" style="68" customWidth="1"/>
    <col min="2" max="2" width="24.28515625" style="68" customWidth="1"/>
    <col min="3" max="3" width="16.7109375" style="68" customWidth="1"/>
    <col min="4" max="4" width="19" style="68" customWidth="1"/>
    <col min="5" max="5" width="15.28515625" style="68" customWidth="1"/>
    <col min="6" max="6" width="14" style="68" customWidth="1"/>
    <col min="7" max="7" width="16.140625" style="68" customWidth="1"/>
    <col min="8" max="8" width="17.140625" style="68" customWidth="1"/>
    <col min="9" max="9" width="17" style="68" customWidth="1"/>
    <col min="10" max="10" width="12.7109375" style="68" customWidth="1"/>
    <col min="11" max="16384" width="9.140625" style="68"/>
  </cols>
  <sheetData>
    <row r="1" spans="1:10" ht="30.75" customHeight="1" x14ac:dyDescent="0.25">
      <c r="A1" s="96" t="s">
        <v>394</v>
      </c>
      <c r="B1" s="97">
        <v>6</v>
      </c>
      <c r="D1" s="69" t="s">
        <v>2933</v>
      </c>
    </row>
    <row r="2" spans="1:10" x14ac:dyDescent="0.25">
      <c r="A2" s="177" t="s">
        <v>445</v>
      </c>
      <c r="B2" s="177"/>
    </row>
    <row r="3" spans="1:10" x14ac:dyDescent="0.25">
      <c r="A3" s="161" t="s">
        <v>446</v>
      </c>
      <c r="B3" s="161"/>
    </row>
    <row r="4" spans="1:10" x14ac:dyDescent="0.25">
      <c r="A4" s="178" t="s">
        <v>447</v>
      </c>
      <c r="B4" s="178"/>
    </row>
    <row r="5" spans="1:10" ht="15.75" thickBot="1" x14ac:dyDescent="0.3">
      <c r="A5" s="162" t="s">
        <v>448</v>
      </c>
      <c r="B5" s="162"/>
    </row>
    <row r="6" spans="1:10" ht="19.5" thickBot="1" x14ac:dyDescent="0.35">
      <c r="A6" s="187" t="s">
        <v>468</v>
      </c>
      <c r="B6" s="188"/>
      <c r="C6" s="189"/>
      <c r="D6" s="190" t="s">
        <v>429</v>
      </c>
      <c r="E6" s="191"/>
      <c r="F6" s="191"/>
      <c r="G6" s="192"/>
      <c r="H6" s="187" t="s">
        <v>428</v>
      </c>
      <c r="I6" s="188"/>
      <c r="J6" s="189"/>
    </row>
    <row r="7" spans="1:10" ht="30" x14ac:dyDescent="0.25">
      <c r="A7" s="55" t="s">
        <v>28</v>
      </c>
      <c r="B7" s="55" t="s">
        <v>29</v>
      </c>
      <c r="C7" s="55" t="s">
        <v>32</v>
      </c>
      <c r="D7" s="55" t="s">
        <v>416</v>
      </c>
      <c r="E7" s="55" t="s">
        <v>425</v>
      </c>
      <c r="F7" s="55" t="s">
        <v>426</v>
      </c>
      <c r="G7" s="55" t="s">
        <v>417</v>
      </c>
      <c r="H7" s="55" t="s">
        <v>427</v>
      </c>
      <c r="I7" s="55" t="s">
        <v>145</v>
      </c>
      <c r="J7" s="55" t="s">
        <v>151</v>
      </c>
    </row>
    <row r="8" spans="1:10" x14ac:dyDescent="0.25">
      <c r="A8" s="71" t="s">
        <v>40</v>
      </c>
      <c r="B8" s="42" t="str">
        <f t="shared" ref="B8:B19" si="0">IFERROR(VLOOKUP(A8,MaterialMaster,2,FALSE),"Invalid Record")</f>
        <v>500g Nut Muesli</v>
      </c>
      <c r="C8" s="149">
        <f t="shared" ref="C8:C19" si="1">MinLS</f>
        <v>16000</v>
      </c>
      <c r="D8" s="154">
        <f>IFERROR(VLOOKUP(A8,Inventory!$A$7:$K$19,4,FALSE),"invalid record")</f>
        <v>0</v>
      </c>
      <c r="E8" s="118">
        <v>48000</v>
      </c>
      <c r="F8" s="154">
        <f>IFERROR(VLOOKUP(A8,'SalesForecast-CurrentMonth'!$A$7:$O$19,5,FALSE),"invalid record")</f>
        <v>50000</v>
      </c>
      <c r="G8" s="149">
        <f>IF((D8+E8)-F8&lt;=0,0,(D8+E8)-F8)</f>
        <v>0</v>
      </c>
      <c r="H8" s="140">
        <f>SUMIFS(Production__2[YIELD],Production__2[MATERIAL_CODE],ProductionPlan!A8,Production__2[SIM_ROUND],ProductionPlan!$B$1)</f>
        <v>44000</v>
      </c>
      <c r="I8" s="149">
        <f>H8-E8</f>
        <v>-4000</v>
      </c>
      <c r="J8" s="45">
        <f>IF(AND(E8=0,H8=0),0,IF(AND(E8=0,H8&gt;0),1,(I8/E8)))</f>
        <v>-8.3333333333333329E-2</v>
      </c>
    </row>
    <row r="9" spans="1:10" x14ac:dyDescent="0.25">
      <c r="A9" s="71" t="s">
        <v>42</v>
      </c>
      <c r="B9" s="42" t="str">
        <f t="shared" si="0"/>
        <v>500g Blueberry Muesli</v>
      </c>
      <c r="C9" s="149">
        <f t="shared" si="1"/>
        <v>16000</v>
      </c>
      <c r="D9" s="154">
        <f>IFERROR(VLOOKUP(A9,Inventory!$A$7:$K$19,4,FALSE),"invalid record")</f>
        <v>0</v>
      </c>
      <c r="E9" s="118">
        <v>64000</v>
      </c>
      <c r="F9" s="154">
        <f>IFERROR(VLOOKUP(A9,'SalesForecast-CurrentMonth'!$A$7:$O$19,5,FALSE),"invalid record")</f>
        <v>50000</v>
      </c>
      <c r="G9" s="149">
        <f t="shared" ref="G9:G19" si="2">IF((D9+E9)-F9&lt;=0,0,(D9+E9)-F9)</f>
        <v>14000</v>
      </c>
      <c r="H9" s="140">
        <f>SUMIFS(Production__2[YIELD],Production__2[MATERIAL_CODE],ProductionPlan!A9,Production__2[SIM_ROUND],ProductionPlan!$B$1)</f>
        <v>64000</v>
      </c>
      <c r="I9" s="149">
        <f t="shared" ref="I9:I19" si="3">H9-E9</f>
        <v>0</v>
      </c>
      <c r="J9" s="45">
        <f>IF(AND(E9=0,H9=0),0,IF(AND(E9=0,H9&gt;0),1,(I9/E9)))</f>
        <v>0</v>
      </c>
    </row>
    <row r="10" spans="1:10" x14ac:dyDescent="0.25">
      <c r="A10" s="71" t="s">
        <v>44</v>
      </c>
      <c r="B10" s="42" t="str">
        <f t="shared" si="0"/>
        <v>500g Strawberry Muesli</v>
      </c>
      <c r="C10" s="149">
        <f t="shared" si="1"/>
        <v>16000</v>
      </c>
      <c r="D10" s="154">
        <f>IFERROR(VLOOKUP(A10,Inventory!$A$7:$K$19,4,FALSE),"invalid record")</f>
        <v>0</v>
      </c>
      <c r="E10" s="118">
        <v>64000</v>
      </c>
      <c r="F10" s="154">
        <f>IFERROR(VLOOKUP(A10,'SalesForecast-CurrentMonth'!$A$7:$O$19,5,FALSE),"invalid record")</f>
        <v>50000</v>
      </c>
      <c r="G10" s="149">
        <f t="shared" si="2"/>
        <v>14000</v>
      </c>
      <c r="H10" s="140">
        <f>SUMIFS(Production__2[YIELD],Production__2[MATERIAL_CODE],ProductionPlan!A10,Production__2[SIM_ROUND],ProductionPlan!$B$1)</f>
        <v>64000</v>
      </c>
      <c r="I10" s="149">
        <f t="shared" si="3"/>
        <v>0</v>
      </c>
      <c r="J10" s="45">
        <f t="shared" ref="J10:J19" si="4">IF(AND(E10=0,H10=0),0,IF(AND(E10=0,H10&gt;0),1,(I10/E10)))</f>
        <v>0</v>
      </c>
    </row>
    <row r="11" spans="1:10" x14ac:dyDescent="0.25">
      <c r="A11" s="71" t="s">
        <v>46</v>
      </c>
      <c r="B11" s="42" t="str">
        <f t="shared" si="0"/>
        <v>500g Raisin Muesli</v>
      </c>
      <c r="C11" s="149">
        <f t="shared" si="1"/>
        <v>16000</v>
      </c>
      <c r="D11" s="154">
        <f>IFERROR(VLOOKUP(A11,Inventory!$A$7:$K$19,4,FALSE),"invalid record")</f>
        <v>0</v>
      </c>
      <c r="E11" s="118">
        <v>48000</v>
      </c>
      <c r="F11" s="154">
        <f>IFERROR(VLOOKUP(A11,'SalesForecast-CurrentMonth'!$A$7:$O$19,5,FALSE),"invalid record")</f>
        <v>50000</v>
      </c>
      <c r="G11" s="149">
        <f t="shared" si="2"/>
        <v>0</v>
      </c>
      <c r="H11" s="140">
        <f>SUMIFS(Production__2[YIELD],Production__2[MATERIAL_CODE],ProductionPlan!A11,Production__2[SIM_ROUND],ProductionPlan!$B$1)</f>
        <v>37000</v>
      </c>
      <c r="I11" s="149">
        <f t="shared" si="3"/>
        <v>-11000</v>
      </c>
      <c r="J11" s="45">
        <f t="shared" si="4"/>
        <v>-0.22916666666666666</v>
      </c>
    </row>
    <row r="12" spans="1:10" x14ac:dyDescent="0.25">
      <c r="A12" s="71" t="s">
        <v>48</v>
      </c>
      <c r="B12" s="42" t="str">
        <f t="shared" si="0"/>
        <v>500g Original Muesli</v>
      </c>
      <c r="C12" s="149">
        <f t="shared" si="1"/>
        <v>16000</v>
      </c>
      <c r="D12" s="154">
        <f>IFERROR(VLOOKUP(A12,Inventory!$A$7:$K$19,4,FALSE),"invalid record")</f>
        <v>0</v>
      </c>
      <c r="E12" s="118">
        <v>0</v>
      </c>
      <c r="F12" s="154">
        <f>IFERROR(VLOOKUP(A12,'SalesForecast-CurrentMonth'!$A$7:$O$19,5,FALSE),"invalid record")</f>
        <v>0</v>
      </c>
      <c r="G12" s="149">
        <f t="shared" si="2"/>
        <v>0</v>
      </c>
      <c r="H12" s="140">
        <f>SUMIFS(Production__2[YIELD],Production__2[MATERIAL_CODE],ProductionPlan!A12,Production__2[SIM_ROUND],ProductionPlan!$B$1)</f>
        <v>0</v>
      </c>
      <c r="I12" s="149">
        <f t="shared" si="3"/>
        <v>0</v>
      </c>
      <c r="J12" s="45">
        <f t="shared" si="4"/>
        <v>0</v>
      </c>
    </row>
    <row r="13" spans="1:10" x14ac:dyDescent="0.25">
      <c r="A13" s="71" t="s">
        <v>50</v>
      </c>
      <c r="B13" s="42" t="str">
        <f t="shared" si="0"/>
        <v>500g Mixed Fruits Muesli</v>
      </c>
      <c r="C13" s="149">
        <f t="shared" si="1"/>
        <v>16000</v>
      </c>
      <c r="D13" s="154">
        <f>IFERROR(VLOOKUP(A13,Inventory!$A$7:$K$19,4,FALSE),"invalid record")</f>
        <v>0</v>
      </c>
      <c r="E13" s="118">
        <v>0</v>
      </c>
      <c r="F13" s="154">
        <f>IFERROR(VLOOKUP(A13,'SalesForecast-CurrentMonth'!$A$7:$O$19,5,FALSE),"invalid record")</f>
        <v>0</v>
      </c>
      <c r="G13" s="149">
        <f t="shared" si="2"/>
        <v>0</v>
      </c>
      <c r="H13" s="140">
        <f>SUMIFS(Production__2[YIELD],Production__2[MATERIAL_CODE],ProductionPlan!A13,Production__2[SIM_ROUND],ProductionPlan!$B$1)</f>
        <v>0</v>
      </c>
      <c r="I13" s="149">
        <f t="shared" si="3"/>
        <v>0</v>
      </c>
      <c r="J13" s="45">
        <f t="shared" si="4"/>
        <v>0</v>
      </c>
    </row>
    <row r="14" spans="1:10" x14ac:dyDescent="0.25">
      <c r="A14" s="71" t="s">
        <v>52</v>
      </c>
      <c r="B14" s="42" t="str">
        <f t="shared" si="0"/>
        <v>1000g Nut Muesli</v>
      </c>
      <c r="C14" s="149">
        <f t="shared" si="1"/>
        <v>16000</v>
      </c>
      <c r="D14" s="154">
        <f>IFERROR(VLOOKUP(A14,Inventory!$A$7:$K$19,4,FALSE),"invalid record")</f>
        <v>3229</v>
      </c>
      <c r="E14" s="118">
        <v>48000</v>
      </c>
      <c r="F14" s="154">
        <f>IFERROR(VLOOKUP(A14,'SalesForecast-CurrentMonth'!$A$7:$O$19,5,FALSE),"invalid record")</f>
        <v>50000</v>
      </c>
      <c r="G14" s="149">
        <f t="shared" si="2"/>
        <v>1229</v>
      </c>
      <c r="H14" s="140">
        <f>SUMIFS(Production__2[YIELD],Production__2[MATERIAL_CODE],ProductionPlan!A14,Production__2[SIM_ROUND],ProductionPlan!$B$1)</f>
        <v>46000</v>
      </c>
      <c r="I14" s="149">
        <f t="shared" si="3"/>
        <v>-2000</v>
      </c>
      <c r="J14" s="45">
        <f t="shared" si="4"/>
        <v>-4.1666666666666664E-2</v>
      </c>
    </row>
    <row r="15" spans="1:10" x14ac:dyDescent="0.25">
      <c r="A15" s="71" t="s">
        <v>54</v>
      </c>
      <c r="B15" s="42" t="str">
        <f t="shared" si="0"/>
        <v>1000g Blueberry Muesli</v>
      </c>
      <c r="C15" s="149">
        <f t="shared" si="1"/>
        <v>16000</v>
      </c>
      <c r="D15" s="154">
        <f>IFERROR(VLOOKUP(A15,Inventory!$A$7:$K$19,4,FALSE),"invalid record")</f>
        <v>5375</v>
      </c>
      <c r="E15" s="118">
        <v>96000</v>
      </c>
      <c r="F15" s="154">
        <f>IFERROR(VLOOKUP(A15,'SalesForecast-CurrentMonth'!$A$7:$O$19,5,FALSE),"invalid record")</f>
        <v>50000</v>
      </c>
      <c r="G15" s="149">
        <f t="shared" si="2"/>
        <v>51375</v>
      </c>
      <c r="H15" s="140">
        <f>SUMIFS(Production__2[YIELD],Production__2[MATERIAL_CODE],ProductionPlan!A15,Production__2[SIM_ROUND],ProductionPlan!$B$1)</f>
        <v>72625</v>
      </c>
      <c r="I15" s="149">
        <f t="shared" si="3"/>
        <v>-23375</v>
      </c>
      <c r="J15" s="45">
        <f t="shared" si="4"/>
        <v>-0.24348958333333334</v>
      </c>
    </row>
    <row r="16" spans="1:10" x14ac:dyDescent="0.25">
      <c r="A16" s="71" t="s">
        <v>56</v>
      </c>
      <c r="B16" s="42" t="str">
        <f t="shared" si="0"/>
        <v>1000g Strawberry Muesli</v>
      </c>
      <c r="C16" s="149">
        <f t="shared" si="1"/>
        <v>16000</v>
      </c>
      <c r="D16" s="154">
        <f>IFERROR(VLOOKUP(A16,Inventory!$A$7:$K$19,4,FALSE),"invalid record")</f>
        <v>14750</v>
      </c>
      <c r="E16" s="118">
        <v>48000</v>
      </c>
      <c r="F16" s="154">
        <f>IFERROR(VLOOKUP(A16,'SalesForecast-CurrentMonth'!$A$7:$O$19,5,FALSE),"invalid record")</f>
        <v>50000</v>
      </c>
      <c r="G16" s="149">
        <f t="shared" si="2"/>
        <v>12750</v>
      </c>
      <c r="H16" s="140">
        <f>SUMIFS(Production__2[YIELD],Production__2[MATERIAL_CODE],ProductionPlan!A16,Production__2[SIM_ROUND],ProductionPlan!$B$1)</f>
        <v>30000</v>
      </c>
      <c r="I16" s="149">
        <f t="shared" si="3"/>
        <v>-18000</v>
      </c>
      <c r="J16" s="45">
        <f t="shared" si="4"/>
        <v>-0.375</v>
      </c>
    </row>
    <row r="17" spans="1:10" x14ac:dyDescent="0.25">
      <c r="A17" s="71" t="s">
        <v>58</v>
      </c>
      <c r="B17" s="42" t="str">
        <f t="shared" si="0"/>
        <v>1000g Raisin Muesli</v>
      </c>
      <c r="C17" s="149">
        <f t="shared" si="1"/>
        <v>16000</v>
      </c>
      <c r="D17" s="154">
        <f>IFERROR(VLOOKUP(A17,Inventory!$A$7:$K$19,4,FALSE),"invalid record")</f>
        <v>0</v>
      </c>
      <c r="E17" s="118">
        <v>96000</v>
      </c>
      <c r="F17" s="154">
        <f>IFERROR(VLOOKUP(A17,'SalesForecast-CurrentMonth'!$A$7:$O$19,5,FALSE),"invalid record")</f>
        <v>50000</v>
      </c>
      <c r="G17" s="149">
        <f t="shared" si="2"/>
        <v>46000</v>
      </c>
      <c r="H17" s="140">
        <f>SUMIFS(Production__2[YIELD],Production__2[MATERIAL_CODE],ProductionPlan!A17,Production__2[SIM_ROUND],ProductionPlan!$B$1)</f>
        <v>78000</v>
      </c>
      <c r="I17" s="149">
        <f t="shared" si="3"/>
        <v>-18000</v>
      </c>
      <c r="J17" s="45">
        <f t="shared" si="4"/>
        <v>-0.1875</v>
      </c>
    </row>
    <row r="18" spans="1:10" x14ac:dyDescent="0.25">
      <c r="A18" s="71" t="s">
        <v>60</v>
      </c>
      <c r="B18" s="42" t="str">
        <f t="shared" si="0"/>
        <v>1000g Original Muesli</v>
      </c>
      <c r="C18" s="149">
        <f t="shared" si="1"/>
        <v>16000</v>
      </c>
      <c r="D18" s="154">
        <f>IFERROR(VLOOKUP(A18,Inventory!$A$7:$K$19,4,FALSE),"invalid record")</f>
        <v>0</v>
      </c>
      <c r="E18" s="118"/>
      <c r="F18" s="154">
        <f>IFERROR(VLOOKUP(A18,'SalesForecast-CurrentMonth'!$A$7:$O$19,5,FALSE),"invalid record")</f>
        <v>0</v>
      </c>
      <c r="G18" s="149">
        <f t="shared" si="2"/>
        <v>0</v>
      </c>
      <c r="H18" s="140">
        <f>SUMIFS(Production__2[YIELD],Production__2[MATERIAL_CODE],ProductionPlan!A18,Production__2[SIM_ROUND],ProductionPlan!$B$1)</f>
        <v>0</v>
      </c>
      <c r="I18" s="149">
        <f t="shared" si="3"/>
        <v>0</v>
      </c>
      <c r="J18" s="45">
        <f t="shared" si="4"/>
        <v>0</v>
      </c>
    </row>
    <row r="19" spans="1:10" x14ac:dyDescent="0.25">
      <c r="A19" s="71" t="s">
        <v>62</v>
      </c>
      <c r="B19" s="42" t="str">
        <f t="shared" si="0"/>
        <v>1000g Mixed Fruits Muesli</v>
      </c>
      <c r="C19" s="149">
        <f t="shared" si="1"/>
        <v>16000</v>
      </c>
      <c r="D19" s="154">
        <f>IFERROR(VLOOKUP(A19,Inventory!$A$7:$K$19,4,FALSE),"invalid record")</f>
        <v>0</v>
      </c>
      <c r="E19" s="118"/>
      <c r="F19" s="154">
        <f>IFERROR(VLOOKUP(A19,'SalesForecast-CurrentMonth'!$A$7:$O$19,5,FALSE),"invalid record")</f>
        <v>0</v>
      </c>
      <c r="G19" s="149">
        <f t="shared" si="2"/>
        <v>0</v>
      </c>
      <c r="H19" s="140">
        <f>SUMIFS(Production__2[YIELD],Production__2[MATERIAL_CODE],ProductionPlan!A19,Production__2[SIM_ROUND],ProductionPlan!$B$1)</f>
        <v>0</v>
      </c>
      <c r="I19" s="149">
        <f t="shared" si="3"/>
        <v>0</v>
      </c>
      <c r="J19" s="45">
        <f t="shared" si="4"/>
        <v>0</v>
      </c>
    </row>
  </sheetData>
  <sheetProtection sheet="1" objects="1" scenarios="1"/>
  <mergeCells count="7">
    <mergeCell ref="H6:J6"/>
    <mergeCell ref="D6:G6"/>
    <mergeCell ref="A2:B2"/>
    <mergeCell ref="A3:B3"/>
    <mergeCell ref="A4:B4"/>
    <mergeCell ref="A5:B5"/>
    <mergeCell ref="A6:C6"/>
  </mergeCells>
  <phoneticPr fontId="9" type="noConversion"/>
  <dataValidations count="2">
    <dataValidation type="list" allowBlank="1" showInputMessage="1" showErrorMessage="1" errorTitle="Invalid Item Number" error="See Material Master to add or modify existing items." sqref="A8:A19" xr:uid="{9AA69A47-B168-45F4-8187-C46DBF38F6D5}">
      <formula1>ParentItems</formula1>
    </dataValidation>
    <dataValidation type="custom" allowBlank="1" showInputMessage="1" showErrorMessage="1" errorTitle="Invalid Data" error="See documentation sheet for lot size. Production Plan is in increments of lot size" sqref="E8:E19" xr:uid="{4B5909C7-DCFD-4567-9019-6F6EA9738013}">
      <formula1>MOD(E8,MinLS)=0</formula1>
    </dataValidation>
  </dataValidations>
  <hyperlinks>
    <hyperlink ref="D1" location="MainNavigation!A1" display="MainNavigation" xr:uid="{A109063D-8FF3-41D9-8778-9C6B7C3F7756}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E44F-25F5-4626-A3E3-39E582343152}">
  <sheetPr codeName="Sheet20">
    <tabColor rgb="FFFF0000"/>
  </sheetPr>
  <dimension ref="A1:AQ30"/>
  <sheetViews>
    <sheetView workbookViewId="0">
      <pane xSplit="1" ySplit="2" topLeftCell="B3" activePane="bottomRight" state="frozen"/>
      <selection activeCell="I1" sqref="I1"/>
      <selection pane="topRight" activeCell="I1" sqref="I1"/>
      <selection pane="bottomLeft" activeCell="I1" sqref="I1"/>
      <selection pane="bottomRight" sqref="A1:C1"/>
    </sheetView>
  </sheetViews>
  <sheetFormatPr defaultRowHeight="15" x14ac:dyDescent="0.25"/>
  <cols>
    <col min="1" max="1" width="9.140625" style="68"/>
    <col min="2" max="2" width="25.85546875" style="68" customWidth="1"/>
    <col min="3" max="3" width="13.28515625" style="68" customWidth="1"/>
    <col min="4" max="4" width="10.7109375" style="68" customWidth="1"/>
    <col min="5" max="5" width="10.42578125" style="68" customWidth="1"/>
    <col min="6" max="6" width="10.140625" style="68" customWidth="1"/>
    <col min="7" max="7" width="10.42578125" style="68" customWidth="1"/>
    <col min="8" max="8" width="10.7109375" style="68" customWidth="1"/>
    <col min="9" max="9" width="11" style="68" customWidth="1"/>
    <col min="10" max="10" width="10.5703125" style="68" customWidth="1"/>
    <col min="11" max="11" width="10.42578125" style="68" customWidth="1"/>
    <col min="12" max="13" width="11" style="68" customWidth="1"/>
    <col min="14" max="14" width="10.28515625" style="68" customWidth="1"/>
    <col min="15" max="15" width="10.7109375" style="68" customWidth="1"/>
    <col min="16" max="16" width="10.5703125" style="68" customWidth="1"/>
    <col min="17" max="17" width="11.28515625" style="68" customWidth="1"/>
    <col min="18" max="18" width="11" style="68" customWidth="1"/>
    <col min="19" max="20" width="10.85546875" style="68" customWidth="1"/>
    <col min="21" max="21" width="10.42578125" style="68" customWidth="1"/>
    <col min="22" max="22" width="10.5703125" style="68" customWidth="1"/>
    <col min="23" max="25" width="11.140625" style="68" customWidth="1"/>
    <col min="26" max="26" width="10.42578125" style="68" customWidth="1"/>
    <col min="27" max="27" width="10.5703125" style="68" customWidth="1"/>
    <col min="28" max="28" width="10.42578125" style="68" customWidth="1"/>
    <col min="29" max="29" width="11" style="68" customWidth="1"/>
    <col min="30" max="30" width="10.140625" style="68" customWidth="1"/>
    <col min="31" max="31" width="10.5703125" style="68" customWidth="1"/>
    <col min="32" max="32" width="11" style="68" customWidth="1"/>
    <col min="33" max="33" width="10.7109375" style="68" customWidth="1"/>
    <col min="34" max="34" width="10.42578125" style="68" customWidth="1"/>
    <col min="35" max="35" width="10.28515625" style="68" customWidth="1"/>
    <col min="36" max="37" width="10.7109375" style="68" customWidth="1"/>
    <col min="38" max="39" width="10.42578125" style="68" customWidth="1"/>
    <col min="40" max="40" width="10.7109375" style="68" customWidth="1"/>
    <col min="41" max="41" width="11.42578125" style="68" customWidth="1"/>
    <col min="42" max="42" width="10.85546875" style="68" customWidth="1"/>
    <col min="43" max="43" width="10.42578125" style="68" customWidth="1"/>
    <col min="44" max="16384" width="9.140625" style="68"/>
  </cols>
  <sheetData>
    <row r="1" spans="1:43" ht="15.75" x14ac:dyDescent="0.25">
      <c r="A1" s="179" t="s">
        <v>449</v>
      </c>
      <c r="B1" s="179"/>
      <c r="C1" s="179"/>
      <c r="D1" s="181" t="s">
        <v>467</v>
      </c>
      <c r="E1" s="182"/>
      <c r="F1" s="182"/>
      <c r="G1" s="182"/>
      <c r="H1" s="181" t="s">
        <v>466</v>
      </c>
      <c r="I1" s="182"/>
      <c r="J1" s="182"/>
      <c r="K1" s="182"/>
      <c r="L1" s="181" t="s">
        <v>465</v>
      </c>
      <c r="M1" s="182"/>
      <c r="N1" s="182"/>
      <c r="O1" s="182"/>
      <c r="P1" s="181" t="s">
        <v>464</v>
      </c>
      <c r="Q1" s="182"/>
      <c r="R1" s="182"/>
      <c r="S1" s="182"/>
      <c r="T1" s="181" t="s">
        <v>463</v>
      </c>
      <c r="U1" s="182"/>
      <c r="V1" s="182"/>
      <c r="W1" s="182"/>
      <c r="X1" s="181" t="s">
        <v>462</v>
      </c>
      <c r="Y1" s="182"/>
      <c r="Z1" s="182"/>
      <c r="AA1" s="182"/>
      <c r="AB1" s="181" t="s">
        <v>450</v>
      </c>
      <c r="AC1" s="182"/>
      <c r="AD1" s="182"/>
      <c r="AE1" s="182"/>
      <c r="AF1" s="181" t="s">
        <v>461</v>
      </c>
      <c r="AG1" s="182"/>
      <c r="AH1" s="182"/>
      <c r="AI1" s="182"/>
      <c r="AJ1" s="181" t="s">
        <v>460</v>
      </c>
      <c r="AK1" s="182"/>
      <c r="AL1" s="182"/>
      <c r="AM1" s="182"/>
      <c r="AN1" s="181" t="s">
        <v>459</v>
      </c>
      <c r="AO1" s="182"/>
      <c r="AP1" s="182"/>
      <c r="AQ1" s="182"/>
    </row>
    <row r="2" spans="1:43" ht="45" x14ac:dyDescent="0.25">
      <c r="A2" s="130" t="s">
        <v>28</v>
      </c>
      <c r="B2" s="130" t="s">
        <v>29</v>
      </c>
      <c r="C2" s="130" t="s">
        <v>32</v>
      </c>
      <c r="D2" s="55" t="s">
        <v>425</v>
      </c>
      <c r="E2" s="55" t="s">
        <v>427</v>
      </c>
      <c r="F2" s="55" t="s">
        <v>145</v>
      </c>
      <c r="G2" s="55" t="s">
        <v>151</v>
      </c>
      <c r="H2" s="55" t="s">
        <v>425</v>
      </c>
      <c r="I2" s="55" t="s">
        <v>427</v>
      </c>
      <c r="J2" s="55" t="s">
        <v>145</v>
      </c>
      <c r="K2" s="55" t="s">
        <v>151</v>
      </c>
      <c r="L2" s="55" t="s">
        <v>425</v>
      </c>
      <c r="M2" s="55" t="s">
        <v>427</v>
      </c>
      <c r="N2" s="55" t="s">
        <v>145</v>
      </c>
      <c r="O2" s="55" t="s">
        <v>151</v>
      </c>
      <c r="P2" s="55" t="s">
        <v>425</v>
      </c>
      <c r="Q2" s="55" t="s">
        <v>427</v>
      </c>
      <c r="R2" s="55" t="s">
        <v>145</v>
      </c>
      <c r="S2" s="55" t="s">
        <v>151</v>
      </c>
      <c r="T2" s="55" t="s">
        <v>425</v>
      </c>
      <c r="U2" s="55" t="s">
        <v>427</v>
      </c>
      <c r="V2" s="55" t="s">
        <v>145</v>
      </c>
      <c r="W2" s="55" t="s">
        <v>151</v>
      </c>
      <c r="X2" s="55" t="s">
        <v>425</v>
      </c>
      <c r="Y2" s="55" t="s">
        <v>427</v>
      </c>
      <c r="Z2" s="55" t="s">
        <v>145</v>
      </c>
      <c r="AA2" s="55" t="s">
        <v>151</v>
      </c>
      <c r="AB2" s="55" t="s">
        <v>425</v>
      </c>
      <c r="AC2" s="55" t="s">
        <v>427</v>
      </c>
      <c r="AD2" s="55" t="s">
        <v>145</v>
      </c>
      <c r="AE2" s="55" t="s">
        <v>151</v>
      </c>
      <c r="AF2" s="55" t="s">
        <v>425</v>
      </c>
      <c r="AG2" s="55" t="s">
        <v>427</v>
      </c>
      <c r="AH2" s="55" t="s">
        <v>145</v>
      </c>
      <c r="AI2" s="55" t="s">
        <v>151</v>
      </c>
      <c r="AJ2" s="55" t="s">
        <v>425</v>
      </c>
      <c r="AK2" s="55" t="s">
        <v>427</v>
      </c>
      <c r="AL2" s="55" t="s">
        <v>145</v>
      </c>
      <c r="AM2" s="55" t="s">
        <v>151</v>
      </c>
      <c r="AN2" s="55" t="s">
        <v>425</v>
      </c>
      <c r="AO2" s="55" t="s">
        <v>427</v>
      </c>
      <c r="AP2" s="55" t="s">
        <v>145</v>
      </c>
      <c r="AQ2" s="55" t="s">
        <v>151</v>
      </c>
    </row>
    <row r="3" spans="1:43" x14ac:dyDescent="0.25">
      <c r="A3" s="153" t="str">
        <f>MaterialMaster!A5</f>
        <v>F01</v>
      </c>
      <c r="B3" s="153" t="str">
        <f t="shared" ref="B3:B14" si="0">VLOOKUP(A3,MaterialMaster,2,FALSE)</f>
        <v>500g Nut Muesli</v>
      </c>
      <c r="C3" s="153" t="str">
        <f t="shared" ref="C3:C14" si="1">VLOOKUP(A3,MaterialMaster,15,FALSE)</f>
        <v>Nut</v>
      </c>
      <c r="D3" s="118">
        <v>48000</v>
      </c>
      <c r="E3" s="140">
        <v>44000</v>
      </c>
      <c r="F3" s="149">
        <v>-4000</v>
      </c>
      <c r="G3" s="45">
        <v>-8.3333333333333329E-2</v>
      </c>
      <c r="H3" s="118">
        <v>48000</v>
      </c>
      <c r="I3" s="140">
        <v>30000</v>
      </c>
      <c r="J3" s="149">
        <v>-18000</v>
      </c>
      <c r="K3" s="45">
        <v>-0.375</v>
      </c>
      <c r="L3" s="118">
        <v>96000</v>
      </c>
      <c r="M3" s="140">
        <v>86000</v>
      </c>
      <c r="N3" s="149">
        <v>-10000</v>
      </c>
      <c r="O3" s="45">
        <v>-0.10416666666666667</v>
      </c>
      <c r="P3" s="118">
        <v>96000</v>
      </c>
      <c r="Q3" s="140">
        <v>64000</v>
      </c>
      <c r="R3" s="148">
        <v>-32000</v>
      </c>
      <c r="S3" s="84">
        <v>-0.33333333333333331</v>
      </c>
      <c r="T3" s="118">
        <v>64000</v>
      </c>
      <c r="U3" s="140">
        <v>88000</v>
      </c>
      <c r="V3" s="148">
        <v>24000</v>
      </c>
      <c r="W3" s="84">
        <v>0.375</v>
      </c>
      <c r="X3" s="118">
        <v>80000</v>
      </c>
      <c r="Y3" s="140">
        <v>48000</v>
      </c>
      <c r="Z3" s="148">
        <v>-32000</v>
      </c>
      <c r="AA3" s="84">
        <v>-0.4</v>
      </c>
    </row>
    <row r="4" spans="1:43" x14ac:dyDescent="0.25">
      <c r="A4" s="153" t="str">
        <f>MaterialMaster!A6</f>
        <v>F02</v>
      </c>
      <c r="B4" s="153" t="str">
        <f t="shared" si="0"/>
        <v>500g Blueberry Muesli</v>
      </c>
      <c r="C4" s="153" t="str">
        <f t="shared" si="1"/>
        <v>Blueberry</v>
      </c>
      <c r="D4" s="118">
        <v>64000</v>
      </c>
      <c r="E4" s="140">
        <v>64000</v>
      </c>
      <c r="F4" s="149">
        <v>0</v>
      </c>
      <c r="G4" s="45">
        <v>0</v>
      </c>
      <c r="H4" s="118">
        <v>48000</v>
      </c>
      <c r="I4" s="140">
        <v>30000</v>
      </c>
      <c r="J4" s="149">
        <v>-18000</v>
      </c>
      <c r="K4" s="45">
        <v>-0.375</v>
      </c>
      <c r="L4" s="118">
        <v>96000</v>
      </c>
      <c r="M4" s="140">
        <v>90000</v>
      </c>
      <c r="N4" s="149">
        <v>-6000</v>
      </c>
      <c r="O4" s="45">
        <v>-6.25E-2</v>
      </c>
      <c r="P4" s="118">
        <v>96000</v>
      </c>
      <c r="Q4" s="140">
        <v>58000</v>
      </c>
      <c r="R4" s="148">
        <v>-38000</v>
      </c>
      <c r="S4" s="84">
        <v>-0.39583333333333331</v>
      </c>
      <c r="T4" s="118">
        <v>64000</v>
      </c>
      <c r="U4" s="140">
        <v>88000</v>
      </c>
      <c r="V4" s="148">
        <v>24000</v>
      </c>
      <c r="W4" s="84">
        <v>0.375</v>
      </c>
      <c r="X4" s="118">
        <v>80000</v>
      </c>
      <c r="Y4" s="140">
        <v>48000</v>
      </c>
      <c r="Z4" s="148">
        <v>-32000</v>
      </c>
      <c r="AA4" s="84">
        <v>-0.4</v>
      </c>
    </row>
    <row r="5" spans="1:43" x14ac:dyDescent="0.25">
      <c r="A5" s="153" t="str">
        <f>MaterialMaster!A7</f>
        <v>F03</v>
      </c>
      <c r="B5" s="153" t="str">
        <f t="shared" si="0"/>
        <v>500g Strawberry Muesli</v>
      </c>
      <c r="C5" s="153" t="str">
        <f t="shared" si="1"/>
        <v>Strawberry</v>
      </c>
      <c r="D5" s="118">
        <v>64000</v>
      </c>
      <c r="E5" s="140">
        <v>64000</v>
      </c>
      <c r="F5" s="149">
        <v>0</v>
      </c>
      <c r="G5" s="45">
        <v>0</v>
      </c>
      <c r="H5" s="118">
        <v>48000</v>
      </c>
      <c r="I5" s="140">
        <v>30000</v>
      </c>
      <c r="J5" s="149">
        <v>-18000</v>
      </c>
      <c r="K5" s="45">
        <v>-0.375</v>
      </c>
      <c r="L5" s="118">
        <v>96000</v>
      </c>
      <c r="M5" s="140">
        <v>91250</v>
      </c>
      <c r="N5" s="149">
        <v>-4750</v>
      </c>
      <c r="O5" s="45">
        <v>-4.9479166666666664E-2</v>
      </c>
      <c r="P5" s="118">
        <v>96000</v>
      </c>
      <c r="Q5" s="140">
        <v>24750</v>
      </c>
      <c r="R5" s="148">
        <v>-71250</v>
      </c>
      <c r="S5" s="84">
        <v>-0.7421875</v>
      </c>
      <c r="T5" s="118">
        <v>64000</v>
      </c>
      <c r="U5" s="140">
        <v>80000</v>
      </c>
      <c r="V5" s="148">
        <v>16000</v>
      </c>
      <c r="W5" s="84">
        <v>0.25</v>
      </c>
      <c r="X5" s="118">
        <v>80000</v>
      </c>
      <c r="Y5" s="140">
        <v>48000</v>
      </c>
      <c r="Z5" s="148">
        <v>-32000</v>
      </c>
      <c r="AA5" s="84">
        <v>-0.4</v>
      </c>
    </row>
    <row r="6" spans="1:43" x14ac:dyDescent="0.25">
      <c r="A6" s="153" t="str">
        <f>MaterialMaster!A8</f>
        <v>F04</v>
      </c>
      <c r="B6" s="153" t="str">
        <f t="shared" si="0"/>
        <v>500g Raisin Muesli</v>
      </c>
      <c r="C6" s="153" t="str">
        <f t="shared" si="1"/>
        <v>Raisins</v>
      </c>
      <c r="D6" s="118">
        <v>48000</v>
      </c>
      <c r="E6" s="140">
        <v>37000</v>
      </c>
      <c r="F6" s="149">
        <v>-11000</v>
      </c>
      <c r="G6" s="45">
        <v>-0.22916666666666666</v>
      </c>
      <c r="H6" s="118">
        <v>48000</v>
      </c>
      <c r="I6" s="140">
        <v>30000</v>
      </c>
      <c r="J6" s="149">
        <v>-18000</v>
      </c>
      <c r="K6" s="45">
        <v>-0.375</v>
      </c>
      <c r="L6" s="118">
        <v>96000</v>
      </c>
      <c r="M6" s="140">
        <v>82000</v>
      </c>
      <c r="N6" s="149">
        <v>-14000</v>
      </c>
      <c r="O6" s="45">
        <v>-0.14583333333333334</v>
      </c>
      <c r="P6" s="118">
        <v>96000</v>
      </c>
      <c r="Q6" s="140">
        <v>32000</v>
      </c>
      <c r="R6" s="148">
        <v>-64000</v>
      </c>
      <c r="S6" s="84">
        <v>-0.66666666666666663</v>
      </c>
      <c r="T6" s="118">
        <v>64000</v>
      </c>
      <c r="U6" s="140">
        <v>48000</v>
      </c>
      <c r="V6" s="148">
        <v>-16000</v>
      </c>
      <c r="W6" s="84">
        <v>-0.25</v>
      </c>
      <c r="X6" s="118">
        <v>48000</v>
      </c>
      <c r="Y6" s="140">
        <v>48000</v>
      </c>
      <c r="Z6" s="148">
        <v>0</v>
      </c>
      <c r="AA6" s="84">
        <v>0</v>
      </c>
    </row>
    <row r="7" spans="1:43" x14ac:dyDescent="0.25">
      <c r="A7" s="153" t="str">
        <f>MaterialMaster!A9</f>
        <v>F05</v>
      </c>
      <c r="B7" s="153" t="str">
        <f t="shared" si="0"/>
        <v>500g Original Muesli</v>
      </c>
      <c r="C7" s="153" t="str">
        <f t="shared" si="1"/>
        <v>Original</v>
      </c>
      <c r="D7" s="118">
        <v>0</v>
      </c>
      <c r="E7" s="140">
        <v>0</v>
      </c>
      <c r="F7" s="149">
        <v>0</v>
      </c>
      <c r="G7" s="45">
        <v>0</v>
      </c>
      <c r="H7" s="118">
        <v>0</v>
      </c>
      <c r="I7" s="140">
        <v>0</v>
      </c>
      <c r="J7" s="149">
        <v>0</v>
      </c>
      <c r="K7" s="45">
        <v>0</v>
      </c>
      <c r="L7" s="118">
        <v>0</v>
      </c>
      <c r="M7" s="140">
        <v>0</v>
      </c>
      <c r="N7" s="149">
        <v>0</v>
      </c>
      <c r="O7" s="45">
        <v>0</v>
      </c>
      <c r="P7" s="118">
        <v>0</v>
      </c>
      <c r="Q7" s="140">
        <v>0</v>
      </c>
      <c r="R7" s="148">
        <v>0</v>
      </c>
      <c r="S7" s="84">
        <v>0</v>
      </c>
      <c r="T7" s="118">
        <v>0</v>
      </c>
      <c r="U7" s="140">
        <v>0</v>
      </c>
      <c r="V7" s="148">
        <v>0</v>
      </c>
      <c r="W7" s="84">
        <v>0</v>
      </c>
      <c r="X7" s="118">
        <v>0</v>
      </c>
      <c r="Y7" s="140">
        <v>0</v>
      </c>
      <c r="Z7" s="148">
        <v>0</v>
      </c>
      <c r="AA7" s="84">
        <v>0</v>
      </c>
    </row>
    <row r="8" spans="1:43" x14ac:dyDescent="0.25">
      <c r="A8" s="153" t="str">
        <f>MaterialMaster!A10</f>
        <v>F06</v>
      </c>
      <c r="B8" s="153" t="str">
        <f t="shared" si="0"/>
        <v>500g Mixed Fruits Muesli</v>
      </c>
      <c r="C8" s="153" t="str">
        <f t="shared" si="1"/>
        <v>Mixed</v>
      </c>
      <c r="D8" s="118">
        <v>0</v>
      </c>
      <c r="E8" s="140">
        <v>0</v>
      </c>
      <c r="F8" s="149">
        <v>0</v>
      </c>
      <c r="G8" s="45">
        <v>0</v>
      </c>
      <c r="H8" s="118">
        <v>0</v>
      </c>
      <c r="I8" s="140">
        <v>0</v>
      </c>
      <c r="J8" s="149">
        <v>0</v>
      </c>
      <c r="K8" s="45">
        <v>0</v>
      </c>
      <c r="L8" s="118">
        <v>0</v>
      </c>
      <c r="M8" s="140">
        <v>0</v>
      </c>
      <c r="N8" s="149">
        <v>0</v>
      </c>
      <c r="O8" s="45">
        <v>0</v>
      </c>
      <c r="P8" s="118">
        <v>0</v>
      </c>
      <c r="Q8" s="140">
        <v>0</v>
      </c>
      <c r="R8" s="148">
        <v>0</v>
      </c>
      <c r="S8" s="84">
        <v>0</v>
      </c>
      <c r="T8" s="118">
        <v>0</v>
      </c>
      <c r="U8" s="140">
        <v>0</v>
      </c>
      <c r="V8" s="148">
        <v>0</v>
      </c>
      <c r="W8" s="84">
        <v>0</v>
      </c>
      <c r="X8" s="118">
        <v>0</v>
      </c>
      <c r="Y8" s="140">
        <v>0</v>
      </c>
      <c r="Z8" s="148">
        <v>0</v>
      </c>
      <c r="AA8" s="84">
        <v>0</v>
      </c>
    </row>
    <row r="9" spans="1:43" x14ac:dyDescent="0.25">
      <c r="A9" s="153" t="str">
        <f>MaterialMaster!A11</f>
        <v>F11</v>
      </c>
      <c r="B9" s="153" t="str">
        <f t="shared" si="0"/>
        <v>1000g Nut Muesli</v>
      </c>
      <c r="C9" s="153" t="str">
        <f t="shared" si="1"/>
        <v>Nut</v>
      </c>
      <c r="D9" s="118">
        <v>48000</v>
      </c>
      <c r="E9" s="140">
        <v>46000</v>
      </c>
      <c r="F9" s="149">
        <v>-2000</v>
      </c>
      <c r="G9" s="45">
        <v>-4.1666666666666664E-2</v>
      </c>
      <c r="H9" s="118">
        <v>48000</v>
      </c>
      <c r="I9" s="140">
        <v>30000</v>
      </c>
      <c r="J9" s="149">
        <v>-18000</v>
      </c>
      <c r="K9" s="45">
        <v>-0.375</v>
      </c>
      <c r="L9" s="118">
        <v>96000</v>
      </c>
      <c r="M9" s="140">
        <v>86000</v>
      </c>
      <c r="N9" s="149">
        <v>-10000</v>
      </c>
      <c r="O9" s="45">
        <v>-0.10416666666666667</v>
      </c>
      <c r="P9" s="118">
        <v>96000</v>
      </c>
      <c r="Q9" s="140">
        <v>64000</v>
      </c>
      <c r="R9" s="148">
        <v>-32000</v>
      </c>
      <c r="S9" s="84">
        <v>-0.33333333333333331</v>
      </c>
      <c r="T9" s="118">
        <v>64000</v>
      </c>
      <c r="U9" s="140">
        <v>16000</v>
      </c>
      <c r="V9" s="148">
        <v>-48000</v>
      </c>
      <c r="W9" s="84">
        <v>-0.75</v>
      </c>
      <c r="X9" s="118">
        <v>48000</v>
      </c>
      <c r="Y9" s="140">
        <v>48000</v>
      </c>
      <c r="Z9" s="148">
        <v>0</v>
      </c>
      <c r="AA9" s="84">
        <v>0</v>
      </c>
    </row>
    <row r="10" spans="1:43" x14ac:dyDescent="0.25">
      <c r="A10" s="153" t="str">
        <f>MaterialMaster!A12</f>
        <v>F12</v>
      </c>
      <c r="B10" s="153" t="str">
        <f t="shared" si="0"/>
        <v>1000g Blueberry Muesli</v>
      </c>
      <c r="C10" s="153" t="str">
        <f t="shared" si="1"/>
        <v>Blueberry</v>
      </c>
      <c r="D10" s="118">
        <v>96000</v>
      </c>
      <c r="E10" s="140">
        <v>72625</v>
      </c>
      <c r="F10" s="149">
        <v>-23375</v>
      </c>
      <c r="G10" s="45">
        <v>-0.24348958333333334</v>
      </c>
      <c r="H10" s="118">
        <v>96000</v>
      </c>
      <c r="I10" s="140">
        <v>91375</v>
      </c>
      <c r="J10" s="149">
        <v>-4625</v>
      </c>
      <c r="K10" s="45">
        <v>-4.8177083333333336E-2</v>
      </c>
      <c r="L10" s="118">
        <v>96000</v>
      </c>
      <c r="M10" s="140">
        <v>0</v>
      </c>
      <c r="N10" s="149">
        <v>-96000</v>
      </c>
      <c r="O10" s="45">
        <v>-1</v>
      </c>
      <c r="P10" s="118">
        <v>96000</v>
      </c>
      <c r="Q10" s="140">
        <v>62750</v>
      </c>
      <c r="R10" s="148">
        <v>-33250</v>
      </c>
      <c r="S10" s="84">
        <v>-0.34635416666666669</v>
      </c>
      <c r="T10" s="118">
        <v>64000</v>
      </c>
      <c r="U10" s="140">
        <v>5500</v>
      </c>
      <c r="V10" s="148">
        <v>-58500</v>
      </c>
      <c r="W10" s="84">
        <v>-0.9140625</v>
      </c>
      <c r="X10" s="118">
        <v>48000</v>
      </c>
      <c r="Y10" s="140">
        <v>43750</v>
      </c>
      <c r="Z10" s="148">
        <v>-4250</v>
      </c>
      <c r="AA10" s="84">
        <v>-8.8541666666666671E-2</v>
      </c>
    </row>
    <row r="11" spans="1:43" x14ac:dyDescent="0.25">
      <c r="A11" s="153" t="str">
        <f>MaterialMaster!A13</f>
        <v>F13</v>
      </c>
      <c r="B11" s="153" t="str">
        <f t="shared" si="0"/>
        <v>1000g Strawberry Muesli</v>
      </c>
      <c r="C11" s="153" t="str">
        <f t="shared" si="1"/>
        <v>Strawberry</v>
      </c>
      <c r="D11" s="118">
        <v>48000</v>
      </c>
      <c r="E11" s="140">
        <v>30000</v>
      </c>
      <c r="F11" s="149">
        <v>-18000</v>
      </c>
      <c r="G11" s="45">
        <v>-0.375</v>
      </c>
      <c r="H11" s="118">
        <v>96000</v>
      </c>
      <c r="I11" s="140">
        <v>110000</v>
      </c>
      <c r="J11" s="149">
        <v>14000</v>
      </c>
      <c r="K11" s="45">
        <v>0.14583333333333334</v>
      </c>
      <c r="L11" s="118">
        <v>96000</v>
      </c>
      <c r="M11" s="140">
        <v>6000</v>
      </c>
      <c r="N11" s="149">
        <v>-90000</v>
      </c>
      <c r="O11" s="45">
        <v>-0.9375</v>
      </c>
      <c r="P11" s="118">
        <v>96000</v>
      </c>
      <c r="Q11" s="140">
        <v>64000</v>
      </c>
      <c r="R11" s="148">
        <v>-32000</v>
      </c>
      <c r="S11" s="84">
        <v>-0.33333333333333331</v>
      </c>
      <c r="T11" s="118">
        <v>64000</v>
      </c>
      <c r="U11" s="140">
        <v>24000</v>
      </c>
      <c r="V11" s="148">
        <v>-40000</v>
      </c>
      <c r="W11" s="84">
        <v>-0.625</v>
      </c>
      <c r="X11" s="118">
        <v>48000</v>
      </c>
      <c r="Y11" s="140">
        <v>24000</v>
      </c>
      <c r="Z11" s="148">
        <v>-24000</v>
      </c>
      <c r="AA11" s="84">
        <v>-0.5</v>
      </c>
    </row>
    <row r="12" spans="1:43" x14ac:dyDescent="0.25">
      <c r="A12" s="153" t="str">
        <f>MaterialMaster!A14</f>
        <v>F14</v>
      </c>
      <c r="B12" s="153" t="str">
        <f t="shared" si="0"/>
        <v>1000g Raisin Muesli</v>
      </c>
      <c r="C12" s="153" t="str">
        <f t="shared" si="1"/>
        <v>Raisins</v>
      </c>
      <c r="D12" s="118">
        <v>96000</v>
      </c>
      <c r="E12" s="140">
        <v>78000</v>
      </c>
      <c r="F12" s="149">
        <v>-18000</v>
      </c>
      <c r="G12" s="45">
        <v>-0.1875</v>
      </c>
      <c r="H12" s="118">
        <v>96000</v>
      </c>
      <c r="I12" s="140">
        <v>86000</v>
      </c>
      <c r="J12" s="149">
        <v>-10000</v>
      </c>
      <c r="K12" s="45">
        <v>-0.10416666666666667</v>
      </c>
      <c r="L12" s="118">
        <v>96000</v>
      </c>
      <c r="M12" s="140">
        <v>0</v>
      </c>
      <c r="N12" s="149">
        <v>-96000</v>
      </c>
      <c r="O12" s="45">
        <v>-1</v>
      </c>
      <c r="P12" s="118">
        <v>96000</v>
      </c>
      <c r="Q12" s="140">
        <v>64000</v>
      </c>
      <c r="R12" s="148">
        <v>-32000</v>
      </c>
      <c r="S12" s="84">
        <v>-0.33333333333333331</v>
      </c>
      <c r="T12" s="118">
        <v>64000</v>
      </c>
      <c r="U12" s="140">
        <v>24000</v>
      </c>
      <c r="V12" s="148">
        <v>-40000</v>
      </c>
      <c r="W12" s="84">
        <v>-0.625</v>
      </c>
      <c r="X12" s="118">
        <v>48000</v>
      </c>
      <c r="Y12" s="140">
        <v>24000</v>
      </c>
      <c r="Z12" s="148">
        <v>-24000</v>
      </c>
      <c r="AA12" s="84">
        <v>-0.5</v>
      </c>
    </row>
    <row r="13" spans="1:43" x14ac:dyDescent="0.25">
      <c r="A13" s="153" t="str">
        <f>MaterialMaster!A15</f>
        <v>F15</v>
      </c>
      <c r="B13" s="153" t="str">
        <f t="shared" si="0"/>
        <v>1000g Original Muesli</v>
      </c>
      <c r="C13" s="153" t="str">
        <f t="shared" si="1"/>
        <v>Original</v>
      </c>
      <c r="D13" s="118"/>
      <c r="E13" s="140">
        <v>0</v>
      </c>
      <c r="F13" s="149">
        <v>0</v>
      </c>
      <c r="G13" s="45">
        <v>0</v>
      </c>
      <c r="H13" s="118"/>
      <c r="I13" s="140">
        <v>0</v>
      </c>
      <c r="J13" s="149">
        <v>0</v>
      </c>
      <c r="K13" s="45">
        <v>0</v>
      </c>
      <c r="L13" s="118"/>
      <c r="M13" s="140">
        <v>0</v>
      </c>
      <c r="N13" s="149">
        <v>0</v>
      </c>
      <c r="O13" s="45">
        <v>0</v>
      </c>
      <c r="P13" s="118"/>
      <c r="Q13" s="140">
        <v>0</v>
      </c>
      <c r="R13" s="148">
        <v>0</v>
      </c>
      <c r="S13" s="84">
        <v>0</v>
      </c>
      <c r="T13" s="118"/>
      <c r="U13" s="140">
        <v>0</v>
      </c>
      <c r="V13" s="148">
        <v>0</v>
      </c>
      <c r="W13" s="84">
        <v>0</v>
      </c>
      <c r="X13" s="118"/>
      <c r="Y13" s="140">
        <v>0</v>
      </c>
      <c r="Z13" s="148">
        <v>0</v>
      </c>
      <c r="AA13" s="84">
        <v>0</v>
      </c>
    </row>
    <row r="14" spans="1:43" x14ac:dyDescent="0.25">
      <c r="A14" s="153" t="str">
        <f>MaterialMaster!A16</f>
        <v>F16</v>
      </c>
      <c r="B14" s="153" t="str">
        <f t="shared" si="0"/>
        <v>1000g Mixed Fruits Muesli</v>
      </c>
      <c r="C14" s="153" t="str">
        <f t="shared" si="1"/>
        <v>Mixed</v>
      </c>
      <c r="D14" s="118"/>
      <c r="E14" s="140">
        <v>0</v>
      </c>
      <c r="F14" s="149">
        <v>0</v>
      </c>
      <c r="G14" s="45">
        <v>0</v>
      </c>
      <c r="H14" s="118"/>
      <c r="I14" s="140">
        <v>0</v>
      </c>
      <c r="J14" s="149">
        <v>0</v>
      </c>
      <c r="K14" s="45">
        <v>0</v>
      </c>
      <c r="L14" s="118"/>
      <c r="M14" s="140">
        <v>0</v>
      </c>
      <c r="N14" s="149">
        <v>0</v>
      </c>
      <c r="O14" s="45">
        <v>0</v>
      </c>
      <c r="P14" s="118"/>
      <c r="Q14" s="140">
        <v>0</v>
      </c>
      <c r="R14" s="148">
        <v>0</v>
      </c>
      <c r="S14" s="84">
        <v>0</v>
      </c>
      <c r="T14" s="118"/>
      <c r="U14" s="140">
        <v>0</v>
      </c>
      <c r="V14" s="148">
        <v>0</v>
      </c>
      <c r="W14" s="84">
        <v>0</v>
      </c>
      <c r="X14" s="118"/>
      <c r="Y14" s="140">
        <v>0</v>
      </c>
      <c r="Z14" s="148">
        <v>0</v>
      </c>
      <c r="AA14" s="84">
        <v>0</v>
      </c>
    </row>
    <row r="16" spans="1:43" ht="18.75" x14ac:dyDescent="0.25">
      <c r="B16" s="126" t="s">
        <v>2933</v>
      </c>
      <c r="D16" s="128">
        <f t="shared" ref="D16:G16" si="2">SUM(D3:D15)</f>
        <v>512000</v>
      </c>
      <c r="E16" s="150">
        <f t="shared" si="2"/>
        <v>435625</v>
      </c>
      <c r="F16" s="128">
        <f t="shared" si="2"/>
        <v>-76375</v>
      </c>
      <c r="G16" s="128">
        <f t="shared" si="2"/>
        <v>-1.16015625</v>
      </c>
      <c r="H16" s="128">
        <f t="shared" ref="H16:K16" si="3">SUM(H3:H15)</f>
        <v>528000</v>
      </c>
      <c r="I16" s="150">
        <f t="shared" si="3"/>
        <v>437375</v>
      </c>
      <c r="J16" s="128">
        <f t="shared" si="3"/>
        <v>-90625</v>
      </c>
      <c r="K16" s="128">
        <f t="shared" si="3"/>
        <v>-1.8815104166666667</v>
      </c>
      <c r="L16" s="128">
        <f t="shared" ref="L16:O16" si="4">SUM(L3:L15)</f>
        <v>768000</v>
      </c>
      <c r="M16" s="150">
        <f t="shared" si="4"/>
        <v>441250</v>
      </c>
      <c r="N16" s="128">
        <f t="shared" si="4"/>
        <v>-326750</v>
      </c>
      <c r="O16" s="128">
        <f t="shared" si="4"/>
        <v>-3.4036458333333335</v>
      </c>
      <c r="P16" s="128">
        <f t="shared" ref="P16:AA16" si="5">SUM(P3:P15)</f>
        <v>768000</v>
      </c>
      <c r="Q16" s="150">
        <f t="shared" si="5"/>
        <v>433500</v>
      </c>
      <c r="R16" s="128">
        <f t="shared" si="5"/>
        <v>-334500</v>
      </c>
      <c r="S16" s="128">
        <f t="shared" si="5"/>
        <v>-3.484375</v>
      </c>
      <c r="T16" s="128">
        <f t="shared" si="5"/>
        <v>512000</v>
      </c>
      <c r="U16" s="150">
        <f t="shared" si="5"/>
        <v>373500</v>
      </c>
      <c r="V16" s="128">
        <f t="shared" si="5"/>
        <v>-138500</v>
      </c>
      <c r="W16" s="128">
        <f t="shared" si="5"/>
        <v>-2.1640625</v>
      </c>
      <c r="X16" s="128">
        <f t="shared" si="5"/>
        <v>480000</v>
      </c>
      <c r="Y16" s="150">
        <f t="shared" si="5"/>
        <v>331750</v>
      </c>
      <c r="Z16" s="128">
        <f t="shared" si="5"/>
        <v>-148250</v>
      </c>
      <c r="AA16" s="128">
        <f t="shared" si="5"/>
        <v>-2.2885416666666671</v>
      </c>
    </row>
    <row r="19" spans="12:13" x14ac:dyDescent="0.25">
      <c r="L19" s="151"/>
      <c r="M19" s="152"/>
    </row>
    <row r="20" spans="12:13" x14ac:dyDescent="0.25">
      <c r="L20" s="151"/>
      <c r="M20" s="152"/>
    </row>
    <row r="21" spans="12:13" x14ac:dyDescent="0.25">
      <c r="L21" s="151"/>
      <c r="M21" s="152"/>
    </row>
    <row r="22" spans="12:13" x14ac:dyDescent="0.25">
      <c r="L22" s="151"/>
      <c r="M22" s="152"/>
    </row>
    <row r="23" spans="12:13" x14ac:dyDescent="0.25">
      <c r="L23" s="151"/>
      <c r="M23" s="152"/>
    </row>
    <row r="24" spans="12:13" x14ac:dyDescent="0.25">
      <c r="L24" s="151"/>
      <c r="M24" s="152"/>
    </row>
    <row r="25" spans="12:13" x14ac:dyDescent="0.25">
      <c r="L25" s="151"/>
      <c r="M25" s="152"/>
    </row>
    <row r="26" spans="12:13" x14ac:dyDescent="0.25">
      <c r="L26" s="151"/>
      <c r="M26" s="152"/>
    </row>
    <row r="27" spans="12:13" x14ac:dyDescent="0.25">
      <c r="L27" s="151"/>
      <c r="M27" s="152"/>
    </row>
    <row r="28" spans="12:13" x14ac:dyDescent="0.25">
      <c r="L28" s="151"/>
      <c r="M28" s="152"/>
    </row>
    <row r="29" spans="12:13" x14ac:dyDescent="0.25">
      <c r="L29" s="151"/>
      <c r="M29" s="152"/>
    </row>
    <row r="30" spans="12:13" x14ac:dyDescent="0.25">
      <c r="L30" s="151"/>
      <c r="M30" s="152"/>
    </row>
  </sheetData>
  <sheetProtection selectLockedCells="1"/>
  <mergeCells count="11">
    <mergeCell ref="AN1:AQ1"/>
    <mergeCell ref="T1:W1"/>
    <mergeCell ref="X1:AA1"/>
    <mergeCell ref="AB1:AE1"/>
    <mergeCell ref="AF1:AI1"/>
    <mergeCell ref="AJ1:AM1"/>
    <mergeCell ref="A1:C1"/>
    <mergeCell ref="D1:G1"/>
    <mergeCell ref="H1:K1"/>
    <mergeCell ref="L1:O1"/>
    <mergeCell ref="P1:S1"/>
  </mergeCells>
  <dataValidations count="2">
    <dataValidation allowBlank="1" showInputMessage="1" showErrorMessage="1" errorTitle="Invalid Recipe" error="See documentation sheet to create or modify recipe." sqref="C3:C14" xr:uid="{41C41455-EDE2-4758-A5C1-1C9A829FC365}"/>
    <dataValidation type="custom" allowBlank="1" showInputMessage="1" showErrorMessage="1" errorTitle="Invalid Data" error="See documentation sheet for lot size. Production Plan is in increments of lot size" sqref="X3:X14 T3:T14 P3:P14 L3:L14 H3:H14 D3:D14" xr:uid="{9BF0E55E-D840-467B-8435-08D606D37DFA}">
      <formula1>MOD(D3,MinLS)=0</formula1>
    </dataValidation>
  </dataValidations>
  <hyperlinks>
    <hyperlink ref="B16" location="MainNavigation!A1" display="MainNavigation" xr:uid="{E664E84C-81DE-4947-BD14-79B0D81A2258}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8A97-F4D4-4682-9109-093037F2AF7E}">
  <sheetPr>
    <tabColor theme="1" tint="4.9989318521683403E-2"/>
  </sheetPr>
  <dimension ref="A1:D9"/>
  <sheetViews>
    <sheetView workbookViewId="0">
      <selection activeCell="D1" sqref="D1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4.5703125" bestFit="1" customWidth="1"/>
    <col min="4" max="4" width="15.5703125" customWidth="1"/>
  </cols>
  <sheetData>
    <row r="1" spans="1:4" ht="20.25" thickBot="1" x14ac:dyDescent="0.35">
      <c r="A1" s="156" t="s">
        <v>4068</v>
      </c>
      <c r="D1" s="159" t="s">
        <v>4070</v>
      </c>
    </row>
    <row r="2" spans="1:4" ht="21" thickTop="1" thickBot="1" x14ac:dyDescent="0.35">
      <c r="A2" s="156"/>
    </row>
    <row r="3" spans="1:4" ht="15.75" thickTop="1" x14ac:dyDescent="0.25">
      <c r="A3" s="27" t="s">
        <v>197</v>
      </c>
      <c r="B3" t="s">
        <v>4069</v>
      </c>
    </row>
    <row r="5" spans="1:4" x14ac:dyDescent="0.25">
      <c r="A5" s="27" t="s">
        <v>207</v>
      </c>
      <c r="B5" t="s">
        <v>4067</v>
      </c>
      <c r="C5" t="s">
        <v>4066</v>
      </c>
    </row>
    <row r="6" spans="1:4" x14ac:dyDescent="0.25">
      <c r="A6" t="s">
        <v>185</v>
      </c>
      <c r="B6" s="157">
        <v>3914591.8199999994</v>
      </c>
      <c r="C6" s="158">
        <v>0.33883930113359145</v>
      </c>
    </row>
    <row r="7" spans="1:4" x14ac:dyDescent="0.25">
      <c r="A7" t="s">
        <v>186</v>
      </c>
      <c r="B7" s="157">
        <v>4268246.92</v>
      </c>
      <c r="C7" s="158">
        <v>0.36945098491479617</v>
      </c>
    </row>
    <row r="8" spans="1:4" x14ac:dyDescent="0.25">
      <c r="A8" t="s">
        <v>184</v>
      </c>
      <c r="B8" s="157">
        <v>3370106.2900000019</v>
      </c>
      <c r="C8" s="158">
        <v>0.29170971395161233</v>
      </c>
    </row>
    <row r="9" spans="1:4" x14ac:dyDescent="0.25">
      <c r="A9" t="s">
        <v>407</v>
      </c>
      <c r="B9" s="157">
        <v>11552945.030000001</v>
      </c>
      <c r="C9" s="155">
        <v>1</v>
      </c>
    </row>
  </sheetData>
  <hyperlinks>
    <hyperlink ref="D1" location="MainNavigation!A1" display="MainNavigation!A1" xr:uid="{99B9855B-6B9F-4D9C-9DB8-900F7FA1DFF8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C50444-6895-4D07-BF3D-1D93FA12FD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21</vt:i4>
      </vt:variant>
    </vt:vector>
  </HeadingPairs>
  <TitlesOfParts>
    <vt:vector size="39" baseType="lpstr">
      <vt:lpstr>MainNavigation</vt:lpstr>
      <vt:lpstr>Documentation</vt:lpstr>
      <vt:lpstr>MaterialMaster</vt:lpstr>
      <vt:lpstr>BOM</vt:lpstr>
      <vt:lpstr>DistributionChannels</vt:lpstr>
      <vt:lpstr>SalesAreas</vt:lpstr>
      <vt:lpstr>Suppliers</vt:lpstr>
      <vt:lpstr>StorageLocations</vt:lpstr>
      <vt:lpstr>Equipment</vt:lpstr>
      <vt:lpstr>SalesOD</vt:lpstr>
      <vt:lpstr>SalesForecast-CurrentMonth</vt:lpstr>
      <vt:lpstr>SalesForecast-Archive</vt:lpstr>
      <vt:lpstr>InventoryOD</vt:lpstr>
      <vt:lpstr>Inventory</vt:lpstr>
      <vt:lpstr>ProductionOD</vt:lpstr>
      <vt:lpstr>ProductionPlan</vt:lpstr>
      <vt:lpstr>ProductionPlan-Archive</vt:lpstr>
      <vt:lpstr>Analysis</vt:lpstr>
      <vt:lpstr>Alpha</vt:lpstr>
      <vt:lpstr>Capacity</vt:lpstr>
      <vt:lpstr>ComponentItems</vt:lpstr>
      <vt:lpstr>ControlLimit</vt:lpstr>
      <vt:lpstr>ItemNumber</vt:lpstr>
      <vt:lpstr>MaterialMaster</vt:lpstr>
      <vt:lpstr>MaterialType</vt:lpstr>
      <vt:lpstr>MaxHrs</vt:lpstr>
      <vt:lpstr>MaxLS</vt:lpstr>
      <vt:lpstr>MaxLT</vt:lpstr>
      <vt:lpstr>MinLS</vt:lpstr>
      <vt:lpstr>MinLT</vt:lpstr>
      <vt:lpstr>ParentItems</vt:lpstr>
      <vt:lpstr>PlanningType</vt:lpstr>
      <vt:lpstr>Recipe</vt:lpstr>
      <vt:lpstr>SetupTime</vt:lpstr>
      <vt:lpstr>Size</vt:lpstr>
      <vt:lpstr>Supplier</vt:lpstr>
      <vt:lpstr>SupplierCode</vt:lpstr>
      <vt:lpstr>UOM</vt:lpstr>
      <vt:lpstr>WarehouseCode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Blessing</dc:creator>
  <cp:lastModifiedBy>Blessing Igoboye</cp:lastModifiedBy>
  <dcterms:created xsi:type="dcterms:W3CDTF">2022-01-31T17:42:25Z</dcterms:created>
  <dcterms:modified xsi:type="dcterms:W3CDTF">2022-12-16T23:35:03Z</dcterms:modified>
</cp:coreProperties>
</file>